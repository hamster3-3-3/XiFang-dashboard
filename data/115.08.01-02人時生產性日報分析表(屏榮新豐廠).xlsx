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新豐\排程\人時生產日報\"/>
    </mc:Choice>
  </mc:AlternateContent>
  <bookViews>
    <workbookView xWindow="0" yWindow="0" windowWidth="19200" windowHeight="6180"/>
  </bookViews>
  <sheets>
    <sheet name="0802" sheetId="3" r:id="rId1"/>
    <sheet name="0802 4度C" sheetId="4" r:id="rId2"/>
    <sheet name="0801" sheetId="2" r:id="rId3"/>
    <sheet name="0801 4度C" sheetId="1" r:id="rId4"/>
  </sheets>
  <definedNames>
    <definedName name="_xlnm._FilterDatabase" localSheetId="3" hidden="1">'0801 4度C'!$A$4:$AI$4</definedName>
    <definedName name="_xlnm._FilterDatabase" localSheetId="1" hidden="1">'0802 4度C'!$A$4:$AI$4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84" i="4" l="1"/>
  <c r="Z84" i="4"/>
  <c r="Y84" i="4"/>
  <c r="O84" i="4"/>
  <c r="K84" i="4"/>
  <c r="AF83" i="4"/>
  <c r="V83" i="4"/>
  <c r="U83" i="4"/>
  <c r="O83" i="4"/>
  <c r="N83" i="4"/>
  <c r="Q83" i="4" s="1"/>
  <c r="M83" i="4"/>
  <c r="AE83" i="4" s="1"/>
  <c r="K83" i="4"/>
  <c r="G83" i="4"/>
  <c r="AE82" i="4"/>
  <c r="V82" i="4"/>
  <c r="U82" i="4"/>
  <c r="O82" i="4"/>
  <c r="M82" i="4"/>
  <c r="N82" i="4" s="1"/>
  <c r="K82" i="4"/>
  <c r="G82" i="4"/>
  <c r="V81" i="4"/>
  <c r="M81" i="4" s="1"/>
  <c r="U81" i="4"/>
  <c r="O81" i="4"/>
  <c r="K81" i="4"/>
  <c r="G81" i="4"/>
  <c r="V80" i="4"/>
  <c r="M80" i="4" s="1"/>
  <c r="U80" i="4"/>
  <c r="O80" i="4"/>
  <c r="K80" i="4"/>
  <c r="G80" i="4"/>
  <c r="X79" i="4"/>
  <c r="W79" i="4"/>
  <c r="V79" i="4"/>
  <c r="M79" i="4" s="1"/>
  <c r="U79" i="4"/>
  <c r="O79" i="4"/>
  <c r="K79" i="4"/>
  <c r="G79" i="4"/>
  <c r="V78" i="4"/>
  <c r="M78" i="4" s="1"/>
  <c r="U78" i="4"/>
  <c r="O78" i="4"/>
  <c r="K78" i="4"/>
  <c r="G78" i="4"/>
  <c r="V77" i="4"/>
  <c r="M77" i="4" s="1"/>
  <c r="U77" i="4"/>
  <c r="O77" i="4"/>
  <c r="K77" i="4"/>
  <c r="G77" i="4"/>
  <c r="V76" i="4"/>
  <c r="M76" i="4" s="1"/>
  <c r="U76" i="4"/>
  <c r="O76" i="4"/>
  <c r="K76" i="4"/>
  <c r="G76" i="4"/>
  <c r="V75" i="4"/>
  <c r="M75" i="4" s="1"/>
  <c r="U75" i="4"/>
  <c r="O75" i="4"/>
  <c r="K75" i="4"/>
  <c r="G75" i="4"/>
  <c r="X74" i="4"/>
  <c r="W74" i="4"/>
  <c r="V74" i="4"/>
  <c r="M74" i="4" s="1"/>
  <c r="O74" i="4"/>
  <c r="K74" i="4"/>
  <c r="G74" i="4"/>
  <c r="AD73" i="4"/>
  <c r="Z73" i="4"/>
  <c r="Y73" i="4"/>
  <c r="O73" i="4"/>
  <c r="K73" i="4"/>
  <c r="V72" i="4"/>
  <c r="M72" i="4" s="1"/>
  <c r="U72" i="4"/>
  <c r="O72" i="4"/>
  <c r="K72" i="4"/>
  <c r="G72" i="4"/>
  <c r="V71" i="4"/>
  <c r="M71" i="4" s="1"/>
  <c r="U71" i="4"/>
  <c r="O71" i="4"/>
  <c r="K71" i="4"/>
  <c r="G71" i="4"/>
  <c r="V70" i="4"/>
  <c r="U70" i="4"/>
  <c r="O70" i="4"/>
  <c r="M70" i="4"/>
  <c r="AF70" i="4" s="1"/>
  <c r="K70" i="4"/>
  <c r="G70" i="4"/>
  <c r="V69" i="4"/>
  <c r="O69" i="4"/>
  <c r="M69" i="4"/>
  <c r="M73" i="4" s="1"/>
  <c r="K69" i="4"/>
  <c r="G69" i="4"/>
  <c r="AD68" i="4"/>
  <c r="Z68" i="4"/>
  <c r="Y68" i="4"/>
  <c r="O68" i="4"/>
  <c r="K68" i="4"/>
  <c r="V67" i="4"/>
  <c r="U67" i="4"/>
  <c r="O67" i="4"/>
  <c r="M67" i="4"/>
  <c r="AF67" i="4" s="1"/>
  <c r="K67" i="4"/>
  <c r="G67" i="4"/>
  <c r="X66" i="4"/>
  <c r="W66" i="4"/>
  <c r="V66" i="4"/>
  <c r="U66" i="4"/>
  <c r="O66" i="4"/>
  <c r="M66" i="4"/>
  <c r="AF66" i="4" s="1"/>
  <c r="K66" i="4"/>
  <c r="G66" i="4"/>
  <c r="V65" i="4"/>
  <c r="U65" i="4"/>
  <c r="O65" i="4"/>
  <c r="M65" i="4"/>
  <c r="AF65" i="4" s="1"/>
  <c r="K65" i="4"/>
  <c r="G65" i="4"/>
  <c r="V64" i="4"/>
  <c r="U64" i="4"/>
  <c r="O64" i="4"/>
  <c r="M64" i="4"/>
  <c r="AF64" i="4" s="1"/>
  <c r="K64" i="4"/>
  <c r="G64" i="4"/>
  <c r="AF63" i="4"/>
  <c r="V63" i="4"/>
  <c r="U63" i="4"/>
  <c r="O63" i="4"/>
  <c r="N63" i="4"/>
  <c r="Q63" i="4" s="1"/>
  <c r="M63" i="4"/>
  <c r="AE63" i="4" s="1"/>
  <c r="K63" i="4"/>
  <c r="G63" i="4"/>
  <c r="AE62" i="4"/>
  <c r="V62" i="4"/>
  <c r="U62" i="4"/>
  <c r="O62" i="4"/>
  <c r="M62" i="4"/>
  <c r="N62" i="4" s="1"/>
  <c r="K62" i="4"/>
  <c r="G62" i="4"/>
  <c r="V61" i="4"/>
  <c r="M61" i="4" s="1"/>
  <c r="U61" i="4"/>
  <c r="O61" i="4"/>
  <c r="K61" i="4"/>
  <c r="G61" i="4"/>
  <c r="V60" i="4"/>
  <c r="M60" i="4" s="1"/>
  <c r="U60" i="4"/>
  <c r="O60" i="4"/>
  <c r="K60" i="4"/>
  <c r="G60" i="4"/>
  <c r="V59" i="4"/>
  <c r="U59" i="4"/>
  <c r="O59" i="4"/>
  <c r="M59" i="4"/>
  <c r="N59" i="4" s="1"/>
  <c r="K59" i="4"/>
  <c r="G59" i="4"/>
  <c r="X58" i="4"/>
  <c r="W58" i="4"/>
  <c r="V58" i="4"/>
  <c r="M58" i="4" s="1"/>
  <c r="O58" i="4"/>
  <c r="K58" i="4"/>
  <c r="G58" i="4"/>
  <c r="AD57" i="4"/>
  <c r="Z57" i="4"/>
  <c r="Y57" i="4"/>
  <c r="O57" i="4"/>
  <c r="K57" i="4"/>
  <c r="V56" i="4"/>
  <c r="U56" i="4"/>
  <c r="O56" i="4"/>
  <c r="M56" i="4"/>
  <c r="N56" i="4" s="1"/>
  <c r="K56" i="4"/>
  <c r="G56" i="4"/>
  <c r="V55" i="4"/>
  <c r="U55" i="4"/>
  <c r="O55" i="4"/>
  <c r="M55" i="4"/>
  <c r="N55" i="4" s="1"/>
  <c r="K55" i="4"/>
  <c r="G55" i="4"/>
  <c r="V54" i="4"/>
  <c r="M54" i="4" s="1"/>
  <c r="U54" i="4"/>
  <c r="O54" i="4"/>
  <c r="K54" i="4"/>
  <c r="G54" i="4"/>
  <c r="V53" i="4"/>
  <c r="M53" i="4" s="1"/>
  <c r="O53" i="4"/>
  <c r="K53" i="4"/>
  <c r="G53" i="4"/>
  <c r="AD52" i="4"/>
  <c r="Z52" i="4"/>
  <c r="Y52" i="4"/>
  <c r="O52" i="4"/>
  <c r="K52" i="4"/>
  <c r="V51" i="4"/>
  <c r="U51" i="4"/>
  <c r="O51" i="4"/>
  <c r="M51" i="4"/>
  <c r="AF51" i="4" s="1"/>
  <c r="K51" i="4"/>
  <c r="G51" i="4"/>
  <c r="AF50" i="4"/>
  <c r="V50" i="4"/>
  <c r="U50" i="4"/>
  <c r="O50" i="4"/>
  <c r="M50" i="4"/>
  <c r="AE50" i="4" s="1"/>
  <c r="K50" i="4"/>
  <c r="G50" i="4"/>
  <c r="V49" i="4"/>
  <c r="M49" i="4" s="1"/>
  <c r="U49" i="4"/>
  <c r="O49" i="4"/>
  <c r="K49" i="4"/>
  <c r="G49" i="4"/>
  <c r="X48" i="4"/>
  <c r="W48" i="4"/>
  <c r="V48" i="4"/>
  <c r="U48" i="4"/>
  <c r="O48" i="4"/>
  <c r="M48" i="4"/>
  <c r="AF48" i="4" s="1"/>
  <c r="K48" i="4"/>
  <c r="G48" i="4"/>
  <c r="V47" i="4"/>
  <c r="M47" i="4" s="1"/>
  <c r="U47" i="4"/>
  <c r="O47" i="4"/>
  <c r="K47" i="4"/>
  <c r="G47" i="4"/>
  <c r="V46" i="4"/>
  <c r="M46" i="4" s="1"/>
  <c r="U46" i="4"/>
  <c r="O46" i="4"/>
  <c r="K46" i="4"/>
  <c r="G46" i="4"/>
  <c r="V45" i="4"/>
  <c r="M45" i="4" s="1"/>
  <c r="U45" i="4"/>
  <c r="O45" i="4"/>
  <c r="K45" i="4"/>
  <c r="G45" i="4"/>
  <c r="X44" i="4"/>
  <c r="W44" i="4"/>
  <c r="V44" i="4"/>
  <c r="M44" i="4" s="1"/>
  <c r="O44" i="4"/>
  <c r="K44" i="4"/>
  <c r="G44" i="4"/>
  <c r="AD43" i="4"/>
  <c r="Z43" i="4"/>
  <c r="Y43" i="4"/>
  <c r="O43" i="4"/>
  <c r="K43" i="4"/>
  <c r="AF42" i="4"/>
  <c r="V42" i="4"/>
  <c r="U42" i="4"/>
  <c r="O42" i="4"/>
  <c r="N42" i="4"/>
  <c r="Q42" i="4" s="1"/>
  <c r="M42" i="4"/>
  <c r="AE42" i="4" s="1"/>
  <c r="K42" i="4"/>
  <c r="G42" i="4"/>
  <c r="AF41" i="4"/>
  <c r="AE41" i="4"/>
  <c r="V41" i="4"/>
  <c r="U41" i="4"/>
  <c r="O41" i="4"/>
  <c r="M41" i="4"/>
  <c r="N41" i="4" s="1"/>
  <c r="K41" i="4"/>
  <c r="G41" i="4"/>
  <c r="V40" i="4"/>
  <c r="M40" i="4" s="1"/>
  <c r="U40" i="4"/>
  <c r="O40" i="4"/>
  <c r="K40" i="4"/>
  <c r="G40" i="4"/>
  <c r="V39" i="4"/>
  <c r="M39" i="4" s="1"/>
  <c r="U39" i="4"/>
  <c r="O39" i="4"/>
  <c r="K39" i="4"/>
  <c r="G39" i="4"/>
  <c r="X38" i="4"/>
  <c r="W38" i="4"/>
  <c r="V38" i="4"/>
  <c r="M38" i="4" s="1"/>
  <c r="U38" i="4"/>
  <c r="O38" i="4"/>
  <c r="K38" i="4"/>
  <c r="G38" i="4"/>
  <c r="V37" i="4"/>
  <c r="M37" i="4" s="1"/>
  <c r="U37" i="4"/>
  <c r="O37" i="4"/>
  <c r="K37" i="4"/>
  <c r="G37" i="4"/>
  <c r="V36" i="4"/>
  <c r="U36" i="4"/>
  <c r="O36" i="4"/>
  <c r="N36" i="4"/>
  <c r="P36" i="4" s="1"/>
  <c r="M36" i="4"/>
  <c r="AF36" i="4" s="1"/>
  <c r="K36" i="4"/>
  <c r="G36" i="4"/>
  <c r="V35" i="4"/>
  <c r="U35" i="4"/>
  <c r="O35" i="4"/>
  <c r="M35" i="4"/>
  <c r="N35" i="4" s="1"/>
  <c r="K35" i="4"/>
  <c r="G35" i="4"/>
  <c r="X34" i="4"/>
  <c r="W34" i="4"/>
  <c r="V34" i="4"/>
  <c r="M34" i="4" s="1"/>
  <c r="O34" i="4"/>
  <c r="K34" i="4"/>
  <c r="G34" i="4"/>
  <c r="AD33" i="4"/>
  <c r="Z33" i="4"/>
  <c r="Y33" i="4"/>
  <c r="O33" i="4"/>
  <c r="K33" i="4"/>
  <c r="V32" i="4"/>
  <c r="U32" i="4"/>
  <c r="O32" i="4"/>
  <c r="M32" i="4"/>
  <c r="N32" i="4" s="1"/>
  <c r="K32" i="4"/>
  <c r="G32" i="4"/>
  <c r="X31" i="4"/>
  <c r="W31" i="4"/>
  <c r="V31" i="4"/>
  <c r="M31" i="4" s="1"/>
  <c r="U31" i="4"/>
  <c r="O31" i="4"/>
  <c r="K31" i="4"/>
  <c r="G31" i="4"/>
  <c r="V30" i="4"/>
  <c r="U30" i="4"/>
  <c r="O30" i="4"/>
  <c r="M30" i="4"/>
  <c r="N30" i="4" s="1"/>
  <c r="K30" i="4"/>
  <c r="G30" i="4"/>
  <c r="V29" i="4"/>
  <c r="M29" i="4" s="1"/>
  <c r="U29" i="4"/>
  <c r="O29" i="4"/>
  <c r="K29" i="4"/>
  <c r="G29" i="4"/>
  <c r="V28" i="4"/>
  <c r="M28" i="4" s="1"/>
  <c r="U28" i="4"/>
  <c r="O28" i="4"/>
  <c r="K28" i="4"/>
  <c r="G28" i="4"/>
  <c r="V27" i="4"/>
  <c r="U27" i="4"/>
  <c r="O27" i="4"/>
  <c r="M27" i="4"/>
  <c r="AF27" i="4" s="1"/>
  <c r="K27" i="4"/>
  <c r="G27" i="4"/>
  <c r="V26" i="4"/>
  <c r="O26" i="4"/>
  <c r="M26" i="4"/>
  <c r="AF26" i="4" s="1"/>
  <c r="K26" i="4"/>
  <c r="G26" i="4"/>
  <c r="AD25" i="4"/>
  <c r="Z25" i="4"/>
  <c r="Y25" i="4"/>
  <c r="O25" i="4"/>
  <c r="K25" i="4"/>
  <c r="AE24" i="4"/>
  <c r="V24" i="4"/>
  <c r="U24" i="4"/>
  <c r="O24" i="4"/>
  <c r="N24" i="4"/>
  <c r="Q24" i="4" s="1"/>
  <c r="M24" i="4"/>
  <c r="AF24" i="4" s="1"/>
  <c r="K24" i="4"/>
  <c r="G24" i="4"/>
  <c r="V23" i="4"/>
  <c r="M23" i="4" s="1"/>
  <c r="U23" i="4"/>
  <c r="O23" i="4"/>
  <c r="K23" i="4"/>
  <c r="G23" i="4"/>
  <c r="AF22" i="4"/>
  <c r="V22" i="4"/>
  <c r="U22" i="4"/>
  <c r="O22" i="4"/>
  <c r="N22" i="4"/>
  <c r="Q22" i="4" s="1"/>
  <c r="M22" i="4"/>
  <c r="AE22" i="4" s="1"/>
  <c r="K22" i="4"/>
  <c r="G22" i="4"/>
  <c r="AE21" i="4"/>
  <c r="V21" i="4"/>
  <c r="U21" i="4"/>
  <c r="O21" i="4"/>
  <c r="M21" i="4"/>
  <c r="N21" i="4" s="1"/>
  <c r="K21" i="4"/>
  <c r="G21" i="4"/>
  <c r="V20" i="4"/>
  <c r="M20" i="4" s="1"/>
  <c r="U20" i="4"/>
  <c r="O20" i="4"/>
  <c r="K20" i="4"/>
  <c r="G20" i="4"/>
  <c r="V19" i="4"/>
  <c r="M19" i="4" s="1"/>
  <c r="U19" i="4"/>
  <c r="O19" i="4"/>
  <c r="K19" i="4"/>
  <c r="G19" i="4"/>
  <c r="AF18" i="4"/>
  <c r="X18" i="4"/>
  <c r="W18" i="4"/>
  <c r="V18" i="4"/>
  <c r="O18" i="4"/>
  <c r="M18" i="4"/>
  <c r="N18" i="4" s="1"/>
  <c r="K18" i="4"/>
  <c r="G18" i="4"/>
  <c r="F1" i="4" s="1"/>
  <c r="AD17" i="4"/>
  <c r="AD2" i="4" s="1"/>
  <c r="N6" i="3" s="1"/>
  <c r="Z17" i="4"/>
  <c r="Y17" i="4"/>
  <c r="O17" i="4"/>
  <c r="K17" i="4"/>
  <c r="V16" i="4"/>
  <c r="M16" i="4" s="1"/>
  <c r="U16" i="4"/>
  <c r="O16" i="4"/>
  <c r="K16" i="4"/>
  <c r="G16" i="4"/>
  <c r="V15" i="4"/>
  <c r="M15" i="4" s="1"/>
  <c r="U15" i="4"/>
  <c r="O15" i="4"/>
  <c r="K15" i="4"/>
  <c r="G15" i="4"/>
  <c r="X14" i="4"/>
  <c r="W14" i="4"/>
  <c r="V14" i="4"/>
  <c r="M14" i="4" s="1"/>
  <c r="U14" i="4"/>
  <c r="O14" i="4"/>
  <c r="K14" i="4"/>
  <c r="G14" i="4"/>
  <c r="V13" i="4"/>
  <c r="M13" i="4" s="1"/>
  <c r="U13" i="4"/>
  <c r="O13" i="4"/>
  <c r="K13" i="4"/>
  <c r="G13" i="4"/>
  <c r="V12" i="4"/>
  <c r="U12" i="4"/>
  <c r="O12" i="4"/>
  <c r="M12" i="4"/>
  <c r="N12" i="4" s="1"/>
  <c r="K12" i="4"/>
  <c r="G12" i="4"/>
  <c r="X11" i="4"/>
  <c r="W11" i="4"/>
  <c r="V11" i="4"/>
  <c r="M11" i="4" s="1"/>
  <c r="O11" i="4"/>
  <c r="K11" i="4"/>
  <c r="G11" i="4"/>
  <c r="AD10" i="4"/>
  <c r="Z10" i="4"/>
  <c r="Y10" i="4"/>
  <c r="Y2" i="4" s="1"/>
  <c r="K6" i="3" s="1"/>
  <c r="O10" i="4"/>
  <c r="K10" i="4"/>
  <c r="V9" i="4"/>
  <c r="U9" i="4"/>
  <c r="O9" i="4"/>
  <c r="M9" i="4"/>
  <c r="N9" i="4" s="1"/>
  <c r="K9" i="4"/>
  <c r="G9" i="4"/>
  <c r="V8" i="4"/>
  <c r="U8" i="4"/>
  <c r="O8" i="4"/>
  <c r="M8" i="4"/>
  <c r="N8" i="4" s="1"/>
  <c r="K8" i="4"/>
  <c r="G8" i="4"/>
  <c r="X7" i="4"/>
  <c r="W7" i="4"/>
  <c r="V7" i="4"/>
  <c r="U7" i="4"/>
  <c r="O7" i="4"/>
  <c r="M7" i="4"/>
  <c r="N7" i="4" s="1"/>
  <c r="K7" i="4"/>
  <c r="G7" i="4"/>
  <c r="V6" i="4"/>
  <c r="U6" i="4"/>
  <c r="O6" i="4"/>
  <c r="M6" i="4"/>
  <c r="N6" i="4" s="1"/>
  <c r="K6" i="4"/>
  <c r="G6" i="4"/>
  <c r="V5" i="4"/>
  <c r="O5" i="4"/>
  <c r="M5" i="4"/>
  <c r="N5" i="4" s="1"/>
  <c r="K5" i="4"/>
  <c r="G5" i="4"/>
  <c r="AC2" i="4"/>
  <c r="Z2" i="4"/>
  <c r="H2" i="4"/>
  <c r="H1" i="4"/>
  <c r="D1" i="4"/>
  <c r="M22" i="3"/>
  <c r="L22" i="3"/>
  <c r="K22" i="3"/>
  <c r="J22" i="3"/>
  <c r="I22" i="3"/>
  <c r="H22" i="3"/>
  <c r="G22" i="3"/>
  <c r="F22" i="3"/>
  <c r="E22" i="3"/>
  <c r="D22" i="3"/>
  <c r="M21" i="3"/>
  <c r="L21" i="3"/>
  <c r="K21" i="3"/>
  <c r="J21" i="3"/>
  <c r="I21" i="3"/>
  <c r="H21" i="3"/>
  <c r="G21" i="3"/>
  <c r="F21" i="3"/>
  <c r="E21" i="3"/>
  <c r="D21" i="3"/>
  <c r="M20" i="3"/>
  <c r="L20" i="3"/>
  <c r="K20" i="3"/>
  <c r="J20" i="3"/>
  <c r="I20" i="3"/>
  <c r="H20" i="3"/>
  <c r="G20" i="3"/>
  <c r="F20" i="3"/>
  <c r="E20" i="3"/>
  <c r="D20" i="3"/>
  <c r="M19" i="3"/>
  <c r="L19" i="3"/>
  <c r="K19" i="3"/>
  <c r="J19" i="3"/>
  <c r="I19" i="3"/>
  <c r="H19" i="3"/>
  <c r="G19" i="3"/>
  <c r="F19" i="3"/>
  <c r="E19" i="3"/>
  <c r="D19" i="3"/>
  <c r="M18" i="3"/>
  <c r="L18" i="3"/>
  <c r="K18" i="3"/>
  <c r="J18" i="3"/>
  <c r="I18" i="3"/>
  <c r="H18" i="3"/>
  <c r="G18" i="3"/>
  <c r="F18" i="3"/>
  <c r="E18" i="3"/>
  <c r="D18" i="3"/>
  <c r="M17" i="3"/>
  <c r="L17" i="3"/>
  <c r="K17" i="3"/>
  <c r="J17" i="3"/>
  <c r="I17" i="3"/>
  <c r="H17" i="3"/>
  <c r="G17" i="3"/>
  <c r="F17" i="3"/>
  <c r="E17" i="3"/>
  <c r="D17" i="3"/>
  <c r="M16" i="3"/>
  <c r="L16" i="3"/>
  <c r="K16" i="3"/>
  <c r="J16" i="3"/>
  <c r="I16" i="3"/>
  <c r="H16" i="3"/>
  <c r="G16" i="3"/>
  <c r="F16" i="3"/>
  <c r="E16" i="3"/>
  <c r="D16" i="3"/>
  <c r="M13" i="3"/>
  <c r="L13" i="3"/>
  <c r="K13" i="3"/>
  <c r="I6" i="3" s="1"/>
  <c r="J13" i="3"/>
  <c r="I13" i="3"/>
  <c r="H13" i="3"/>
  <c r="G6" i="3" s="1"/>
  <c r="G13" i="3"/>
  <c r="F13" i="3"/>
  <c r="E13" i="3"/>
  <c r="D13" i="3"/>
  <c r="M6" i="3"/>
  <c r="L6" i="3"/>
  <c r="F3" i="3"/>
  <c r="C3" i="3"/>
  <c r="N20" i="4" l="1"/>
  <c r="AF20" i="4"/>
  <c r="AE20" i="4"/>
  <c r="AE44" i="4"/>
  <c r="M52" i="4"/>
  <c r="N44" i="4"/>
  <c r="AF44" i="4"/>
  <c r="N53" i="4"/>
  <c r="M57" i="4"/>
  <c r="AF53" i="4"/>
  <c r="AE53" i="4"/>
  <c r="N74" i="4"/>
  <c r="AF74" i="4"/>
  <c r="AE74" i="4"/>
  <c r="M84" i="4"/>
  <c r="N76" i="4"/>
  <c r="AF76" i="4"/>
  <c r="AE76" i="4"/>
  <c r="Q7" i="4"/>
  <c r="P7" i="4"/>
  <c r="N31" i="4"/>
  <c r="AF31" i="4"/>
  <c r="AE31" i="4"/>
  <c r="AF47" i="4"/>
  <c r="AE47" i="4"/>
  <c r="N47" i="4"/>
  <c r="Q5" i="4"/>
  <c r="P5" i="4"/>
  <c r="N29" i="4"/>
  <c r="AF29" i="4"/>
  <c r="AE29" i="4"/>
  <c r="N37" i="4"/>
  <c r="AF37" i="4"/>
  <c r="AE37" i="4"/>
  <c r="N39" i="4"/>
  <c r="AF39" i="4"/>
  <c r="AE39" i="4"/>
  <c r="AF49" i="4"/>
  <c r="AE49" i="4"/>
  <c r="N49" i="4"/>
  <c r="P56" i="4"/>
  <c r="Q56" i="4"/>
  <c r="N58" i="4"/>
  <c r="AF58" i="4"/>
  <c r="AE58" i="4"/>
  <c r="M68" i="4"/>
  <c r="I3" i="3"/>
  <c r="F2" i="4"/>
  <c r="Q8" i="4"/>
  <c r="P8" i="4"/>
  <c r="Q9" i="4"/>
  <c r="P9" i="4"/>
  <c r="AE45" i="4"/>
  <c r="N45" i="4"/>
  <c r="AF45" i="4"/>
  <c r="N81" i="4"/>
  <c r="AF81" i="4"/>
  <c r="AE81" i="4"/>
  <c r="N13" i="4"/>
  <c r="AF13" i="4"/>
  <c r="AE13" i="4"/>
  <c r="AF23" i="4"/>
  <c r="AE23" i="4"/>
  <c r="N23" i="4"/>
  <c r="Q55" i="4"/>
  <c r="P55" i="4"/>
  <c r="N11" i="4"/>
  <c r="M17" i="4"/>
  <c r="AF11" i="4"/>
  <c r="AE11" i="4"/>
  <c r="N19" i="4"/>
  <c r="AF19" i="4"/>
  <c r="AE19" i="4"/>
  <c r="M25" i="4"/>
  <c r="N60" i="4"/>
  <c r="AF60" i="4"/>
  <c r="AE60" i="4"/>
  <c r="N72" i="4"/>
  <c r="AF72" i="4"/>
  <c r="AE72" i="4"/>
  <c r="N79" i="4"/>
  <c r="AF79" i="4"/>
  <c r="AE79" i="4"/>
  <c r="N15" i="4"/>
  <c r="AF15" i="4"/>
  <c r="AE15" i="4"/>
  <c r="Q18" i="4"/>
  <c r="P18" i="4"/>
  <c r="Q30" i="4"/>
  <c r="P30" i="4"/>
  <c r="N54" i="4"/>
  <c r="AF54" i="4"/>
  <c r="AE54" i="4"/>
  <c r="N77" i="4"/>
  <c r="AF77" i="4"/>
  <c r="AE77" i="4"/>
  <c r="Q82" i="4"/>
  <c r="P82" i="4"/>
  <c r="AF46" i="4"/>
  <c r="AE46" i="4"/>
  <c r="N46" i="4"/>
  <c r="Q32" i="4"/>
  <c r="P32" i="4"/>
  <c r="N34" i="4"/>
  <c r="AF34" i="4"/>
  <c r="AE34" i="4"/>
  <c r="M43" i="4"/>
  <c r="Q6" i="4"/>
  <c r="P6" i="4"/>
  <c r="N38" i="4"/>
  <c r="AF38" i="4"/>
  <c r="AE38" i="4"/>
  <c r="N40" i="4"/>
  <c r="AF40" i="4"/>
  <c r="AE40" i="4"/>
  <c r="P59" i="4"/>
  <c r="Q59" i="4"/>
  <c r="N75" i="4"/>
  <c r="AF75" i="4"/>
  <c r="AE75" i="4"/>
  <c r="N61" i="4"/>
  <c r="AF61" i="4"/>
  <c r="AE61" i="4"/>
  <c r="N73" i="4"/>
  <c r="AF73" i="4"/>
  <c r="AG69" i="4" s="1"/>
  <c r="AE73" i="4"/>
  <c r="N80" i="4"/>
  <c r="AF80" i="4"/>
  <c r="AE80" i="4"/>
  <c r="Q12" i="4"/>
  <c r="P12" i="4"/>
  <c r="N14" i="4"/>
  <c r="AF14" i="4"/>
  <c r="AE14" i="4"/>
  <c r="N16" i="4"/>
  <c r="AF16" i="4"/>
  <c r="AE16" i="4"/>
  <c r="AF28" i="4"/>
  <c r="AE28" i="4"/>
  <c r="N28" i="4"/>
  <c r="Q41" i="4"/>
  <c r="P41" i="4"/>
  <c r="AF71" i="4"/>
  <c r="AE71" i="4"/>
  <c r="N71" i="4"/>
  <c r="N78" i="4"/>
  <c r="AF78" i="4"/>
  <c r="AE78" i="4"/>
  <c r="Q21" i="4"/>
  <c r="P21" i="4"/>
  <c r="Q35" i="4"/>
  <c r="P35" i="4"/>
  <c r="Q62" i="4"/>
  <c r="P62" i="4"/>
  <c r="Q36" i="4"/>
  <c r="AF21" i="4"/>
  <c r="N26" i="4"/>
  <c r="N27" i="4"/>
  <c r="N51" i="4"/>
  <c r="AF62" i="4"/>
  <c r="N69" i="4"/>
  <c r="N70" i="4"/>
  <c r="AF82" i="4"/>
  <c r="AE18" i="4"/>
  <c r="N48" i="4"/>
  <c r="N50" i="4"/>
  <c r="N66" i="4"/>
  <c r="AE36" i="4"/>
  <c r="AE56" i="4"/>
  <c r="AE59" i="4"/>
  <c r="N65" i="4"/>
  <c r="N67" i="4"/>
  <c r="AE9" i="4"/>
  <c r="AE12" i="4"/>
  <c r="AE30" i="4"/>
  <c r="AE32" i="4"/>
  <c r="AE35" i="4"/>
  <c r="AE55" i="4"/>
  <c r="AF56" i="4"/>
  <c r="AF59" i="4"/>
  <c r="N64" i="4"/>
  <c r="AE5" i="4"/>
  <c r="AE6" i="4"/>
  <c r="AE8" i="4"/>
  <c r="AF9" i="4"/>
  <c r="AF12" i="4"/>
  <c r="P24" i="4"/>
  <c r="AF30" i="4"/>
  <c r="AF32" i="4"/>
  <c r="AF35" i="4"/>
  <c r="AF55" i="4"/>
  <c r="AF5" i="4"/>
  <c r="AF6" i="4"/>
  <c r="AE7" i="4"/>
  <c r="AF8" i="4"/>
  <c r="AF7" i="4"/>
  <c r="M10" i="4"/>
  <c r="P22" i="4"/>
  <c r="AE26" i="4"/>
  <c r="AE27" i="4"/>
  <c r="M33" i="4"/>
  <c r="P42" i="4"/>
  <c r="AE51" i="4"/>
  <c r="P63" i="4"/>
  <c r="AE69" i="4"/>
  <c r="AE70" i="4"/>
  <c r="P83" i="4"/>
  <c r="F6" i="3"/>
  <c r="AF69" i="4"/>
  <c r="E6" i="3"/>
  <c r="AE65" i="4"/>
  <c r="AE67" i="4"/>
  <c r="AE48" i="4"/>
  <c r="AE64" i="4"/>
  <c r="AE66" i="4"/>
  <c r="M22" i="2"/>
  <c r="L22" i="2"/>
  <c r="K22" i="2"/>
  <c r="J22" i="2"/>
  <c r="I22" i="2"/>
  <c r="H22" i="2"/>
  <c r="G22" i="2"/>
  <c r="F22" i="2"/>
  <c r="E22" i="2"/>
  <c r="D22" i="2"/>
  <c r="M21" i="2"/>
  <c r="L21" i="2"/>
  <c r="K21" i="2"/>
  <c r="J21" i="2"/>
  <c r="I21" i="2"/>
  <c r="H21" i="2"/>
  <c r="G21" i="2"/>
  <c r="F21" i="2"/>
  <c r="E21" i="2"/>
  <c r="D21" i="2"/>
  <c r="M20" i="2"/>
  <c r="L20" i="2"/>
  <c r="K20" i="2"/>
  <c r="J20" i="2"/>
  <c r="I20" i="2"/>
  <c r="H20" i="2"/>
  <c r="G20" i="2"/>
  <c r="F20" i="2"/>
  <c r="E20" i="2"/>
  <c r="D20" i="2"/>
  <c r="M19" i="2"/>
  <c r="L19" i="2"/>
  <c r="K19" i="2"/>
  <c r="J19" i="2"/>
  <c r="I19" i="2"/>
  <c r="H19" i="2"/>
  <c r="G19" i="2"/>
  <c r="F19" i="2"/>
  <c r="E19" i="2"/>
  <c r="D19" i="2"/>
  <c r="M18" i="2"/>
  <c r="L18" i="2"/>
  <c r="K18" i="2"/>
  <c r="J18" i="2"/>
  <c r="I18" i="2"/>
  <c r="H18" i="2"/>
  <c r="G18" i="2"/>
  <c r="F18" i="2"/>
  <c r="E18" i="2"/>
  <c r="D18" i="2"/>
  <c r="M17" i="2"/>
  <c r="L17" i="2"/>
  <c r="K17" i="2"/>
  <c r="J17" i="2"/>
  <c r="I17" i="2"/>
  <c r="H17" i="2"/>
  <c r="G17" i="2"/>
  <c r="F17" i="2"/>
  <c r="E17" i="2"/>
  <c r="D17" i="2"/>
  <c r="M16" i="2"/>
  <c r="L16" i="2"/>
  <c r="K16" i="2"/>
  <c r="J16" i="2"/>
  <c r="I16" i="2"/>
  <c r="H16" i="2"/>
  <c r="G16" i="2"/>
  <c r="F16" i="2"/>
  <c r="E16" i="2"/>
  <c r="D16" i="2"/>
  <c r="M14" i="2"/>
  <c r="L14" i="2"/>
  <c r="K14" i="2"/>
  <c r="I7" i="2" s="1"/>
  <c r="J14" i="2"/>
  <c r="J15" i="2" s="1"/>
  <c r="I14" i="2"/>
  <c r="I15" i="2" s="1"/>
  <c r="H14" i="2"/>
  <c r="H15" i="2" s="1"/>
  <c r="G14" i="2"/>
  <c r="G15" i="2" s="1"/>
  <c r="F14" i="2"/>
  <c r="F15" i="2" s="1"/>
  <c r="E14" i="2"/>
  <c r="E15" i="2" s="1"/>
  <c r="D14" i="2"/>
  <c r="D15" i="2" s="1"/>
  <c r="M13" i="2"/>
  <c r="L13" i="2"/>
  <c r="K13" i="2"/>
  <c r="J13" i="2"/>
  <c r="I13" i="2"/>
  <c r="H13" i="2"/>
  <c r="G13" i="2"/>
  <c r="F13" i="2"/>
  <c r="E13" i="2"/>
  <c r="D13" i="2"/>
  <c r="N6" i="2"/>
  <c r="M6" i="2"/>
  <c r="L6" i="2"/>
  <c r="K6" i="2"/>
  <c r="I3" i="2"/>
  <c r="F3" i="2"/>
  <c r="C3" i="2"/>
  <c r="M15" i="2"/>
  <c r="L15" i="2"/>
  <c r="K15" i="2"/>
  <c r="I8" i="2" s="1"/>
  <c r="I6" i="2"/>
  <c r="G6" i="2"/>
  <c r="F6" i="2"/>
  <c r="E6" i="2"/>
  <c r="P74" i="4" l="1"/>
  <c r="Q74" i="4"/>
  <c r="Q66" i="4"/>
  <c r="P66" i="4"/>
  <c r="AF43" i="4"/>
  <c r="AG34" i="4" s="1"/>
  <c r="AE43" i="4"/>
  <c r="N43" i="4"/>
  <c r="Q19" i="4"/>
  <c r="P19" i="4"/>
  <c r="P13" i="4"/>
  <c r="Q13" i="4"/>
  <c r="Q39" i="4"/>
  <c r="P39" i="4"/>
  <c r="Q14" i="4"/>
  <c r="P14" i="4"/>
  <c r="Q75" i="4"/>
  <c r="P75" i="4"/>
  <c r="P77" i="4"/>
  <c r="Q77" i="4"/>
  <c r="AF68" i="4"/>
  <c r="AG58" i="4" s="1"/>
  <c r="AE68" i="4"/>
  <c r="N68" i="4"/>
  <c r="Q48" i="4"/>
  <c r="P48" i="4"/>
  <c r="Q79" i="4"/>
  <c r="P79" i="4"/>
  <c r="P31" i="4"/>
  <c r="Q31" i="4"/>
  <c r="N57" i="4"/>
  <c r="AF57" i="4"/>
  <c r="AG53" i="4" s="1"/>
  <c r="AE57" i="4"/>
  <c r="Q28" i="4"/>
  <c r="P28" i="4"/>
  <c r="Q34" i="4"/>
  <c r="P34" i="4"/>
  <c r="N17" i="4"/>
  <c r="AF17" i="4"/>
  <c r="AG11" i="4" s="1"/>
  <c r="AE17" i="4"/>
  <c r="Q81" i="4"/>
  <c r="P81" i="4"/>
  <c r="Q37" i="4"/>
  <c r="P37" i="4"/>
  <c r="Q53" i="4"/>
  <c r="P53" i="4"/>
  <c r="Q80" i="4"/>
  <c r="P80" i="4"/>
  <c r="Q54" i="4"/>
  <c r="P54" i="4"/>
  <c r="Q11" i="4"/>
  <c r="P11" i="4"/>
  <c r="Q58" i="4"/>
  <c r="P58" i="4"/>
  <c r="P15" i="4"/>
  <c r="Q15" i="4"/>
  <c r="Q70" i="4"/>
  <c r="P70" i="4"/>
  <c r="Q72" i="4"/>
  <c r="P72" i="4"/>
  <c r="Q45" i="4"/>
  <c r="P45" i="4"/>
  <c r="Q44" i="4"/>
  <c r="P44" i="4"/>
  <c r="N10" i="4"/>
  <c r="AF10" i="4"/>
  <c r="AG5" i="4" s="1"/>
  <c r="AE10" i="4"/>
  <c r="Q69" i="4"/>
  <c r="P69" i="4"/>
  <c r="Q40" i="4"/>
  <c r="P40" i="4"/>
  <c r="Q46" i="4"/>
  <c r="P46" i="4"/>
  <c r="Q29" i="4"/>
  <c r="P29" i="4"/>
  <c r="N52" i="4"/>
  <c r="AF52" i="4"/>
  <c r="AG44" i="4" s="1"/>
  <c r="AE52" i="4"/>
  <c r="Q67" i="4"/>
  <c r="P67" i="4"/>
  <c r="P73" i="4"/>
  <c r="J14" i="3"/>
  <c r="J15" i="3" s="1"/>
  <c r="Q73" i="4"/>
  <c r="R69" i="4" s="1"/>
  <c r="Q23" i="4"/>
  <c r="P23" i="4"/>
  <c r="Q49" i="4"/>
  <c r="P49" i="4"/>
  <c r="Q76" i="4"/>
  <c r="P76" i="4"/>
  <c r="Q65" i="4"/>
  <c r="P65" i="4"/>
  <c r="Q51" i="4"/>
  <c r="P51" i="4"/>
  <c r="Q16" i="4"/>
  <c r="P16" i="4"/>
  <c r="Q60" i="4"/>
  <c r="P60" i="4"/>
  <c r="AF84" i="4"/>
  <c r="AG74" i="4" s="1"/>
  <c r="AE84" i="4"/>
  <c r="N84" i="4"/>
  <c r="Q50" i="4"/>
  <c r="P50" i="4"/>
  <c r="Q27" i="4"/>
  <c r="P27" i="4"/>
  <c r="Q78" i="4"/>
  <c r="P78" i="4"/>
  <c r="Q38" i="4"/>
  <c r="P38" i="4"/>
  <c r="AF25" i="4"/>
  <c r="AG18" i="4" s="1"/>
  <c r="AE25" i="4"/>
  <c r="N25" i="4"/>
  <c r="Q47" i="4"/>
  <c r="P47" i="4"/>
  <c r="N33" i="4"/>
  <c r="AF33" i="4"/>
  <c r="AG26" i="4" s="1"/>
  <c r="AE33" i="4"/>
  <c r="Q64" i="4"/>
  <c r="P64" i="4"/>
  <c r="Q26" i="4"/>
  <c r="P26" i="4"/>
  <c r="Q71" i="4"/>
  <c r="P71" i="4"/>
  <c r="Q61" i="4"/>
  <c r="P61" i="4"/>
  <c r="Q20" i="4"/>
  <c r="P20" i="4"/>
  <c r="G8" i="2"/>
  <c r="F8" i="2"/>
  <c r="E8" i="2"/>
  <c r="E7" i="2"/>
  <c r="F7" i="2"/>
  <c r="G7" i="2"/>
  <c r="Q17" i="4" l="1"/>
  <c r="R11" i="4" s="1"/>
  <c r="E14" i="3"/>
  <c r="E15" i="3" s="1"/>
  <c r="P17" i="4"/>
  <c r="I14" i="3"/>
  <c r="I15" i="3" s="1"/>
  <c r="Q68" i="4"/>
  <c r="R58" i="4" s="1"/>
  <c r="P68" i="4"/>
  <c r="K14" i="3"/>
  <c r="Q43" i="4"/>
  <c r="R34" i="4" s="1"/>
  <c r="P43" i="4"/>
  <c r="Q57" i="4"/>
  <c r="R53" i="4" s="1"/>
  <c r="P57" i="4"/>
  <c r="H14" i="3"/>
  <c r="H15" i="3" s="1"/>
  <c r="Q33" i="4"/>
  <c r="R26" i="4" s="1"/>
  <c r="P33" i="4"/>
  <c r="G14" i="3"/>
  <c r="G15" i="3" s="1"/>
  <c r="Q10" i="4"/>
  <c r="R5" i="4" s="1"/>
  <c r="P10" i="4"/>
  <c r="D14" i="3"/>
  <c r="D2" i="4"/>
  <c r="M14" i="3"/>
  <c r="M15" i="3" s="1"/>
  <c r="Q84" i="4"/>
  <c r="R74" i="4" s="1"/>
  <c r="P84" i="4"/>
  <c r="L14" i="3"/>
  <c r="L15" i="3" s="1"/>
  <c r="Q52" i="4"/>
  <c r="R44" i="4" s="1"/>
  <c r="P52" i="4"/>
  <c r="F14" i="3"/>
  <c r="F15" i="3" s="1"/>
  <c r="Q25" i="4"/>
  <c r="R18" i="4" s="1"/>
  <c r="P25" i="4"/>
  <c r="Z71" i="1"/>
  <c r="Y71" i="1"/>
  <c r="Z62" i="1"/>
  <c r="Y62" i="1"/>
  <c r="Z57" i="1"/>
  <c r="Y57" i="1"/>
  <c r="Z47" i="1"/>
  <c r="Y47" i="1"/>
  <c r="Z42" i="1"/>
  <c r="Y42" i="1"/>
  <c r="Z37" i="1"/>
  <c r="Y37" i="1"/>
  <c r="Z29" i="1"/>
  <c r="Y29" i="1"/>
  <c r="Z22" i="1"/>
  <c r="Y22" i="1"/>
  <c r="Z14" i="1"/>
  <c r="Y14" i="1"/>
  <c r="Z8" i="1"/>
  <c r="Y8" i="1"/>
  <c r="K15" i="3" l="1"/>
  <c r="I8" i="3" s="1"/>
  <c r="I7" i="3"/>
  <c r="G7" i="3"/>
  <c r="F7" i="3"/>
  <c r="E7" i="3"/>
  <c r="D15" i="3"/>
  <c r="Z2" i="1"/>
  <c r="AD2" i="1"/>
  <c r="Y2" i="1"/>
  <c r="U54" i="1"/>
  <c r="U26" i="1"/>
  <c r="U19" i="1"/>
  <c r="G8" i="3" l="1"/>
  <c r="E8" i="3"/>
  <c r="F8" i="3"/>
  <c r="G23" i="1"/>
  <c r="K26" i="1"/>
  <c r="O21" i="1"/>
  <c r="G26" i="1"/>
  <c r="G64" i="1"/>
  <c r="O69" i="1"/>
  <c r="G21" i="1"/>
  <c r="G40" i="1"/>
  <c r="O64" i="1"/>
  <c r="K40" i="1"/>
  <c r="K7" i="1"/>
  <c r="G69" i="1"/>
  <c r="O58" i="1"/>
  <c r="G58" i="1"/>
  <c r="O18" i="1"/>
  <c r="G65" i="1"/>
  <c r="K64" i="1"/>
  <c r="O6" i="1"/>
  <c r="G18" i="1"/>
  <c r="O65" i="1"/>
  <c r="K65" i="1"/>
  <c r="K69" i="1"/>
  <c r="G60" i="1"/>
  <c r="O60" i="1"/>
  <c r="O36" i="1"/>
  <c r="G36" i="1"/>
  <c r="O31" i="1"/>
  <c r="G31" i="1"/>
  <c r="G19" i="1"/>
  <c r="O19" i="1"/>
  <c r="O12" i="1"/>
  <c r="G12" i="1"/>
  <c r="O33" i="1"/>
  <c r="G33" i="1"/>
  <c r="G27" i="1"/>
  <c r="O27" i="1"/>
  <c r="O25" i="1"/>
  <c r="G25" i="1"/>
  <c r="O39" i="1"/>
  <c r="G39" i="1"/>
  <c r="G53" i="1"/>
  <c r="O53" i="1"/>
  <c r="G44" i="1"/>
  <c r="O44" i="1"/>
  <c r="G17" i="1"/>
  <c r="O17" i="1"/>
  <c r="G32" i="1"/>
  <c r="O32" i="1"/>
  <c r="G6" i="1"/>
  <c r="G41" i="1"/>
  <c r="O41" i="1"/>
  <c r="G9" i="1"/>
  <c r="K6" i="1"/>
  <c r="O34" i="1"/>
  <c r="G34" i="1"/>
  <c r="G5" i="1"/>
  <c r="O15" i="1"/>
  <c r="G15" i="1"/>
  <c r="O61" i="1"/>
  <c r="G61" i="1"/>
  <c r="K61" i="1"/>
  <c r="O50" i="1"/>
  <c r="G50" i="1"/>
  <c r="K23" i="1"/>
  <c r="O13" i="1"/>
  <c r="G13" i="1"/>
  <c r="O52" i="1"/>
  <c r="G52" i="1"/>
  <c r="O23" i="1"/>
  <c r="G20" i="1"/>
  <c r="O20" i="1"/>
  <c r="G7" i="1"/>
  <c r="O35" i="1"/>
  <c r="G35" i="1"/>
  <c r="D1" i="1"/>
  <c r="O11" i="1"/>
  <c r="G11" i="1"/>
  <c r="K21" i="1"/>
  <c r="G67" i="1"/>
  <c r="O67" i="1"/>
  <c r="O54" i="1"/>
  <c r="G54" i="1"/>
  <c r="G51" i="1"/>
  <c r="O51" i="1"/>
  <c r="O49" i="1"/>
  <c r="G49" i="1"/>
  <c r="G10" i="1"/>
  <c r="O10" i="1"/>
  <c r="K10" i="1"/>
  <c r="G38" i="1"/>
  <c r="G28" i="1"/>
  <c r="O28" i="1"/>
  <c r="O46" i="1"/>
  <c r="G46" i="1"/>
  <c r="G59" i="1"/>
  <c r="O59" i="1"/>
  <c r="O66" i="1"/>
  <c r="G66" i="1"/>
  <c r="G30" i="1"/>
  <c r="O30" i="1"/>
  <c r="G63" i="1"/>
  <c r="O56" i="1"/>
  <c r="K56" i="1"/>
  <c r="G56" i="1"/>
  <c r="G24" i="1"/>
  <c r="G16" i="1"/>
  <c r="O16" i="1"/>
  <c r="G43" i="1"/>
  <c r="G70" i="1"/>
  <c r="O70" i="1"/>
  <c r="O7" i="1"/>
  <c r="O68" i="1"/>
  <c r="G68" i="1"/>
  <c r="O45" i="1"/>
  <c r="G45" i="1"/>
  <c r="G48" i="1"/>
  <c r="O26" i="1"/>
  <c r="O55" i="1"/>
  <c r="G55" i="1"/>
  <c r="K28" i="1" l="1"/>
  <c r="K11" i="1"/>
  <c r="K39" i="1"/>
  <c r="K58" i="1"/>
  <c r="K55" i="1"/>
  <c r="K41" i="1"/>
  <c r="O40" i="1"/>
  <c r="K46" i="1"/>
  <c r="K70" i="1"/>
  <c r="K67" i="1"/>
  <c r="K31" i="1"/>
  <c r="K18" i="1"/>
  <c r="K32" i="1"/>
  <c r="K13" i="1"/>
  <c r="O29" i="1"/>
  <c r="O57" i="1"/>
  <c r="K33" i="1"/>
  <c r="O42" i="1"/>
  <c r="K20" i="1"/>
  <c r="K16" i="1"/>
  <c r="K60" i="1"/>
  <c r="K44" i="1"/>
  <c r="K19" i="1"/>
  <c r="K36" i="1"/>
  <c r="K63" i="1"/>
  <c r="K34" i="1"/>
  <c r="K25" i="1"/>
  <c r="O47" i="1"/>
  <c r="O43" i="1"/>
  <c r="K43" i="1"/>
  <c r="K66" i="1"/>
  <c r="K15" i="1"/>
  <c r="K30" i="1"/>
  <c r="K24" i="1"/>
  <c r="K68" i="1"/>
  <c r="K51" i="1"/>
  <c r="O22" i="1"/>
  <c r="K17" i="1"/>
  <c r="O48" i="1"/>
  <c r="K9" i="1"/>
  <c r="O24" i="1"/>
  <c r="K5" i="1"/>
  <c r="K8" i="1"/>
  <c r="K52" i="1"/>
  <c r="F1" i="1"/>
  <c r="F2" i="1" s="1"/>
  <c r="O14" i="1"/>
  <c r="K49" i="1"/>
  <c r="K12" i="1"/>
  <c r="O5" i="1"/>
  <c r="K27" i="1"/>
  <c r="O8" i="1"/>
  <c r="H1" i="1"/>
  <c r="K45" i="1"/>
  <c r="O9" i="1"/>
  <c r="O37" i="1"/>
  <c r="K59" i="1"/>
  <c r="K54" i="1"/>
  <c r="K38" i="1"/>
  <c r="O71" i="1"/>
  <c r="O63" i="1"/>
  <c r="K35" i="1"/>
  <c r="K50" i="1"/>
  <c r="K53" i="1"/>
  <c r="K48" i="1"/>
  <c r="O38" i="1"/>
  <c r="K14" i="1" l="1"/>
  <c r="K62" i="1"/>
  <c r="K57" i="1"/>
  <c r="K29" i="1"/>
  <c r="K71" i="1"/>
  <c r="K42" i="1"/>
  <c r="O62" i="1"/>
  <c r="K37" i="1"/>
  <c r="K22" i="1"/>
  <c r="K47" i="1"/>
  <c r="V38" i="1" l="1"/>
  <c r="M38" i="1" s="1"/>
  <c r="W38" i="1"/>
  <c r="V19" i="1" l="1"/>
  <c r="M19" i="1" s="1"/>
  <c r="X30" i="1"/>
  <c r="U31" i="1"/>
  <c r="V43" i="1"/>
  <c r="M43" i="1" s="1"/>
  <c r="W30" i="1"/>
  <c r="V30" i="1"/>
  <c r="M30" i="1" s="1"/>
  <c r="AF38" i="1"/>
  <c r="N38" i="1"/>
  <c r="AE38" i="1"/>
  <c r="N19" i="1" l="1"/>
  <c r="Q19" i="1" s="1"/>
  <c r="AF19" i="1"/>
  <c r="AE19" i="1"/>
  <c r="V26" i="1"/>
  <c r="M26" i="1" s="1"/>
  <c r="U20" i="1"/>
  <c r="U45" i="1"/>
  <c r="W48" i="1"/>
  <c r="V48" i="1"/>
  <c r="M48" i="1" s="1"/>
  <c r="V58" i="1"/>
  <c r="M58" i="1" s="1"/>
  <c r="Q38" i="1"/>
  <c r="P38" i="1"/>
  <c r="AF30" i="1"/>
  <c r="AE30" i="1"/>
  <c r="N30" i="1"/>
  <c r="U59" i="1"/>
  <c r="V23" i="1"/>
  <c r="M23" i="1" s="1"/>
  <c r="V63" i="1"/>
  <c r="M63" i="1" s="1"/>
  <c r="W63" i="1"/>
  <c r="W15" i="1"/>
  <c r="V15" i="1"/>
  <c r="M15" i="1" s="1"/>
  <c r="V5" i="1"/>
  <c r="M5" i="1" s="1"/>
  <c r="W9" i="1"/>
  <c r="V9" i="1"/>
  <c r="M9" i="1" s="1"/>
  <c r="U24" i="1"/>
  <c r="V44" i="1"/>
  <c r="M44" i="1" s="1"/>
  <c r="N43" i="1"/>
  <c r="AF43" i="1"/>
  <c r="AE43" i="1"/>
  <c r="U44" i="1"/>
  <c r="V45" i="1"/>
  <c r="M45" i="1" s="1"/>
  <c r="P19" i="1" l="1"/>
  <c r="AE26" i="1"/>
  <c r="AF26" i="1"/>
  <c r="N26" i="1"/>
  <c r="Q26" i="1" s="1"/>
  <c r="V24" i="1"/>
  <c r="M24" i="1" s="1"/>
  <c r="U27" i="1"/>
  <c r="V31" i="1"/>
  <c r="M31" i="1" s="1"/>
  <c r="V21" i="1"/>
  <c r="M21" i="1" s="1"/>
  <c r="AE21" i="1" s="1"/>
  <c r="N44" i="1"/>
  <c r="AF44" i="1"/>
  <c r="AE44" i="1"/>
  <c r="U28" i="1"/>
  <c r="V32" i="1"/>
  <c r="M32" i="1" s="1"/>
  <c r="U10" i="1"/>
  <c r="X9" i="1"/>
  <c r="V10" i="1"/>
  <c r="M10" i="1" s="1"/>
  <c r="V20" i="1"/>
  <c r="M20" i="1" s="1"/>
  <c r="Q30" i="1"/>
  <c r="P30" i="1"/>
  <c r="N9" i="1"/>
  <c r="AF9" i="1"/>
  <c r="AE9" i="1"/>
  <c r="U39" i="1"/>
  <c r="X38" i="1"/>
  <c r="AF63" i="1"/>
  <c r="AE63" i="1"/>
  <c r="N63" i="1"/>
  <c r="AF23" i="1"/>
  <c r="AE23" i="1"/>
  <c r="N23" i="1"/>
  <c r="U6" i="1"/>
  <c r="AF5" i="1"/>
  <c r="N5" i="1"/>
  <c r="AE5" i="1"/>
  <c r="U11" i="1"/>
  <c r="AE48" i="1"/>
  <c r="N48" i="1"/>
  <c r="AF48" i="1"/>
  <c r="Q43" i="1"/>
  <c r="P43" i="1"/>
  <c r="AF45" i="1"/>
  <c r="AE45" i="1"/>
  <c r="N45" i="1"/>
  <c r="U21" i="1"/>
  <c r="AE58" i="1"/>
  <c r="N58" i="1"/>
  <c r="AF58" i="1"/>
  <c r="U46" i="1"/>
  <c r="V46" i="1"/>
  <c r="M46" i="1" s="1"/>
  <c r="N15" i="1"/>
  <c r="AE15" i="1"/>
  <c r="AF15" i="1"/>
  <c r="V59" i="1"/>
  <c r="M59" i="1" s="1"/>
  <c r="V39" i="1"/>
  <c r="M39" i="1" s="1"/>
  <c r="P26" i="1" l="1"/>
  <c r="V27" i="1"/>
  <c r="M27" i="1" s="1"/>
  <c r="AE27" i="1" s="1"/>
  <c r="N24" i="1"/>
  <c r="P24" i="1" s="1"/>
  <c r="AF24" i="1"/>
  <c r="AE24" i="1"/>
  <c r="U25" i="1"/>
  <c r="V28" i="1"/>
  <c r="M28" i="1" s="1"/>
  <c r="V6" i="1"/>
  <c r="M6" i="1" s="1"/>
  <c r="U32" i="1"/>
  <c r="AE31" i="1"/>
  <c r="N31" i="1"/>
  <c r="Q31" i="1" s="1"/>
  <c r="AF31" i="1"/>
  <c r="U33" i="1"/>
  <c r="AF21" i="1"/>
  <c r="N21" i="1"/>
  <c r="P21" i="1" s="1"/>
  <c r="V56" i="1"/>
  <c r="M56" i="1" s="1"/>
  <c r="N56" i="1" s="1"/>
  <c r="V55" i="1"/>
  <c r="M55" i="1" s="1"/>
  <c r="AF55" i="1" s="1"/>
  <c r="N10" i="1"/>
  <c r="AF10" i="1"/>
  <c r="AE10" i="1"/>
  <c r="AF20" i="1"/>
  <c r="N20" i="1"/>
  <c r="AE20" i="1"/>
  <c r="N32" i="1"/>
  <c r="AF32" i="1"/>
  <c r="AE32" i="1"/>
  <c r="U56" i="1"/>
  <c r="Q48" i="1"/>
  <c r="P48" i="1"/>
  <c r="P63" i="1"/>
  <c r="Q63" i="1"/>
  <c r="Q23" i="1"/>
  <c r="P23" i="1"/>
  <c r="N39" i="1"/>
  <c r="AE39" i="1"/>
  <c r="AF39" i="1"/>
  <c r="P15" i="1"/>
  <c r="Q15" i="1"/>
  <c r="AF59" i="1"/>
  <c r="AE59" i="1"/>
  <c r="N59" i="1"/>
  <c r="Q45" i="1"/>
  <c r="P45" i="1"/>
  <c r="X15" i="1"/>
  <c r="U16" i="1"/>
  <c r="V52" i="1"/>
  <c r="M52" i="1" s="1"/>
  <c r="AF46" i="1"/>
  <c r="N46" i="1"/>
  <c r="AE46" i="1"/>
  <c r="M47" i="1"/>
  <c r="Q9" i="1"/>
  <c r="P9" i="1"/>
  <c r="V11" i="1"/>
  <c r="M11" i="1" s="1"/>
  <c r="Q44" i="1"/>
  <c r="P44" i="1"/>
  <c r="Q58" i="1"/>
  <c r="P58" i="1"/>
  <c r="Q5" i="1"/>
  <c r="P5" i="1"/>
  <c r="U53" i="1"/>
  <c r="U60" i="1"/>
  <c r="U40" i="1"/>
  <c r="N27" i="1" l="1"/>
  <c r="Q27" i="1" s="1"/>
  <c r="AF27" i="1"/>
  <c r="Q24" i="1"/>
  <c r="AE28" i="1"/>
  <c r="N28" i="1"/>
  <c r="P28" i="1" s="1"/>
  <c r="AF28" i="1"/>
  <c r="AF6" i="1"/>
  <c r="N6" i="1"/>
  <c r="Q6" i="1" s="1"/>
  <c r="AE6" i="1"/>
  <c r="U7" i="1"/>
  <c r="W12" i="1"/>
  <c r="P31" i="1"/>
  <c r="V18" i="1"/>
  <c r="M18" i="1" s="1"/>
  <c r="V16" i="1"/>
  <c r="M16" i="1" s="1"/>
  <c r="V25" i="1"/>
  <c r="M25" i="1" s="1"/>
  <c r="V33" i="1"/>
  <c r="M33" i="1" s="1"/>
  <c r="AF56" i="1"/>
  <c r="AE56" i="1"/>
  <c r="Q21" i="1"/>
  <c r="AE55" i="1"/>
  <c r="N55" i="1"/>
  <c r="Q55" i="1" s="1"/>
  <c r="U49" i="1"/>
  <c r="X48" i="1"/>
  <c r="Q46" i="1"/>
  <c r="P46" i="1"/>
  <c r="N47" i="1"/>
  <c r="AF47" i="1"/>
  <c r="AG43" i="1" s="1"/>
  <c r="AE47" i="1"/>
  <c r="U12" i="1"/>
  <c r="AF52" i="1"/>
  <c r="N52" i="1"/>
  <c r="AE52" i="1"/>
  <c r="U64" i="1"/>
  <c r="X63" i="1"/>
  <c r="P56" i="1"/>
  <c r="Q56" i="1"/>
  <c r="P20" i="1"/>
  <c r="Q20" i="1"/>
  <c r="Q39" i="1"/>
  <c r="P39" i="1"/>
  <c r="V53" i="1"/>
  <c r="M53" i="1" s="1"/>
  <c r="Q32" i="1"/>
  <c r="P32" i="1"/>
  <c r="AE11" i="1"/>
  <c r="AF11" i="1"/>
  <c r="N11" i="1"/>
  <c r="Q10" i="1"/>
  <c r="P10" i="1"/>
  <c r="Q59" i="1"/>
  <c r="P59" i="1"/>
  <c r="V64" i="1"/>
  <c r="M64" i="1" s="1"/>
  <c r="V49" i="1"/>
  <c r="M49" i="1" s="1"/>
  <c r="V60" i="1"/>
  <c r="M60" i="1" s="1"/>
  <c r="V40" i="1"/>
  <c r="M40" i="1" s="1"/>
  <c r="Q28" i="1" l="1"/>
  <c r="P27" i="1"/>
  <c r="P6" i="1"/>
  <c r="N18" i="1"/>
  <c r="Q18" i="1" s="1"/>
  <c r="AE18" i="1"/>
  <c r="AF18" i="1"/>
  <c r="AF16" i="1"/>
  <c r="AE16" i="1"/>
  <c r="N16" i="1"/>
  <c r="Q16" i="1" s="1"/>
  <c r="AF25" i="1"/>
  <c r="N25" i="1"/>
  <c r="Q25" i="1" s="1"/>
  <c r="M29" i="1"/>
  <c r="N29" i="1" s="1"/>
  <c r="AE25" i="1"/>
  <c r="V7" i="1"/>
  <c r="M7" i="1" s="1"/>
  <c r="V12" i="1"/>
  <c r="M12" i="1" s="1"/>
  <c r="AF12" i="1" s="1"/>
  <c r="V17" i="1"/>
  <c r="M17" i="1" s="1"/>
  <c r="AF33" i="1"/>
  <c r="N33" i="1"/>
  <c r="Q33" i="1" s="1"/>
  <c r="AE33" i="1"/>
  <c r="U34" i="1"/>
  <c r="P55" i="1"/>
  <c r="U13" i="1"/>
  <c r="X12" i="1"/>
  <c r="U18" i="1"/>
  <c r="P11" i="1"/>
  <c r="Q11" i="1"/>
  <c r="AF53" i="1"/>
  <c r="AE53" i="1"/>
  <c r="N53" i="1"/>
  <c r="AF64" i="1"/>
  <c r="AE64" i="1"/>
  <c r="N64" i="1"/>
  <c r="N40" i="1"/>
  <c r="AF40" i="1"/>
  <c r="AE40" i="1"/>
  <c r="AE49" i="1"/>
  <c r="AF49" i="1"/>
  <c r="N49" i="1"/>
  <c r="Q52" i="1"/>
  <c r="P52" i="1"/>
  <c r="V13" i="1"/>
  <c r="M13" i="1" s="1"/>
  <c r="V51" i="1"/>
  <c r="M51" i="1" s="1"/>
  <c r="U52" i="1"/>
  <c r="AE60" i="1"/>
  <c r="AF60" i="1"/>
  <c r="N60" i="1"/>
  <c r="P47" i="1"/>
  <c r="Q47" i="1"/>
  <c r="R43" i="1" s="1"/>
  <c r="U65" i="1"/>
  <c r="U51" i="1"/>
  <c r="U50" i="1"/>
  <c r="U61" i="1"/>
  <c r="U41" i="1"/>
  <c r="P18" i="1" l="1"/>
  <c r="P16" i="1"/>
  <c r="AF29" i="1"/>
  <c r="AG23" i="1" s="1"/>
  <c r="AE29" i="1"/>
  <c r="P25" i="1"/>
  <c r="M8" i="1"/>
  <c r="N8" i="1" s="1"/>
  <c r="AE7" i="1"/>
  <c r="N7" i="1"/>
  <c r="P7" i="1" s="1"/>
  <c r="AF7" i="1"/>
  <c r="N12" i="1"/>
  <c r="Q12" i="1" s="1"/>
  <c r="U17" i="1"/>
  <c r="AE12" i="1"/>
  <c r="P33" i="1"/>
  <c r="V34" i="1"/>
  <c r="M34" i="1" s="1"/>
  <c r="AF51" i="1"/>
  <c r="AE51" i="1"/>
  <c r="N51" i="1"/>
  <c r="Q29" i="1"/>
  <c r="R23" i="1" s="1"/>
  <c r="P29" i="1"/>
  <c r="P64" i="1"/>
  <c r="Q64" i="1"/>
  <c r="Q53" i="1"/>
  <c r="P53" i="1"/>
  <c r="V50" i="1"/>
  <c r="M50" i="1" s="1"/>
  <c r="N13" i="1"/>
  <c r="AF13" i="1"/>
  <c r="AE13" i="1"/>
  <c r="Q49" i="1"/>
  <c r="P49" i="1"/>
  <c r="Q60" i="1"/>
  <c r="P60" i="1"/>
  <c r="Q7" i="1"/>
  <c r="M14" i="1"/>
  <c r="N17" i="1"/>
  <c r="AF17" i="1"/>
  <c r="AE17" i="1"/>
  <c r="M22" i="1"/>
  <c r="P40" i="1"/>
  <c r="Q40" i="1"/>
  <c r="V65" i="1"/>
  <c r="M65" i="1" s="1"/>
  <c r="P12" i="1" l="1"/>
  <c r="AF8" i="1"/>
  <c r="AG5" i="1" s="1"/>
  <c r="AE8" i="1"/>
  <c r="P13" i="1"/>
  <c r="Q13" i="1"/>
  <c r="AE22" i="1"/>
  <c r="N22" i="1"/>
  <c r="AF22" i="1"/>
  <c r="AG15" i="1" s="1"/>
  <c r="U35" i="1"/>
  <c r="P17" i="1"/>
  <c r="Q17" i="1"/>
  <c r="Q51" i="1"/>
  <c r="P51" i="1"/>
  <c r="V61" i="1"/>
  <c r="M61" i="1" s="1"/>
  <c r="Q8" i="1"/>
  <c r="R5" i="1" s="1"/>
  <c r="P8" i="1"/>
  <c r="AF50" i="1"/>
  <c r="AE50" i="1"/>
  <c r="N50" i="1"/>
  <c r="V41" i="1"/>
  <c r="M41" i="1" s="1"/>
  <c r="AF65" i="1"/>
  <c r="AE65" i="1"/>
  <c r="N65" i="1"/>
  <c r="N14" i="1"/>
  <c r="AF14" i="1"/>
  <c r="AG9" i="1" s="1"/>
  <c r="AE14" i="1"/>
  <c r="N34" i="1"/>
  <c r="AF34" i="1"/>
  <c r="AE34" i="1"/>
  <c r="U66" i="1"/>
  <c r="V35" i="1" l="1"/>
  <c r="M35" i="1" s="1"/>
  <c r="AF35" i="1" s="1"/>
  <c r="W35" i="1"/>
  <c r="AF61" i="1"/>
  <c r="AE61" i="1"/>
  <c r="N61" i="1"/>
  <c r="M62" i="1"/>
  <c r="Q34" i="1"/>
  <c r="P34" i="1"/>
  <c r="P22" i="1"/>
  <c r="Q22" i="1"/>
  <c r="R15" i="1" s="1"/>
  <c r="P50" i="1"/>
  <c r="Q50" i="1"/>
  <c r="P14" i="1"/>
  <c r="Q14" i="1"/>
  <c r="R9" i="1" s="1"/>
  <c r="Q65" i="1"/>
  <c r="P65" i="1"/>
  <c r="AF41" i="1"/>
  <c r="N41" i="1"/>
  <c r="AE41" i="1"/>
  <c r="M42" i="1"/>
  <c r="V66" i="1"/>
  <c r="M66" i="1" s="1"/>
  <c r="AE35" i="1" l="1"/>
  <c r="N35" i="1"/>
  <c r="Q35" i="1" s="1"/>
  <c r="Q41" i="1"/>
  <c r="P41" i="1"/>
  <c r="V54" i="1"/>
  <c r="M54" i="1" s="1"/>
  <c r="U55" i="1"/>
  <c r="AE62" i="1"/>
  <c r="AF62" i="1"/>
  <c r="AG58" i="1" s="1"/>
  <c r="N62" i="1"/>
  <c r="N66" i="1"/>
  <c r="AF66" i="1"/>
  <c r="AE66" i="1"/>
  <c r="P61" i="1"/>
  <c r="Q61" i="1"/>
  <c r="AF42" i="1"/>
  <c r="AG38" i="1" s="1"/>
  <c r="AE42" i="1"/>
  <c r="N42" i="1"/>
  <c r="U67" i="1"/>
  <c r="P35" i="1" l="1"/>
  <c r="Q42" i="1"/>
  <c r="R38" i="1" s="1"/>
  <c r="P42" i="1"/>
  <c r="Q66" i="1"/>
  <c r="P66" i="1"/>
  <c r="Q62" i="1"/>
  <c r="R58" i="1" s="1"/>
  <c r="P62" i="1"/>
  <c r="AE54" i="1"/>
  <c r="N54" i="1"/>
  <c r="AF54" i="1"/>
  <c r="M57" i="1"/>
  <c r="U36" i="1" l="1"/>
  <c r="X35" i="1"/>
  <c r="N57" i="1"/>
  <c r="AE57" i="1"/>
  <c r="AF57" i="1"/>
  <c r="AG48" i="1" s="1"/>
  <c r="Q54" i="1"/>
  <c r="P54" i="1"/>
  <c r="V67" i="1"/>
  <c r="M67" i="1" s="1"/>
  <c r="V36" i="1" l="1"/>
  <c r="M36" i="1" s="1"/>
  <c r="N67" i="1"/>
  <c r="AF67" i="1"/>
  <c r="AE67" i="1"/>
  <c r="U68" i="1"/>
  <c r="Q57" i="1"/>
  <c r="R48" i="1" s="1"/>
  <c r="P57" i="1"/>
  <c r="X68" i="1"/>
  <c r="V68" i="1" l="1"/>
  <c r="M68" i="1" s="1"/>
  <c r="AF68" i="1" s="1"/>
  <c r="W68" i="1"/>
  <c r="U69" i="1"/>
  <c r="P67" i="1"/>
  <c r="Q67" i="1"/>
  <c r="AF36" i="1"/>
  <c r="AE36" i="1"/>
  <c r="N36" i="1"/>
  <c r="M37" i="1"/>
  <c r="N68" i="1" l="1"/>
  <c r="Q68" i="1" s="1"/>
  <c r="AE68" i="1"/>
  <c r="AF37" i="1"/>
  <c r="AG30" i="1" s="1"/>
  <c r="N37" i="1"/>
  <c r="AE37" i="1"/>
  <c r="P36" i="1"/>
  <c r="Q36" i="1"/>
  <c r="V69" i="1"/>
  <c r="M69" i="1" s="1"/>
  <c r="P68" i="1" l="1"/>
  <c r="AF69" i="1"/>
  <c r="AE69" i="1"/>
  <c r="N69" i="1"/>
  <c r="U70" i="1"/>
  <c r="V70" i="1"/>
  <c r="M70" i="1" s="1"/>
  <c r="P37" i="1"/>
  <c r="Q37" i="1"/>
  <c r="R30" i="1" s="1"/>
  <c r="AE70" i="1" l="1"/>
  <c r="AF70" i="1"/>
  <c r="N70" i="1"/>
  <c r="M71" i="1"/>
  <c r="Q69" i="1"/>
  <c r="P69" i="1"/>
  <c r="AF71" i="1" l="1"/>
  <c r="AG63" i="1" s="1"/>
  <c r="AE71" i="1"/>
  <c r="N71" i="1"/>
  <c r="D2" i="1" s="1"/>
  <c r="Q70" i="1"/>
  <c r="P70" i="1"/>
  <c r="Q71" i="1" l="1"/>
  <c r="R63" i="1" s="1"/>
  <c r="P71" i="1"/>
  <c r="H2" i="1" l="1"/>
</calcChain>
</file>

<file path=xl/sharedStrings.xml><?xml version="1.0" encoding="utf-8"?>
<sst xmlns="http://schemas.openxmlformats.org/spreadsheetml/2006/main" count="775" uniqueCount="316">
  <si>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</si>
  <si>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</si>
  <si>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</si>
  <si>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</si>
  <si>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</si>
  <si>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</si>
  <si>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</si>
  <si>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</si>
  <si>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</si>
  <si>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</si>
  <si>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</si>
  <si>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</si>
  <si>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</si>
  <si>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</si>
  <si>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平均廠價</t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</si>
  <si>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</si>
  <si>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</si>
  <si>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</si>
  <si>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</si>
  <si>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</si>
  <si>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</si>
  <si>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</si>
  <si>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</si>
  <si>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</si>
  <si>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</si>
  <si>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</si>
  <si>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</si>
  <si>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</si>
  <si>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</si>
  <si>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生產時間</t>
    <rPh sb="0" eb="4">
      <t>カイシジカン</t>
    </rPh>
    <phoneticPr fontId="6"/>
  </si>
  <si>
    <t>換線、休息/分</t>
    <rPh sb="0" eb="2">
      <t>キリカエ</t>
    </rPh>
    <phoneticPr fontId="6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</si>
  <si>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</si>
  <si>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</si>
  <si>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</si>
  <si>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</si>
  <si>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</si>
  <si>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</si>
  <si>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</si>
  <si>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</si>
  <si>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rPh sb="0" eb="2">
      <t>カイシジカン</t>
    </rPh>
    <phoneticPr fontId="6"/>
  </si>
  <si>
    <t>結束</t>
    <rPh sb="0" eb="2">
      <t>シュウリョウジカン</t>
    </rPh>
    <phoneticPr fontId="6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</si>
  <si>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</si>
  <si>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</si>
  <si>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</si>
  <si>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</si>
  <si>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</si>
  <si>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</si>
  <si>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</si>
  <si>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</si>
  <si>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</si>
  <si>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</si>
  <si>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</si>
  <si>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</si>
  <si>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</si>
  <si>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</si>
  <si>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</si>
  <si>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</si>
  <si>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</si>
  <si>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</si>
  <si>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</si>
  <si>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</si>
  <si>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</si>
  <si>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</si>
  <si>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</si>
  <si>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</si>
  <si>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</si>
  <si>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</si>
  <si>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</si>
  <si>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</si>
  <si>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</si>
  <si>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</si>
  <si>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</si>
  <si>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</si>
  <si>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</si>
  <si>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</si>
  <si>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</si>
  <si>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</si>
  <si>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</si>
  <si>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</si>
  <si>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</si>
  <si>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</si>
  <si>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</si>
  <si>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</si>
  <si>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</si>
  <si>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</si>
  <si>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</si>
  <si>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</si>
  <si>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</si>
  <si>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</si>
  <si>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</si>
  <si>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星期六</t>
  </si>
  <si>
    <t/>
  </si>
  <si>
    <t>微波主食</t>
  </si>
  <si>
    <t>二配金咖哩果香甘口咖哩飯</t>
  </si>
  <si>
    <t>二配金咖哩濃厚辛口咖哩飯</t>
  </si>
  <si>
    <t>二配泰式綠咖哩雞</t>
  </si>
  <si>
    <t>沙拉</t>
  </si>
  <si>
    <t>青檸烤雞握沙拉(113年)</t>
  </si>
  <si>
    <t>厚蛋時蔬握沙拉</t>
  </si>
  <si>
    <t>地瓜瓜握沙拉</t>
  </si>
  <si>
    <t>青醬優格雞肉握沙拉(113年)</t>
  </si>
  <si>
    <t>季節調理麵</t>
  </si>
  <si>
    <t>台式麻醬涼麵(115年)</t>
  </si>
  <si>
    <t>小吃</t>
  </si>
  <si>
    <t>香菇雞燉湯</t>
  </si>
  <si>
    <t>剝皮辣椒雞湯</t>
  </si>
  <si>
    <t>香菇雞粥</t>
  </si>
  <si>
    <t>二配港式香滑嫩蛋牛肉燴飯</t>
  </si>
  <si>
    <t>二配玉米濃湯焗烤飯</t>
  </si>
  <si>
    <t>二配川味麻婆燒豆腐燴飯</t>
  </si>
  <si>
    <t>韓式泡菜豬肉豆腐丼飯</t>
  </si>
  <si>
    <t>鐵板滑蛋炸豬排丼</t>
  </si>
  <si>
    <t>日式炙烤親子丼</t>
  </si>
  <si>
    <t>二配厚香料優格咖哩雞排飯</t>
  </si>
  <si>
    <t>二配美味蟹煲</t>
  </si>
  <si>
    <t>二配泰式檸檬魚飯</t>
  </si>
  <si>
    <t>三明治</t>
  </si>
  <si>
    <t>紐奧良風味烤雞鮮蔬三明治</t>
  </si>
  <si>
    <t>醬燒烤雞三明治(115年)</t>
  </si>
  <si>
    <t>鮪魚起司溏心蛋三明治(115年)</t>
  </si>
  <si>
    <t>茄汁厚起司三明治</t>
  </si>
  <si>
    <t>雞蛋沙拉三明治(114年)</t>
  </si>
  <si>
    <t>榛果摩卡脆脆三明治</t>
  </si>
  <si>
    <t>經典總匯三明治(115年)</t>
  </si>
  <si>
    <t>經典火腿玉米蛋三明治</t>
  </si>
  <si>
    <t>五彩鮮蔬三明治</t>
  </si>
  <si>
    <t>好多蛋三明治</t>
  </si>
  <si>
    <t>調理麵包</t>
  </si>
  <si>
    <t>豬肉起司堡</t>
  </si>
  <si>
    <t>豬肉起司蛋堡</t>
  </si>
  <si>
    <t>美式雞腿堡</t>
  </si>
  <si>
    <t>黃金魚堡(114年)</t>
  </si>
  <si>
    <t>泰式炒河粉</t>
  </si>
  <si>
    <t>爆炒雞丁飯</t>
  </si>
  <si>
    <t>壹號醬雞豚雙拼</t>
  </si>
  <si>
    <t>炙烤醬香燒豚飯</t>
  </si>
  <si>
    <t>蔥鹽雞肉麵沙拉(114年)</t>
  </si>
  <si>
    <t>莎莎烤雞麵沙拉(115年)</t>
  </si>
  <si>
    <t>二配香辣醬蒜味香腸蛋炒飯</t>
  </si>
  <si>
    <t>二配藤椒雞丁炒飯</t>
  </si>
  <si>
    <t>二配打拋風味豬肉飯</t>
  </si>
  <si>
    <t>經典雙牛起司堡(113年)</t>
  </si>
  <si>
    <t>香雞蛋堡(112年)</t>
  </si>
  <si>
    <t>元氣起司鱈魚堡</t>
  </si>
  <si>
    <t>超HOT雞腿堡</t>
  </si>
  <si>
    <t>火腿起司蛋三明治</t>
  </si>
  <si>
    <t>肉鬆火腿三明治(115年)</t>
  </si>
  <si>
    <t>起司芋見肉鬆三明治</t>
  </si>
  <si>
    <t>水果聖代三明治</t>
  </si>
  <si>
    <t>金黃玉米蛋三明治</t>
  </si>
  <si>
    <t>雙泰奶QQ三明治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</si>
  <si>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</si>
  <si>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</si>
  <si>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</si>
  <si>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</si>
  <si>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</si>
  <si>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</si>
  <si>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</si>
  <si>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</si>
  <si>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</si>
  <si>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</si>
  <si>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</si>
  <si>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</si>
  <si>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</si>
  <si>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</si>
  <si>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</si>
  <si>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</si>
  <si>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</si>
  <si>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</si>
  <si>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排關平均</t>
  </si>
  <si>
    <t>實績平均</t>
  </si>
  <si>
    <t>達成率平均</t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</si>
  <si>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</si>
  <si>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</si>
  <si>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</si>
  <si>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</si>
  <si>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</si>
  <si>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新豐6線</t>
  </si>
  <si>
    <t>新豐2線</t>
  </si>
  <si>
    <t>新豐5線</t>
  </si>
  <si>
    <t>新豐7線</t>
  </si>
  <si>
    <t>新豐3線</t>
  </si>
  <si>
    <t>新豐1線</t>
  </si>
  <si>
    <t>新豐10線</t>
  </si>
  <si>
    <t>新豐8線</t>
  </si>
  <si>
    <t>新豐9線</t>
  </si>
  <si>
    <t>新豐4線</t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</si>
  <si>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</si>
  <si>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</si>
  <si>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</si>
  <si>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</si>
  <si>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</si>
  <si>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</si>
  <si>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</si>
  <si>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</si>
  <si>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</si>
  <si>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</si>
  <si>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</si>
  <si>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</si>
  <si>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</si>
  <si>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</si>
  <si>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</si>
  <si>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ET-55</t>
  </si>
  <si>
    <t>熱縮爐</t>
  </si>
  <si>
    <t>L型包裝機</t>
    <phoneticPr fontId="4" type="noConversion"/>
  </si>
  <si>
    <t>伺服包裝機</t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</si>
  <si>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</si>
  <si>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</si>
  <si>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</si>
  <si>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</si>
  <si>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</si>
  <si>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</si>
  <si>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</si>
  <si>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</si>
  <si>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</si>
  <si>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</si>
  <si>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</si>
  <si>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</si>
  <si>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</si>
  <si>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</si>
  <si>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</si>
  <si>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</si>
  <si>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</si>
  <si>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</si>
  <si>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</si>
  <si>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</si>
  <si>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</si>
  <si>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</si>
  <si>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</si>
  <si>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</si>
  <si>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</si>
  <si>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</si>
  <si>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</si>
  <si>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</si>
  <si>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</si>
  <si>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</si>
  <si>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</si>
  <si>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</si>
  <si>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</si>
  <si>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</si>
  <si>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</si>
  <si>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</si>
  <si>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</si>
  <si>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</si>
  <si>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</si>
  <si>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</si>
  <si>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</si>
  <si>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</si>
  <si>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</si>
  <si>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</si>
  <si>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</si>
  <si>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</si>
  <si>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</si>
  <si>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</si>
  <si>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</si>
  <si>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</si>
  <si>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</si>
  <si>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</si>
  <si>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</si>
  <si>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</si>
  <si>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</si>
  <si>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</si>
  <si>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</si>
  <si>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</si>
  <si>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</si>
  <si>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</si>
  <si>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</si>
  <si>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</si>
  <si>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</si>
  <si>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</si>
  <si>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</si>
  <si>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</si>
  <si>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</si>
  <si>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</si>
  <si>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</si>
  <si>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</si>
  <si>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</si>
  <si>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</si>
  <si>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星期日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</si>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</sst>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_-;\-* #,##0.00_-;_-* &quot;-&quot;??_-;_-@_-"/>
    <numFmt numFmtId="176" formatCode="m&quot;月&quot;d&quot;日&quot;;@"/>
    <numFmt numFmtId="177" formatCode="0.0"/>
    <numFmt numFmtId="178" formatCode="0_ "/>
    <numFmt numFmtId="179" formatCode="0.0_ "/>
    <numFmt numFmtId="180" formatCode="0.0%"/>
    <numFmt numFmtId="181" formatCode="h:mm;@"/>
    <numFmt numFmtId="182" formatCode="0_);[Red]\(0\)"/>
    <numFmt numFmtId="183" formatCode="_-* #,##0_-;\-* #,##0_-;_-* &quot;-&quot;??_-;_-@_-"/>
    <numFmt numFmtId="184" formatCode="0,000&quot;元&quot;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</font>
    <font>
      <sz val="18"/>
      <color theme="1"/>
      <name val="微軟正黑體"/>
      <family val="2"/>
      <charset val="136"/>
    </font>
    <font>
      <sz val="11"/>
      <name val="ＭＳ Ｐゴシック"/>
      <family val="2"/>
    </font>
    <font>
      <sz val="12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6"/>
      <name val="微軟正黑體"/>
      <family val="2"/>
      <charset val="136"/>
    </font>
    <font>
      <sz val="9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sz val="16"/>
      <color rgb="FFFF0000"/>
      <name val="微軟正黑體"/>
      <family val="2"/>
      <charset val="136"/>
    </font>
    <font>
      <sz val="20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6D1A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00206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>
      <alignment vertical="center"/>
    </xf>
    <xf numFmtId="0" fontId="9" fillId="0" borderId="0"/>
    <xf numFmtId="0" fontId="14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43">
    <xf numFmtId="0" fontId="0" fillId="0" borderId="0" xfId="0">
      <alignment vertical="center"/>
    </xf>
    <xf numFmtId="0" fontId="2" fillId="0" borderId="1" xfId="1" applyFont="1" applyBorder="1">
      <alignment vertical="center"/>
    </xf>
    <xf numFmtId="0" fontId="2" fillId="0" borderId="1" xfId="1" applyFont="1" applyBorder="1" applyAlignment="1">
      <alignment horizontal="left" vertical="center"/>
    </xf>
    <xf numFmtId="0" fontId="5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6" fillId="0" borderId="0" xfId="1" applyFont="1">
      <alignment vertical="center"/>
    </xf>
    <xf numFmtId="177" fontId="2" fillId="0" borderId="1" xfId="1" applyNumberFormat="1" applyFont="1" applyBorder="1" applyAlignment="1">
      <alignment horizontal="center" vertical="center"/>
    </xf>
    <xf numFmtId="177" fontId="11" fillId="0" borderId="1" xfId="1" applyNumberFormat="1" applyFont="1" applyBorder="1" applyAlignment="1">
      <alignment horizontal="center" vertical="center"/>
    </xf>
    <xf numFmtId="2" fontId="2" fillId="0" borderId="1" xfId="1" applyNumberFormat="1" applyFont="1" applyBorder="1">
      <alignment vertical="center"/>
    </xf>
    <xf numFmtId="0" fontId="2" fillId="0" borderId="1" xfId="1" applyFont="1" applyBorder="1" applyAlignment="1">
      <alignment horizontal="center" vertical="center"/>
    </xf>
    <xf numFmtId="178" fontId="12" fillId="0" borderId="7" xfId="2" applyNumberFormat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177" fontId="6" fillId="0" borderId="1" xfId="1" applyNumberFormat="1" applyFont="1" applyBorder="1" applyAlignment="1">
      <alignment horizontal="center" vertical="center"/>
    </xf>
    <xf numFmtId="1" fontId="6" fillId="0" borderId="1" xfId="1" applyNumberFormat="1" applyFont="1" applyBorder="1" applyAlignment="1">
      <alignment horizontal="center" vertical="center"/>
    </xf>
    <xf numFmtId="178" fontId="6" fillId="0" borderId="1" xfId="1" applyNumberFormat="1" applyFont="1" applyBorder="1" applyAlignment="1">
      <alignment horizontal="center" vertical="center"/>
    </xf>
    <xf numFmtId="179" fontId="6" fillId="0" borderId="1" xfId="1" applyNumberFormat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20" fontId="6" fillId="0" borderId="1" xfId="1" applyNumberFormat="1" applyFont="1" applyBorder="1" applyAlignment="1">
      <alignment horizontal="center" vertical="center"/>
    </xf>
    <xf numFmtId="0" fontId="6" fillId="0" borderId="1" xfId="1" applyFont="1" applyBorder="1">
      <alignment vertical="center"/>
    </xf>
    <xf numFmtId="182" fontId="6" fillId="0" borderId="1" xfId="1" applyNumberFormat="1" applyFont="1" applyBorder="1" applyAlignment="1">
      <alignment horizontal="center" vertical="center"/>
    </xf>
    <xf numFmtId="20" fontId="6" fillId="0" borderId="5" xfId="1" applyNumberFormat="1" applyFont="1" applyBorder="1" applyAlignment="1">
      <alignment horizontal="center" vertical="center"/>
    </xf>
    <xf numFmtId="182" fontId="6" fillId="0" borderId="5" xfId="1" applyNumberFormat="1" applyFont="1" applyBorder="1" applyAlignment="1">
      <alignment horizontal="center" vertical="center"/>
    </xf>
    <xf numFmtId="181" fontId="6" fillId="0" borderId="1" xfId="1" applyNumberFormat="1" applyFont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6" fillId="2" borderId="1" xfId="1" applyNumberFormat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11" fillId="0" borderId="0" xfId="1" applyFont="1">
      <alignment vertical="center"/>
    </xf>
    <xf numFmtId="0" fontId="6" fillId="0" borderId="0" xfId="1" applyFont="1" applyAlignment="1">
      <alignment vertical="center" wrapText="1"/>
    </xf>
    <xf numFmtId="176" fontId="2" fillId="0" borderId="5" xfId="1" applyNumberFormat="1" applyFont="1" applyFill="1" applyBorder="1" applyAlignment="1">
      <alignment horizontal="left" vertical="center"/>
    </xf>
    <xf numFmtId="176" fontId="2" fillId="0" borderId="6" xfId="1" applyNumberFormat="1" applyFont="1" applyFill="1" applyBorder="1">
      <alignment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1" fontId="6" fillId="0" borderId="1" xfId="1" applyNumberFormat="1" applyFont="1" applyFill="1" applyBorder="1" applyAlignment="1">
      <alignment horizontal="center" vertical="center"/>
    </xf>
    <xf numFmtId="181" fontId="6" fillId="0" borderId="1" xfId="1" applyNumberFormat="1" applyFont="1" applyFill="1" applyBorder="1" applyAlignment="1">
      <alignment horizontal="center" vertical="center"/>
    </xf>
    <xf numFmtId="0" fontId="6" fillId="0" borderId="0" xfId="1" applyFont="1" applyFill="1">
      <alignment vertical="center"/>
    </xf>
    <xf numFmtId="0" fontId="6" fillId="0" borderId="1" xfId="1" applyFont="1" applyFill="1" applyBorder="1" applyAlignment="1">
      <alignment horizontal="center"/>
    </xf>
    <xf numFmtId="0" fontId="6" fillId="0" borderId="1" xfId="1" applyFont="1" applyFill="1" applyBorder="1" applyAlignment="1"/>
    <xf numFmtId="177" fontId="6" fillId="0" borderId="1" xfId="1" applyNumberFormat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6" xfId="1" applyFont="1" applyFill="1" applyBorder="1" applyAlignment="1"/>
    <xf numFmtId="3" fontId="6" fillId="0" borderId="1" xfId="1" applyNumberFormat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16" fillId="0" borderId="0" xfId="5" applyFont="1" applyAlignment="1">
      <alignment vertical="center"/>
    </xf>
    <xf numFmtId="0" fontId="6" fillId="0" borderId="0" xfId="5" applyFont="1">
      <alignment vertical="center"/>
    </xf>
    <xf numFmtId="0" fontId="16" fillId="0" borderId="0" xfId="5" applyFont="1" applyBorder="1" applyAlignment="1">
      <alignment vertical="center"/>
    </xf>
    <xf numFmtId="0" fontId="5" fillId="0" borderId="1" xfId="6" applyFont="1" applyBorder="1" applyAlignment="1">
      <alignment horizontal="center" vertical="center"/>
    </xf>
    <xf numFmtId="0" fontId="6" fillId="0" borderId="13" xfId="6" applyFont="1" applyBorder="1">
      <alignment vertical="center"/>
    </xf>
    <xf numFmtId="0" fontId="6" fillId="0" borderId="0" xfId="6" applyFont="1" applyBorder="1">
      <alignment vertical="center"/>
    </xf>
    <xf numFmtId="0" fontId="6" fillId="0" borderId="0" xfId="6" applyFont="1">
      <alignment vertical="center"/>
    </xf>
    <xf numFmtId="0" fontId="12" fillId="0" borderId="14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23" fillId="0" borderId="0" xfId="6" applyFont="1" applyBorder="1" applyAlignment="1">
      <alignment vertical="center"/>
    </xf>
    <xf numFmtId="0" fontId="24" fillId="0" borderId="0" xfId="6" applyFont="1" applyBorder="1" applyAlignment="1">
      <alignment vertical="center"/>
    </xf>
    <xf numFmtId="0" fontId="2" fillId="0" borderId="0" xfId="6" applyFont="1">
      <alignment vertical="center"/>
    </xf>
    <xf numFmtId="0" fontId="6" fillId="0" borderId="21" xfId="5" applyFont="1" applyBorder="1" applyAlignment="1">
      <alignment horizontal="center" vertical="center"/>
    </xf>
    <xf numFmtId="0" fontId="6" fillId="0" borderId="22" xfId="5" applyFont="1" applyBorder="1" applyAlignment="1">
      <alignment horizontal="center" vertical="center"/>
    </xf>
    <xf numFmtId="0" fontId="6" fillId="0" borderId="23" xfId="5" applyFont="1" applyBorder="1" applyAlignment="1">
      <alignment horizontal="center" vertical="center"/>
    </xf>
    <xf numFmtId="0" fontId="11" fillId="0" borderId="26" xfId="5" applyFont="1" applyBorder="1" applyAlignment="1">
      <alignment horizontal="center" vertical="center" wrapText="1"/>
    </xf>
    <xf numFmtId="0" fontId="11" fillId="0" borderId="27" xfId="5" applyFont="1" applyBorder="1" applyAlignment="1">
      <alignment horizontal="center" vertical="center" wrapText="1"/>
    </xf>
    <xf numFmtId="0" fontId="11" fillId="0" borderId="28" xfId="5" applyFont="1" applyBorder="1" applyAlignment="1">
      <alignment horizontal="center" vertical="center" wrapText="1"/>
    </xf>
    <xf numFmtId="0" fontId="6" fillId="0" borderId="30" xfId="6" applyFont="1" applyBorder="1" applyAlignment="1">
      <alignment horizontal="center" vertical="center" wrapText="1"/>
    </xf>
    <xf numFmtId="177" fontId="6" fillId="0" borderId="31" xfId="5" applyNumberFormat="1" applyFont="1" applyFill="1" applyBorder="1" applyAlignment="1">
      <alignment horizontal="center" vertical="center" wrapText="1"/>
    </xf>
    <xf numFmtId="177" fontId="6" fillId="0" borderId="32" xfId="5" applyNumberFormat="1" applyFont="1" applyFill="1" applyBorder="1" applyAlignment="1">
      <alignment horizontal="center" vertical="center" wrapText="1"/>
    </xf>
    <xf numFmtId="177" fontId="6" fillId="0" borderId="27" xfId="5" applyNumberFormat="1" applyFont="1" applyFill="1" applyBorder="1" applyAlignment="1">
      <alignment horizontal="center" vertical="center" wrapText="1"/>
    </xf>
    <xf numFmtId="177" fontId="6" fillId="0" borderId="28" xfId="5" applyNumberFormat="1" applyFont="1" applyFill="1" applyBorder="1" applyAlignment="1">
      <alignment horizontal="center" vertical="center" wrapText="1"/>
    </xf>
    <xf numFmtId="177" fontId="6" fillId="0" borderId="33" xfId="5" applyNumberFormat="1" applyFont="1" applyFill="1" applyBorder="1" applyAlignment="1">
      <alignment horizontal="center" vertical="center" wrapText="1"/>
    </xf>
    <xf numFmtId="177" fontId="6" fillId="0" borderId="34" xfId="5" applyNumberFormat="1" applyFont="1" applyFill="1" applyBorder="1" applyAlignment="1">
      <alignment horizontal="center" vertical="center" wrapText="1"/>
    </xf>
    <xf numFmtId="0" fontId="26" fillId="0" borderId="30" xfId="6" applyFont="1" applyBorder="1" applyAlignment="1">
      <alignment horizontal="center" vertical="center" wrapText="1"/>
    </xf>
    <xf numFmtId="177" fontId="26" fillId="0" borderId="26" xfId="5" applyNumberFormat="1" applyFont="1" applyFill="1" applyBorder="1" applyAlignment="1">
      <alignment horizontal="center" vertical="center"/>
    </xf>
    <xf numFmtId="177" fontId="26" fillId="0" borderId="27" xfId="5" applyNumberFormat="1" applyFont="1" applyFill="1" applyBorder="1" applyAlignment="1">
      <alignment horizontal="center" vertical="center"/>
    </xf>
    <xf numFmtId="177" fontId="26" fillId="0" borderId="28" xfId="5" applyNumberFormat="1" applyFont="1" applyFill="1" applyBorder="1" applyAlignment="1">
      <alignment horizontal="center" vertical="center"/>
    </xf>
    <xf numFmtId="177" fontId="26" fillId="0" borderId="33" xfId="5" applyNumberFormat="1" applyFont="1" applyFill="1" applyBorder="1" applyAlignment="1">
      <alignment horizontal="center" vertical="center"/>
    </xf>
    <xf numFmtId="177" fontId="26" fillId="0" borderId="34" xfId="5" applyNumberFormat="1" applyFont="1" applyFill="1" applyBorder="1" applyAlignment="1">
      <alignment horizontal="center" vertical="center"/>
    </xf>
    <xf numFmtId="0" fontId="26" fillId="0" borderId="30" xfId="6" applyFont="1" applyBorder="1" applyAlignment="1">
      <alignment horizontal="center" vertical="center"/>
    </xf>
    <xf numFmtId="180" fontId="26" fillId="0" borderId="26" xfId="4" applyNumberFormat="1" applyFont="1" applyFill="1" applyBorder="1" applyAlignment="1">
      <alignment horizontal="center" vertical="center"/>
    </xf>
    <xf numFmtId="180" fontId="26" fillId="0" borderId="27" xfId="4" applyNumberFormat="1" applyFont="1" applyFill="1" applyBorder="1" applyAlignment="1">
      <alignment horizontal="center" vertical="center"/>
    </xf>
    <xf numFmtId="180" fontId="26" fillId="0" borderId="28" xfId="4" applyNumberFormat="1" applyFont="1" applyFill="1" applyBorder="1" applyAlignment="1">
      <alignment horizontal="center" vertical="center"/>
    </xf>
    <xf numFmtId="0" fontId="6" fillId="0" borderId="30" xfId="6" applyFont="1" applyBorder="1" applyAlignment="1">
      <alignment horizontal="center" vertical="center"/>
    </xf>
    <xf numFmtId="181" fontId="6" fillId="0" borderId="37" xfId="6" applyNumberFormat="1" applyFont="1" applyFill="1" applyBorder="1" applyAlignment="1">
      <alignment horizontal="center" vertical="center"/>
    </xf>
    <xf numFmtId="181" fontId="6" fillId="0" borderId="1" xfId="6" applyNumberFormat="1" applyFont="1" applyFill="1" applyBorder="1" applyAlignment="1">
      <alignment horizontal="center" vertical="center"/>
    </xf>
    <xf numFmtId="181" fontId="6" fillId="0" borderId="30" xfId="6" applyNumberFormat="1" applyFont="1" applyFill="1" applyBorder="1" applyAlignment="1">
      <alignment horizontal="center" vertical="center"/>
    </xf>
    <xf numFmtId="181" fontId="6" fillId="0" borderId="37" xfId="9" applyNumberFormat="1" applyFont="1" applyFill="1" applyBorder="1" applyAlignment="1">
      <alignment horizontal="center" vertical="center"/>
    </xf>
    <xf numFmtId="181" fontId="6" fillId="0" borderId="1" xfId="9" applyNumberFormat="1" applyFont="1" applyFill="1" applyBorder="1" applyAlignment="1">
      <alignment horizontal="center" vertical="center"/>
    </xf>
    <xf numFmtId="181" fontId="6" fillId="0" borderId="30" xfId="9" applyNumberFormat="1" applyFont="1" applyFill="1" applyBorder="1" applyAlignment="1">
      <alignment horizontal="center" vertical="center"/>
    </xf>
    <xf numFmtId="0" fontId="0" fillId="6" borderId="5" xfId="6" applyFont="1" applyFill="1" applyBorder="1" applyAlignment="1">
      <alignment horizontal="center" vertical="center"/>
    </xf>
    <xf numFmtId="182" fontId="6" fillId="6" borderId="37" xfId="9" applyNumberFormat="1" applyFont="1" applyFill="1" applyBorder="1" applyAlignment="1">
      <alignment horizontal="center" vertical="center"/>
    </xf>
    <xf numFmtId="182" fontId="6" fillId="6" borderId="1" xfId="6" applyNumberFormat="1" applyFont="1" applyFill="1" applyBorder="1" applyAlignment="1">
      <alignment horizontal="center" vertical="center"/>
    </xf>
    <xf numFmtId="182" fontId="6" fillId="6" borderId="30" xfId="6" applyNumberFormat="1" applyFont="1" applyFill="1" applyBorder="1" applyAlignment="1">
      <alignment horizontal="center" vertical="center"/>
    </xf>
    <xf numFmtId="182" fontId="6" fillId="6" borderId="37" xfId="6" applyNumberFormat="1" applyFont="1" applyFill="1" applyBorder="1" applyAlignment="1">
      <alignment horizontal="center" vertical="center"/>
    </xf>
    <xf numFmtId="1" fontId="6" fillId="0" borderId="40" xfId="5" applyNumberFormat="1" applyFont="1" applyFill="1" applyBorder="1" applyAlignment="1">
      <alignment horizontal="center" vertical="center"/>
    </xf>
    <xf numFmtId="1" fontId="6" fillId="0" borderId="2" xfId="5" applyNumberFormat="1" applyFont="1" applyFill="1" applyBorder="1" applyAlignment="1">
      <alignment horizontal="center" vertical="center"/>
    </xf>
    <xf numFmtId="1" fontId="6" fillId="0" borderId="41" xfId="5" applyNumberFormat="1" applyFont="1" applyFill="1" applyBorder="1" applyAlignment="1">
      <alignment horizontal="center" vertical="center"/>
    </xf>
    <xf numFmtId="0" fontId="11" fillId="0" borderId="37" xfId="5" applyFont="1" applyBorder="1" applyAlignment="1">
      <alignment horizontal="center" vertical="center"/>
    </xf>
    <xf numFmtId="0" fontId="11" fillId="0" borderId="1" xfId="5" applyFont="1" applyBorder="1" applyAlignment="1">
      <alignment horizontal="center" vertical="center"/>
    </xf>
    <xf numFmtId="0" fontId="11" fillId="0" borderId="30" xfId="5" applyFont="1" applyBorder="1" applyAlignment="1">
      <alignment horizontal="center" vertical="center"/>
    </xf>
    <xf numFmtId="0" fontId="6" fillId="0" borderId="44" xfId="5" applyFont="1" applyBorder="1">
      <alignment vertical="center"/>
    </xf>
    <xf numFmtId="0" fontId="6" fillId="0" borderId="45" xfId="5" applyFont="1" applyBorder="1" applyAlignment="1">
      <alignment horizontal="center" vertical="center"/>
    </xf>
    <xf numFmtId="0" fontId="6" fillId="0" borderId="48" xfId="5" applyFont="1" applyBorder="1" applyAlignment="1">
      <alignment horizontal="center" vertical="center"/>
    </xf>
    <xf numFmtId="0" fontId="6" fillId="0" borderId="44" xfId="5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6" fillId="0" borderId="0" xfId="5" applyFont="1" applyAlignment="1">
      <alignment horizontal="center" vertical="center"/>
    </xf>
    <xf numFmtId="0" fontId="16" fillId="0" borderId="12" xfId="5" applyFont="1" applyBorder="1" applyAlignment="1">
      <alignment horizontal="center" vertical="center"/>
    </xf>
    <xf numFmtId="0" fontId="18" fillId="14" borderId="5" xfId="6" applyFont="1" applyFill="1" applyBorder="1" applyAlignment="1">
      <alignment horizontal="center" vertical="center"/>
    </xf>
    <xf numFmtId="0" fontId="18" fillId="14" borderId="6" xfId="6" applyFont="1" applyFill="1" applyBorder="1" applyAlignment="1">
      <alignment horizontal="center" vertical="center"/>
    </xf>
    <xf numFmtId="183" fontId="5" fillId="0" borderId="5" xfId="7" applyNumberFormat="1" applyFont="1" applyBorder="1" applyAlignment="1">
      <alignment horizontal="center" vertical="center"/>
    </xf>
    <xf numFmtId="183" fontId="5" fillId="0" borderId="6" xfId="7" applyNumberFormat="1" applyFont="1" applyBorder="1" applyAlignment="1">
      <alignment horizontal="center" vertical="center"/>
    </xf>
    <xf numFmtId="184" fontId="5" fillId="0" borderId="5" xfId="7" applyNumberFormat="1" applyFont="1" applyBorder="1" applyAlignment="1">
      <alignment horizontal="center" vertical="center"/>
    </xf>
    <xf numFmtId="184" fontId="5" fillId="0" borderId="6" xfId="7" applyNumberFormat="1" applyFont="1" applyBorder="1" applyAlignment="1">
      <alignment horizontal="center" vertical="center"/>
    </xf>
    <xf numFmtId="0" fontId="5" fillId="0" borderId="7" xfId="6" applyFont="1" applyBorder="1" applyAlignment="1">
      <alignment horizontal="center" vertical="center"/>
    </xf>
    <xf numFmtId="0" fontId="5" fillId="0" borderId="11" xfId="6" applyFont="1" applyBorder="1" applyAlignment="1">
      <alignment horizontal="center" vertical="center"/>
    </xf>
    <xf numFmtId="0" fontId="5" fillId="0" borderId="8" xfId="6" applyFont="1" applyBorder="1" applyAlignment="1">
      <alignment horizontal="center" vertical="center"/>
    </xf>
    <xf numFmtId="0" fontId="5" fillId="0" borderId="5" xfId="6" applyFont="1" applyBorder="1" applyAlignment="1">
      <alignment horizontal="center" vertical="center"/>
    </xf>
    <xf numFmtId="0" fontId="5" fillId="0" borderId="6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19" fillId="0" borderId="6" xfId="6" applyFont="1" applyBorder="1" applyAlignment="1">
      <alignment horizontal="center" vertical="center"/>
    </xf>
    <xf numFmtId="0" fontId="20" fillId="2" borderId="6" xfId="2" applyFont="1" applyFill="1" applyBorder="1" applyAlignment="1">
      <alignment horizontal="center" vertical="center"/>
    </xf>
    <xf numFmtId="0" fontId="20" fillId="2" borderId="1" xfId="2" applyFont="1" applyFill="1" applyBorder="1" applyAlignment="1">
      <alignment horizontal="center" vertical="center"/>
    </xf>
    <xf numFmtId="183" fontId="2" fillId="4" borderId="5" xfId="7" applyNumberFormat="1" applyFont="1" applyFill="1" applyBorder="1" applyAlignment="1">
      <alignment horizontal="center" vertical="center"/>
    </xf>
    <xf numFmtId="183" fontId="2" fillId="4" borderId="6" xfId="7" applyNumberFormat="1" applyFont="1" applyFill="1" applyBorder="1" applyAlignment="1">
      <alignment horizontal="center" vertical="center"/>
    </xf>
    <xf numFmtId="183" fontId="2" fillId="6" borderId="5" xfId="7" applyNumberFormat="1" applyFont="1" applyFill="1" applyBorder="1" applyAlignment="1">
      <alignment horizontal="center" vertical="center"/>
    </xf>
    <xf numFmtId="183" fontId="2" fillId="6" borderId="6" xfId="7" applyNumberFormat="1" applyFont="1" applyFill="1" applyBorder="1" applyAlignment="1">
      <alignment horizontal="center" vertical="center"/>
    </xf>
    <xf numFmtId="0" fontId="6" fillId="0" borderId="29" xfId="6" applyFont="1" applyBorder="1" applyAlignment="1">
      <alignment horizontal="center" vertical="center" wrapText="1"/>
    </xf>
    <xf numFmtId="0" fontId="6" fillId="0" borderId="36" xfId="6" applyFont="1" applyBorder="1" applyAlignment="1">
      <alignment horizontal="center" vertical="center" wrapText="1"/>
    </xf>
    <xf numFmtId="1" fontId="21" fillId="0" borderId="1" xfId="8" applyNumberFormat="1" applyFont="1" applyBorder="1" applyAlignment="1">
      <alignment horizontal="center" vertical="center"/>
    </xf>
    <xf numFmtId="0" fontId="22" fillId="0" borderId="5" xfId="6" applyFont="1" applyBorder="1" applyAlignment="1">
      <alignment horizontal="center" vertical="center"/>
    </xf>
    <xf numFmtId="0" fontId="22" fillId="0" borderId="6" xfId="6" applyFont="1" applyBorder="1" applyAlignment="1">
      <alignment horizontal="center" vertical="center"/>
    </xf>
    <xf numFmtId="177" fontId="22" fillId="7" borderId="5" xfId="6" applyNumberFormat="1" applyFont="1" applyFill="1" applyBorder="1" applyAlignment="1">
      <alignment horizontal="center" vertical="center"/>
    </xf>
    <xf numFmtId="177" fontId="22" fillId="7" borderId="6" xfId="6" applyNumberFormat="1" applyFont="1" applyFill="1" applyBorder="1" applyAlignment="1">
      <alignment horizontal="center" vertical="center"/>
    </xf>
    <xf numFmtId="177" fontId="22" fillId="7" borderId="5" xfId="7" applyNumberFormat="1" applyFont="1" applyFill="1" applyBorder="1" applyAlignment="1">
      <alignment horizontal="center" vertical="center"/>
    </xf>
    <xf numFmtId="177" fontId="22" fillId="7" borderId="6" xfId="7" applyNumberFormat="1" applyFont="1" applyFill="1" applyBorder="1" applyAlignment="1">
      <alignment horizontal="center" vertical="center"/>
    </xf>
    <xf numFmtId="180" fontId="22" fillId="0" borderId="5" xfId="6" applyNumberFormat="1" applyFont="1" applyBorder="1" applyAlignment="1">
      <alignment horizontal="center" vertical="center"/>
    </xf>
    <xf numFmtId="180" fontId="22" fillId="0" borderId="6" xfId="6" applyNumberFormat="1" applyFont="1" applyBorder="1" applyAlignment="1">
      <alignment horizontal="center" vertical="center"/>
    </xf>
    <xf numFmtId="180" fontId="22" fillId="0" borderId="5" xfId="4" applyNumberFormat="1" applyFont="1" applyFill="1" applyBorder="1" applyAlignment="1">
      <alignment horizontal="center" vertical="center"/>
    </xf>
    <xf numFmtId="180" fontId="22" fillId="0" borderId="6" xfId="4" applyNumberFormat="1" applyFont="1" applyFill="1" applyBorder="1" applyAlignment="1">
      <alignment horizontal="center" vertical="center"/>
    </xf>
    <xf numFmtId="177" fontId="5" fillId="0" borderId="5" xfId="6" applyNumberFormat="1" applyFont="1" applyBorder="1" applyAlignment="1">
      <alignment horizontal="center" vertical="center"/>
    </xf>
    <xf numFmtId="177" fontId="5" fillId="0" borderId="6" xfId="6" applyNumberFormat="1" applyFont="1" applyBorder="1" applyAlignment="1">
      <alignment horizontal="center" vertical="center"/>
    </xf>
    <xf numFmtId="177" fontId="5" fillId="0" borderId="5" xfId="7" applyNumberFormat="1" applyFont="1" applyBorder="1" applyAlignment="1">
      <alignment horizontal="center" vertical="center"/>
    </xf>
    <xf numFmtId="177" fontId="5" fillId="0" borderId="6" xfId="7" applyNumberFormat="1" applyFont="1" applyBorder="1" applyAlignment="1">
      <alignment horizontal="center" vertical="center"/>
    </xf>
    <xf numFmtId="0" fontId="21" fillId="0" borderId="6" xfId="8" applyFont="1" applyBorder="1" applyAlignment="1">
      <alignment horizontal="center" vertical="center"/>
    </xf>
    <xf numFmtId="0" fontId="21" fillId="0" borderId="1" xfId="8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25" fillId="4" borderId="16" xfId="5" applyFont="1" applyFill="1" applyBorder="1" applyAlignment="1">
      <alignment horizontal="center" vertical="center"/>
    </xf>
    <xf numFmtId="0" fontId="25" fillId="4" borderId="18" xfId="5" applyFont="1" applyFill="1" applyBorder="1" applyAlignment="1">
      <alignment horizontal="center" vertical="center"/>
    </xf>
    <xf numFmtId="0" fontId="25" fillId="4" borderId="17" xfId="5" applyFont="1" applyFill="1" applyBorder="1" applyAlignment="1">
      <alignment horizontal="center" vertical="center"/>
    </xf>
    <xf numFmtId="0" fontId="25" fillId="6" borderId="16" xfId="5" applyFont="1" applyFill="1" applyBorder="1" applyAlignment="1">
      <alignment horizontal="center" vertical="center"/>
    </xf>
    <xf numFmtId="0" fontId="25" fillId="6" borderId="18" xfId="5" applyFont="1" applyFill="1" applyBorder="1" applyAlignment="1">
      <alignment horizontal="center" vertical="center"/>
    </xf>
    <xf numFmtId="0" fontId="25" fillId="6" borderId="17" xfId="5" applyFont="1" applyFill="1" applyBorder="1" applyAlignment="1">
      <alignment horizontal="center" vertical="center"/>
    </xf>
    <xf numFmtId="0" fontId="6" fillId="0" borderId="19" xfId="6" applyFont="1" applyBorder="1" applyAlignment="1">
      <alignment horizontal="center" vertical="center"/>
    </xf>
    <xf numFmtId="0" fontId="6" fillId="0" borderId="20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2" fillId="0" borderId="29" xfId="6" applyFont="1" applyBorder="1" applyAlignment="1">
      <alignment horizontal="center" vertical="center" textRotation="255"/>
    </xf>
    <xf numFmtId="0" fontId="2" fillId="0" borderId="35" xfId="6" applyFont="1" applyBorder="1" applyAlignment="1">
      <alignment horizontal="center" vertical="center" textRotation="255"/>
    </xf>
    <xf numFmtId="0" fontId="2" fillId="0" borderId="36" xfId="6" applyFont="1" applyBorder="1" applyAlignment="1">
      <alignment horizontal="center" vertical="center" textRotation="255"/>
    </xf>
    <xf numFmtId="0" fontId="6" fillId="0" borderId="46" xfId="5" applyFont="1" applyBorder="1" applyAlignment="1">
      <alignment horizontal="center" vertical="center"/>
    </xf>
    <xf numFmtId="0" fontId="6" fillId="0" borderId="47" xfId="5" applyFont="1" applyBorder="1" applyAlignment="1">
      <alignment horizontal="center" vertical="center"/>
    </xf>
    <xf numFmtId="0" fontId="0" fillId="6" borderId="29" xfId="6" applyFont="1" applyFill="1" applyBorder="1" applyAlignment="1">
      <alignment horizontal="center" vertical="center" wrapText="1"/>
    </xf>
    <xf numFmtId="0" fontId="6" fillId="6" borderId="36" xfId="6" applyFont="1" applyFill="1" applyBorder="1" applyAlignment="1">
      <alignment horizontal="center" vertical="center"/>
    </xf>
    <xf numFmtId="0" fontId="6" fillId="0" borderId="38" xfId="6" applyFont="1" applyBorder="1" applyAlignment="1">
      <alignment horizontal="center" vertical="center"/>
    </xf>
    <xf numFmtId="0" fontId="6" fillId="0" borderId="39" xfId="6" applyFont="1" applyBorder="1" applyAlignment="1">
      <alignment horizontal="center" vertical="center"/>
    </xf>
    <xf numFmtId="0" fontId="6" fillId="0" borderId="42" xfId="6" applyFont="1" applyBorder="1" applyAlignment="1">
      <alignment horizontal="center" vertical="center"/>
    </xf>
    <xf numFmtId="0" fontId="6" fillId="0" borderId="43" xfId="6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0" borderId="1" xfId="3" applyFont="1" applyFill="1" applyBorder="1" applyAlignment="1">
      <alignment horizontal="left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5" fillId="0" borderId="6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5" xfId="3" applyFont="1" applyFill="1" applyBorder="1" applyAlignment="1">
      <alignment horizontal="left"/>
    </xf>
    <xf numFmtId="0" fontId="6" fillId="0" borderId="6" xfId="3" applyFont="1" applyFill="1" applyBorder="1" applyAlignment="1">
      <alignment horizontal="left"/>
    </xf>
    <xf numFmtId="0" fontId="6" fillId="0" borderId="1" xfId="1" applyFont="1" applyFill="1" applyBorder="1" applyAlignment="1"/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9" borderId="1" xfId="1" applyFont="1" applyFill="1" applyBorder="1" applyAlignment="1">
      <alignment horizontal="center" vertical="center" wrapText="1"/>
    </xf>
    <xf numFmtId="0" fontId="6" fillId="9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left"/>
    </xf>
    <xf numFmtId="0" fontId="10" fillId="7" borderId="1" xfId="1" applyFont="1" applyFill="1" applyBorder="1" applyAlignment="1">
      <alignment horizontal="center" vertical="center" wrapText="1"/>
    </xf>
    <xf numFmtId="0" fontId="6" fillId="10" borderId="9" xfId="1" applyFont="1" applyFill="1" applyBorder="1" applyAlignment="1">
      <alignment horizontal="center" vertical="center" wrapText="1"/>
    </xf>
    <xf numFmtId="0" fontId="6" fillId="10" borderId="10" xfId="1" applyFont="1" applyFill="1" applyBorder="1" applyAlignment="1">
      <alignment horizontal="center" vertical="center" wrapText="1"/>
    </xf>
    <xf numFmtId="0" fontId="6" fillId="11" borderId="1" xfId="1" applyFont="1" applyFill="1" applyBorder="1" applyAlignment="1">
      <alignment horizontal="center" vertical="center" wrapText="1"/>
    </xf>
    <xf numFmtId="0" fontId="6" fillId="12" borderId="1" xfId="1" applyFont="1" applyFill="1" applyBorder="1" applyAlignment="1">
      <alignment horizontal="center" vertical="center" wrapText="1"/>
    </xf>
    <xf numFmtId="0" fontId="6" fillId="1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left" vertical="center"/>
    </xf>
    <xf numFmtId="0" fontId="6" fillId="6" borderId="7" xfId="1" applyFont="1" applyFill="1" applyBorder="1" applyAlignment="1">
      <alignment horizontal="center" vertical="center" wrapText="1"/>
    </xf>
    <xf numFmtId="0" fontId="6" fillId="6" borderId="11" xfId="1" applyFont="1" applyFill="1" applyBorder="1" applyAlignment="1">
      <alignment horizontal="center" vertical="center" wrapText="1"/>
    </xf>
    <xf numFmtId="0" fontId="6" fillId="6" borderId="8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180" fontId="6" fillId="0" borderId="7" xfId="4" applyNumberFormat="1" applyFont="1" applyBorder="1" applyAlignment="1">
      <alignment horizontal="center" vertical="center"/>
    </xf>
    <xf numFmtId="180" fontId="6" fillId="0" borderId="11" xfId="4" applyNumberFormat="1" applyFont="1" applyBorder="1" applyAlignment="1">
      <alignment horizontal="center" vertical="center"/>
    </xf>
    <xf numFmtId="180" fontId="6" fillId="0" borderId="8" xfId="4" applyNumberFormat="1" applyFont="1" applyBorder="1" applyAlignment="1">
      <alignment horizontal="center" vertical="center"/>
    </xf>
    <xf numFmtId="0" fontId="6" fillId="0" borderId="5" xfId="1" applyFont="1" applyFill="1" applyBorder="1" applyAlignment="1"/>
    <xf numFmtId="0" fontId="6" fillId="0" borderId="6" xfId="1" applyFont="1" applyFill="1" applyBorder="1" applyAlignment="1"/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13" borderId="1" xfId="1" applyFont="1" applyFill="1" applyBorder="1" applyAlignment="1">
      <alignment horizontal="center" vertical="center" wrapText="1"/>
    </xf>
    <xf numFmtId="0" fontId="6" fillId="13" borderId="1" xfId="1" applyFont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/>
    </xf>
    <xf numFmtId="0" fontId="10" fillId="7" borderId="7" xfId="1" applyFont="1" applyFill="1" applyBorder="1" applyAlignment="1">
      <alignment horizontal="center" vertical="center" wrapText="1"/>
    </xf>
    <xf numFmtId="0" fontId="10" fillId="7" borderId="11" xfId="1" applyFont="1" applyFill="1" applyBorder="1" applyAlignment="1">
      <alignment horizontal="center" vertical="center" wrapText="1"/>
    </xf>
    <xf numFmtId="0" fontId="10" fillId="7" borderId="8" xfId="1" applyFont="1" applyFill="1" applyBorder="1" applyAlignment="1">
      <alignment horizontal="center" vertical="center" wrapText="1"/>
    </xf>
    <xf numFmtId="182" fontId="6" fillId="0" borderId="1" xfId="1" applyNumberFormat="1" applyFont="1" applyFill="1" applyBorder="1" applyAlignment="1">
      <alignment horizontal="center" vertical="center"/>
    </xf>
    <xf numFmtId="181" fontId="6" fillId="0" borderId="5" xfId="1" applyNumberFormat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</cellXfs>
  <cellStyles count="10">
    <cellStyle name="一般" xfId="0" builtinId="0"/>
    <cellStyle name="一般 2 17 2" xfId="8"/>
    <cellStyle name="一般 2 2 2" xfId="6"/>
    <cellStyle name="一般 2 2 29" xfId="9"/>
    <cellStyle name="一般 2 2 7" xfId="1"/>
    <cellStyle name="一般 2 4" xfId="3"/>
    <cellStyle name="一般 2 8" xfId="2"/>
    <cellStyle name="一般 3" xfId="5"/>
    <cellStyle name="千分位 2" xfId="7"/>
    <cellStyle name="百分比 2" xfId="4"/>
  </cellStyles>
  <dxfs count="167"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tabSelected="1" zoomScale="85" zoomScaleNormal="85" workbookViewId="0">
      <selection activeCell="D9" sqref="D9"/>
    </sheetView>
  </sheetViews>
  <sheetFormatPr defaultColWidth="8.77734375" defaultRowHeight="15.6"/>
  <cols>
    <col min="1" max="1" width="8.77734375" style="52"/>
    <col min="2" max="2" width="17.88671875" style="52" customWidth="1"/>
    <col min="3" max="3" width="9.21875" style="60" customWidth="1"/>
    <col min="4" max="13" width="12.6640625" style="52" customWidth="1"/>
    <col min="14" max="14" width="11" style="52" bestFit="1" customWidth="1"/>
    <col min="15" max="15" width="17.77734375" style="52" bestFit="1" customWidth="1"/>
    <col min="16" max="16" width="12.21875" style="52" bestFit="1" customWidth="1"/>
    <col min="17" max="22" width="9.21875" style="52" customWidth="1"/>
    <col min="23" max="23" width="10.77734375" style="52" customWidth="1"/>
    <col min="24" max="24" width="11" style="52" customWidth="1"/>
    <col min="25" max="16384" width="8.77734375" style="52"/>
  </cols>
  <sheetData>
    <row r="1" spans="2:17" ht="27.75" customHeight="1">
      <c r="B1" s="122" t="s">
        <v>215</v>
      </c>
      <c r="C1" s="122"/>
      <c r="D1" s="122"/>
      <c r="E1" s="122"/>
      <c r="F1" s="122"/>
      <c r="G1" s="122"/>
      <c r="H1" s="122"/>
      <c r="I1" s="122"/>
      <c r="J1" s="122"/>
      <c r="K1" s="51"/>
      <c r="L1" s="51"/>
      <c r="M1" s="51"/>
      <c r="N1" s="51"/>
      <c r="O1" s="51"/>
      <c r="P1" s="51"/>
    </row>
    <row r="2" spans="2:17" ht="27.75" customHeight="1">
      <c r="B2" s="123"/>
      <c r="C2" s="123"/>
      <c r="D2" s="123"/>
      <c r="E2" s="123"/>
      <c r="F2" s="123"/>
      <c r="G2" s="123"/>
      <c r="H2" s="123"/>
      <c r="I2" s="123"/>
      <c r="J2" s="123"/>
      <c r="K2" s="53"/>
      <c r="L2" s="53"/>
      <c r="M2" s="53"/>
      <c r="N2" s="51"/>
      <c r="O2" s="51"/>
      <c r="P2" s="51"/>
    </row>
    <row r="3" spans="2:17" ht="46.5" customHeight="1">
      <c r="B3" s="54" t="s">
        <v>216</v>
      </c>
      <c r="C3" s="124" t="str">
        <f>TEXT('0802 4度C'!A2,"yyyy.mm.ddaaaa")</f>
        <v>2026.08.02星期日</v>
      </c>
      <c r="D3" s="125"/>
      <c r="E3" s="54" t="s">
        <v>217</v>
      </c>
      <c r="F3" s="126">
        <f>'0802 4度C'!D1</f>
        <v>206437</v>
      </c>
      <c r="G3" s="127"/>
      <c r="H3" s="54" t="s">
        <v>218</v>
      </c>
      <c r="I3" s="128">
        <f>'0802 4度C'!F1</f>
        <v>7189068.7300000014</v>
      </c>
      <c r="J3" s="129"/>
      <c r="K3" s="55"/>
      <c r="L3" s="56"/>
      <c r="M3" s="57"/>
      <c r="N3" s="57"/>
    </row>
    <row r="4" spans="2:17" ht="28.5" customHeight="1">
      <c r="B4" s="130" t="s">
        <v>219</v>
      </c>
      <c r="C4" s="133" t="s">
        <v>220</v>
      </c>
      <c r="D4" s="134"/>
      <c r="E4" s="135" t="s">
        <v>221</v>
      </c>
      <c r="F4" s="136"/>
      <c r="G4" s="135" t="s">
        <v>222</v>
      </c>
      <c r="H4" s="136"/>
      <c r="I4" s="135" t="s">
        <v>223</v>
      </c>
      <c r="J4" s="136"/>
      <c r="K4" s="137" t="s">
        <v>224</v>
      </c>
      <c r="L4" s="138"/>
      <c r="M4" s="138" t="s">
        <v>225</v>
      </c>
      <c r="N4" s="138"/>
    </row>
    <row r="5" spans="2:17" ht="28.5" customHeight="1">
      <c r="B5" s="131"/>
      <c r="C5" s="133" t="s">
        <v>226</v>
      </c>
      <c r="D5" s="134"/>
      <c r="E5" s="133" t="s">
        <v>227</v>
      </c>
      <c r="F5" s="134"/>
      <c r="G5" s="139" t="s">
        <v>228</v>
      </c>
      <c r="H5" s="140"/>
      <c r="I5" s="141" t="s">
        <v>229</v>
      </c>
      <c r="J5" s="142"/>
      <c r="K5" s="58" t="s">
        <v>230</v>
      </c>
      <c r="L5" s="59" t="s">
        <v>231</v>
      </c>
      <c r="M5" s="58" t="s">
        <v>232</v>
      </c>
      <c r="N5" s="59" t="s">
        <v>233</v>
      </c>
    </row>
    <row r="6" spans="2:17" ht="28.5" customHeight="1">
      <c r="B6" s="131"/>
      <c r="C6" s="133" t="s">
        <v>169</v>
      </c>
      <c r="D6" s="134"/>
      <c r="E6" s="156">
        <f>AVERAGE(D13:M13)</f>
        <v>157.46137331259882</v>
      </c>
      <c r="F6" s="157">
        <f>AVERAGE(D31:O31,D13:J13)</f>
        <v>166.48760480445995</v>
      </c>
      <c r="G6" s="158">
        <f>AVERAGE(D13:J13)</f>
        <v>166.48760480445995</v>
      </c>
      <c r="H6" s="159"/>
      <c r="I6" s="158">
        <f>AVERAGE(K13:M13)</f>
        <v>136.40016649825634</v>
      </c>
      <c r="J6" s="159"/>
      <c r="K6" s="160">
        <f>'0802 4度C'!Y2</f>
        <v>0</v>
      </c>
      <c r="L6" s="145">
        <f>'0802 4度C'!Z2</f>
        <v>0</v>
      </c>
      <c r="M6" s="161">
        <f>'0802 4度C'!AC2</f>
        <v>70</v>
      </c>
      <c r="N6" s="145">
        <f>'0802 4度C'!AD2</f>
        <v>0</v>
      </c>
    </row>
    <row r="7" spans="2:17" ht="28.5" customHeight="1">
      <c r="B7" s="131"/>
      <c r="C7" s="146" t="s">
        <v>170</v>
      </c>
      <c r="D7" s="147"/>
      <c r="E7" s="148">
        <f>AVERAGE(D14:M14)</f>
        <v>150.89847000771519</v>
      </c>
      <c r="F7" s="149">
        <f>AVERAGE(D32:O32,D14:J14)</f>
        <v>159.63868649387226</v>
      </c>
      <c r="G7" s="150">
        <f>AVERAGE(D14:J14)</f>
        <v>159.63868649387226</v>
      </c>
      <c r="H7" s="151"/>
      <c r="I7" s="150">
        <f>AVERAGE(K14:M14)</f>
        <v>130.5046315400154</v>
      </c>
      <c r="J7" s="151"/>
      <c r="K7" s="160"/>
      <c r="L7" s="145"/>
      <c r="M7" s="161"/>
      <c r="N7" s="145"/>
    </row>
    <row r="8" spans="2:17" ht="28.5" customHeight="1">
      <c r="B8" s="132"/>
      <c r="C8" s="146" t="s">
        <v>171</v>
      </c>
      <c r="D8" s="147"/>
      <c r="E8" s="152">
        <f>AVERAGE(D15:M15)</f>
        <v>0.95890469740323092</v>
      </c>
      <c r="F8" s="153">
        <f>AVERAGE(D15:J15,D33:O33)</f>
        <v>0.95982975933780235</v>
      </c>
      <c r="G8" s="154">
        <f>AVERAGE(D15:J15)</f>
        <v>0.95982975933780235</v>
      </c>
      <c r="H8" s="155"/>
      <c r="I8" s="154">
        <f>AVERAGE(K15:M15)</f>
        <v>0.95674621955589778</v>
      </c>
      <c r="J8" s="155"/>
      <c r="K8" s="160"/>
      <c r="L8" s="145"/>
      <c r="M8" s="161"/>
      <c r="N8" s="145"/>
    </row>
    <row r="9" spans="2:17" ht="28.5" customHeight="1" thickBot="1">
      <c r="H9" s="61"/>
      <c r="K9" s="62" t="s">
        <v>234</v>
      </c>
      <c r="N9" s="57"/>
      <c r="O9" s="57"/>
      <c r="P9" s="57"/>
      <c r="Q9" s="57"/>
    </row>
    <row r="10" spans="2:17" ht="30" customHeight="1">
      <c r="B10" s="162" t="s">
        <v>235</v>
      </c>
      <c r="C10" s="163"/>
      <c r="D10" s="164" t="s">
        <v>236</v>
      </c>
      <c r="E10" s="165"/>
      <c r="F10" s="165"/>
      <c r="G10" s="165"/>
      <c r="H10" s="165"/>
      <c r="I10" s="165"/>
      <c r="J10" s="166"/>
      <c r="K10" s="167" t="s">
        <v>237</v>
      </c>
      <c r="L10" s="168"/>
      <c r="M10" s="169"/>
      <c r="P10" s="63"/>
      <c r="Q10" s="63"/>
    </row>
    <row r="11" spans="2:17" ht="17.25" customHeight="1">
      <c r="B11" s="170" t="s">
        <v>238</v>
      </c>
      <c r="C11" s="171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200000000000003" customHeight="1">
      <c r="B12" s="172"/>
      <c r="C12" s="173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200000000000003" customHeight="1">
      <c r="B13" s="174" t="s">
        <v>239</v>
      </c>
      <c r="C13" s="70" t="s">
        <v>240</v>
      </c>
      <c r="D13" s="71">
        <f>SUMIFS('0802 4度C'!$K:$K,'0802 4度C'!$A:$A,"新豐6線",'0802 4度C'!$B:$B,"平均")</f>
        <v>129.87012987012986</v>
      </c>
      <c r="E13" s="72">
        <f>SUMIFS('0802 4度C'!$K:$K,'0802 4度C'!$A:$A,"新豐2線",'0802 4度C'!$B:$B,"平均")</f>
        <v>84.905660377358487</v>
      </c>
      <c r="F13" s="73">
        <f>SUMIFS('0802 4度C'!$K:$K,'0802 4度C'!$A:$A,"新豐5線",'0802 4度C'!$B:$B,"平均")</f>
        <v>93.023255813953497</v>
      </c>
      <c r="G13" s="73">
        <f>SUMIFS('0802 4度C'!$K:$K,'0802 4度C'!$A:$A,"新豐7線",'0802 4度C'!$B:$B,"平均")</f>
        <v>125</v>
      </c>
      <c r="H13" s="73">
        <f>SUMIFS('0802 4度C'!$K:$K,'0802 4度C'!$A:$A,"新豐3線",'0802 4度C'!$B:$B,"平均")</f>
        <v>324.32432432432432</v>
      </c>
      <c r="I13" s="73">
        <f>SUMIFS('0802 4度C'!$K:$K,'0802 4度C'!$A:$A,"新豐1線",'0802 4度C'!$B:$B,"平均")</f>
        <v>115.60693641618496</v>
      </c>
      <c r="J13" s="74">
        <f>SUMIFS('0802 4度C'!$K:$K,'0802 4度C'!$A:$A,"新豐10線",'0802 4度C'!$B:$B,"平均")</f>
        <v>292.6829268292683</v>
      </c>
      <c r="K13" s="75">
        <f>SUMIFS('0802 4度C'!$K:$K,'0802 4度C'!$A:$A,"新豐8線",'0802 4度C'!$B:$B,"平均")</f>
        <v>144.96644295302013</v>
      </c>
      <c r="L13" s="76">
        <f>SUMIFS('0802 4度C'!$K:$K,'0802 4度C'!$A:$A,"新豐9線",'0802 4度C'!$B:$B,"平均")</f>
        <v>122.22222222222223</v>
      </c>
      <c r="M13" s="74">
        <f>SUMIFS('0802 4度C'!$K:$K,'0802 4度C'!$A:$A,"新豐4線",'0802 4度C'!$B:$B,"平均")</f>
        <v>142.01183431952663</v>
      </c>
    </row>
    <row r="14" spans="2:17" ht="39.6" customHeight="1">
      <c r="B14" s="175"/>
      <c r="C14" s="77" t="s">
        <v>241</v>
      </c>
      <c r="D14" s="78">
        <f>SUMIFS('0802 4度C'!$N:$N,'0802 4度C'!$A:$A,"新豐6線",'0802 4度C'!$B:$B,"平均")</f>
        <v>125.46309921492147</v>
      </c>
      <c r="E14" s="79">
        <f>SUMIFS('0802 4度C'!$N:$N,'0802 4度C'!$A:$A,"新豐2線",'0802 4度C'!$B:$B,"平均")</f>
        <v>81.119656713238683</v>
      </c>
      <c r="F14" s="79">
        <f>SUMIFS('0802 4度C'!$N:$N,'0802 4度C'!$A:$A,"新豐5線",'0802 4度C'!$B:$B,"平均")</f>
        <v>89.254118234697174</v>
      </c>
      <c r="G14" s="79">
        <f>SUMIFS('0802 4度C'!$N:$N,'0802 4度C'!$A:$A,"新豐7線",'0802 4度C'!$B:$B,"平均")</f>
        <v>120.38702450996668</v>
      </c>
      <c r="H14" s="79">
        <f>SUMIFS('0802 4度C'!$N:$N,'0802 4度C'!$A:$A,"新豐3線",'0802 4度C'!$B:$B,"平均")</f>
        <v>309.24853607718052</v>
      </c>
      <c r="I14" s="79">
        <f>SUMIFS('0802 4度C'!$N:$N,'0802 4度C'!$A:$A,"新豐1線",'0802 4度C'!$B:$B,"平均")</f>
        <v>111.19320534553113</v>
      </c>
      <c r="J14" s="80">
        <f>SUMIFS('0802 4度C'!$N:$N,'0802 4度C'!$A:$A,"新豐10線",'0802 4度C'!$B:$B,"平均")</f>
        <v>280.80516536157</v>
      </c>
      <c r="K14" s="81">
        <f>SUMIFS('0802 4度C'!$N:$N,'0802 4度C'!$A:$A,"新豐8線",'0802 4度C'!$B:$B,"平均")</f>
        <v>138.69662855488059</v>
      </c>
      <c r="L14" s="82">
        <f>SUMIFS('0802 4度C'!$N:$N,'0802 4度C'!$A:$A,"新豐9線",'0802 4度C'!$B:$B,"平均")</f>
        <v>116.85626889762332</v>
      </c>
      <c r="M14" s="80">
        <f>SUMIFS('0802 4度C'!$N:$N,'0802 4度C'!$A:$A,"新豐4線",'0802 4度C'!$B:$B,"平均")</f>
        <v>135.96099716754227</v>
      </c>
    </row>
    <row r="15" spans="2:17" ht="40.200000000000003" customHeight="1">
      <c r="B15" s="176"/>
      <c r="C15" s="83" t="s">
        <v>242</v>
      </c>
      <c r="D15" s="84">
        <f t="shared" ref="D15:M15" si="0">D14/D13</f>
        <v>0.96606586395489547</v>
      </c>
      <c r="E15" s="85">
        <f t="shared" si="0"/>
        <v>0.95540929017814458</v>
      </c>
      <c r="F15" s="85">
        <f t="shared" si="0"/>
        <v>0.95948177102299448</v>
      </c>
      <c r="G15" s="85">
        <f t="shared" si="0"/>
        <v>0.9630961960797334</v>
      </c>
      <c r="H15" s="85">
        <f t="shared" si="0"/>
        <v>0.95351631957130656</v>
      </c>
      <c r="I15" s="85">
        <f t="shared" si="0"/>
        <v>0.96182122623884425</v>
      </c>
      <c r="J15" s="86">
        <f t="shared" si="0"/>
        <v>0.95941764831869747</v>
      </c>
      <c r="K15" s="84">
        <f t="shared" si="0"/>
        <v>0.95674989142024114</v>
      </c>
      <c r="L15" s="85">
        <f t="shared" si="0"/>
        <v>0.95609674552600898</v>
      </c>
      <c r="M15" s="86">
        <f t="shared" si="0"/>
        <v>0.95739202172144355</v>
      </c>
    </row>
    <row r="16" spans="2:17" ht="17.25" customHeight="1">
      <c r="B16" s="143" t="s">
        <v>243</v>
      </c>
      <c r="C16" s="87" t="s">
        <v>244</v>
      </c>
      <c r="D16" s="88">
        <f>VLOOKUP("新豐6線",'0802 4度C'!$A:$T,19,0)</f>
        <v>0.70833333333333337</v>
      </c>
      <c r="E16" s="89">
        <f>VLOOKUP("新豐2線",'0802 4度C'!$A:$T,19,0)</f>
        <v>8.3333333333333329E-2</v>
      </c>
      <c r="F16" s="89">
        <f>VLOOKUP("新豐5線",'0802 4度C'!$A:$T,19,0)</f>
        <v>8.3333333333333329E-2</v>
      </c>
      <c r="G16" s="89">
        <f>VLOOKUP("新豐7線",'0802 4度C'!$A:$T,19,0)</f>
        <v>0.20833333333333334</v>
      </c>
      <c r="H16" s="89">
        <f>VLOOKUP("新豐3線",'0802 4度C'!$A:$T,19,0)</f>
        <v>0.20833333333333334</v>
      </c>
      <c r="I16" s="89">
        <f>VLOOKUP("新豐1線",'0802 4度C'!$A:$T,19,0)</f>
        <v>8.3333333333333329E-2</v>
      </c>
      <c r="J16" s="90">
        <f>VLOOKUP("新豐10線",'0802 4度C'!$A:$T,19,0)</f>
        <v>0.20833333333333334</v>
      </c>
      <c r="K16" s="91">
        <f>VLOOKUP("新豐8線",'0802 4度C'!$A:$T,19,0)</f>
        <v>8.3333333333333329E-2</v>
      </c>
      <c r="L16" s="92">
        <f>VLOOKUP("新豐9線",'0802 4度C'!$A:$T,19,0)</f>
        <v>8.3333333333333329E-2</v>
      </c>
      <c r="M16" s="93">
        <f>VLOOKUP("新豐4線",'0802 4度C'!$A:$T,19,0)</f>
        <v>8.3333333333333329E-2</v>
      </c>
    </row>
    <row r="17" spans="2:13" ht="17.25" customHeight="1">
      <c r="B17" s="144"/>
      <c r="C17" s="87" t="s">
        <v>245</v>
      </c>
      <c r="D17" s="91">
        <f>LOOKUP(2,1/(('0802 4度C'!$A:$A="新豐6線")*('0802 4度C'!$T:$T&lt;&gt;"")),'0802 4度C'!$T:$T)</f>
        <v>0.91666666666666663</v>
      </c>
      <c r="E17" s="89">
        <f>LOOKUP(2,1/(('0802 4度C'!$A:$A="新豐2線")*('0802 4度C'!$T:$T&lt;&gt;"")),'0802 4度C'!$T:$T)</f>
        <v>0.68888888888888877</v>
      </c>
      <c r="F17" s="89">
        <f>LOOKUP(2,1/(('0802 4度C'!$A:$A="新豐5線")*('0802 4度C'!$T:$T&lt;&gt;"")),'0802 4度C'!$T:$T)</f>
        <v>0.85347222222222219</v>
      </c>
      <c r="G17" s="89">
        <f>LOOKUP(2,1/(('0802 4度C'!$A:$A="新豐7線")*('0802 4度C'!$T:$T&lt;&gt;"")),'0802 4度C'!$T:$T)</f>
        <v>0.90486111111111112</v>
      </c>
      <c r="H17" s="89">
        <f>LOOKUP(2,1/(('0802 4度C'!$A:$A="新豐3線")*('0802 4度C'!$T:$T&lt;&gt;"")),'0802 4度C'!$T:$T)</f>
        <v>0.44027777777777777</v>
      </c>
      <c r="I17" s="89">
        <f>LOOKUP(2,1/(('0802 4度C'!$A:$A="新豐1線")*('0802 4度C'!$T:$T&lt;&gt;"")),'0802 4度C'!$T:$T)</f>
        <v>0.92152777777777783</v>
      </c>
      <c r="J17" s="90">
        <f>LOOKUP(2,1/(('0802 4度C'!$A:$A="新豐10線")*('0802 4度C'!$T:$T&lt;&gt;"")),'0802 4度C'!$T:$T)</f>
        <v>0.4548611111111111</v>
      </c>
      <c r="K17" s="88">
        <f>LOOKUP(2,1/(('0802 4度C'!$A:$A="新豐8線")*('0802 4度C'!$T:$T&lt;&gt;"")),'0802 4度C'!$T:$T)</f>
        <v>0.76874999999999993</v>
      </c>
      <c r="L17" s="89">
        <f>LOOKUP(2,1/(('0802 4度C'!$A:$A="新豐9線")*('0802 4度C'!$T:$T&lt;&gt;"")),'0802 4度C'!$T:$T)</f>
        <v>0.76458333333333328</v>
      </c>
      <c r="M17" s="90">
        <f>LOOKUP(2,1/(('0802 4度C'!$A:$A="新豐4線")*('0802 4度C'!$T:$T&lt;&gt;"")),'0802 4度C'!$T:$T)</f>
        <v>0.76180555555555529</v>
      </c>
    </row>
    <row r="18" spans="2:13" ht="17.25" customHeight="1">
      <c r="B18" s="179" t="s">
        <v>246</v>
      </c>
      <c r="C18" s="94" t="s">
        <v>247</v>
      </c>
      <c r="D18" s="95">
        <f>SUMIFS('0802 4度C'!$Y:$Y,'0802 4度C'!$A:$A,"新豐6線",'0802 4度C'!$B:$B,"平均")</f>
        <v>0</v>
      </c>
      <c r="E18" s="96">
        <f>SUMIFS('0802 4度C'!$Y:$Y,'0802 4度C'!$A:$A,"新豐2線",'0802 4度C'!$B:$B,"平均")</f>
        <v>0</v>
      </c>
      <c r="F18" s="96">
        <f>SUMIFS('0802 4度C'!$Y:$Y,'0802 4度C'!$A:$A,"新豐5線",'0802 4度C'!$B:$B,"平均")</f>
        <v>0</v>
      </c>
      <c r="G18" s="96">
        <f>SUMIFS('0802 4度C'!$Y:$Y,'0802 4度C'!$A:$A,"新豐7線",'0802 4度C'!$B:$B,"平均")</f>
        <v>0</v>
      </c>
      <c r="H18" s="96">
        <f>SUMIFS('0802 4度C'!$Y:$Y,'0802 4度C'!$A:$A,"新豐3線",'0802 4度C'!$B:$B,"平均")</f>
        <v>0</v>
      </c>
      <c r="I18" s="96">
        <f>SUMIFS('0802 4度C'!$Y:$Y,'0802 4度C'!$A:$A,"新豐1線",'0802 4度C'!$B:$B,"平均")</f>
        <v>0</v>
      </c>
      <c r="J18" s="97">
        <f>SUMIFS('0802 4度C'!$Y:$Y,'0802 4度C'!$A:$A,"新豐10線",'0802 4度C'!$B:$B,"平均")</f>
        <v>0</v>
      </c>
      <c r="K18" s="98">
        <f>SUMIFS('0802 4度C'!$Y:$Y,'0802 4度C'!$A:$A,"新豐8線",'0802 4度C'!$B:$B,"平均")</f>
        <v>0</v>
      </c>
      <c r="L18" s="96">
        <f>SUMIFS('0802 4度C'!$Y:$Y,'0802 4度C'!$A:$A,"新豐9線",'0802 4度C'!$B:$B,"平均")</f>
        <v>0</v>
      </c>
      <c r="M18" s="97">
        <f>SUMIFS('0802 4度C'!$Y:$Y,'0802 4度C'!$A:$A,"新豐4線",'0802 4度C'!$B:$B,"平均")</f>
        <v>0</v>
      </c>
    </row>
    <row r="19" spans="2:13" ht="17.25" customHeight="1">
      <c r="B19" s="180"/>
      <c r="C19" s="94" t="s">
        <v>248</v>
      </c>
      <c r="D19" s="95">
        <f>SUMIFS('0802 4度C'!$Z:$Z,'0802 4度C'!$A:$A,"新豐6線",'0802 4度C'!$B:$B,"平均")</f>
        <v>0</v>
      </c>
      <c r="E19" s="96">
        <f>SUMIFS('0802 4度C'!$Z:$Z,'0802 4度C'!$A:$A,"新豐2線",'0802 4度C'!$B:$B,"平均")</f>
        <v>0</v>
      </c>
      <c r="F19" s="96">
        <f>SUMIFS('0802 4度C'!$Z:$Z,'0802 4度C'!$A:$A,"新豐5線",'0802 4度C'!$B:$B,"平均")</f>
        <v>0</v>
      </c>
      <c r="G19" s="96">
        <f>SUMIFS('0802 4度C'!$Z:$Z,'0802 4度C'!$A:$A,"新豐7線",'0802 4度C'!$B:$B,"平均")</f>
        <v>0</v>
      </c>
      <c r="H19" s="96">
        <f>SUMIFS('0802 4度C'!$Z:$Z,'0802 4度C'!$A:$A,"新豐3線",'0802 4度C'!$B:$B,"平均")</f>
        <v>0</v>
      </c>
      <c r="I19" s="96">
        <f>SUMIFS('0802 4度C'!$Z:$Z,'0802 4度C'!$A:$A,"新豐1線",'0802 4度C'!$B:$B,"平均")</f>
        <v>0</v>
      </c>
      <c r="J19" s="97">
        <f>SUMIFS('0802 4度C'!$Z:$Z,'0802 4度C'!$A:$A,"新豐10線",'0802 4度C'!$B:$B,"平均")</f>
        <v>0</v>
      </c>
      <c r="K19" s="98">
        <f>SUMIFS('0802 4度C'!$Z:$Z,'0802 4度C'!$A:$A,"新豐8線",'0802 4度C'!$B:$B,"平均")</f>
        <v>0</v>
      </c>
      <c r="L19" s="96">
        <f>SUMIFS('0802 4度C'!$Z:$Z,'0802 4度C'!$A:$A,"新豐9線",'0802 4度C'!$B:$B,"平均")</f>
        <v>0</v>
      </c>
      <c r="M19" s="97">
        <f>SUMIFS('0802 4度C'!$Z:$Z,'0802 4度C'!$A:$A,"新豐4線",'0802 4度C'!$B:$B,"平均")</f>
        <v>0</v>
      </c>
    </row>
    <row r="20" spans="2:13" ht="17.25" customHeight="1">
      <c r="B20" s="179" t="s">
        <v>249</v>
      </c>
      <c r="C20" s="94" t="s">
        <v>247</v>
      </c>
      <c r="D20" s="95">
        <f>SUMIFS('0802 4度C'!$AC:$AC,'0802 4度C'!$A:$A,"新豐6線",'0802 4度C'!$B:$B,"平均")</f>
        <v>5</v>
      </c>
      <c r="E20" s="96">
        <f>SUMIFS('0802 4度C'!$AC:$AC,'0802 4度C'!$A:$A,"新豐2線",'0802 4度C'!$B:$B,"平均")</f>
        <v>6</v>
      </c>
      <c r="F20" s="96">
        <f>SUMIFS('0802 4度C'!$AC:$AC,'0802 4度C'!$A:$A,"新豐5線",'0802 4度C'!$B:$B,"平均")</f>
        <v>7</v>
      </c>
      <c r="G20" s="96">
        <f>SUMIFS('0802 4度C'!$AC:$AC,'0802 4度C'!$A:$A,"新豐7線",'0802 4度C'!$B:$B,"平均")</f>
        <v>7</v>
      </c>
      <c r="H20" s="96">
        <f>SUMIFS('0802 4度C'!$AC:$AC,'0802 4度C'!$A:$A,"新豐3線",'0802 4度C'!$B:$B,"平均")</f>
        <v>4</v>
      </c>
      <c r="I20" s="96">
        <f>SUMIFS('0802 4度C'!$AC:$AC,'0802 4度C'!$A:$A,"新豐1線",'0802 4度C'!$B:$B,"平均")</f>
        <v>10</v>
      </c>
      <c r="J20" s="97">
        <f>SUMIFS('0802 4度C'!$AC:$AC,'0802 4度C'!$A:$A,"新豐10線",'0802 4度C'!$B:$B,"平均")</f>
        <v>4</v>
      </c>
      <c r="K20" s="98">
        <f>SUMIFS('0802 4度C'!$AC:$AC,'0802 4度C'!$A:$A,"新豐8線",'0802 4度C'!$B:$B,"平均")</f>
        <v>9</v>
      </c>
      <c r="L20" s="96">
        <f>SUMIFS('0802 4度C'!$AC:$AC,'0802 4度C'!$A:$A,"新豐9線",'0802 4度C'!$B:$B,"平均")</f>
        <v>8</v>
      </c>
      <c r="M20" s="97">
        <f>SUMIFS('0802 4度C'!$AC:$AC,'0802 4度C'!$A:$A,"新豐4線",'0802 4度C'!$B:$B,"平均")</f>
        <v>10</v>
      </c>
    </row>
    <row r="21" spans="2:13" ht="17.25" customHeight="1">
      <c r="B21" s="180"/>
      <c r="C21" s="94" t="s">
        <v>250</v>
      </c>
      <c r="D21" s="95">
        <f>SUMIFS('0802 4度C'!$AD:$AD,'0802 4度C'!$A:$A,"新豐6線",'0802 4度C'!$B:$B,"平均")</f>
        <v>0</v>
      </c>
      <c r="E21" s="96">
        <f>SUMIFS('0802 4度C'!$AD:$AD,'0802 4度C'!$A:$A,"新豐2線",'0802 4度C'!$B:$B,"平均")</f>
        <v>0</v>
      </c>
      <c r="F21" s="96">
        <f>SUMIFS('0802 4度C'!$AD:$AD,'0802 4度C'!$A:$A,"新豐5線",'0802 4度C'!$B:$B,"平均")</f>
        <v>0</v>
      </c>
      <c r="G21" s="96">
        <f>SUMIFS('0802 4度C'!$AD:$AD,'0802 4度C'!$A:$A,"新豐7線",'0802 4度C'!$B:$B,"平均")</f>
        <v>0</v>
      </c>
      <c r="H21" s="96">
        <f>SUMIFS('0802 4度C'!$AD:$AD,'0802 4度C'!$A:$A,"新豐3線",'0802 4度C'!$B:$B,"平均")</f>
        <v>0</v>
      </c>
      <c r="I21" s="96">
        <f>SUMIFS('0802 4度C'!$AD:$AD,'0802 4度C'!$A:$A,"新豐1線",'0802 4度C'!$B:$B,"平均")</f>
        <v>0</v>
      </c>
      <c r="J21" s="97">
        <f>SUMIFS('0802 4度C'!$AD:$AD,'0802 4度C'!$A:$A,"新豐10線",'0802 4度C'!$B:$B,"平均")</f>
        <v>0</v>
      </c>
      <c r="K21" s="98">
        <f>SUMIFS('0802 4度C'!$AD:$AD,'0802 4度C'!$A:$A,"新豐8線",'0802 4度C'!$B:$B,"平均")</f>
        <v>0</v>
      </c>
      <c r="L21" s="96">
        <f>SUMIFS('0802 4度C'!$AD:$AD,'0802 4度C'!$A:$A,"新豐9線",'0802 4度C'!$B:$B,"平均")</f>
        <v>0</v>
      </c>
      <c r="M21" s="97">
        <f>SUMIFS('0802 4度C'!$AD:$AD,'0802 4度C'!$A:$A,"新豐4線",'0802 4度C'!$B:$B,"平均")</f>
        <v>0</v>
      </c>
    </row>
    <row r="22" spans="2:13" ht="17.25" customHeight="1">
      <c r="B22" s="181" t="s">
        <v>251</v>
      </c>
      <c r="C22" s="182"/>
      <c r="D22" s="99">
        <f>SUMIFS('0802 4度C'!$I:$I,'0802 4度C'!$A:$A,"新豐6線",'0802 4度C'!$B:$B,"平均")</f>
        <v>15.4</v>
      </c>
      <c r="E22" s="100">
        <f>SUMIFS('0802 4度C'!$I:$I,'0802 4度C'!$A:$A,"新豐2線",'0802 4度C'!$B:$B,"平均")</f>
        <v>17.666666666666668</v>
      </c>
      <c r="F22" s="100">
        <f>SUMIFS('0802 4度C'!$I:$I,'0802 4度C'!$A:$A,"新豐5線",'0802 4度C'!$B:$B,"平均")</f>
        <v>18.428571428571427</v>
      </c>
      <c r="G22" s="100">
        <f>SUMIFS('0802 4度C'!$I:$I,'0802 4度C'!$A:$A,"新豐7線",'0802 4度C'!$B:$B,"平均")</f>
        <v>16</v>
      </c>
      <c r="H22" s="100">
        <f>SUMIFS('0802 4度C'!$I:$I,'0802 4度C'!$A:$A,"新豐3線",'0802 4度C'!$B:$B,"平均")</f>
        <v>9.25</v>
      </c>
      <c r="I22" s="100">
        <f>SUMIFS('0802 4度C'!$I:$I,'0802 4度C'!$A:$A,"新豐1線",'0802 4度C'!$B:$B,"平均")</f>
        <v>17.3</v>
      </c>
      <c r="J22" s="101">
        <f>SUMIFS('0802 4度C'!$I:$I,'0802 4度C'!$A:$A,"新豐10線",'0802 4度C'!$B:$B,"平均")</f>
        <v>10.25</v>
      </c>
      <c r="K22" s="99">
        <f>SUMIFS('0802 4度C'!$I:$I,'0802 4度C'!$A:$A,"新豐8線",'0802 4度C'!$B:$B,"平均")</f>
        <v>16.555555555555557</v>
      </c>
      <c r="L22" s="100">
        <f>SUMIFS('0802 4度C'!$I:$I,'0802 4度C'!$A:$A,"新豐9線",'0802 4度C'!$B:$B,"平均")</f>
        <v>18</v>
      </c>
      <c r="M22" s="101">
        <f>SUMIFS('0802 4度C'!$I:$I,'0802 4度C'!$A:$A,"新豐4線",'0802 4度C'!$B:$B,"平均")</f>
        <v>16.899999999999999</v>
      </c>
    </row>
    <row r="23" spans="2:13" ht="17.25" customHeight="1">
      <c r="B23" s="181" t="s">
        <v>252</v>
      </c>
      <c r="C23" s="182"/>
      <c r="D23" s="102" t="s">
        <v>202</v>
      </c>
      <c r="E23" s="103" t="s">
        <v>203</v>
      </c>
      <c r="F23" s="103" t="s">
        <v>253</v>
      </c>
      <c r="G23" s="103" t="s">
        <v>254</v>
      </c>
      <c r="H23" s="103" t="s">
        <v>205</v>
      </c>
      <c r="I23" s="103" t="s">
        <v>202</v>
      </c>
      <c r="J23" s="104" t="s">
        <v>205</v>
      </c>
      <c r="K23" s="102" t="s">
        <v>255</v>
      </c>
      <c r="L23" s="103" t="s">
        <v>256</v>
      </c>
      <c r="M23" s="104" t="s">
        <v>256</v>
      </c>
    </row>
    <row r="24" spans="2:13" ht="17.25" customHeight="1">
      <c r="B24" s="181" t="s">
        <v>257</v>
      </c>
      <c r="C24" s="182"/>
      <c r="D24" s="102"/>
      <c r="E24" s="103"/>
      <c r="F24" s="103" t="s">
        <v>258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183" t="s">
        <v>259</v>
      </c>
      <c r="C25" s="184"/>
      <c r="D25" s="105"/>
      <c r="E25" s="106" t="s">
        <v>260</v>
      </c>
      <c r="F25" s="177" t="s">
        <v>261</v>
      </c>
      <c r="G25" s="178"/>
      <c r="H25" s="106" t="s">
        <v>262</v>
      </c>
      <c r="I25" s="106" t="s">
        <v>263</v>
      </c>
      <c r="J25" s="107" t="s">
        <v>264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9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85"/>
  <sheetViews>
    <sheetView zoomScale="80" zoomScaleNormal="80" workbookViewId="0">
      <pane ySplit="4" topLeftCell="A5" activePane="bottomLeft" state="frozen"/>
      <selection activeCell="G5" sqref="G5:H5"/>
      <selection pane="bottomLeft" activeCell="G5" sqref="G5:H5"/>
    </sheetView>
  </sheetViews>
  <sheetFormatPr defaultColWidth="8" defaultRowHeight="15.6"/>
  <cols>
    <col min="1" max="1" width="15.109375" style="9" customWidth="1"/>
    <col min="2" max="2" width="19.33203125" style="9" customWidth="1"/>
    <col min="3" max="3" width="15.21875" style="9" customWidth="1"/>
    <col min="4" max="4" width="17.44140625" style="9" customWidth="1"/>
    <col min="5" max="5" width="7.44140625" style="9" customWidth="1"/>
    <col min="6" max="7" width="14.33203125" style="9" customWidth="1"/>
    <col min="8" max="8" width="8" style="9" customWidth="1"/>
    <col min="9" max="9" width="5.88671875" style="9" customWidth="1"/>
    <col min="10" max="10" width="10.6640625" style="9" customWidth="1"/>
    <col min="11" max="11" width="14.6640625" style="9" customWidth="1"/>
    <col min="12" max="12" width="7.21875" style="9" customWidth="1"/>
    <col min="13" max="13" width="8" style="9" customWidth="1"/>
    <col min="14" max="14" width="12" style="9" customWidth="1"/>
    <col min="15" max="15" width="6" style="9" customWidth="1"/>
    <col min="16" max="16" width="9.21875" style="9" customWidth="1"/>
    <col min="17" max="17" width="11.44140625" style="9" customWidth="1"/>
    <col min="18" max="18" width="8.44140625" style="9" customWidth="1"/>
    <col min="19" max="19" width="10.109375" style="9" customWidth="1"/>
    <col min="20" max="20" width="7.6640625" style="9" customWidth="1"/>
    <col min="21" max="21" width="10.21875" style="9" customWidth="1"/>
    <col min="22" max="22" width="8.77734375" style="34" customWidth="1"/>
    <col min="23" max="23" width="7.33203125" style="9" customWidth="1"/>
    <col min="24" max="24" width="6.88671875" style="9" customWidth="1"/>
    <col min="25" max="26" width="8.77734375" style="9" customWidth="1"/>
    <col min="27" max="27" width="12.77734375" style="9" customWidth="1"/>
    <col min="28" max="28" width="18.88671875" style="9" customWidth="1"/>
    <col min="29" max="30" width="15.109375" style="9" customWidth="1"/>
    <col min="31" max="31" width="13.109375" style="9" bestFit="1" customWidth="1"/>
    <col min="32" max="32" width="10.33203125" style="9" customWidth="1"/>
    <col min="33" max="33" width="9.33203125" style="9" customWidth="1"/>
    <col min="34" max="34" width="8" style="9"/>
    <col min="35" max="35" width="24.6640625" style="9" bestFit="1" customWidth="1"/>
    <col min="36" max="16384" width="8" style="9"/>
  </cols>
  <sheetData>
    <row r="1" spans="1:33" ht="36.75" customHeight="1">
      <c r="A1" s="1" t="s">
        <v>265</v>
      </c>
      <c r="B1" s="1"/>
      <c r="C1" s="2" t="s">
        <v>266</v>
      </c>
      <c r="D1" s="3">
        <f>SUM(F5:F84)</f>
        <v>206437</v>
      </c>
      <c r="E1" s="116" t="s">
        <v>267</v>
      </c>
      <c r="F1" s="1">
        <f>SUM(G5:G84)</f>
        <v>7189068.7300000014</v>
      </c>
      <c r="G1" s="1" t="s">
        <v>268</v>
      </c>
      <c r="H1" s="5">
        <f>L10+L17+L57+L68+L25+L73+L43+L52+L33+L84</f>
        <v>155.75079365079367</v>
      </c>
      <c r="I1" s="185" t="s">
        <v>269</v>
      </c>
      <c r="J1" s="185"/>
      <c r="K1" s="185"/>
      <c r="L1" s="185" t="s">
        <v>270</v>
      </c>
      <c r="M1" s="185"/>
      <c r="N1" s="185"/>
      <c r="O1" s="185" t="s">
        <v>271</v>
      </c>
      <c r="P1" s="185"/>
      <c r="Q1" s="185"/>
      <c r="R1" s="185"/>
      <c r="S1" s="185" t="s">
        <v>272</v>
      </c>
      <c r="T1" s="185"/>
      <c r="U1" s="185"/>
      <c r="V1" s="185"/>
      <c r="W1" s="185"/>
      <c r="X1" s="185"/>
      <c r="Y1" s="6" t="s">
        <v>273</v>
      </c>
      <c r="Z1" s="7" t="s">
        <v>274</v>
      </c>
      <c r="AA1" s="186" t="s">
        <v>275</v>
      </c>
      <c r="AB1" s="186"/>
      <c r="AC1" s="8" t="s">
        <v>273</v>
      </c>
      <c r="AD1" s="7" t="s">
        <v>276</v>
      </c>
      <c r="AE1" s="185" t="s">
        <v>277</v>
      </c>
      <c r="AF1" s="187"/>
      <c r="AG1" s="187"/>
    </row>
    <row r="2" spans="1:33" ht="26.25" customHeight="1">
      <c r="A2" s="35">
        <v>46236</v>
      </c>
      <c r="B2" s="36" t="s">
        <v>278</v>
      </c>
      <c r="C2" s="2" t="s">
        <v>279</v>
      </c>
      <c r="D2" s="10">
        <f>AVERAGE(N10,N17,N57,N68,N25,N73,N33,N43,N52,N84)</f>
        <v>150.89847000771519</v>
      </c>
      <c r="E2" s="11" t="s">
        <v>14</v>
      </c>
      <c r="F2" s="12">
        <f>F1/D1</f>
        <v>34.824516583751951</v>
      </c>
      <c r="G2" s="1" t="s">
        <v>280</v>
      </c>
      <c r="H2" s="121">
        <f>COUNT(H5:H84)</f>
        <v>17</v>
      </c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4">
        <f>SUM(Y10+Y17+Y25+Y33+Y43+Y52+Y57+Y68+Y73+Y84)</f>
        <v>0</v>
      </c>
      <c r="Z2" s="14">
        <f>SUM(Z10+Z17+Z25+Z33+Z43+Z52+Z57+Z68+Z73+Z84)</f>
        <v>0</v>
      </c>
      <c r="AA2" s="186"/>
      <c r="AB2" s="186"/>
      <c r="AC2" s="14">
        <f>SUM(AC10+AC17+AC25+AC33+AC43+AC52+AC57+AC68+AC73+AC84)</f>
        <v>70</v>
      </c>
      <c r="AD2" s="14">
        <f>SUM(AD10+AD17+AD25+AD33+AD43+AD52+AD57+AD68+AD73+AD84)</f>
        <v>0</v>
      </c>
      <c r="AE2" s="187"/>
      <c r="AF2" s="187"/>
      <c r="AG2" s="187"/>
    </row>
    <row r="3" spans="1:33" ht="40.5" customHeight="1">
      <c r="A3" s="191" t="s">
        <v>281</v>
      </c>
      <c r="B3" s="191" t="s">
        <v>282</v>
      </c>
      <c r="C3" s="191" t="s">
        <v>283</v>
      </c>
      <c r="D3" s="191"/>
      <c r="E3" s="192" t="s">
        <v>284</v>
      </c>
      <c r="F3" s="191" t="s">
        <v>285</v>
      </c>
      <c r="G3" s="192" t="s">
        <v>286</v>
      </c>
      <c r="H3" s="199" t="s">
        <v>287</v>
      </c>
      <c r="I3" s="190" t="s">
        <v>288</v>
      </c>
      <c r="J3" s="188" t="s">
        <v>289</v>
      </c>
      <c r="K3" s="189" t="s">
        <v>279</v>
      </c>
      <c r="L3" s="190" t="s">
        <v>288</v>
      </c>
      <c r="M3" s="188" t="s">
        <v>289</v>
      </c>
      <c r="N3" s="189" t="s">
        <v>279</v>
      </c>
      <c r="O3" s="190" t="s">
        <v>288</v>
      </c>
      <c r="P3" s="189" t="s">
        <v>279</v>
      </c>
      <c r="Q3" s="194" t="s">
        <v>290</v>
      </c>
      <c r="R3" s="195" t="s">
        <v>291</v>
      </c>
      <c r="S3" s="191" t="s">
        <v>29</v>
      </c>
      <c r="T3" s="191"/>
      <c r="U3" s="199" t="s">
        <v>30</v>
      </c>
      <c r="V3" s="199" t="s">
        <v>292</v>
      </c>
      <c r="W3" s="191" t="s">
        <v>293</v>
      </c>
      <c r="X3" s="191"/>
      <c r="Y3" s="200" t="s">
        <v>294</v>
      </c>
      <c r="Z3" s="201"/>
      <c r="AA3" s="202" t="s">
        <v>295</v>
      </c>
      <c r="AB3" s="203"/>
      <c r="AC3" s="200" t="s">
        <v>296</v>
      </c>
      <c r="AD3" s="201"/>
      <c r="AE3" s="188" t="s">
        <v>289</v>
      </c>
      <c r="AF3" s="194" t="s">
        <v>290</v>
      </c>
      <c r="AG3" s="195" t="s">
        <v>291</v>
      </c>
    </row>
    <row r="4" spans="1:33" ht="15.75" customHeight="1">
      <c r="A4" s="191"/>
      <c r="B4" s="191"/>
      <c r="C4" s="191"/>
      <c r="D4" s="191"/>
      <c r="E4" s="193"/>
      <c r="F4" s="191"/>
      <c r="G4" s="193"/>
      <c r="H4" s="199"/>
      <c r="I4" s="190"/>
      <c r="J4" s="188"/>
      <c r="K4" s="189"/>
      <c r="L4" s="190"/>
      <c r="M4" s="188"/>
      <c r="N4" s="189"/>
      <c r="O4" s="190"/>
      <c r="P4" s="189"/>
      <c r="Q4" s="194"/>
      <c r="R4" s="195"/>
      <c r="S4" s="116" t="s">
        <v>39</v>
      </c>
      <c r="T4" s="116" t="s">
        <v>40</v>
      </c>
      <c r="U4" s="199"/>
      <c r="V4" s="199"/>
      <c r="W4" s="116" t="s">
        <v>297</v>
      </c>
      <c r="X4" s="116" t="s">
        <v>298</v>
      </c>
      <c r="Y4" s="110" t="s">
        <v>299</v>
      </c>
      <c r="Z4" s="110" t="s">
        <v>300</v>
      </c>
      <c r="AA4" s="204"/>
      <c r="AB4" s="203"/>
      <c r="AC4" s="110" t="s">
        <v>301</v>
      </c>
      <c r="AD4" s="110" t="s">
        <v>302</v>
      </c>
      <c r="AE4" s="188"/>
      <c r="AF4" s="194"/>
      <c r="AG4" s="195"/>
    </row>
    <row r="5" spans="1:33">
      <c r="A5" s="196" t="s">
        <v>303</v>
      </c>
      <c r="B5" s="42" t="s">
        <v>92</v>
      </c>
      <c r="C5" s="197" t="s">
        <v>93</v>
      </c>
      <c r="D5" s="197"/>
      <c r="E5" s="42">
        <v>50.92</v>
      </c>
      <c r="F5" s="120">
        <v>1200</v>
      </c>
      <c r="G5" s="116">
        <f t="shared" ref="G5:G9" si="0">E5*F5</f>
        <v>61104</v>
      </c>
      <c r="H5" s="37">
        <v>2</v>
      </c>
      <c r="I5" s="118">
        <v>15</v>
      </c>
      <c r="J5" s="39">
        <v>2000</v>
      </c>
      <c r="K5" s="17">
        <f t="shared" ref="K5:K68" si="1">J5/I5</f>
        <v>133.33333333333334</v>
      </c>
      <c r="L5" s="118">
        <v>15</v>
      </c>
      <c r="M5" s="18">
        <f t="shared" ref="M5:M9" si="2">F5/V5*60</f>
        <v>1945.9459459459445</v>
      </c>
      <c r="N5" s="17">
        <f t="shared" ref="N5:N68" si="3">M5/L5</f>
        <v>129.72972972972963</v>
      </c>
      <c r="O5" s="19">
        <f t="shared" ref="O5:O68" si="4">L5-I5</f>
        <v>0</v>
      </c>
      <c r="P5" s="20">
        <f t="shared" ref="P5:P68" si="5">N5-K5</f>
        <v>-3.603603603603716</v>
      </c>
      <c r="Q5" s="115">
        <f t="shared" ref="Q5:Q68" si="6">N5/K5</f>
        <v>0.97297297297297214</v>
      </c>
      <c r="R5" s="198">
        <f>Q10</f>
        <v>0.96606586395489547</v>
      </c>
      <c r="S5" s="40">
        <v>0.70833333333333337</v>
      </c>
      <c r="T5" s="40">
        <v>0.73402777777777783</v>
      </c>
      <c r="U5" s="116"/>
      <c r="V5" s="119">
        <f t="shared" ref="V5:V9" si="7">(T5-S5)*24*60</f>
        <v>37.000000000000028</v>
      </c>
      <c r="W5" s="23"/>
      <c r="X5" s="23"/>
      <c r="Y5" s="24"/>
      <c r="Z5" s="24"/>
      <c r="AA5" s="191"/>
      <c r="AB5" s="191"/>
      <c r="AC5" s="239">
        <v>5</v>
      </c>
      <c r="AD5" s="25"/>
      <c r="AE5" s="19">
        <f t="shared" ref="AE5:AE67" si="8">M5-J5</f>
        <v>-54.054054054055541</v>
      </c>
      <c r="AF5" s="115">
        <f t="shared" ref="AF5:AF68" si="9">M5/J5</f>
        <v>0.97297297297297225</v>
      </c>
      <c r="AG5" s="198">
        <f>AF10</f>
        <v>0.96606586395489535</v>
      </c>
    </row>
    <row r="6" spans="1:33">
      <c r="A6" s="190" t="s">
        <v>304</v>
      </c>
      <c r="B6" s="42" t="s">
        <v>92</v>
      </c>
      <c r="C6" s="197" t="s">
        <v>94</v>
      </c>
      <c r="D6" s="197"/>
      <c r="E6" s="42">
        <v>50.98</v>
      </c>
      <c r="F6" s="120">
        <v>1200</v>
      </c>
      <c r="G6" s="116">
        <f t="shared" si="0"/>
        <v>61175.999999999993</v>
      </c>
      <c r="H6" s="37">
        <v>2</v>
      </c>
      <c r="I6" s="118">
        <v>16</v>
      </c>
      <c r="J6" s="39">
        <v>2000</v>
      </c>
      <c r="K6" s="17">
        <f t="shared" si="1"/>
        <v>125</v>
      </c>
      <c r="L6" s="118">
        <v>16</v>
      </c>
      <c r="M6" s="18">
        <f t="shared" si="2"/>
        <v>1945.9459459459445</v>
      </c>
      <c r="N6" s="17">
        <f t="shared" si="3"/>
        <v>121.62162162162153</v>
      </c>
      <c r="O6" s="19">
        <f t="shared" si="4"/>
        <v>0</v>
      </c>
      <c r="P6" s="20">
        <f t="shared" si="5"/>
        <v>-3.3783783783784713</v>
      </c>
      <c r="Q6" s="115">
        <f t="shared" si="6"/>
        <v>0.97297297297297225</v>
      </c>
      <c r="R6" s="198"/>
      <c r="S6" s="40">
        <v>0.73819444444444449</v>
      </c>
      <c r="T6" s="40">
        <v>0.76388888888888895</v>
      </c>
      <c r="U6" s="116">
        <f t="shared" ref="U6:U9" si="10">IF(S6=TIME(17,0,0),"",(S6-T5)*24*60)</f>
        <v>5.9999999999999787</v>
      </c>
      <c r="V6" s="119">
        <f t="shared" si="7"/>
        <v>37.000000000000028</v>
      </c>
      <c r="W6" s="23"/>
      <c r="X6" s="23"/>
      <c r="Y6" s="23"/>
      <c r="Z6" s="23"/>
      <c r="AA6" s="191"/>
      <c r="AB6" s="191"/>
      <c r="AC6" s="239"/>
      <c r="AD6" s="25"/>
      <c r="AE6" s="19">
        <f t="shared" si="8"/>
        <v>-54.054054054055541</v>
      </c>
      <c r="AF6" s="115">
        <f t="shared" si="9"/>
        <v>0.97297297297297225</v>
      </c>
      <c r="AG6" s="198"/>
    </row>
    <row r="7" spans="1:33">
      <c r="A7" s="190" t="s">
        <v>304</v>
      </c>
      <c r="B7" s="42" t="s">
        <v>92</v>
      </c>
      <c r="C7" s="206" t="s">
        <v>109</v>
      </c>
      <c r="D7" s="207"/>
      <c r="E7" s="42">
        <v>50.49</v>
      </c>
      <c r="F7" s="120">
        <v>2140</v>
      </c>
      <c r="G7" s="116">
        <f t="shared" si="0"/>
        <v>108048.6</v>
      </c>
      <c r="H7" s="37" t="s">
        <v>91</v>
      </c>
      <c r="I7" s="118">
        <v>15</v>
      </c>
      <c r="J7" s="39">
        <v>2000</v>
      </c>
      <c r="K7" s="17">
        <f t="shared" si="1"/>
        <v>133.33333333333334</v>
      </c>
      <c r="L7" s="118">
        <v>15</v>
      </c>
      <c r="M7" s="18">
        <f t="shared" si="2"/>
        <v>1916.4179104477637</v>
      </c>
      <c r="N7" s="17">
        <f t="shared" si="3"/>
        <v>127.76119402985091</v>
      </c>
      <c r="O7" s="19">
        <f t="shared" si="4"/>
        <v>0</v>
      </c>
      <c r="P7" s="20">
        <f t="shared" si="5"/>
        <v>-5.5721393034824303</v>
      </c>
      <c r="Q7" s="115">
        <f t="shared" si="6"/>
        <v>0.95820895522388183</v>
      </c>
      <c r="R7" s="198"/>
      <c r="S7" s="40">
        <v>0.76736111111111116</v>
      </c>
      <c r="T7" s="40">
        <v>0.81388888888888888</v>
      </c>
      <c r="U7" s="116">
        <f t="shared" si="10"/>
        <v>4.9999999999999822</v>
      </c>
      <c r="V7" s="119">
        <f t="shared" si="7"/>
        <v>66.999999999999915</v>
      </c>
      <c r="W7" s="23">
        <f>T7</f>
        <v>0.81388888888888888</v>
      </c>
      <c r="X7" s="23">
        <f>S8</f>
        <v>0.85347222222222219</v>
      </c>
      <c r="Y7" s="26"/>
      <c r="Z7" s="26"/>
      <c r="AA7" s="209"/>
      <c r="AB7" s="210"/>
      <c r="AC7" s="239"/>
      <c r="AD7" s="27"/>
      <c r="AE7" s="19">
        <f t="shared" si="8"/>
        <v>-83.582089552236312</v>
      </c>
      <c r="AF7" s="115">
        <f t="shared" si="9"/>
        <v>0.95820895522388183</v>
      </c>
      <c r="AG7" s="198"/>
    </row>
    <row r="8" spans="1:33">
      <c r="A8" s="190" t="s">
        <v>304</v>
      </c>
      <c r="B8" s="42" t="s">
        <v>92</v>
      </c>
      <c r="C8" s="206" t="s">
        <v>94</v>
      </c>
      <c r="D8" s="207"/>
      <c r="E8" s="42">
        <v>50.98</v>
      </c>
      <c r="F8" s="120">
        <v>1387</v>
      </c>
      <c r="G8" s="116">
        <f t="shared" si="0"/>
        <v>70709.259999999995</v>
      </c>
      <c r="H8" s="37" t="s">
        <v>91</v>
      </c>
      <c r="I8" s="118">
        <v>16</v>
      </c>
      <c r="J8" s="39">
        <v>2000</v>
      </c>
      <c r="K8" s="17">
        <f t="shared" si="1"/>
        <v>125</v>
      </c>
      <c r="L8" s="118">
        <v>16</v>
      </c>
      <c r="M8" s="18">
        <f t="shared" si="2"/>
        <v>1935.3488372093018</v>
      </c>
      <c r="N8" s="17">
        <f t="shared" si="3"/>
        <v>120.95930232558136</v>
      </c>
      <c r="O8" s="19">
        <f t="shared" si="4"/>
        <v>0</v>
      </c>
      <c r="P8" s="20">
        <f t="shared" si="5"/>
        <v>-4.040697674418638</v>
      </c>
      <c r="Q8" s="115">
        <f t="shared" si="6"/>
        <v>0.96767441860465087</v>
      </c>
      <c r="R8" s="198"/>
      <c r="S8" s="40">
        <v>0.85347222222222219</v>
      </c>
      <c r="T8" s="40">
        <v>0.8833333333333333</v>
      </c>
      <c r="U8" s="116">
        <f t="shared" si="10"/>
        <v>56.999999999999957</v>
      </c>
      <c r="V8" s="119">
        <f t="shared" si="7"/>
        <v>43.000000000000007</v>
      </c>
      <c r="W8" s="28"/>
      <c r="X8" s="28"/>
      <c r="Y8" s="240"/>
      <c r="Z8" s="240"/>
      <c r="AA8" s="209"/>
      <c r="AB8" s="210"/>
      <c r="AC8" s="239"/>
      <c r="AD8" s="27"/>
      <c r="AE8" s="19">
        <f t="shared" si="8"/>
        <v>-64.651162790698208</v>
      </c>
      <c r="AF8" s="115">
        <f t="shared" si="9"/>
        <v>0.96767441860465087</v>
      </c>
      <c r="AG8" s="198"/>
    </row>
    <row r="9" spans="1:33">
      <c r="A9" s="190" t="s">
        <v>304</v>
      </c>
      <c r="B9" s="42" t="s">
        <v>92</v>
      </c>
      <c r="C9" s="206" t="s">
        <v>93</v>
      </c>
      <c r="D9" s="207"/>
      <c r="E9" s="42">
        <v>50.92</v>
      </c>
      <c r="F9" s="120">
        <v>1278</v>
      </c>
      <c r="G9" s="116">
        <f t="shared" si="0"/>
        <v>65075.76</v>
      </c>
      <c r="H9" s="37" t="s">
        <v>91</v>
      </c>
      <c r="I9" s="118">
        <v>15</v>
      </c>
      <c r="J9" s="39">
        <v>2000</v>
      </c>
      <c r="K9" s="17">
        <f t="shared" si="1"/>
        <v>133.33333333333334</v>
      </c>
      <c r="L9" s="118">
        <v>15</v>
      </c>
      <c r="M9" s="18">
        <f t="shared" si="2"/>
        <v>1916.9999999999993</v>
      </c>
      <c r="N9" s="17">
        <f t="shared" si="3"/>
        <v>127.79999999999995</v>
      </c>
      <c r="O9" s="19">
        <f t="shared" si="4"/>
        <v>0</v>
      </c>
      <c r="P9" s="20">
        <f t="shared" si="5"/>
        <v>-5.5333333333333883</v>
      </c>
      <c r="Q9" s="115">
        <f t="shared" si="6"/>
        <v>0.95849999999999957</v>
      </c>
      <c r="R9" s="198"/>
      <c r="S9" s="40">
        <v>0.88888888888888884</v>
      </c>
      <c r="T9" s="40">
        <v>0.91666666666666663</v>
      </c>
      <c r="U9" s="116">
        <f t="shared" si="10"/>
        <v>7.9999999999999716</v>
      </c>
      <c r="V9" s="119">
        <f t="shared" si="7"/>
        <v>40.000000000000014</v>
      </c>
      <c r="W9" s="23"/>
      <c r="X9" s="23"/>
      <c r="Y9" s="26"/>
      <c r="Z9" s="26"/>
      <c r="AA9" s="209"/>
      <c r="AB9" s="210"/>
      <c r="AC9" s="239"/>
      <c r="AD9" s="27"/>
      <c r="AE9" s="19">
        <f t="shared" si="8"/>
        <v>-83.000000000000682</v>
      </c>
      <c r="AF9" s="115">
        <f t="shared" si="9"/>
        <v>0.95849999999999969</v>
      </c>
      <c r="AG9" s="198"/>
    </row>
    <row r="10" spans="1:33">
      <c r="A10" s="190" t="s">
        <v>304</v>
      </c>
      <c r="B10" s="42" t="s">
        <v>305</v>
      </c>
      <c r="C10" s="208"/>
      <c r="D10" s="208"/>
      <c r="E10" s="117"/>
      <c r="F10" s="44"/>
      <c r="G10" s="17"/>
      <c r="H10" s="120"/>
      <c r="I10" s="29">
        <v>15.4</v>
      </c>
      <c r="J10" s="39">
        <v>2000</v>
      </c>
      <c r="K10" s="17">
        <f t="shared" si="1"/>
        <v>129.87012987012986</v>
      </c>
      <c r="L10" s="29">
        <v>15.4</v>
      </c>
      <c r="M10" s="18">
        <f>AVERAGE(M5:M9)</f>
        <v>1932.1317279097907</v>
      </c>
      <c r="N10" s="17">
        <f t="shared" si="3"/>
        <v>125.46309921492147</v>
      </c>
      <c r="O10" s="19">
        <f t="shared" si="4"/>
        <v>0</v>
      </c>
      <c r="P10" s="20">
        <f t="shared" si="5"/>
        <v>-4.4070306552083878</v>
      </c>
      <c r="Q10" s="115">
        <f t="shared" si="6"/>
        <v>0.96606586395489547</v>
      </c>
      <c r="R10" s="198"/>
      <c r="S10" s="40"/>
      <c r="T10" s="40"/>
      <c r="U10" s="116"/>
      <c r="V10" s="119"/>
      <c r="W10" s="17"/>
      <c r="X10" s="17"/>
      <c r="Y10" s="30">
        <f>SUM(Y5:Y9)</f>
        <v>0</v>
      </c>
      <c r="Z10" s="30">
        <f>SUM(Z5:Z9)</f>
        <v>0</v>
      </c>
      <c r="AA10" s="201"/>
      <c r="AB10" s="201"/>
      <c r="AC10" s="30">
        <v>5</v>
      </c>
      <c r="AD10" s="30">
        <f>SUM(AD5:AD9)</f>
        <v>0</v>
      </c>
      <c r="AE10" s="19">
        <f t="shared" si="8"/>
        <v>-67.868272090209302</v>
      </c>
      <c r="AF10" s="115">
        <f t="shared" si="9"/>
        <v>0.96606586395489535</v>
      </c>
      <c r="AG10" s="198"/>
    </row>
    <row r="11" spans="1:33" ht="15.75" customHeight="1">
      <c r="A11" s="214" t="s">
        <v>306</v>
      </c>
      <c r="B11" s="42" t="s">
        <v>96</v>
      </c>
      <c r="C11" s="206" t="s">
        <v>97</v>
      </c>
      <c r="D11" s="207"/>
      <c r="E11" s="42">
        <v>39.799999999999997</v>
      </c>
      <c r="F11" s="120">
        <v>4100</v>
      </c>
      <c r="G11" s="116">
        <f t="shared" ref="G11:G16" si="11">E11*F11</f>
        <v>163180</v>
      </c>
      <c r="H11" s="37">
        <v>2</v>
      </c>
      <c r="I11" s="118">
        <v>17</v>
      </c>
      <c r="J11" s="39">
        <v>1500</v>
      </c>
      <c r="K11" s="17">
        <f t="shared" si="1"/>
        <v>88.235294117647058</v>
      </c>
      <c r="L11" s="118">
        <v>17</v>
      </c>
      <c r="M11" s="18">
        <f t="shared" ref="M11:M16" si="12">F11/V11*60</f>
        <v>1430.2325581395351</v>
      </c>
      <c r="N11" s="17">
        <f t="shared" si="3"/>
        <v>84.131326949384416</v>
      </c>
      <c r="O11" s="19">
        <f t="shared" si="4"/>
        <v>0</v>
      </c>
      <c r="P11" s="20">
        <f t="shared" si="5"/>
        <v>-4.103967168262642</v>
      </c>
      <c r="Q11" s="115">
        <f t="shared" si="6"/>
        <v>0.9534883720930234</v>
      </c>
      <c r="R11" s="198">
        <f>Q17</f>
        <v>0.95540929017814458</v>
      </c>
      <c r="S11" s="40">
        <v>8.3333333333333329E-2</v>
      </c>
      <c r="T11" s="40">
        <v>0.20277777777777778</v>
      </c>
      <c r="U11" s="116"/>
      <c r="V11" s="119">
        <f t="shared" ref="V11:V16" si="13">(T11-S11)*24*60</f>
        <v>172</v>
      </c>
      <c r="W11" s="23">
        <f>T11</f>
        <v>0.20277777777777778</v>
      </c>
      <c r="X11" s="23">
        <f>S12</f>
        <v>0.22222222222222224</v>
      </c>
      <c r="Y11" s="23"/>
      <c r="Z11" s="23"/>
      <c r="AA11" s="191"/>
      <c r="AB11" s="191"/>
      <c r="AC11" s="239">
        <v>6</v>
      </c>
      <c r="AD11" s="25"/>
      <c r="AE11" s="19">
        <f t="shared" si="8"/>
        <v>-69.767441860464942</v>
      </c>
      <c r="AF11" s="115">
        <f t="shared" si="9"/>
        <v>0.9534883720930234</v>
      </c>
      <c r="AG11" s="198">
        <f>AF17</f>
        <v>0.95540929017814458</v>
      </c>
    </row>
    <row r="12" spans="1:33" ht="15.75" customHeight="1">
      <c r="A12" s="214" t="s">
        <v>306</v>
      </c>
      <c r="B12" s="42" t="s">
        <v>96</v>
      </c>
      <c r="C12" s="206" t="s">
        <v>98</v>
      </c>
      <c r="D12" s="207"/>
      <c r="E12" s="42">
        <v>39.46</v>
      </c>
      <c r="F12" s="120">
        <v>3063</v>
      </c>
      <c r="G12" s="116">
        <f t="shared" si="11"/>
        <v>120865.98</v>
      </c>
      <c r="H12" s="37" t="s">
        <v>91</v>
      </c>
      <c r="I12" s="118">
        <v>15</v>
      </c>
      <c r="J12" s="39">
        <v>1500</v>
      </c>
      <c r="K12" s="17">
        <f t="shared" si="1"/>
        <v>100</v>
      </c>
      <c r="L12" s="118">
        <v>15</v>
      </c>
      <c r="M12" s="18">
        <f t="shared" si="12"/>
        <v>1435.7812500000002</v>
      </c>
      <c r="N12" s="17">
        <f t="shared" si="3"/>
        <v>95.718750000000014</v>
      </c>
      <c r="O12" s="19">
        <f t="shared" si="4"/>
        <v>0</v>
      </c>
      <c r="P12" s="20">
        <f t="shared" si="5"/>
        <v>-4.2812499999999858</v>
      </c>
      <c r="Q12" s="115">
        <f t="shared" si="6"/>
        <v>0.95718750000000019</v>
      </c>
      <c r="R12" s="198"/>
      <c r="S12" s="40">
        <v>0.22222222222222224</v>
      </c>
      <c r="T12" s="40">
        <v>0.31111111111111112</v>
      </c>
      <c r="U12" s="116">
        <f t="shared" ref="U12:U16" si="14">IF(S12=TIME(17,0,0),"",(S12-T11)*24*60)</f>
        <v>28.000000000000021</v>
      </c>
      <c r="V12" s="119">
        <f t="shared" si="13"/>
        <v>127.99999999999997</v>
      </c>
      <c r="W12" s="23"/>
      <c r="X12" s="23"/>
      <c r="Y12" s="23"/>
      <c r="Z12" s="23"/>
      <c r="AA12" s="191"/>
      <c r="AB12" s="191"/>
      <c r="AC12" s="239"/>
      <c r="AD12" s="25"/>
      <c r="AE12" s="19">
        <f t="shared" si="8"/>
        <v>-64.218749999999773</v>
      </c>
      <c r="AF12" s="115">
        <f t="shared" si="9"/>
        <v>0.95718750000000019</v>
      </c>
      <c r="AG12" s="198"/>
    </row>
    <row r="13" spans="1:33" ht="15.75" customHeight="1">
      <c r="A13" s="214" t="s">
        <v>306</v>
      </c>
      <c r="B13" s="42" t="s">
        <v>96</v>
      </c>
      <c r="C13" s="206" t="s">
        <v>99</v>
      </c>
      <c r="D13" s="207"/>
      <c r="E13" s="42">
        <v>39.520000000000003</v>
      </c>
      <c r="F13" s="120">
        <v>2512</v>
      </c>
      <c r="G13" s="116">
        <f t="shared" si="11"/>
        <v>99274.240000000005</v>
      </c>
      <c r="H13" s="37" t="s">
        <v>91</v>
      </c>
      <c r="I13" s="118">
        <v>19</v>
      </c>
      <c r="J13" s="39">
        <v>1500</v>
      </c>
      <c r="K13" s="17">
        <f t="shared" si="1"/>
        <v>78.94736842105263</v>
      </c>
      <c r="L13" s="118">
        <v>19</v>
      </c>
      <c r="M13" s="18">
        <f t="shared" si="12"/>
        <v>1435.4285714285711</v>
      </c>
      <c r="N13" s="17">
        <f t="shared" si="3"/>
        <v>75.548872180451113</v>
      </c>
      <c r="O13" s="19">
        <f t="shared" si="4"/>
        <v>0</v>
      </c>
      <c r="P13" s="20">
        <f t="shared" si="5"/>
        <v>-3.3984962406015171</v>
      </c>
      <c r="Q13" s="115">
        <f t="shared" si="6"/>
        <v>0.95695238095238078</v>
      </c>
      <c r="R13" s="198"/>
      <c r="S13" s="40">
        <v>0.31458333333333333</v>
      </c>
      <c r="T13" s="40">
        <v>0.38750000000000001</v>
      </c>
      <c r="U13" s="116">
        <f t="shared" si="14"/>
        <v>4.9999999999999822</v>
      </c>
      <c r="V13" s="119">
        <f t="shared" si="13"/>
        <v>105.00000000000003</v>
      </c>
      <c r="W13" s="23"/>
      <c r="X13" s="23"/>
      <c r="Y13" s="23"/>
      <c r="Z13" s="23"/>
      <c r="AA13" s="191"/>
      <c r="AB13" s="191"/>
      <c r="AC13" s="239"/>
      <c r="AD13" s="25"/>
      <c r="AE13" s="19">
        <f t="shared" si="8"/>
        <v>-64.571428571428896</v>
      </c>
      <c r="AF13" s="115">
        <f t="shared" si="9"/>
        <v>0.95695238095238078</v>
      </c>
      <c r="AG13" s="198"/>
    </row>
    <row r="14" spans="1:33" ht="15.75" customHeight="1">
      <c r="A14" s="214" t="s">
        <v>306</v>
      </c>
      <c r="B14" s="42" t="s">
        <v>96</v>
      </c>
      <c r="C14" s="206" t="s">
        <v>100</v>
      </c>
      <c r="D14" s="207"/>
      <c r="E14" s="42">
        <v>39.619999999999997</v>
      </c>
      <c r="F14" s="120">
        <v>2900</v>
      </c>
      <c r="G14" s="116">
        <f t="shared" si="11"/>
        <v>114897.99999999999</v>
      </c>
      <c r="H14" s="37">
        <v>2</v>
      </c>
      <c r="I14" s="118">
        <v>19</v>
      </c>
      <c r="J14" s="39">
        <v>1500</v>
      </c>
      <c r="K14" s="17">
        <f t="shared" si="1"/>
        <v>78.94736842105263</v>
      </c>
      <c r="L14" s="118">
        <v>19</v>
      </c>
      <c r="M14" s="18">
        <f t="shared" si="12"/>
        <v>1426.2295081967218</v>
      </c>
      <c r="N14" s="17">
        <f t="shared" si="3"/>
        <v>75.064710957722198</v>
      </c>
      <c r="O14" s="19">
        <f t="shared" si="4"/>
        <v>0</v>
      </c>
      <c r="P14" s="20">
        <f t="shared" si="5"/>
        <v>-3.8826574633304318</v>
      </c>
      <c r="Q14" s="115">
        <f t="shared" si="6"/>
        <v>0.95081967213114782</v>
      </c>
      <c r="R14" s="198"/>
      <c r="S14" s="40">
        <v>0.39305555555555555</v>
      </c>
      <c r="T14" s="40">
        <v>0.47777777777777775</v>
      </c>
      <c r="U14" s="116">
        <f t="shared" si="14"/>
        <v>7.9999999999999716</v>
      </c>
      <c r="V14" s="119">
        <f t="shared" si="13"/>
        <v>121.99999999999997</v>
      </c>
      <c r="W14" s="23">
        <f>T14</f>
        <v>0.47777777777777775</v>
      </c>
      <c r="X14" s="23">
        <f>S15</f>
        <v>0.51874999999999993</v>
      </c>
      <c r="Y14" s="23"/>
      <c r="Z14" s="23"/>
      <c r="AA14" s="209"/>
      <c r="AB14" s="210"/>
      <c r="AC14" s="239"/>
      <c r="AD14" s="25"/>
      <c r="AE14" s="19">
        <f t="shared" si="8"/>
        <v>-73.770491803278219</v>
      </c>
      <c r="AF14" s="115">
        <f t="shared" si="9"/>
        <v>0.95081967213114782</v>
      </c>
      <c r="AG14" s="198"/>
    </row>
    <row r="15" spans="1:33" ht="15.75" customHeight="1">
      <c r="A15" s="214" t="s">
        <v>307</v>
      </c>
      <c r="B15" s="42" t="s">
        <v>96</v>
      </c>
      <c r="C15" s="206" t="s">
        <v>100</v>
      </c>
      <c r="D15" s="207"/>
      <c r="E15" s="42">
        <v>39.619999999999997</v>
      </c>
      <c r="F15" s="120">
        <v>2354</v>
      </c>
      <c r="G15" s="116">
        <f t="shared" si="11"/>
        <v>93265.48</v>
      </c>
      <c r="H15" s="37" t="s">
        <v>91</v>
      </c>
      <c r="I15" s="118">
        <v>19</v>
      </c>
      <c r="J15" s="39">
        <v>1500</v>
      </c>
      <c r="K15" s="17">
        <f t="shared" si="1"/>
        <v>78.94736842105263</v>
      </c>
      <c r="L15" s="118">
        <v>19</v>
      </c>
      <c r="M15" s="18">
        <f t="shared" si="12"/>
        <v>1441.2244897959188</v>
      </c>
      <c r="N15" s="17">
        <f t="shared" si="3"/>
        <v>75.853920515574671</v>
      </c>
      <c r="O15" s="19">
        <f t="shared" si="4"/>
        <v>0</v>
      </c>
      <c r="P15" s="20">
        <f t="shared" si="5"/>
        <v>-3.0934479054779587</v>
      </c>
      <c r="Q15" s="115">
        <f t="shared" si="6"/>
        <v>0.96081632653061255</v>
      </c>
      <c r="R15" s="198"/>
      <c r="S15" s="40">
        <v>0.51874999999999993</v>
      </c>
      <c r="T15" s="40">
        <v>0.58680555555555547</v>
      </c>
      <c r="U15" s="116">
        <f t="shared" si="14"/>
        <v>58.99999999999995</v>
      </c>
      <c r="V15" s="119">
        <f t="shared" si="13"/>
        <v>97.999999999999972</v>
      </c>
      <c r="W15" s="23"/>
      <c r="X15" s="23"/>
      <c r="Y15" s="26"/>
      <c r="Z15" s="26"/>
      <c r="AA15" s="209"/>
      <c r="AB15" s="210"/>
      <c r="AC15" s="239"/>
      <c r="AD15" s="25"/>
      <c r="AE15" s="19">
        <f t="shared" si="8"/>
        <v>-58.775510204081229</v>
      </c>
      <c r="AF15" s="115">
        <f t="shared" si="9"/>
        <v>0.96081632653061255</v>
      </c>
      <c r="AG15" s="198"/>
    </row>
    <row r="16" spans="1:33" ht="15.75" customHeight="1">
      <c r="A16" s="214" t="s">
        <v>307</v>
      </c>
      <c r="B16" s="42" t="s">
        <v>96</v>
      </c>
      <c r="C16" s="206" t="s">
        <v>97</v>
      </c>
      <c r="D16" s="207"/>
      <c r="E16" s="42">
        <v>39.799999999999997</v>
      </c>
      <c r="F16" s="120">
        <v>3360</v>
      </c>
      <c r="G16" s="116">
        <f t="shared" si="11"/>
        <v>133728</v>
      </c>
      <c r="H16" s="37" t="s">
        <v>91</v>
      </c>
      <c r="I16" s="118">
        <v>17</v>
      </c>
      <c r="J16" s="39">
        <v>1500</v>
      </c>
      <c r="K16" s="17">
        <f t="shared" si="1"/>
        <v>88.235294117647058</v>
      </c>
      <c r="L16" s="118">
        <v>17</v>
      </c>
      <c r="M16" s="18">
        <f t="shared" si="12"/>
        <v>1429.7872340425536</v>
      </c>
      <c r="N16" s="17">
        <f t="shared" si="3"/>
        <v>84.105131414267859</v>
      </c>
      <c r="O16" s="19">
        <f t="shared" si="4"/>
        <v>0</v>
      </c>
      <c r="P16" s="20">
        <f t="shared" si="5"/>
        <v>-4.1301627033791988</v>
      </c>
      <c r="Q16" s="115">
        <f t="shared" si="6"/>
        <v>0.95319148936170239</v>
      </c>
      <c r="R16" s="198"/>
      <c r="S16" s="40">
        <v>0.59097222222222212</v>
      </c>
      <c r="T16" s="40">
        <v>0.68888888888888877</v>
      </c>
      <c r="U16" s="116">
        <f t="shared" si="14"/>
        <v>5.9999999999999787</v>
      </c>
      <c r="V16" s="119">
        <f t="shared" si="13"/>
        <v>140.99999999999997</v>
      </c>
      <c r="W16" s="23"/>
      <c r="X16" s="23"/>
      <c r="Y16" s="26"/>
      <c r="Z16" s="26"/>
      <c r="AA16" s="209"/>
      <c r="AB16" s="210"/>
      <c r="AC16" s="239"/>
      <c r="AD16" s="25"/>
      <c r="AE16" s="19">
        <f t="shared" si="8"/>
        <v>-70.212765957446436</v>
      </c>
      <c r="AF16" s="115">
        <f t="shared" si="9"/>
        <v>0.95319148936170239</v>
      </c>
      <c r="AG16" s="198"/>
    </row>
    <row r="17" spans="1:33" ht="16.5" customHeight="1">
      <c r="A17" s="214" t="s">
        <v>307</v>
      </c>
      <c r="B17" s="42" t="s">
        <v>305</v>
      </c>
      <c r="C17" s="208"/>
      <c r="D17" s="208"/>
      <c r="E17" s="117"/>
      <c r="F17" s="39"/>
      <c r="G17" s="18"/>
      <c r="H17" s="120"/>
      <c r="I17" s="29">
        <v>17.666666666666668</v>
      </c>
      <c r="J17" s="39">
        <v>1500</v>
      </c>
      <c r="K17" s="17">
        <f t="shared" si="1"/>
        <v>84.905660377358487</v>
      </c>
      <c r="L17" s="29">
        <v>17.666666666666668</v>
      </c>
      <c r="M17" s="18">
        <f>AVERAGE(M11:M16)</f>
        <v>1433.1139352672169</v>
      </c>
      <c r="N17" s="17">
        <f t="shared" si="3"/>
        <v>81.119656713238683</v>
      </c>
      <c r="O17" s="19">
        <f t="shared" si="4"/>
        <v>0</v>
      </c>
      <c r="P17" s="20">
        <f t="shared" si="5"/>
        <v>-3.7860036641198036</v>
      </c>
      <c r="Q17" s="115">
        <f t="shared" si="6"/>
        <v>0.95540929017814458</v>
      </c>
      <c r="R17" s="198"/>
      <c r="S17" s="40"/>
      <c r="T17" s="40"/>
      <c r="U17" s="17"/>
      <c r="V17" s="119"/>
      <c r="W17" s="17"/>
      <c r="X17" s="17"/>
      <c r="Y17" s="30">
        <f>SUM(Y11:Y16)</f>
        <v>0</v>
      </c>
      <c r="Z17" s="30">
        <f>SUM(Z11:Z16)</f>
        <v>0</v>
      </c>
      <c r="AA17" s="201"/>
      <c r="AB17" s="201"/>
      <c r="AC17" s="30">
        <v>6</v>
      </c>
      <c r="AD17" s="30">
        <f>SUM(AD11:AD16)</f>
        <v>0</v>
      </c>
      <c r="AE17" s="19">
        <f t="shared" si="8"/>
        <v>-66.886064732783097</v>
      </c>
      <c r="AF17" s="115">
        <f t="shared" si="9"/>
        <v>0.95540929017814458</v>
      </c>
      <c r="AG17" s="198"/>
    </row>
    <row r="18" spans="1:33" ht="16.5" customHeight="1">
      <c r="A18" s="211" t="s">
        <v>308</v>
      </c>
      <c r="B18" s="120" t="s">
        <v>101</v>
      </c>
      <c r="C18" s="213" t="s">
        <v>102</v>
      </c>
      <c r="D18" s="213"/>
      <c r="E18" s="42">
        <v>31.11</v>
      </c>
      <c r="F18" s="120">
        <v>3829</v>
      </c>
      <c r="G18" s="116">
        <f t="shared" ref="G18:G24" si="15">E18*F18</f>
        <v>119120.19</v>
      </c>
      <c r="H18" s="37" t="s">
        <v>91</v>
      </c>
      <c r="I18" s="118">
        <v>14</v>
      </c>
      <c r="J18" s="39">
        <v>2000</v>
      </c>
      <c r="K18" s="17">
        <f t="shared" si="1"/>
        <v>142.85714285714286</v>
      </c>
      <c r="L18" s="118">
        <v>14</v>
      </c>
      <c r="M18" s="18">
        <f t="shared" ref="M18:M24" si="16">F18/V18*60</f>
        <v>1914.5</v>
      </c>
      <c r="N18" s="17">
        <f t="shared" si="3"/>
        <v>136.75</v>
      </c>
      <c r="O18" s="19">
        <f t="shared" si="4"/>
        <v>0</v>
      </c>
      <c r="P18" s="20">
        <f t="shared" si="5"/>
        <v>-6.1071428571428612</v>
      </c>
      <c r="Q18" s="115">
        <f t="shared" si="6"/>
        <v>0.95724999999999993</v>
      </c>
      <c r="R18" s="198">
        <f>Q25</f>
        <v>0.95948177102299448</v>
      </c>
      <c r="S18" s="40">
        <v>8.3333333333333329E-2</v>
      </c>
      <c r="T18" s="40">
        <v>0.16666666666666666</v>
      </c>
      <c r="U18" s="116"/>
      <c r="V18" s="119">
        <f t="shared" ref="V18:V24" si="17">(T18-S18)*24*60</f>
        <v>120</v>
      </c>
      <c r="W18" s="23">
        <f>T18</f>
        <v>0.16666666666666666</v>
      </c>
      <c r="X18" s="23">
        <f>S19</f>
        <v>0.18611111111111109</v>
      </c>
      <c r="Y18" s="28"/>
      <c r="Z18" s="28"/>
      <c r="AA18" s="191"/>
      <c r="AB18" s="191"/>
      <c r="AC18" s="239">
        <v>7</v>
      </c>
      <c r="AD18" s="25"/>
      <c r="AE18" s="19">
        <f t="shared" si="8"/>
        <v>-85.5</v>
      </c>
      <c r="AF18" s="115">
        <f t="shared" si="9"/>
        <v>0.95725000000000005</v>
      </c>
      <c r="AG18" s="198">
        <f>AF25</f>
        <v>0.95948177102299459</v>
      </c>
    </row>
    <row r="19" spans="1:33" ht="16.5" customHeight="1">
      <c r="A19" s="212" t="s">
        <v>308</v>
      </c>
      <c r="B19" s="120" t="s">
        <v>103</v>
      </c>
      <c r="C19" s="213" t="s">
        <v>104</v>
      </c>
      <c r="D19" s="213"/>
      <c r="E19" s="42">
        <v>38.619999999999997</v>
      </c>
      <c r="F19" s="120">
        <v>2295</v>
      </c>
      <c r="G19" s="116">
        <f t="shared" si="15"/>
        <v>88632.9</v>
      </c>
      <c r="H19" s="37" t="s">
        <v>91</v>
      </c>
      <c r="I19" s="118">
        <v>24</v>
      </c>
      <c r="J19" s="39">
        <v>1500</v>
      </c>
      <c r="K19" s="17">
        <f t="shared" si="1"/>
        <v>62.5</v>
      </c>
      <c r="L19" s="118">
        <v>24</v>
      </c>
      <c r="M19" s="18">
        <f t="shared" si="16"/>
        <v>1434.3749999999998</v>
      </c>
      <c r="N19" s="17">
        <f t="shared" si="3"/>
        <v>59.765624999999993</v>
      </c>
      <c r="O19" s="19">
        <f t="shared" si="4"/>
        <v>0</v>
      </c>
      <c r="P19" s="20">
        <f t="shared" si="5"/>
        <v>-2.7343750000000071</v>
      </c>
      <c r="Q19" s="115">
        <f t="shared" si="6"/>
        <v>0.95624999999999993</v>
      </c>
      <c r="R19" s="198"/>
      <c r="S19" s="40">
        <v>0.18611111111111109</v>
      </c>
      <c r="T19" s="40">
        <v>0.25277777777777777</v>
      </c>
      <c r="U19" s="116">
        <f t="shared" ref="U19:U24" si="18">IF(S19=TIME(17,0,0),"",(S19-T18)*24*60)</f>
        <v>27.999999999999979</v>
      </c>
      <c r="V19" s="119">
        <f t="shared" si="17"/>
        <v>96.000000000000014</v>
      </c>
      <c r="W19" s="23"/>
      <c r="X19" s="23"/>
      <c r="Y19" s="23"/>
      <c r="Z19" s="23"/>
      <c r="AA19" s="191"/>
      <c r="AB19" s="191"/>
      <c r="AC19" s="239"/>
      <c r="AD19" s="25"/>
      <c r="AE19" s="19">
        <f t="shared" si="8"/>
        <v>-65.625000000000227</v>
      </c>
      <c r="AF19" s="115">
        <f t="shared" si="9"/>
        <v>0.95624999999999982</v>
      </c>
      <c r="AG19" s="198"/>
    </row>
    <row r="20" spans="1:33" ht="16.5" customHeight="1">
      <c r="A20" s="212" t="s">
        <v>308</v>
      </c>
      <c r="B20" s="120" t="s">
        <v>103</v>
      </c>
      <c r="C20" s="213" t="s">
        <v>105</v>
      </c>
      <c r="D20" s="213"/>
      <c r="E20" s="42">
        <v>41</v>
      </c>
      <c r="F20" s="120">
        <v>1898</v>
      </c>
      <c r="G20" s="116">
        <f t="shared" si="15"/>
        <v>77818</v>
      </c>
      <c r="H20" s="37" t="s">
        <v>91</v>
      </c>
      <c r="I20" s="118">
        <v>26</v>
      </c>
      <c r="J20" s="39">
        <v>1500</v>
      </c>
      <c r="K20" s="17">
        <f t="shared" si="1"/>
        <v>57.692307692307693</v>
      </c>
      <c r="L20" s="118">
        <v>26</v>
      </c>
      <c r="M20" s="18">
        <f t="shared" si="16"/>
        <v>1441.5189873417712</v>
      </c>
      <c r="N20" s="17">
        <f t="shared" si="3"/>
        <v>55.443037974683506</v>
      </c>
      <c r="O20" s="19">
        <f t="shared" si="4"/>
        <v>0</v>
      </c>
      <c r="P20" s="20">
        <f t="shared" si="5"/>
        <v>-2.2492697176241876</v>
      </c>
      <c r="Q20" s="115">
        <f t="shared" si="6"/>
        <v>0.96101265822784743</v>
      </c>
      <c r="R20" s="198"/>
      <c r="S20" s="40">
        <v>0.25694444444444442</v>
      </c>
      <c r="T20" s="40">
        <v>0.31180555555555556</v>
      </c>
      <c r="U20" s="116">
        <f t="shared" si="18"/>
        <v>5.9999999999999787</v>
      </c>
      <c r="V20" s="119">
        <f t="shared" si="17"/>
        <v>79.000000000000043</v>
      </c>
      <c r="W20" s="23"/>
      <c r="X20" s="23"/>
      <c r="Y20" s="23"/>
      <c r="Z20" s="23"/>
      <c r="AA20" s="191"/>
      <c r="AB20" s="191"/>
      <c r="AC20" s="239"/>
      <c r="AD20" s="25"/>
      <c r="AE20" s="19">
        <f t="shared" si="8"/>
        <v>-58.481012658228792</v>
      </c>
      <c r="AF20" s="115">
        <f t="shared" si="9"/>
        <v>0.96101265822784743</v>
      </c>
      <c r="AG20" s="198"/>
    </row>
    <row r="21" spans="1:33" ht="16.5" customHeight="1">
      <c r="A21" s="212" t="s">
        <v>308</v>
      </c>
      <c r="B21" s="120" t="s">
        <v>92</v>
      </c>
      <c r="C21" s="213" t="s">
        <v>106</v>
      </c>
      <c r="D21" s="213"/>
      <c r="E21" s="42">
        <v>37.03</v>
      </c>
      <c r="F21" s="120">
        <v>3372</v>
      </c>
      <c r="G21" s="116">
        <f t="shared" si="15"/>
        <v>124865.16</v>
      </c>
      <c r="H21" s="37" t="s">
        <v>91</v>
      </c>
      <c r="I21" s="118">
        <v>13</v>
      </c>
      <c r="J21" s="39">
        <v>1500</v>
      </c>
      <c r="K21" s="17">
        <f t="shared" si="1"/>
        <v>115.38461538461539</v>
      </c>
      <c r="L21" s="118">
        <v>13</v>
      </c>
      <c r="M21" s="18">
        <f t="shared" si="16"/>
        <v>1434.8936170212769</v>
      </c>
      <c r="N21" s="17">
        <f t="shared" si="3"/>
        <v>110.37643207855976</v>
      </c>
      <c r="O21" s="19">
        <f t="shared" si="4"/>
        <v>0</v>
      </c>
      <c r="P21" s="20">
        <f t="shared" si="5"/>
        <v>-5.0081833060556278</v>
      </c>
      <c r="Q21" s="115">
        <f t="shared" si="6"/>
        <v>0.95659574468085118</v>
      </c>
      <c r="R21" s="198"/>
      <c r="S21" s="40">
        <v>0.31666666666666665</v>
      </c>
      <c r="T21" s="40">
        <v>0.4145833333333333</v>
      </c>
      <c r="U21" s="116">
        <f t="shared" si="18"/>
        <v>6.9999999999999751</v>
      </c>
      <c r="V21" s="119">
        <f t="shared" si="17"/>
        <v>140.99999999999997</v>
      </c>
      <c r="W21" s="23"/>
      <c r="X21" s="23"/>
      <c r="Y21" s="23"/>
      <c r="Z21" s="23"/>
      <c r="AA21" s="191"/>
      <c r="AB21" s="191"/>
      <c r="AC21" s="239"/>
      <c r="AD21" s="25"/>
      <c r="AE21" s="19">
        <f t="shared" si="8"/>
        <v>-65.106382978723104</v>
      </c>
      <c r="AF21" s="115">
        <f t="shared" si="9"/>
        <v>0.95659574468085129</v>
      </c>
      <c r="AG21" s="198"/>
    </row>
    <row r="22" spans="1:33" ht="16.5" customHeight="1">
      <c r="A22" s="212" t="s">
        <v>308</v>
      </c>
      <c r="B22" s="120" t="s">
        <v>92</v>
      </c>
      <c r="C22" s="213" t="s">
        <v>108</v>
      </c>
      <c r="D22" s="213"/>
      <c r="E22" s="42">
        <v>54.5</v>
      </c>
      <c r="F22" s="120">
        <v>2082</v>
      </c>
      <c r="G22" s="116">
        <f t="shared" si="15"/>
        <v>113469</v>
      </c>
      <c r="H22" s="37" t="s">
        <v>91</v>
      </c>
      <c r="I22" s="118">
        <v>20</v>
      </c>
      <c r="J22" s="39">
        <v>1500</v>
      </c>
      <c r="K22" s="17">
        <f t="shared" si="1"/>
        <v>75</v>
      </c>
      <c r="L22" s="118">
        <v>20</v>
      </c>
      <c r="M22" s="18">
        <f t="shared" si="16"/>
        <v>1435.862068965517</v>
      </c>
      <c r="N22" s="17">
        <f t="shared" si="3"/>
        <v>71.793103448275843</v>
      </c>
      <c r="O22" s="19">
        <f t="shared" si="4"/>
        <v>0</v>
      </c>
      <c r="P22" s="20">
        <f t="shared" si="5"/>
        <v>-3.2068965517241566</v>
      </c>
      <c r="Q22" s="115">
        <f t="shared" si="6"/>
        <v>0.95724137931034459</v>
      </c>
      <c r="R22" s="198"/>
      <c r="S22" s="40">
        <v>0.70833333333333337</v>
      </c>
      <c r="T22" s="40">
        <v>0.76875000000000004</v>
      </c>
      <c r="U22" s="116" t="str">
        <f t="shared" si="18"/>
        <v/>
      </c>
      <c r="V22" s="119">
        <f t="shared" si="17"/>
        <v>87.000000000000014</v>
      </c>
      <c r="W22" s="23"/>
      <c r="X22" s="23"/>
      <c r="Y22" s="23"/>
      <c r="Z22" s="23"/>
      <c r="AA22" s="191"/>
      <c r="AB22" s="191"/>
      <c r="AC22" s="239"/>
      <c r="AD22" s="25"/>
      <c r="AE22" s="19">
        <f t="shared" si="8"/>
        <v>-64.137931034483017</v>
      </c>
      <c r="AF22" s="115">
        <f t="shared" si="9"/>
        <v>0.9572413793103447</v>
      </c>
      <c r="AG22" s="198"/>
    </row>
    <row r="23" spans="1:33" ht="16.5" customHeight="1">
      <c r="A23" s="212" t="s">
        <v>308</v>
      </c>
      <c r="B23" s="120" t="s">
        <v>92</v>
      </c>
      <c r="C23" s="45" t="s">
        <v>107</v>
      </c>
      <c r="D23" s="46"/>
      <c r="E23" s="42">
        <v>50.67</v>
      </c>
      <c r="F23" s="120">
        <v>1836</v>
      </c>
      <c r="G23" s="116">
        <f t="shared" si="15"/>
        <v>93030.12000000001</v>
      </c>
      <c r="H23" s="37" t="s">
        <v>91</v>
      </c>
      <c r="I23" s="118">
        <v>17</v>
      </c>
      <c r="J23" s="39">
        <v>2000</v>
      </c>
      <c r="K23" s="17">
        <f t="shared" si="1"/>
        <v>117.64705882352941</v>
      </c>
      <c r="L23" s="118">
        <v>17</v>
      </c>
      <c r="M23" s="18">
        <f t="shared" si="16"/>
        <v>1932.6315789473701</v>
      </c>
      <c r="N23" s="17">
        <f t="shared" si="3"/>
        <v>113.68421052631589</v>
      </c>
      <c r="O23" s="19">
        <f t="shared" si="4"/>
        <v>0</v>
      </c>
      <c r="P23" s="20">
        <f t="shared" si="5"/>
        <v>-3.9628482972135117</v>
      </c>
      <c r="Q23" s="115">
        <f t="shared" si="6"/>
        <v>0.96631578947368513</v>
      </c>
      <c r="R23" s="198"/>
      <c r="S23" s="40">
        <v>0.77430555555555558</v>
      </c>
      <c r="T23" s="40">
        <v>0.81388888888888888</v>
      </c>
      <c r="U23" s="116">
        <f t="shared" si="18"/>
        <v>7.9999999999999716</v>
      </c>
      <c r="V23" s="119">
        <f t="shared" si="17"/>
        <v>56.999999999999957</v>
      </c>
      <c r="W23" s="23"/>
      <c r="X23" s="23"/>
      <c r="Y23" s="26"/>
      <c r="Z23" s="26"/>
      <c r="AA23" s="111"/>
      <c r="AB23" s="112"/>
      <c r="AC23" s="239"/>
      <c r="AD23" s="25"/>
      <c r="AE23" s="19">
        <f t="shared" si="8"/>
        <v>-67.368421052629856</v>
      </c>
      <c r="AF23" s="115">
        <f t="shared" si="9"/>
        <v>0.96631578947368513</v>
      </c>
      <c r="AG23" s="198"/>
    </row>
    <row r="24" spans="1:33" ht="16.5" customHeight="1">
      <c r="A24" s="212" t="s">
        <v>308</v>
      </c>
      <c r="B24" s="120" t="s">
        <v>92</v>
      </c>
      <c r="C24" s="45" t="s">
        <v>95</v>
      </c>
      <c r="D24" s="46"/>
      <c r="E24" s="42">
        <v>50.67</v>
      </c>
      <c r="F24" s="120">
        <v>1568</v>
      </c>
      <c r="G24" s="116">
        <f t="shared" si="15"/>
        <v>79450.559999999998</v>
      </c>
      <c r="H24" s="37" t="s">
        <v>91</v>
      </c>
      <c r="I24" s="118">
        <v>15</v>
      </c>
      <c r="J24" s="39">
        <v>2000</v>
      </c>
      <c r="K24" s="17">
        <f t="shared" si="1"/>
        <v>133.33333333333334</v>
      </c>
      <c r="L24" s="118">
        <v>15</v>
      </c>
      <c r="M24" s="18">
        <f t="shared" si="16"/>
        <v>1920.0000000000005</v>
      </c>
      <c r="N24" s="17">
        <f t="shared" si="3"/>
        <v>128.00000000000003</v>
      </c>
      <c r="O24" s="19">
        <f t="shared" si="4"/>
        <v>0</v>
      </c>
      <c r="P24" s="20">
        <f t="shared" si="5"/>
        <v>-5.3333333333333144</v>
      </c>
      <c r="Q24" s="115">
        <f t="shared" si="6"/>
        <v>0.96000000000000019</v>
      </c>
      <c r="R24" s="198"/>
      <c r="S24" s="40">
        <v>0.81944444444444442</v>
      </c>
      <c r="T24" s="40">
        <v>0.85347222222222219</v>
      </c>
      <c r="U24" s="116">
        <f t="shared" si="18"/>
        <v>7.9999999999999716</v>
      </c>
      <c r="V24" s="119">
        <f t="shared" si="17"/>
        <v>48.999999999999986</v>
      </c>
      <c r="W24" s="23"/>
      <c r="X24" s="23"/>
      <c r="Y24" s="26"/>
      <c r="Z24" s="26"/>
      <c r="AA24" s="111"/>
      <c r="AB24" s="112"/>
      <c r="AC24" s="239"/>
      <c r="AD24" s="25"/>
      <c r="AE24" s="19">
        <f t="shared" si="8"/>
        <v>-79.999999999999545</v>
      </c>
      <c r="AF24" s="115">
        <f t="shared" si="9"/>
        <v>0.96000000000000019</v>
      </c>
      <c r="AG24" s="198"/>
    </row>
    <row r="25" spans="1:33" ht="16.5" customHeight="1">
      <c r="A25" s="212" t="s">
        <v>308</v>
      </c>
      <c r="B25" s="42" t="s">
        <v>305</v>
      </c>
      <c r="C25" s="208"/>
      <c r="D25" s="208"/>
      <c r="E25" s="117"/>
      <c r="F25" s="44"/>
      <c r="G25" s="17"/>
      <c r="H25" s="120"/>
      <c r="I25" s="29">
        <v>18.428571428571427</v>
      </c>
      <c r="J25" s="39">
        <v>1714.2857142857142</v>
      </c>
      <c r="K25" s="17">
        <f t="shared" si="1"/>
        <v>93.023255813953497</v>
      </c>
      <c r="L25" s="29">
        <v>18.428571428571427</v>
      </c>
      <c r="M25" s="18">
        <f>AVERAGE(M18:M24)</f>
        <v>1644.8258931822763</v>
      </c>
      <c r="N25" s="17">
        <f t="shared" si="3"/>
        <v>89.254118234697174</v>
      </c>
      <c r="O25" s="19">
        <f t="shared" si="4"/>
        <v>0</v>
      </c>
      <c r="P25" s="20">
        <f t="shared" si="5"/>
        <v>-3.7691375792563235</v>
      </c>
      <c r="Q25" s="115">
        <f t="shared" si="6"/>
        <v>0.95948177102299448</v>
      </c>
      <c r="R25" s="198"/>
      <c r="S25" s="40"/>
      <c r="T25" s="40"/>
      <c r="U25" s="116"/>
      <c r="V25" s="119"/>
      <c r="W25" s="17"/>
      <c r="X25" s="17"/>
      <c r="Y25" s="30">
        <f>SUM(Y18:Y24)</f>
        <v>0</v>
      </c>
      <c r="Z25" s="30">
        <f>SUM(Z18:Z24)</f>
        <v>0</v>
      </c>
      <c r="AA25" s="201"/>
      <c r="AB25" s="201"/>
      <c r="AC25" s="30">
        <v>7</v>
      </c>
      <c r="AD25" s="30">
        <f>SUM(AD18:AD24)</f>
        <v>0</v>
      </c>
      <c r="AE25" s="19">
        <f t="shared" si="8"/>
        <v>-69.459821103437889</v>
      </c>
      <c r="AF25" s="115">
        <f t="shared" si="9"/>
        <v>0.95948177102299459</v>
      </c>
      <c r="AG25" s="198"/>
    </row>
    <row r="26" spans="1:33" ht="15.75" customHeight="1">
      <c r="A26" s="215" t="s">
        <v>309</v>
      </c>
      <c r="B26" s="42" t="s">
        <v>92</v>
      </c>
      <c r="C26" s="213" t="s">
        <v>110</v>
      </c>
      <c r="D26" s="213"/>
      <c r="E26" s="42">
        <v>50.67</v>
      </c>
      <c r="F26" s="120">
        <v>1964</v>
      </c>
      <c r="G26" s="116">
        <f t="shared" ref="G26:G32" si="19">E26*F26</f>
        <v>99515.88</v>
      </c>
      <c r="H26" s="37" t="s">
        <v>91</v>
      </c>
      <c r="I26" s="118">
        <v>17</v>
      </c>
      <c r="J26" s="39">
        <v>2000</v>
      </c>
      <c r="K26" s="17">
        <f t="shared" si="1"/>
        <v>117.64705882352941</v>
      </c>
      <c r="L26" s="118">
        <v>17</v>
      </c>
      <c r="M26" s="18">
        <f t="shared" ref="M26:M32" si="20">F26/V26*60</f>
        <v>1931.8032786885249</v>
      </c>
      <c r="N26" s="17">
        <f t="shared" si="3"/>
        <v>113.63548698167793</v>
      </c>
      <c r="O26" s="19">
        <f t="shared" si="4"/>
        <v>0</v>
      </c>
      <c r="P26" s="20">
        <f t="shared" si="5"/>
        <v>-4.0115718418514774</v>
      </c>
      <c r="Q26" s="115">
        <f t="shared" si="6"/>
        <v>0.96590163934426243</v>
      </c>
      <c r="R26" s="198">
        <f>Q33</f>
        <v>0.9630961960797334</v>
      </c>
      <c r="S26" s="40">
        <v>0.20833333333333334</v>
      </c>
      <c r="T26" s="40">
        <v>0.25069444444444444</v>
      </c>
      <c r="U26" s="116"/>
      <c r="V26" s="119">
        <f t="shared" ref="V26:V32" si="21">(T26-S26)*24*60</f>
        <v>60.999999999999986</v>
      </c>
      <c r="W26" s="23"/>
      <c r="X26" s="23"/>
      <c r="Y26" s="28"/>
      <c r="Z26" s="28"/>
      <c r="AA26" s="191"/>
      <c r="AB26" s="191"/>
      <c r="AC26" s="239">
        <v>7</v>
      </c>
      <c r="AD26" s="25"/>
      <c r="AE26" s="19">
        <f t="shared" si="8"/>
        <v>-68.19672131147513</v>
      </c>
      <c r="AF26" s="115">
        <f t="shared" si="9"/>
        <v>0.96590163934426243</v>
      </c>
      <c r="AG26" s="198">
        <f>AF33</f>
        <v>0.9630961960797334</v>
      </c>
    </row>
    <row r="27" spans="1:33" ht="15.75" customHeight="1">
      <c r="A27" s="216" t="s">
        <v>309</v>
      </c>
      <c r="B27" s="42" t="s">
        <v>92</v>
      </c>
      <c r="C27" s="213" t="s">
        <v>111</v>
      </c>
      <c r="D27" s="213"/>
      <c r="E27" s="42">
        <v>57.73</v>
      </c>
      <c r="F27" s="120">
        <v>2748</v>
      </c>
      <c r="G27" s="116">
        <f t="shared" si="19"/>
        <v>158642.03999999998</v>
      </c>
      <c r="H27" s="37" t="s">
        <v>91</v>
      </c>
      <c r="I27" s="118">
        <v>14</v>
      </c>
      <c r="J27" s="39">
        <v>2000</v>
      </c>
      <c r="K27" s="17">
        <f t="shared" si="1"/>
        <v>142.85714285714286</v>
      </c>
      <c r="L27" s="118">
        <v>14</v>
      </c>
      <c r="M27" s="18">
        <f t="shared" si="20"/>
        <v>1917.2093023255811</v>
      </c>
      <c r="N27" s="17">
        <f t="shared" si="3"/>
        <v>136.94352159468437</v>
      </c>
      <c r="O27" s="19">
        <f t="shared" si="4"/>
        <v>0</v>
      </c>
      <c r="P27" s="20">
        <f t="shared" si="5"/>
        <v>-5.9136212624584914</v>
      </c>
      <c r="Q27" s="115">
        <f t="shared" si="6"/>
        <v>0.95860465116279059</v>
      </c>
      <c r="R27" s="198"/>
      <c r="S27" s="40">
        <v>0.25624999999999998</v>
      </c>
      <c r="T27" s="40">
        <v>0.31597222222222221</v>
      </c>
      <c r="U27" s="116">
        <f t="shared" ref="U27:U32" si="22">IF(S27=TIME(17,0,0),"",(S27-T26)*24*60)</f>
        <v>7.9999999999999716</v>
      </c>
      <c r="V27" s="119">
        <f t="shared" si="21"/>
        <v>86.000000000000014</v>
      </c>
      <c r="W27" s="23"/>
      <c r="X27" s="116"/>
      <c r="Y27" s="116"/>
      <c r="Z27" s="116"/>
      <c r="AA27" s="191"/>
      <c r="AB27" s="191"/>
      <c r="AC27" s="239"/>
      <c r="AD27" s="25"/>
      <c r="AE27" s="19">
        <f t="shared" si="8"/>
        <v>-82.79069767441888</v>
      </c>
      <c r="AF27" s="115">
        <f t="shared" si="9"/>
        <v>0.95860465116279059</v>
      </c>
      <c r="AG27" s="198"/>
    </row>
    <row r="28" spans="1:33" ht="15.75" customHeight="1">
      <c r="A28" s="216" t="s">
        <v>309</v>
      </c>
      <c r="B28" s="42" t="s">
        <v>92</v>
      </c>
      <c r="C28" s="213" t="s">
        <v>112</v>
      </c>
      <c r="D28" s="213"/>
      <c r="E28" s="42">
        <v>53.27</v>
      </c>
      <c r="F28" s="120">
        <v>1643</v>
      </c>
      <c r="G28" s="116">
        <f t="shared" si="19"/>
        <v>87522.61</v>
      </c>
      <c r="H28" s="37" t="s">
        <v>91</v>
      </c>
      <c r="I28" s="118">
        <v>16</v>
      </c>
      <c r="J28" s="39">
        <v>2000</v>
      </c>
      <c r="K28" s="17">
        <f t="shared" si="1"/>
        <v>125</v>
      </c>
      <c r="L28" s="118">
        <v>16</v>
      </c>
      <c r="M28" s="18">
        <f t="shared" si="20"/>
        <v>1932.9411764705892</v>
      </c>
      <c r="N28" s="17">
        <f t="shared" si="3"/>
        <v>120.80882352941182</v>
      </c>
      <c r="O28" s="19">
        <f t="shared" si="4"/>
        <v>0</v>
      </c>
      <c r="P28" s="20">
        <f t="shared" si="5"/>
        <v>-4.1911764705881751</v>
      </c>
      <c r="Q28" s="115">
        <f t="shared" si="6"/>
        <v>0.96647058823529464</v>
      </c>
      <c r="R28" s="198"/>
      <c r="S28" s="40">
        <v>0.32013888888888886</v>
      </c>
      <c r="T28" s="40">
        <v>0.35555555555555551</v>
      </c>
      <c r="U28" s="116">
        <f t="shared" si="22"/>
        <v>5.9999999999999787</v>
      </c>
      <c r="V28" s="119">
        <f t="shared" si="21"/>
        <v>50.999999999999979</v>
      </c>
      <c r="W28" s="23"/>
      <c r="X28" s="116"/>
      <c r="Y28" s="116"/>
      <c r="Z28" s="116"/>
      <c r="AA28" s="191"/>
      <c r="AB28" s="191"/>
      <c r="AC28" s="239"/>
      <c r="AD28" s="25"/>
      <c r="AE28" s="19">
        <f t="shared" si="8"/>
        <v>-67.058823529410802</v>
      </c>
      <c r="AF28" s="115">
        <f t="shared" si="9"/>
        <v>0.96647058823529464</v>
      </c>
      <c r="AG28" s="198"/>
    </row>
    <row r="29" spans="1:33" ht="15.75" customHeight="1">
      <c r="A29" s="216" t="s">
        <v>309</v>
      </c>
      <c r="B29" s="42" t="s">
        <v>92</v>
      </c>
      <c r="C29" s="213" t="s">
        <v>113</v>
      </c>
      <c r="D29" s="213"/>
      <c r="E29" s="42">
        <v>56.43</v>
      </c>
      <c r="F29" s="120">
        <v>1710</v>
      </c>
      <c r="G29" s="116">
        <f t="shared" si="19"/>
        <v>96495.3</v>
      </c>
      <c r="H29" s="37" t="s">
        <v>91</v>
      </c>
      <c r="I29" s="118">
        <v>13</v>
      </c>
      <c r="J29" s="39">
        <v>2000</v>
      </c>
      <c r="K29" s="17">
        <f t="shared" si="1"/>
        <v>153.84615384615384</v>
      </c>
      <c r="L29" s="118">
        <v>13</v>
      </c>
      <c r="M29" s="18">
        <f t="shared" si="20"/>
        <v>1935.8490566037747</v>
      </c>
      <c r="N29" s="17">
        <f t="shared" si="3"/>
        <v>148.91146589259805</v>
      </c>
      <c r="O29" s="19">
        <f t="shared" si="4"/>
        <v>0</v>
      </c>
      <c r="P29" s="20">
        <f t="shared" si="5"/>
        <v>-4.9346879535557946</v>
      </c>
      <c r="Q29" s="115">
        <f t="shared" si="6"/>
        <v>0.96792452830188735</v>
      </c>
      <c r="R29" s="198"/>
      <c r="S29" s="40">
        <v>0.70833333333333337</v>
      </c>
      <c r="T29" s="40">
        <v>0.74513888888888891</v>
      </c>
      <c r="U29" s="116" t="str">
        <f t="shared" si="22"/>
        <v/>
      </c>
      <c r="V29" s="119">
        <f t="shared" si="21"/>
        <v>52.999999999999972</v>
      </c>
      <c r="W29" s="23"/>
      <c r="X29" s="116"/>
      <c r="Y29" s="116"/>
      <c r="Z29" s="116"/>
      <c r="AA29" s="191"/>
      <c r="AB29" s="191"/>
      <c r="AC29" s="239"/>
      <c r="AD29" s="25"/>
      <c r="AE29" s="19">
        <f t="shared" si="8"/>
        <v>-64.15094339622533</v>
      </c>
      <c r="AF29" s="115">
        <f t="shared" si="9"/>
        <v>0.96792452830188735</v>
      </c>
      <c r="AG29" s="198"/>
    </row>
    <row r="30" spans="1:33" ht="15.75" customHeight="1">
      <c r="A30" s="216" t="s">
        <v>309</v>
      </c>
      <c r="B30" s="42" t="s">
        <v>92</v>
      </c>
      <c r="C30" s="213" t="s">
        <v>114</v>
      </c>
      <c r="D30" s="213"/>
      <c r="E30" s="42">
        <v>54.09</v>
      </c>
      <c r="F30" s="120">
        <v>1000</v>
      </c>
      <c r="G30" s="116">
        <f t="shared" si="19"/>
        <v>54090</v>
      </c>
      <c r="H30" s="37">
        <v>2</v>
      </c>
      <c r="I30" s="118">
        <v>18</v>
      </c>
      <c r="J30" s="39">
        <v>2000</v>
      </c>
      <c r="K30" s="17">
        <f t="shared" si="1"/>
        <v>111.11111111111111</v>
      </c>
      <c r="L30" s="118">
        <v>18</v>
      </c>
      <c r="M30" s="18">
        <f t="shared" si="20"/>
        <v>1935.483870967739</v>
      </c>
      <c r="N30" s="17">
        <f t="shared" si="3"/>
        <v>107.52688172042994</v>
      </c>
      <c r="O30" s="19">
        <f t="shared" si="4"/>
        <v>0</v>
      </c>
      <c r="P30" s="20">
        <f t="shared" si="5"/>
        <v>-3.5842293906811733</v>
      </c>
      <c r="Q30" s="115">
        <f t="shared" si="6"/>
        <v>0.96774193548386944</v>
      </c>
      <c r="R30" s="198"/>
      <c r="S30" s="40">
        <v>0.75069444444444444</v>
      </c>
      <c r="T30" s="40">
        <v>0.77222222222222225</v>
      </c>
      <c r="U30" s="116">
        <f t="shared" si="22"/>
        <v>7.9999999999999716</v>
      </c>
      <c r="V30" s="119">
        <f t="shared" si="21"/>
        <v>31.00000000000005</v>
      </c>
      <c r="W30" s="23"/>
      <c r="X30" s="23"/>
      <c r="Y30" s="116"/>
      <c r="Z30" s="116"/>
      <c r="AA30" s="191"/>
      <c r="AB30" s="191"/>
      <c r="AC30" s="239"/>
      <c r="AD30" s="25"/>
      <c r="AE30" s="19">
        <f t="shared" si="8"/>
        <v>-64.516129032261006</v>
      </c>
      <c r="AF30" s="115">
        <f t="shared" si="9"/>
        <v>0.96774193548386944</v>
      </c>
      <c r="AG30" s="198"/>
    </row>
    <row r="31" spans="1:33" ht="15.75" customHeight="1">
      <c r="A31" s="216" t="s">
        <v>309</v>
      </c>
      <c r="B31" s="42" t="s">
        <v>92</v>
      </c>
      <c r="C31" s="213" t="s">
        <v>115</v>
      </c>
      <c r="D31" s="213"/>
      <c r="E31" s="42">
        <v>57.3</v>
      </c>
      <c r="F31" s="120">
        <v>2353</v>
      </c>
      <c r="G31" s="116">
        <f t="shared" si="19"/>
        <v>134826.9</v>
      </c>
      <c r="H31" s="37" t="s">
        <v>91</v>
      </c>
      <c r="I31" s="118">
        <v>16</v>
      </c>
      <c r="J31" s="39">
        <v>2000</v>
      </c>
      <c r="K31" s="17">
        <f t="shared" si="1"/>
        <v>125</v>
      </c>
      <c r="L31" s="118">
        <v>16</v>
      </c>
      <c r="M31" s="18">
        <f t="shared" si="20"/>
        <v>1907.8378378378363</v>
      </c>
      <c r="N31" s="17">
        <f t="shared" si="3"/>
        <v>119.23986486486477</v>
      </c>
      <c r="O31" s="19">
        <f t="shared" si="4"/>
        <v>0</v>
      </c>
      <c r="P31" s="20">
        <f t="shared" si="5"/>
        <v>-5.7601351351352292</v>
      </c>
      <c r="Q31" s="115">
        <f t="shared" si="6"/>
        <v>0.95391891891891811</v>
      </c>
      <c r="R31" s="198"/>
      <c r="S31" s="40">
        <v>0.77638888888888891</v>
      </c>
      <c r="T31" s="40">
        <v>0.82777777777777783</v>
      </c>
      <c r="U31" s="116">
        <f t="shared" si="22"/>
        <v>5.9999999999999787</v>
      </c>
      <c r="V31" s="119">
        <f t="shared" si="21"/>
        <v>74.000000000000057</v>
      </c>
      <c r="W31" s="23">
        <f>T31</f>
        <v>0.82777777777777783</v>
      </c>
      <c r="X31" s="23">
        <f>S32</f>
        <v>0.86736111111111114</v>
      </c>
      <c r="Y31" s="28"/>
      <c r="Z31" s="28"/>
      <c r="AA31" s="191"/>
      <c r="AB31" s="191"/>
      <c r="AC31" s="239"/>
      <c r="AD31" s="25"/>
      <c r="AE31" s="19">
        <f t="shared" si="8"/>
        <v>-92.162162162163668</v>
      </c>
      <c r="AF31" s="115">
        <f t="shared" si="9"/>
        <v>0.95391891891891811</v>
      </c>
      <c r="AG31" s="198"/>
    </row>
    <row r="32" spans="1:33" ht="15.75" customHeight="1">
      <c r="A32" s="216" t="s">
        <v>309</v>
      </c>
      <c r="B32" s="42" t="s">
        <v>92</v>
      </c>
      <c r="C32" s="241" t="s">
        <v>114</v>
      </c>
      <c r="D32" s="242"/>
      <c r="E32" s="42">
        <v>54.09</v>
      </c>
      <c r="F32" s="120">
        <v>1730</v>
      </c>
      <c r="G32" s="116">
        <f t="shared" si="19"/>
        <v>93575.700000000012</v>
      </c>
      <c r="H32" s="37" t="s">
        <v>91</v>
      </c>
      <c r="I32" s="118">
        <v>18</v>
      </c>
      <c r="J32" s="39">
        <v>2000</v>
      </c>
      <c r="K32" s="17">
        <f t="shared" si="1"/>
        <v>111.11111111111111</v>
      </c>
      <c r="L32" s="118">
        <v>18</v>
      </c>
      <c r="M32" s="18">
        <f t="shared" si="20"/>
        <v>1922.2222222222231</v>
      </c>
      <c r="N32" s="17">
        <f t="shared" si="3"/>
        <v>106.79012345679017</v>
      </c>
      <c r="O32" s="19">
        <f t="shared" si="4"/>
        <v>0</v>
      </c>
      <c r="P32" s="20">
        <f t="shared" si="5"/>
        <v>-4.3209876543209447</v>
      </c>
      <c r="Q32" s="115">
        <f t="shared" si="6"/>
        <v>0.96111111111111147</v>
      </c>
      <c r="R32" s="198"/>
      <c r="S32" s="40">
        <v>0.86736111111111114</v>
      </c>
      <c r="T32" s="40">
        <v>0.90486111111111112</v>
      </c>
      <c r="U32" s="116">
        <f t="shared" si="22"/>
        <v>56.999999999999957</v>
      </c>
      <c r="V32" s="119">
        <f t="shared" si="21"/>
        <v>53.999999999999972</v>
      </c>
      <c r="W32" s="23"/>
      <c r="X32" s="28"/>
      <c r="Y32" s="240"/>
      <c r="Z32" s="240"/>
      <c r="AA32" s="209"/>
      <c r="AB32" s="210"/>
      <c r="AC32" s="239"/>
      <c r="AD32" s="25"/>
      <c r="AE32" s="19">
        <f t="shared" si="8"/>
        <v>-77.777777777776919</v>
      </c>
      <c r="AF32" s="115">
        <f t="shared" si="9"/>
        <v>0.96111111111111158</v>
      </c>
      <c r="AG32" s="198"/>
    </row>
    <row r="33" spans="1:33" ht="15.75" customHeight="1">
      <c r="A33" s="216" t="s">
        <v>309</v>
      </c>
      <c r="B33" s="42" t="s">
        <v>305</v>
      </c>
      <c r="C33" s="208"/>
      <c r="D33" s="208"/>
      <c r="E33" s="117"/>
      <c r="F33" s="120"/>
      <c r="G33" s="116"/>
      <c r="H33" s="120"/>
      <c r="I33" s="29">
        <v>16</v>
      </c>
      <c r="J33" s="39">
        <v>2000</v>
      </c>
      <c r="K33" s="17">
        <f t="shared" si="1"/>
        <v>125</v>
      </c>
      <c r="L33" s="29">
        <v>16</v>
      </c>
      <c r="M33" s="18">
        <f>AVERAGE(M26:M32)</f>
        <v>1926.1923921594669</v>
      </c>
      <c r="N33" s="17">
        <f t="shared" si="3"/>
        <v>120.38702450996668</v>
      </c>
      <c r="O33" s="19">
        <f t="shared" si="4"/>
        <v>0</v>
      </c>
      <c r="P33" s="20">
        <f t="shared" si="5"/>
        <v>-4.6129754900333211</v>
      </c>
      <c r="Q33" s="115">
        <f t="shared" si="6"/>
        <v>0.9630961960797334</v>
      </c>
      <c r="R33" s="198"/>
      <c r="S33" s="40"/>
      <c r="T33" s="40"/>
      <c r="U33" s="17"/>
      <c r="V33" s="119"/>
      <c r="W33" s="17"/>
      <c r="X33" s="17"/>
      <c r="Y33" s="30">
        <f>SUM(Y26:Y32)</f>
        <v>0</v>
      </c>
      <c r="Z33" s="30">
        <f>SUM(Z26:Z32)</f>
        <v>0</v>
      </c>
      <c r="AA33" s="201"/>
      <c r="AB33" s="201"/>
      <c r="AC33" s="30">
        <v>7</v>
      </c>
      <c r="AD33" s="30">
        <f>SUM(AD26:AD32)</f>
        <v>0</v>
      </c>
      <c r="AE33" s="19">
        <f t="shared" si="8"/>
        <v>-73.807607840533137</v>
      </c>
      <c r="AF33" s="115">
        <f t="shared" si="9"/>
        <v>0.9630961960797334</v>
      </c>
      <c r="AG33" s="198"/>
    </row>
    <row r="34" spans="1:33" ht="15.75" customHeight="1">
      <c r="A34" s="217" t="s">
        <v>310</v>
      </c>
      <c r="B34" s="42" t="s">
        <v>116</v>
      </c>
      <c r="C34" s="213" t="s">
        <v>117</v>
      </c>
      <c r="D34" s="213"/>
      <c r="E34" s="42">
        <v>31.29</v>
      </c>
      <c r="F34" s="120">
        <v>5800</v>
      </c>
      <c r="G34" s="116">
        <f t="shared" ref="G34:G42" si="23">E34*F34</f>
        <v>181482</v>
      </c>
      <c r="H34" s="37">
        <v>2</v>
      </c>
      <c r="I34" s="118">
        <v>18</v>
      </c>
      <c r="J34" s="39">
        <v>2400</v>
      </c>
      <c r="K34" s="17">
        <f t="shared" si="1"/>
        <v>133.33333333333334</v>
      </c>
      <c r="L34" s="118">
        <v>18</v>
      </c>
      <c r="M34" s="18">
        <f t="shared" ref="M34:M42" si="24">F34/V34*60</f>
        <v>2289.4736842105262</v>
      </c>
      <c r="N34" s="17">
        <f t="shared" si="3"/>
        <v>127.19298245614034</v>
      </c>
      <c r="O34" s="19">
        <f t="shared" si="4"/>
        <v>0</v>
      </c>
      <c r="P34" s="20">
        <f t="shared" si="5"/>
        <v>-6.1403508771930007</v>
      </c>
      <c r="Q34" s="115">
        <f t="shared" si="6"/>
        <v>0.95394736842105254</v>
      </c>
      <c r="R34" s="198">
        <f>Q43</f>
        <v>0.95674989142024114</v>
      </c>
      <c r="S34" s="40">
        <v>8.3333333333333329E-2</v>
      </c>
      <c r="T34" s="40">
        <v>0.18888888888888888</v>
      </c>
      <c r="U34" s="116"/>
      <c r="V34" s="119">
        <f t="shared" ref="V34:V42" si="25">(T34-S34)*24*60</f>
        <v>152</v>
      </c>
      <c r="W34" s="23">
        <f>T34</f>
        <v>0.18888888888888888</v>
      </c>
      <c r="X34" s="23">
        <f>S35</f>
        <v>0.20902777777777778</v>
      </c>
      <c r="Y34" s="23"/>
      <c r="Z34" s="23"/>
      <c r="AA34" s="191"/>
      <c r="AB34" s="191"/>
      <c r="AC34" s="239">
        <v>9</v>
      </c>
      <c r="AD34" s="25"/>
      <c r="AE34" s="19">
        <f t="shared" si="8"/>
        <v>-110.52631578947376</v>
      </c>
      <c r="AF34" s="115">
        <f t="shared" si="9"/>
        <v>0.95394736842105265</v>
      </c>
      <c r="AG34" s="198">
        <f>AF43</f>
        <v>0.95674989142024114</v>
      </c>
    </row>
    <row r="35" spans="1:33" ht="15.75" customHeight="1">
      <c r="A35" s="217" t="s">
        <v>310</v>
      </c>
      <c r="B35" s="42" t="s">
        <v>116</v>
      </c>
      <c r="C35" s="213" t="s">
        <v>118</v>
      </c>
      <c r="D35" s="213"/>
      <c r="E35" s="42">
        <v>26.37</v>
      </c>
      <c r="F35" s="120">
        <v>4200</v>
      </c>
      <c r="G35" s="116">
        <f t="shared" si="23"/>
        <v>110754</v>
      </c>
      <c r="H35" s="37">
        <v>2</v>
      </c>
      <c r="I35" s="118">
        <v>18</v>
      </c>
      <c r="J35" s="39">
        <v>2400</v>
      </c>
      <c r="K35" s="17">
        <f t="shared" si="1"/>
        <v>133.33333333333334</v>
      </c>
      <c r="L35" s="118">
        <v>18</v>
      </c>
      <c r="M35" s="18">
        <f t="shared" si="24"/>
        <v>2290.9090909090914</v>
      </c>
      <c r="N35" s="17">
        <f t="shared" si="3"/>
        <v>127.27272727272731</v>
      </c>
      <c r="O35" s="19">
        <f t="shared" si="4"/>
        <v>0</v>
      </c>
      <c r="P35" s="20">
        <f t="shared" si="5"/>
        <v>-6.0606060606060339</v>
      </c>
      <c r="Q35" s="115">
        <f t="shared" si="6"/>
        <v>0.9545454545454547</v>
      </c>
      <c r="R35" s="198"/>
      <c r="S35" s="40">
        <v>0.20902777777777778</v>
      </c>
      <c r="T35" s="40">
        <v>0.28541666666666665</v>
      </c>
      <c r="U35" s="116">
        <f t="shared" ref="U35:U42" si="26">(S35-T34)*24*60</f>
        <v>29.000000000000018</v>
      </c>
      <c r="V35" s="119">
        <f t="shared" si="25"/>
        <v>109.99999999999997</v>
      </c>
      <c r="W35" s="23"/>
      <c r="X35" s="23"/>
      <c r="Y35" s="23"/>
      <c r="Z35" s="23"/>
      <c r="AA35" s="191"/>
      <c r="AB35" s="191"/>
      <c r="AC35" s="239"/>
      <c r="AD35" s="25"/>
      <c r="AE35" s="19">
        <f t="shared" si="8"/>
        <v>-109.09090909090855</v>
      </c>
      <c r="AF35" s="115">
        <f t="shared" si="9"/>
        <v>0.95454545454545481</v>
      </c>
      <c r="AG35" s="198"/>
    </row>
    <row r="36" spans="1:33" ht="15.75" customHeight="1">
      <c r="A36" s="217" t="s">
        <v>310</v>
      </c>
      <c r="B36" s="42" t="s">
        <v>116</v>
      </c>
      <c r="C36" s="213" t="s">
        <v>124</v>
      </c>
      <c r="D36" s="213"/>
      <c r="E36" s="42">
        <v>24.43</v>
      </c>
      <c r="F36" s="120">
        <v>5800</v>
      </c>
      <c r="G36" s="116">
        <f t="shared" si="23"/>
        <v>141694</v>
      </c>
      <c r="H36" s="37">
        <v>2</v>
      </c>
      <c r="I36" s="118">
        <v>14</v>
      </c>
      <c r="J36" s="39">
        <v>2400</v>
      </c>
      <c r="K36" s="17">
        <f t="shared" si="1"/>
        <v>171.42857142857142</v>
      </c>
      <c r="L36" s="118">
        <v>14</v>
      </c>
      <c r="M36" s="18">
        <f t="shared" si="24"/>
        <v>2289.4736842105258</v>
      </c>
      <c r="N36" s="17">
        <f t="shared" si="3"/>
        <v>163.53383458646613</v>
      </c>
      <c r="O36" s="19">
        <f t="shared" si="4"/>
        <v>0</v>
      </c>
      <c r="P36" s="20">
        <f t="shared" si="5"/>
        <v>-7.8947368421052886</v>
      </c>
      <c r="Q36" s="115">
        <f t="shared" si="6"/>
        <v>0.95394736842105243</v>
      </c>
      <c r="R36" s="198"/>
      <c r="S36" s="40">
        <v>0.29027777777777775</v>
      </c>
      <c r="T36" s="40">
        <v>0.39583333333333331</v>
      </c>
      <c r="U36" s="116">
        <f t="shared" si="26"/>
        <v>6.9999999999999751</v>
      </c>
      <c r="V36" s="119">
        <f t="shared" si="25"/>
        <v>152.00000000000003</v>
      </c>
      <c r="W36" s="23"/>
      <c r="X36" s="23"/>
      <c r="Y36" s="23"/>
      <c r="Z36" s="23"/>
      <c r="AA36" s="191"/>
      <c r="AB36" s="191"/>
      <c r="AC36" s="239"/>
      <c r="AD36" s="25"/>
      <c r="AE36" s="19">
        <f t="shared" si="8"/>
        <v>-110.52631578947421</v>
      </c>
      <c r="AF36" s="115">
        <f t="shared" si="9"/>
        <v>0.95394736842105243</v>
      </c>
      <c r="AG36" s="198"/>
    </row>
    <row r="37" spans="1:33" ht="15.75" customHeight="1">
      <c r="A37" s="217" t="s">
        <v>310</v>
      </c>
      <c r="B37" s="42" t="s">
        <v>116</v>
      </c>
      <c r="C37" s="213" t="s">
        <v>147</v>
      </c>
      <c r="D37" s="213"/>
      <c r="E37" s="42">
        <v>25.98</v>
      </c>
      <c r="F37" s="120">
        <v>3283</v>
      </c>
      <c r="G37" s="116">
        <f t="shared" si="23"/>
        <v>85292.34</v>
      </c>
      <c r="H37" s="37" t="s">
        <v>91</v>
      </c>
      <c r="I37" s="118">
        <v>17</v>
      </c>
      <c r="J37" s="39">
        <v>2400</v>
      </c>
      <c r="K37" s="17">
        <f t="shared" si="1"/>
        <v>141.1764705882353</v>
      </c>
      <c r="L37" s="118">
        <v>17</v>
      </c>
      <c r="M37" s="18">
        <f t="shared" si="24"/>
        <v>2290.4651162790697</v>
      </c>
      <c r="N37" s="17">
        <f t="shared" si="3"/>
        <v>134.73324213406292</v>
      </c>
      <c r="O37" s="19">
        <f t="shared" si="4"/>
        <v>0</v>
      </c>
      <c r="P37" s="20">
        <f t="shared" si="5"/>
        <v>-6.4432284541723845</v>
      </c>
      <c r="Q37" s="115">
        <f t="shared" si="6"/>
        <v>0.95436046511627892</v>
      </c>
      <c r="R37" s="198"/>
      <c r="S37" s="40">
        <v>0.39930555555555552</v>
      </c>
      <c r="T37" s="40">
        <v>0.45902777777777776</v>
      </c>
      <c r="U37" s="116">
        <f t="shared" si="26"/>
        <v>4.9999999999999822</v>
      </c>
      <c r="V37" s="119">
        <f t="shared" si="25"/>
        <v>86.000000000000014</v>
      </c>
      <c r="W37" s="23"/>
      <c r="X37" s="23"/>
      <c r="Y37" s="23"/>
      <c r="Z37" s="23"/>
      <c r="AA37" s="191"/>
      <c r="AB37" s="191"/>
      <c r="AC37" s="239"/>
      <c r="AD37" s="25"/>
      <c r="AE37" s="19">
        <f t="shared" si="8"/>
        <v>-109.53488372093034</v>
      </c>
      <c r="AF37" s="115">
        <f t="shared" si="9"/>
        <v>0.95436046511627903</v>
      </c>
      <c r="AG37" s="198"/>
    </row>
    <row r="38" spans="1:33" ht="15.75" customHeight="1">
      <c r="A38" s="217" t="s">
        <v>310</v>
      </c>
      <c r="B38" s="42" t="s">
        <v>116</v>
      </c>
      <c r="C38" s="213" t="s">
        <v>122</v>
      </c>
      <c r="D38" s="213"/>
      <c r="E38" s="42">
        <v>20.21</v>
      </c>
      <c r="F38" s="120">
        <v>2457</v>
      </c>
      <c r="G38" s="116">
        <f t="shared" si="23"/>
        <v>49655.97</v>
      </c>
      <c r="H38" s="37" t="s">
        <v>91</v>
      </c>
      <c r="I38" s="118">
        <v>18</v>
      </c>
      <c r="J38" s="39">
        <v>2400</v>
      </c>
      <c r="K38" s="17">
        <f t="shared" si="1"/>
        <v>133.33333333333334</v>
      </c>
      <c r="L38" s="118">
        <v>18</v>
      </c>
      <c r="M38" s="18">
        <f t="shared" si="24"/>
        <v>2303.4374999999995</v>
      </c>
      <c r="N38" s="17">
        <f t="shared" si="3"/>
        <v>127.96874999999997</v>
      </c>
      <c r="O38" s="19">
        <f t="shared" si="4"/>
        <v>0</v>
      </c>
      <c r="P38" s="20">
        <f t="shared" si="5"/>
        <v>-5.3645833333333712</v>
      </c>
      <c r="Q38" s="115">
        <f t="shared" si="6"/>
        <v>0.95976562499999973</v>
      </c>
      <c r="R38" s="198"/>
      <c r="S38" s="40">
        <v>0.46249999999999997</v>
      </c>
      <c r="T38" s="40">
        <v>0.50694444444444442</v>
      </c>
      <c r="U38" s="116">
        <f t="shared" si="26"/>
        <v>4.9999999999999822</v>
      </c>
      <c r="V38" s="119">
        <f t="shared" si="25"/>
        <v>64.000000000000014</v>
      </c>
      <c r="W38" s="23">
        <f>T38</f>
        <v>0.50694444444444442</v>
      </c>
      <c r="X38" s="23">
        <f>S39</f>
        <v>0.54652777777777772</v>
      </c>
      <c r="Y38" s="23"/>
      <c r="Z38" s="23"/>
      <c r="AA38" s="191"/>
      <c r="AB38" s="191"/>
      <c r="AC38" s="239"/>
      <c r="AD38" s="25"/>
      <c r="AE38" s="19">
        <f t="shared" si="8"/>
        <v>-96.562500000000455</v>
      </c>
      <c r="AF38" s="115">
        <f t="shared" si="9"/>
        <v>0.95976562499999984</v>
      </c>
      <c r="AG38" s="198"/>
    </row>
    <row r="39" spans="1:33" ht="15.75" customHeight="1">
      <c r="A39" s="217" t="s">
        <v>310</v>
      </c>
      <c r="B39" s="42" t="s">
        <v>116</v>
      </c>
      <c r="C39" s="213" t="s">
        <v>121</v>
      </c>
      <c r="D39" s="213"/>
      <c r="E39" s="42">
        <v>25.99</v>
      </c>
      <c r="F39" s="120">
        <v>1949</v>
      </c>
      <c r="G39" s="116">
        <f t="shared" si="23"/>
        <v>50654.509999999995</v>
      </c>
      <c r="H39" s="37" t="s">
        <v>91</v>
      </c>
      <c r="I39" s="118">
        <v>14</v>
      </c>
      <c r="J39" s="39">
        <v>2400</v>
      </c>
      <c r="K39" s="17">
        <f t="shared" si="1"/>
        <v>171.42857142857142</v>
      </c>
      <c r="L39" s="118">
        <v>14</v>
      </c>
      <c r="M39" s="18">
        <f t="shared" si="24"/>
        <v>2292.9411764705892</v>
      </c>
      <c r="N39" s="17">
        <f t="shared" si="3"/>
        <v>163.78151260504208</v>
      </c>
      <c r="O39" s="19">
        <f t="shared" si="4"/>
        <v>0</v>
      </c>
      <c r="P39" s="20">
        <f t="shared" si="5"/>
        <v>-7.6470588235293349</v>
      </c>
      <c r="Q39" s="115">
        <f t="shared" si="6"/>
        <v>0.95539215686274559</v>
      </c>
      <c r="R39" s="198"/>
      <c r="S39" s="40">
        <v>0.54652777777777772</v>
      </c>
      <c r="T39" s="40">
        <v>0.58194444444444438</v>
      </c>
      <c r="U39" s="116">
        <f t="shared" si="26"/>
        <v>56.999999999999957</v>
      </c>
      <c r="V39" s="119">
        <f t="shared" si="25"/>
        <v>50.999999999999979</v>
      </c>
      <c r="W39" s="23"/>
      <c r="X39" s="23"/>
      <c r="Y39" s="23"/>
      <c r="Z39" s="23"/>
      <c r="AA39" s="191"/>
      <c r="AB39" s="191"/>
      <c r="AC39" s="239"/>
      <c r="AD39" s="25"/>
      <c r="AE39" s="19">
        <f t="shared" si="8"/>
        <v>-107.0588235294108</v>
      </c>
      <c r="AF39" s="115">
        <f t="shared" si="9"/>
        <v>0.95539215686274548</v>
      </c>
      <c r="AG39" s="198"/>
    </row>
    <row r="40" spans="1:33" ht="15.75" customHeight="1">
      <c r="A40" s="217" t="s">
        <v>310</v>
      </c>
      <c r="B40" s="42" t="s">
        <v>116</v>
      </c>
      <c r="C40" s="213" t="s">
        <v>118</v>
      </c>
      <c r="D40" s="213"/>
      <c r="E40" s="42">
        <v>26.37</v>
      </c>
      <c r="F40" s="120">
        <v>2962</v>
      </c>
      <c r="G40" s="116">
        <f t="shared" si="23"/>
        <v>78107.94</v>
      </c>
      <c r="H40" s="37" t="s">
        <v>91</v>
      </c>
      <c r="I40" s="118">
        <v>18</v>
      </c>
      <c r="J40" s="39">
        <v>2400</v>
      </c>
      <c r="K40" s="17">
        <f t="shared" si="1"/>
        <v>133.33333333333334</v>
      </c>
      <c r="L40" s="118">
        <v>18</v>
      </c>
      <c r="M40" s="18">
        <f t="shared" si="24"/>
        <v>2308.0519480519465</v>
      </c>
      <c r="N40" s="17">
        <f t="shared" si="3"/>
        <v>128.22510822510813</v>
      </c>
      <c r="O40" s="19">
        <f t="shared" si="4"/>
        <v>0</v>
      </c>
      <c r="P40" s="20">
        <f t="shared" si="5"/>
        <v>-5.1082251082252128</v>
      </c>
      <c r="Q40" s="115">
        <f t="shared" si="6"/>
        <v>0.96168831168831093</v>
      </c>
      <c r="R40" s="198"/>
      <c r="S40" s="40">
        <v>0.58611111111111103</v>
      </c>
      <c r="T40" s="40">
        <v>0.63958333333333328</v>
      </c>
      <c r="U40" s="116">
        <f t="shared" si="26"/>
        <v>5.9999999999999787</v>
      </c>
      <c r="V40" s="119">
        <f t="shared" si="25"/>
        <v>77.000000000000043</v>
      </c>
      <c r="W40" s="23"/>
      <c r="X40" s="23"/>
      <c r="Y40" s="23"/>
      <c r="Z40" s="23"/>
      <c r="AA40" s="191"/>
      <c r="AB40" s="191"/>
      <c r="AC40" s="239"/>
      <c r="AD40" s="25"/>
      <c r="AE40" s="19">
        <f t="shared" si="8"/>
        <v>-91.948051948053489</v>
      </c>
      <c r="AF40" s="115">
        <f t="shared" si="9"/>
        <v>0.96168831168831104</v>
      </c>
      <c r="AG40" s="198"/>
    </row>
    <row r="41" spans="1:33" ht="15.75" customHeight="1">
      <c r="A41" s="217" t="s">
        <v>310</v>
      </c>
      <c r="B41" s="42" t="s">
        <v>116</v>
      </c>
      <c r="C41" s="45" t="s">
        <v>124</v>
      </c>
      <c r="D41" s="46"/>
      <c r="E41" s="42">
        <v>24.43</v>
      </c>
      <c r="F41" s="120">
        <v>2118</v>
      </c>
      <c r="G41" s="116">
        <f t="shared" si="23"/>
        <v>51742.74</v>
      </c>
      <c r="H41" s="37" t="s">
        <v>91</v>
      </c>
      <c r="I41" s="118">
        <v>14</v>
      </c>
      <c r="J41" s="39">
        <v>2400</v>
      </c>
      <c r="K41" s="17">
        <f t="shared" si="1"/>
        <v>171.42857142857142</v>
      </c>
      <c r="L41" s="118">
        <v>14</v>
      </c>
      <c r="M41" s="18">
        <f t="shared" si="24"/>
        <v>2310.5454545454563</v>
      </c>
      <c r="N41" s="17">
        <f t="shared" si="3"/>
        <v>165.03896103896116</v>
      </c>
      <c r="O41" s="19">
        <f t="shared" si="4"/>
        <v>0</v>
      </c>
      <c r="P41" s="20">
        <f t="shared" si="5"/>
        <v>-6.3896103896102545</v>
      </c>
      <c r="Q41" s="115">
        <f t="shared" si="6"/>
        <v>0.96272727272727354</v>
      </c>
      <c r="R41" s="198"/>
      <c r="S41" s="40">
        <v>0.64374999999999993</v>
      </c>
      <c r="T41" s="40">
        <v>0.68194444444444435</v>
      </c>
      <c r="U41" s="116">
        <f t="shared" si="26"/>
        <v>5.9999999999999787</v>
      </c>
      <c r="V41" s="119">
        <f t="shared" si="25"/>
        <v>54.999999999999964</v>
      </c>
      <c r="W41" s="23"/>
      <c r="X41" s="23"/>
      <c r="Y41" s="23"/>
      <c r="Z41" s="23"/>
      <c r="AA41" s="111"/>
      <c r="AB41" s="112"/>
      <c r="AC41" s="239"/>
      <c r="AD41" s="25"/>
      <c r="AE41" s="19">
        <f t="shared" si="8"/>
        <v>-89.454545454543677</v>
      </c>
      <c r="AF41" s="115">
        <f t="shared" si="9"/>
        <v>0.96272727272727343</v>
      </c>
      <c r="AG41" s="198"/>
    </row>
    <row r="42" spans="1:33" ht="15.75" customHeight="1">
      <c r="A42" s="217" t="s">
        <v>310</v>
      </c>
      <c r="B42" s="42" t="s">
        <v>116</v>
      </c>
      <c r="C42" s="241" t="s">
        <v>117</v>
      </c>
      <c r="D42" s="242"/>
      <c r="E42" s="42">
        <v>31.29</v>
      </c>
      <c r="F42" s="120">
        <v>4581</v>
      </c>
      <c r="G42" s="116">
        <f t="shared" si="23"/>
        <v>143339.49</v>
      </c>
      <c r="H42" s="37" t="s">
        <v>91</v>
      </c>
      <c r="I42" s="118">
        <v>18</v>
      </c>
      <c r="J42" s="39">
        <v>2400</v>
      </c>
      <c r="K42" s="17">
        <f t="shared" si="1"/>
        <v>133.33333333333334</v>
      </c>
      <c r="L42" s="118">
        <v>18</v>
      </c>
      <c r="M42" s="18">
        <f t="shared" si="24"/>
        <v>2290.4999999999991</v>
      </c>
      <c r="N42" s="17">
        <f t="shared" si="3"/>
        <v>127.24999999999994</v>
      </c>
      <c r="O42" s="19">
        <f t="shared" si="4"/>
        <v>0</v>
      </c>
      <c r="P42" s="20">
        <f t="shared" si="5"/>
        <v>-6.0833333333333997</v>
      </c>
      <c r="Q42" s="115">
        <f t="shared" si="6"/>
        <v>0.95437499999999953</v>
      </c>
      <c r="R42" s="198"/>
      <c r="S42" s="40">
        <v>0.68541666666666656</v>
      </c>
      <c r="T42" s="40">
        <v>0.76874999999999993</v>
      </c>
      <c r="U42" s="116">
        <f t="shared" si="26"/>
        <v>4.9999999999999822</v>
      </c>
      <c r="V42" s="119">
        <f t="shared" si="25"/>
        <v>120.00000000000006</v>
      </c>
      <c r="W42" s="23"/>
      <c r="X42" s="23"/>
      <c r="Y42" s="26"/>
      <c r="Z42" s="26"/>
      <c r="AA42" s="111"/>
      <c r="AB42" s="112"/>
      <c r="AC42" s="239"/>
      <c r="AD42" s="25"/>
      <c r="AE42" s="19">
        <f t="shared" si="8"/>
        <v>-109.50000000000091</v>
      </c>
      <c r="AF42" s="115">
        <f t="shared" si="9"/>
        <v>0.95437499999999964</v>
      </c>
      <c r="AG42" s="198"/>
    </row>
    <row r="43" spans="1:33" ht="15.75" customHeight="1">
      <c r="A43" s="217" t="s">
        <v>310</v>
      </c>
      <c r="B43" s="42" t="s">
        <v>305</v>
      </c>
      <c r="C43" s="208"/>
      <c r="D43" s="208"/>
      <c r="E43" s="117"/>
      <c r="F43" s="120"/>
      <c r="G43" s="116"/>
      <c r="H43" s="120"/>
      <c r="I43" s="29">
        <v>16.555555555555557</v>
      </c>
      <c r="J43" s="39">
        <v>2400</v>
      </c>
      <c r="K43" s="17">
        <f t="shared" si="1"/>
        <v>144.96644295302013</v>
      </c>
      <c r="L43" s="29">
        <v>16.555555555555557</v>
      </c>
      <c r="M43" s="18">
        <f>AVERAGE(M34:M42)</f>
        <v>2296.1997394085788</v>
      </c>
      <c r="N43" s="17">
        <f t="shared" si="3"/>
        <v>138.69662855488059</v>
      </c>
      <c r="O43" s="19">
        <f t="shared" si="4"/>
        <v>0</v>
      </c>
      <c r="P43" s="20">
        <f t="shared" si="5"/>
        <v>-6.2698143981395447</v>
      </c>
      <c r="Q43" s="115">
        <f t="shared" si="6"/>
        <v>0.95674989142024114</v>
      </c>
      <c r="R43" s="198"/>
      <c r="S43" s="40"/>
      <c r="T43" s="40"/>
      <c r="U43" s="116"/>
      <c r="V43" s="119"/>
      <c r="W43" s="116"/>
      <c r="X43" s="116"/>
      <c r="Y43" s="30">
        <f>SUM(Y34:Y42)</f>
        <v>0</v>
      </c>
      <c r="Z43" s="30">
        <f>SUM(Z34:Z42)</f>
        <v>0</v>
      </c>
      <c r="AA43" s="201"/>
      <c r="AB43" s="201"/>
      <c r="AC43" s="30">
        <v>9</v>
      </c>
      <c r="AD43" s="30">
        <f>SUM(AD34:AD42)</f>
        <v>0</v>
      </c>
      <c r="AE43" s="19">
        <f t="shared" si="8"/>
        <v>-103.80026059142119</v>
      </c>
      <c r="AF43" s="115">
        <f t="shared" si="9"/>
        <v>0.95674989142024114</v>
      </c>
      <c r="AG43" s="198"/>
    </row>
    <row r="44" spans="1:33" ht="15.75" customHeight="1">
      <c r="A44" s="218" t="s">
        <v>311</v>
      </c>
      <c r="B44" s="42" t="s">
        <v>116</v>
      </c>
      <c r="C44" s="220" t="s">
        <v>123</v>
      </c>
      <c r="D44" s="220"/>
      <c r="E44" s="42">
        <v>26.18</v>
      </c>
      <c r="F44" s="120">
        <v>3800</v>
      </c>
      <c r="G44" s="116">
        <f t="shared" ref="G44:G51" si="27">E44*F44</f>
        <v>99484</v>
      </c>
      <c r="H44" s="37">
        <v>2</v>
      </c>
      <c r="I44" s="118">
        <v>20</v>
      </c>
      <c r="J44" s="39">
        <v>2400</v>
      </c>
      <c r="K44" s="17">
        <f t="shared" si="1"/>
        <v>120</v>
      </c>
      <c r="L44" s="118">
        <v>20</v>
      </c>
      <c r="M44" s="18">
        <f t="shared" ref="M44:M51" si="28">F44/V44*60</f>
        <v>2303.030303030303</v>
      </c>
      <c r="N44" s="17">
        <f t="shared" si="3"/>
        <v>115.15151515151516</v>
      </c>
      <c r="O44" s="19">
        <f t="shared" si="4"/>
        <v>0</v>
      </c>
      <c r="P44" s="20">
        <f t="shared" si="5"/>
        <v>-4.8484848484848442</v>
      </c>
      <c r="Q44" s="115">
        <f t="shared" si="6"/>
        <v>0.95959595959595967</v>
      </c>
      <c r="R44" s="198">
        <f>Q52</f>
        <v>0.95609674552600898</v>
      </c>
      <c r="S44" s="40">
        <v>8.3333333333333329E-2</v>
      </c>
      <c r="T44" s="40">
        <v>0.15208333333333332</v>
      </c>
      <c r="U44" s="116"/>
      <c r="V44" s="119">
        <f t="shared" ref="V44:V51" si="29">(T44-S44)*24*60</f>
        <v>99</v>
      </c>
      <c r="W44" s="28">
        <f>T44</f>
        <v>0.15208333333333332</v>
      </c>
      <c r="X44" s="28">
        <f>S45</f>
        <v>0.17152777777777778</v>
      </c>
      <c r="Y44" s="28"/>
      <c r="Z44" s="28"/>
      <c r="AA44" s="191"/>
      <c r="AB44" s="191"/>
      <c r="AC44" s="239">
        <v>8</v>
      </c>
      <c r="AD44" s="25"/>
      <c r="AE44" s="19">
        <f t="shared" si="8"/>
        <v>-96.969696969696997</v>
      </c>
      <c r="AF44" s="115">
        <f t="shared" si="9"/>
        <v>0.95959595959595956</v>
      </c>
      <c r="AG44" s="198">
        <f>AF52</f>
        <v>0.95609674552600898</v>
      </c>
    </row>
    <row r="45" spans="1:33" ht="15.75" customHeight="1">
      <c r="A45" s="218" t="s">
        <v>311</v>
      </c>
      <c r="B45" s="42" t="s">
        <v>116</v>
      </c>
      <c r="C45" s="220" t="s">
        <v>125</v>
      </c>
      <c r="D45" s="220"/>
      <c r="E45" s="42">
        <v>25.98</v>
      </c>
      <c r="F45" s="120">
        <v>3892</v>
      </c>
      <c r="G45" s="116">
        <f t="shared" si="27"/>
        <v>101114.16</v>
      </c>
      <c r="H45" s="37" t="s">
        <v>91</v>
      </c>
      <c r="I45" s="118">
        <v>20</v>
      </c>
      <c r="J45" s="39">
        <v>2400</v>
      </c>
      <c r="K45" s="17">
        <f t="shared" si="1"/>
        <v>120</v>
      </c>
      <c r="L45" s="118">
        <v>20</v>
      </c>
      <c r="M45" s="18">
        <f t="shared" si="28"/>
        <v>2289.4117647058824</v>
      </c>
      <c r="N45" s="17">
        <f t="shared" si="3"/>
        <v>114.47058823529412</v>
      </c>
      <c r="O45" s="19">
        <f t="shared" si="4"/>
        <v>0</v>
      </c>
      <c r="P45" s="20">
        <f t="shared" si="5"/>
        <v>-5.529411764705884</v>
      </c>
      <c r="Q45" s="115">
        <f t="shared" si="6"/>
        <v>0.95392156862745092</v>
      </c>
      <c r="R45" s="198"/>
      <c r="S45" s="40">
        <v>0.17152777777777778</v>
      </c>
      <c r="T45" s="40">
        <v>0.24236111111111111</v>
      </c>
      <c r="U45" s="116">
        <f t="shared" ref="U45:U51" si="30">(S45-T44)*24*60</f>
        <v>28.000000000000021</v>
      </c>
      <c r="V45" s="119">
        <f t="shared" si="29"/>
        <v>102</v>
      </c>
      <c r="W45" s="116"/>
      <c r="X45" s="116"/>
      <c r="Y45" s="116"/>
      <c r="Z45" s="116"/>
      <c r="AA45" s="191"/>
      <c r="AB45" s="191"/>
      <c r="AC45" s="239"/>
      <c r="AD45" s="25"/>
      <c r="AE45" s="19">
        <f t="shared" si="8"/>
        <v>-110.58823529411757</v>
      </c>
      <c r="AF45" s="115">
        <f t="shared" si="9"/>
        <v>0.95392156862745103</v>
      </c>
      <c r="AG45" s="198"/>
    </row>
    <row r="46" spans="1:33">
      <c r="A46" s="219" t="s">
        <v>311</v>
      </c>
      <c r="B46" s="42" t="s">
        <v>116</v>
      </c>
      <c r="C46" s="220" t="s">
        <v>119</v>
      </c>
      <c r="D46" s="220"/>
      <c r="E46" s="42">
        <v>26.18</v>
      </c>
      <c r="F46" s="120">
        <v>5200</v>
      </c>
      <c r="G46" s="116">
        <f t="shared" si="27"/>
        <v>136136</v>
      </c>
      <c r="H46" s="37">
        <v>2</v>
      </c>
      <c r="I46" s="118">
        <v>18</v>
      </c>
      <c r="J46" s="39">
        <v>2400</v>
      </c>
      <c r="K46" s="17">
        <f t="shared" si="1"/>
        <v>133.33333333333334</v>
      </c>
      <c r="L46" s="118">
        <v>18</v>
      </c>
      <c r="M46" s="18">
        <f t="shared" si="28"/>
        <v>2294.1176470588234</v>
      </c>
      <c r="N46" s="17">
        <f t="shared" si="3"/>
        <v>127.45098039215685</v>
      </c>
      <c r="O46" s="19">
        <f t="shared" si="4"/>
        <v>0</v>
      </c>
      <c r="P46" s="20">
        <f t="shared" si="5"/>
        <v>-5.8823529411764923</v>
      </c>
      <c r="Q46" s="115">
        <f t="shared" si="6"/>
        <v>0.95588235294117629</v>
      </c>
      <c r="R46" s="198"/>
      <c r="S46" s="40">
        <v>0.24652777777777779</v>
      </c>
      <c r="T46" s="40">
        <v>0.34097222222222223</v>
      </c>
      <c r="U46" s="116">
        <f t="shared" si="30"/>
        <v>6.0000000000000187</v>
      </c>
      <c r="V46" s="119">
        <f t="shared" si="29"/>
        <v>136</v>
      </c>
      <c r="W46" s="116"/>
      <c r="X46" s="116"/>
      <c r="Y46" s="116"/>
      <c r="Z46" s="116"/>
      <c r="AA46" s="191"/>
      <c r="AB46" s="191"/>
      <c r="AC46" s="239"/>
      <c r="AD46" s="25"/>
      <c r="AE46" s="19">
        <f t="shared" si="8"/>
        <v>-105.88235294117658</v>
      </c>
      <c r="AF46" s="115">
        <f t="shared" si="9"/>
        <v>0.95588235294117641</v>
      </c>
      <c r="AG46" s="198"/>
    </row>
    <row r="47" spans="1:33">
      <c r="A47" s="219" t="s">
        <v>311</v>
      </c>
      <c r="B47" s="42" t="s">
        <v>116</v>
      </c>
      <c r="C47" s="220" t="s">
        <v>121</v>
      </c>
      <c r="D47" s="220"/>
      <c r="E47" s="42">
        <v>25.99</v>
      </c>
      <c r="F47" s="120">
        <v>2400</v>
      </c>
      <c r="G47" s="116">
        <f t="shared" si="27"/>
        <v>62375.999999999993</v>
      </c>
      <c r="H47" s="37">
        <v>2</v>
      </c>
      <c r="I47" s="118">
        <v>14</v>
      </c>
      <c r="J47" s="39">
        <v>2400</v>
      </c>
      <c r="K47" s="17">
        <f t="shared" si="1"/>
        <v>171.42857142857142</v>
      </c>
      <c r="L47" s="118">
        <v>14</v>
      </c>
      <c r="M47" s="18">
        <f t="shared" si="28"/>
        <v>2285.7142857142853</v>
      </c>
      <c r="N47" s="17">
        <f t="shared" si="3"/>
        <v>163.26530612244895</v>
      </c>
      <c r="O47" s="19">
        <f t="shared" si="4"/>
        <v>0</v>
      </c>
      <c r="P47" s="20">
        <f t="shared" si="5"/>
        <v>-8.1632653061224687</v>
      </c>
      <c r="Q47" s="115">
        <f t="shared" si="6"/>
        <v>0.95238095238095222</v>
      </c>
      <c r="R47" s="198"/>
      <c r="S47" s="40">
        <v>0.34444444444444444</v>
      </c>
      <c r="T47" s="40">
        <v>0.38819444444444445</v>
      </c>
      <c r="U47" s="116">
        <f t="shared" si="30"/>
        <v>4.9999999999999822</v>
      </c>
      <c r="V47" s="119">
        <f t="shared" si="29"/>
        <v>63.000000000000014</v>
      </c>
      <c r="W47" s="23"/>
      <c r="X47" s="23"/>
      <c r="Y47" s="23"/>
      <c r="Z47" s="23"/>
      <c r="AA47" s="191"/>
      <c r="AB47" s="191"/>
      <c r="AC47" s="239"/>
      <c r="AD47" s="25"/>
      <c r="AE47" s="19">
        <f t="shared" si="8"/>
        <v>-114.28571428571468</v>
      </c>
      <c r="AF47" s="115">
        <f t="shared" si="9"/>
        <v>0.95238095238095222</v>
      </c>
      <c r="AG47" s="198"/>
    </row>
    <row r="48" spans="1:33">
      <c r="A48" s="219" t="s">
        <v>311</v>
      </c>
      <c r="B48" s="42" t="s">
        <v>116</v>
      </c>
      <c r="C48" s="220" t="s">
        <v>126</v>
      </c>
      <c r="D48" s="220"/>
      <c r="E48" s="42">
        <v>34.1</v>
      </c>
      <c r="F48" s="120">
        <v>4000</v>
      </c>
      <c r="G48" s="116">
        <f t="shared" si="27"/>
        <v>136400</v>
      </c>
      <c r="H48" s="37">
        <v>2</v>
      </c>
      <c r="I48" s="118">
        <v>17</v>
      </c>
      <c r="J48" s="39">
        <v>1600</v>
      </c>
      <c r="K48" s="17">
        <f t="shared" si="1"/>
        <v>94.117647058823536</v>
      </c>
      <c r="L48" s="118">
        <v>17</v>
      </c>
      <c r="M48" s="18">
        <f t="shared" si="28"/>
        <v>1528.6624203821657</v>
      </c>
      <c r="N48" s="17">
        <f t="shared" si="3"/>
        <v>89.92131884600974</v>
      </c>
      <c r="O48" s="19">
        <f t="shared" si="4"/>
        <v>0</v>
      </c>
      <c r="P48" s="20">
        <f t="shared" si="5"/>
        <v>-4.1963282128137962</v>
      </c>
      <c r="Q48" s="115">
        <f t="shared" si="6"/>
        <v>0.9554140127388534</v>
      </c>
      <c r="R48" s="198"/>
      <c r="S48" s="40">
        <v>0.39166666666666666</v>
      </c>
      <c r="T48" s="40">
        <v>0.50069444444444444</v>
      </c>
      <c r="U48" s="116">
        <f t="shared" si="30"/>
        <v>4.9999999999999822</v>
      </c>
      <c r="V48" s="119">
        <f t="shared" si="29"/>
        <v>157</v>
      </c>
      <c r="W48" s="23">
        <f>T48</f>
        <v>0.50069444444444444</v>
      </c>
      <c r="X48" s="23">
        <f>S49</f>
        <v>0.54236111111111107</v>
      </c>
      <c r="Y48" s="23"/>
      <c r="Z48" s="23"/>
      <c r="AA48" s="191"/>
      <c r="AB48" s="191"/>
      <c r="AC48" s="239"/>
      <c r="AD48" s="25"/>
      <c r="AE48" s="19">
        <f t="shared" si="8"/>
        <v>-71.337579617834308</v>
      </c>
      <c r="AF48" s="115">
        <f t="shared" si="9"/>
        <v>0.95541401273885351</v>
      </c>
      <c r="AG48" s="198"/>
    </row>
    <row r="49" spans="1:33">
      <c r="A49" s="219" t="s">
        <v>311</v>
      </c>
      <c r="B49" s="42" t="s">
        <v>116</v>
      </c>
      <c r="C49" s="220" t="s">
        <v>126</v>
      </c>
      <c r="D49" s="220"/>
      <c r="E49" s="42">
        <v>34.1</v>
      </c>
      <c r="F49" s="120">
        <v>3214</v>
      </c>
      <c r="G49" s="116">
        <f t="shared" si="27"/>
        <v>109597.40000000001</v>
      </c>
      <c r="H49" s="37" t="s">
        <v>91</v>
      </c>
      <c r="I49" s="118">
        <v>17</v>
      </c>
      <c r="J49" s="39">
        <v>1600</v>
      </c>
      <c r="K49" s="17">
        <f t="shared" si="1"/>
        <v>94.117647058823536</v>
      </c>
      <c r="L49" s="118">
        <v>17</v>
      </c>
      <c r="M49" s="18">
        <f t="shared" si="28"/>
        <v>1530.4761904761901</v>
      </c>
      <c r="N49" s="17">
        <f t="shared" si="3"/>
        <v>90.028011204481771</v>
      </c>
      <c r="O49" s="19">
        <f t="shared" si="4"/>
        <v>0</v>
      </c>
      <c r="P49" s="20">
        <f t="shared" si="5"/>
        <v>-4.0896358543417648</v>
      </c>
      <c r="Q49" s="115">
        <f t="shared" si="6"/>
        <v>0.95654761904761876</v>
      </c>
      <c r="R49" s="198"/>
      <c r="S49" s="40">
        <v>0.54236111111111107</v>
      </c>
      <c r="T49" s="40">
        <v>0.62986111111111109</v>
      </c>
      <c r="U49" s="116">
        <f t="shared" si="30"/>
        <v>59.999999999999943</v>
      </c>
      <c r="V49" s="119">
        <f t="shared" si="29"/>
        <v>126.00000000000003</v>
      </c>
      <c r="W49" s="23"/>
      <c r="X49" s="23"/>
      <c r="Y49" s="23"/>
      <c r="Z49" s="23"/>
      <c r="AA49" s="191"/>
      <c r="AB49" s="191"/>
      <c r="AC49" s="239"/>
      <c r="AD49" s="25"/>
      <c r="AE49" s="19">
        <f t="shared" si="8"/>
        <v>-69.523809523809859</v>
      </c>
      <c r="AF49" s="115">
        <f t="shared" si="9"/>
        <v>0.95654761904761887</v>
      </c>
      <c r="AG49" s="198"/>
    </row>
    <row r="50" spans="1:33">
      <c r="A50" s="219" t="s">
        <v>311</v>
      </c>
      <c r="B50" s="42" t="s">
        <v>116</v>
      </c>
      <c r="C50" s="220" t="s">
        <v>123</v>
      </c>
      <c r="D50" s="220"/>
      <c r="E50" s="42">
        <v>26.18</v>
      </c>
      <c r="F50" s="120">
        <v>3001</v>
      </c>
      <c r="G50" s="116">
        <f t="shared" si="27"/>
        <v>78566.179999999993</v>
      </c>
      <c r="H50" s="37" t="s">
        <v>91</v>
      </c>
      <c r="I50" s="118">
        <v>20</v>
      </c>
      <c r="J50" s="39">
        <v>2400</v>
      </c>
      <c r="K50" s="17">
        <f t="shared" si="1"/>
        <v>120</v>
      </c>
      <c r="L50" s="118">
        <v>20</v>
      </c>
      <c r="M50" s="18">
        <f t="shared" si="28"/>
        <v>2308.4615384615372</v>
      </c>
      <c r="N50" s="17">
        <f t="shared" si="3"/>
        <v>115.42307692307686</v>
      </c>
      <c r="O50" s="19">
        <f t="shared" si="4"/>
        <v>0</v>
      </c>
      <c r="P50" s="20">
        <f t="shared" si="5"/>
        <v>-4.576923076923137</v>
      </c>
      <c r="Q50" s="115">
        <f t="shared" si="6"/>
        <v>0.96185897435897383</v>
      </c>
      <c r="R50" s="198"/>
      <c r="S50" s="40">
        <v>0.63402777777777775</v>
      </c>
      <c r="T50" s="40">
        <v>0.68819444444444444</v>
      </c>
      <c r="U50" s="116">
        <f t="shared" si="30"/>
        <v>5.9999999999999787</v>
      </c>
      <c r="V50" s="119">
        <f t="shared" si="29"/>
        <v>78.000000000000043</v>
      </c>
      <c r="W50" s="23"/>
      <c r="X50" s="23"/>
      <c r="Y50" s="26"/>
      <c r="Z50" s="26"/>
      <c r="AA50" s="209"/>
      <c r="AB50" s="210"/>
      <c r="AC50" s="239"/>
      <c r="AD50" s="25"/>
      <c r="AE50" s="19">
        <f t="shared" si="8"/>
        <v>-91.538461538462798</v>
      </c>
      <c r="AF50" s="115">
        <f t="shared" si="9"/>
        <v>0.96185897435897383</v>
      </c>
      <c r="AG50" s="198"/>
    </row>
    <row r="51" spans="1:33">
      <c r="A51" s="219" t="s">
        <v>311</v>
      </c>
      <c r="B51" s="42" t="s">
        <v>116</v>
      </c>
      <c r="C51" s="220" t="s">
        <v>119</v>
      </c>
      <c r="D51" s="220"/>
      <c r="E51" s="42">
        <v>26.18</v>
      </c>
      <c r="F51" s="120">
        <v>4003</v>
      </c>
      <c r="G51" s="116">
        <f t="shared" si="27"/>
        <v>104798.54</v>
      </c>
      <c r="H51" s="37" t="s">
        <v>91</v>
      </c>
      <c r="I51" s="118">
        <v>18</v>
      </c>
      <c r="J51" s="39">
        <v>2400</v>
      </c>
      <c r="K51" s="17">
        <f t="shared" si="1"/>
        <v>133.33333333333334</v>
      </c>
      <c r="L51" s="118">
        <v>18</v>
      </c>
      <c r="M51" s="18">
        <f t="shared" si="28"/>
        <v>2287.4285714285725</v>
      </c>
      <c r="N51" s="17">
        <f t="shared" si="3"/>
        <v>127.07936507936513</v>
      </c>
      <c r="O51" s="19">
        <f t="shared" si="4"/>
        <v>0</v>
      </c>
      <c r="P51" s="20">
        <f t="shared" si="5"/>
        <v>-6.2539682539682104</v>
      </c>
      <c r="Q51" s="115">
        <f t="shared" si="6"/>
        <v>0.95309523809523844</v>
      </c>
      <c r="R51" s="198"/>
      <c r="S51" s="40">
        <v>0.69166666666666665</v>
      </c>
      <c r="T51" s="40">
        <v>0.76458333333333328</v>
      </c>
      <c r="U51" s="116">
        <f t="shared" si="30"/>
        <v>4.9999999999999822</v>
      </c>
      <c r="V51" s="119">
        <f t="shared" si="29"/>
        <v>104.99999999999994</v>
      </c>
      <c r="W51" s="23"/>
      <c r="X51" s="23"/>
      <c r="Y51" s="26"/>
      <c r="Z51" s="26"/>
      <c r="AA51" s="209"/>
      <c r="AB51" s="210"/>
      <c r="AC51" s="239"/>
      <c r="AD51" s="25"/>
      <c r="AE51" s="19">
        <f t="shared" si="8"/>
        <v>-112.57142857142753</v>
      </c>
      <c r="AF51" s="115">
        <f t="shared" si="9"/>
        <v>0.95309523809523855</v>
      </c>
      <c r="AG51" s="198"/>
    </row>
    <row r="52" spans="1:33">
      <c r="A52" s="219" t="s">
        <v>311</v>
      </c>
      <c r="B52" s="44" t="s">
        <v>305</v>
      </c>
      <c r="C52" s="208"/>
      <c r="D52" s="208"/>
      <c r="E52" s="117"/>
      <c r="F52" s="44"/>
      <c r="G52" s="17"/>
      <c r="H52" s="120"/>
      <c r="I52" s="29">
        <v>18</v>
      </c>
      <c r="J52" s="39">
        <v>2200</v>
      </c>
      <c r="K52" s="17">
        <f t="shared" si="1"/>
        <v>122.22222222222223</v>
      </c>
      <c r="L52" s="29">
        <v>18</v>
      </c>
      <c r="M52" s="18">
        <f>AVERAGE(M44:M51)</f>
        <v>2103.4128401572198</v>
      </c>
      <c r="N52" s="17">
        <f t="shared" si="3"/>
        <v>116.85626889762332</v>
      </c>
      <c r="O52" s="19">
        <f t="shared" si="4"/>
        <v>0</v>
      </c>
      <c r="P52" s="20">
        <f t="shared" si="5"/>
        <v>-5.3659533245989053</v>
      </c>
      <c r="Q52" s="115">
        <f t="shared" si="6"/>
        <v>0.95609674552600898</v>
      </c>
      <c r="R52" s="198"/>
      <c r="S52" s="40"/>
      <c r="T52" s="40"/>
      <c r="U52" s="17"/>
      <c r="V52" s="119"/>
      <c r="W52" s="17"/>
      <c r="X52" s="17"/>
      <c r="Y52" s="30">
        <f>SUM(Y44:Y51)</f>
        <v>0</v>
      </c>
      <c r="Z52" s="30">
        <f>SUM(Z44:Z51)</f>
        <v>0</v>
      </c>
      <c r="AA52" s="201"/>
      <c r="AB52" s="201"/>
      <c r="AC52" s="30">
        <v>8</v>
      </c>
      <c r="AD52" s="30">
        <f>SUM(AD44:AD51)</f>
        <v>0</v>
      </c>
      <c r="AE52" s="19">
        <f t="shared" si="8"/>
        <v>-96.587159842780238</v>
      </c>
      <c r="AF52" s="115">
        <f t="shared" si="9"/>
        <v>0.95609674552600898</v>
      </c>
      <c r="AG52" s="198"/>
    </row>
    <row r="53" spans="1:33" ht="15.75" customHeight="1">
      <c r="A53" s="221" t="s">
        <v>312</v>
      </c>
      <c r="B53" s="42" t="s">
        <v>127</v>
      </c>
      <c r="C53" s="224" t="s">
        <v>128</v>
      </c>
      <c r="D53" s="225"/>
      <c r="E53" s="42">
        <v>21.13</v>
      </c>
      <c r="F53" s="120">
        <v>6292</v>
      </c>
      <c r="G53" s="116">
        <f t="shared" ref="G53:G56" si="31">E53*F53</f>
        <v>132949.96</v>
      </c>
      <c r="H53" s="37" t="s">
        <v>91</v>
      </c>
      <c r="I53" s="118">
        <v>10</v>
      </c>
      <c r="J53" s="39">
        <v>3000</v>
      </c>
      <c r="K53" s="17">
        <f t="shared" si="1"/>
        <v>300</v>
      </c>
      <c r="L53" s="118">
        <v>10</v>
      </c>
      <c r="M53" s="18">
        <f t="shared" ref="M53:M56" si="32">F53/V53*60</f>
        <v>2859.9999999999986</v>
      </c>
      <c r="N53" s="18">
        <f t="shared" si="3"/>
        <v>285.99999999999989</v>
      </c>
      <c r="O53" s="19">
        <f t="shared" si="4"/>
        <v>0</v>
      </c>
      <c r="P53" s="20">
        <f t="shared" si="5"/>
        <v>-14.000000000000114</v>
      </c>
      <c r="Q53" s="115">
        <f t="shared" si="6"/>
        <v>0.95333333333333292</v>
      </c>
      <c r="R53" s="226">
        <f>Q57</f>
        <v>0.95351631957130656</v>
      </c>
      <c r="S53" s="40">
        <v>0.20833333333333334</v>
      </c>
      <c r="T53" s="40">
        <v>0.30000000000000004</v>
      </c>
      <c r="U53" s="28"/>
      <c r="V53" s="119">
        <f t="shared" ref="V53:V56" si="33">(T53-S53)*24*60</f>
        <v>132.00000000000006</v>
      </c>
      <c r="W53" s="23"/>
      <c r="X53" s="23"/>
      <c r="Y53" s="26"/>
      <c r="Z53" s="26"/>
      <c r="AA53" s="209"/>
      <c r="AB53" s="210"/>
      <c r="AC53" s="239">
        <v>4</v>
      </c>
      <c r="AD53" s="25"/>
      <c r="AE53" s="19">
        <f t="shared" si="8"/>
        <v>-140.00000000000136</v>
      </c>
      <c r="AF53" s="115">
        <f t="shared" si="9"/>
        <v>0.95333333333333292</v>
      </c>
      <c r="AG53" s="226">
        <f>AF57</f>
        <v>0.95351631957130656</v>
      </c>
    </row>
    <row r="54" spans="1:33" ht="15.75" customHeight="1">
      <c r="A54" s="222" t="s">
        <v>312</v>
      </c>
      <c r="B54" s="42" t="s">
        <v>127</v>
      </c>
      <c r="C54" s="224" t="s">
        <v>129</v>
      </c>
      <c r="D54" s="225"/>
      <c r="E54" s="42">
        <v>27.17</v>
      </c>
      <c r="F54" s="120">
        <v>5681</v>
      </c>
      <c r="G54" s="116">
        <f t="shared" si="31"/>
        <v>154352.77000000002</v>
      </c>
      <c r="H54" s="37" t="s">
        <v>91</v>
      </c>
      <c r="I54" s="118">
        <v>10</v>
      </c>
      <c r="J54" s="39">
        <v>3000</v>
      </c>
      <c r="K54" s="17">
        <f t="shared" si="1"/>
        <v>300</v>
      </c>
      <c r="L54" s="118">
        <v>10</v>
      </c>
      <c r="M54" s="18">
        <f t="shared" si="32"/>
        <v>2864.3697478991603</v>
      </c>
      <c r="N54" s="18">
        <f t="shared" si="3"/>
        <v>286.43697478991601</v>
      </c>
      <c r="O54" s="19">
        <f t="shared" si="4"/>
        <v>0</v>
      </c>
      <c r="P54" s="20">
        <f t="shared" si="5"/>
        <v>-13.563025210083993</v>
      </c>
      <c r="Q54" s="115">
        <f t="shared" si="6"/>
        <v>0.95478991596638674</v>
      </c>
      <c r="R54" s="227"/>
      <c r="S54" s="40">
        <v>0.30347222222222225</v>
      </c>
      <c r="T54" s="40">
        <v>0.38611111111111113</v>
      </c>
      <c r="U54" s="116">
        <f t="shared" ref="U54:U56" si="34">(S54-T53)*24*60</f>
        <v>4.9999999999999822</v>
      </c>
      <c r="V54" s="119">
        <f t="shared" si="33"/>
        <v>118.99999999999997</v>
      </c>
      <c r="W54" s="23"/>
      <c r="X54" s="23"/>
      <c r="Y54" s="26"/>
      <c r="Z54" s="26"/>
      <c r="AA54" s="209"/>
      <c r="AB54" s="210"/>
      <c r="AC54" s="239"/>
      <c r="AD54" s="25"/>
      <c r="AE54" s="19">
        <f t="shared" si="8"/>
        <v>-135.6302521008397</v>
      </c>
      <c r="AF54" s="115">
        <f t="shared" si="9"/>
        <v>0.95478991596638674</v>
      </c>
      <c r="AG54" s="227"/>
    </row>
    <row r="55" spans="1:33" ht="15.75" customHeight="1">
      <c r="A55" s="222" t="s">
        <v>312</v>
      </c>
      <c r="B55" s="42" t="s">
        <v>127</v>
      </c>
      <c r="C55" s="224" t="s">
        <v>130</v>
      </c>
      <c r="D55" s="225"/>
      <c r="E55" s="42">
        <v>35.869999999999997</v>
      </c>
      <c r="F55" s="120">
        <v>2191</v>
      </c>
      <c r="G55" s="116">
        <f t="shared" si="31"/>
        <v>78591.17</v>
      </c>
      <c r="H55" s="37" t="s">
        <v>91</v>
      </c>
      <c r="I55" s="118">
        <v>9</v>
      </c>
      <c r="J55" s="39">
        <v>3000</v>
      </c>
      <c r="K55" s="17">
        <f t="shared" si="1"/>
        <v>333.33333333333331</v>
      </c>
      <c r="L55" s="118">
        <v>9</v>
      </c>
      <c r="M55" s="18">
        <f t="shared" si="32"/>
        <v>2857.8260869565215</v>
      </c>
      <c r="N55" s="18">
        <f t="shared" si="3"/>
        <v>317.53623188405794</v>
      </c>
      <c r="O55" s="19">
        <f t="shared" si="4"/>
        <v>0</v>
      </c>
      <c r="P55" s="20">
        <f t="shared" si="5"/>
        <v>-15.797101449275374</v>
      </c>
      <c r="Q55" s="115">
        <f t="shared" si="6"/>
        <v>0.95260869565217388</v>
      </c>
      <c r="R55" s="227"/>
      <c r="S55" s="40">
        <v>0.39166666666666666</v>
      </c>
      <c r="T55" s="40">
        <v>0.4236111111111111</v>
      </c>
      <c r="U55" s="116">
        <f t="shared" si="34"/>
        <v>7.9999999999999716</v>
      </c>
      <c r="V55" s="119">
        <f t="shared" si="33"/>
        <v>46</v>
      </c>
      <c r="W55" s="23"/>
      <c r="X55" s="23"/>
      <c r="Y55" s="26"/>
      <c r="Z55" s="26"/>
      <c r="AA55" s="209"/>
      <c r="AB55" s="210"/>
      <c r="AC55" s="239"/>
      <c r="AD55" s="25"/>
      <c r="AE55" s="19">
        <f t="shared" si="8"/>
        <v>-142.17391304347848</v>
      </c>
      <c r="AF55" s="115">
        <f t="shared" si="9"/>
        <v>0.95260869565217388</v>
      </c>
      <c r="AG55" s="227"/>
    </row>
    <row r="56" spans="1:33" ht="15.75" customHeight="1">
      <c r="A56" s="222" t="s">
        <v>312</v>
      </c>
      <c r="B56" s="42" t="s">
        <v>127</v>
      </c>
      <c r="C56" s="224" t="s">
        <v>131</v>
      </c>
      <c r="D56" s="225"/>
      <c r="E56" s="42">
        <v>34.35</v>
      </c>
      <c r="F56" s="120">
        <v>858</v>
      </c>
      <c r="G56" s="116">
        <f t="shared" si="31"/>
        <v>29472.300000000003</v>
      </c>
      <c r="H56" s="37" t="s">
        <v>91</v>
      </c>
      <c r="I56" s="118">
        <v>8</v>
      </c>
      <c r="J56" s="39">
        <v>3000</v>
      </c>
      <c r="K56" s="17">
        <f t="shared" si="1"/>
        <v>375</v>
      </c>
      <c r="L56" s="118">
        <v>8</v>
      </c>
      <c r="M56" s="18">
        <f t="shared" si="32"/>
        <v>2859.9999999999977</v>
      </c>
      <c r="N56" s="18">
        <f t="shared" si="3"/>
        <v>357.49999999999972</v>
      </c>
      <c r="O56" s="19">
        <f t="shared" si="4"/>
        <v>0</v>
      </c>
      <c r="P56" s="20">
        <f t="shared" si="5"/>
        <v>-17.500000000000284</v>
      </c>
      <c r="Q56" s="115">
        <f t="shared" si="6"/>
        <v>0.95333333333333259</v>
      </c>
      <c r="R56" s="227"/>
      <c r="S56" s="40">
        <v>0.42777777777777776</v>
      </c>
      <c r="T56" s="40">
        <v>0.44027777777777777</v>
      </c>
      <c r="U56" s="116">
        <f t="shared" si="34"/>
        <v>5.9999999999999787</v>
      </c>
      <c r="V56" s="119">
        <f t="shared" si="33"/>
        <v>18.000000000000014</v>
      </c>
      <c r="W56" s="23"/>
      <c r="X56" s="23"/>
      <c r="Y56" s="26"/>
      <c r="Z56" s="26"/>
      <c r="AA56" s="209"/>
      <c r="AB56" s="210"/>
      <c r="AC56" s="239"/>
      <c r="AD56" s="25"/>
      <c r="AE56" s="19">
        <f t="shared" si="8"/>
        <v>-140.00000000000227</v>
      </c>
      <c r="AF56" s="115">
        <f t="shared" si="9"/>
        <v>0.95333333333333259</v>
      </c>
      <c r="AG56" s="227"/>
    </row>
    <row r="57" spans="1:33" ht="15.75" customHeight="1">
      <c r="A57" s="223" t="s">
        <v>312</v>
      </c>
      <c r="B57" s="42" t="s">
        <v>305</v>
      </c>
      <c r="C57" s="229"/>
      <c r="D57" s="230"/>
      <c r="E57" s="109"/>
      <c r="F57" s="120"/>
      <c r="G57" s="116"/>
      <c r="H57" s="120"/>
      <c r="I57" s="29">
        <v>9.25</v>
      </c>
      <c r="J57" s="39">
        <v>3000</v>
      </c>
      <c r="K57" s="17">
        <f t="shared" si="1"/>
        <v>324.32432432432432</v>
      </c>
      <c r="L57" s="29">
        <v>9.25</v>
      </c>
      <c r="M57" s="18">
        <f>AVERAGE(M53:M56)</f>
        <v>2860.5489587139195</v>
      </c>
      <c r="N57" s="17">
        <f t="shared" si="3"/>
        <v>309.24853607718052</v>
      </c>
      <c r="O57" s="19">
        <f t="shared" si="4"/>
        <v>0</v>
      </c>
      <c r="P57" s="20">
        <f t="shared" si="5"/>
        <v>-15.075788247143805</v>
      </c>
      <c r="Q57" s="115">
        <f t="shared" si="6"/>
        <v>0.95351631957130656</v>
      </c>
      <c r="R57" s="228"/>
      <c r="S57" s="40"/>
      <c r="T57" s="40"/>
      <c r="U57" s="116"/>
      <c r="V57" s="119"/>
      <c r="W57" s="23"/>
      <c r="X57" s="23"/>
      <c r="Y57" s="30">
        <f>SUM(Y53:Y56)</f>
        <v>0</v>
      </c>
      <c r="Z57" s="30">
        <f>SUM(Z53:Z56)</f>
        <v>0</v>
      </c>
      <c r="AA57" s="231"/>
      <c r="AB57" s="232"/>
      <c r="AC57" s="30">
        <v>4</v>
      </c>
      <c r="AD57" s="30">
        <f>SUM(AD53:AD56)</f>
        <v>0</v>
      </c>
      <c r="AE57" s="19">
        <f t="shared" si="8"/>
        <v>-139.45104128608045</v>
      </c>
      <c r="AF57" s="115">
        <f t="shared" si="9"/>
        <v>0.95351631957130656</v>
      </c>
      <c r="AG57" s="228"/>
    </row>
    <row r="58" spans="1:33" ht="15.75" customHeight="1">
      <c r="A58" s="195" t="s">
        <v>313</v>
      </c>
      <c r="B58" s="42" t="s">
        <v>92</v>
      </c>
      <c r="C58" s="220" t="s">
        <v>133</v>
      </c>
      <c r="D58" s="220"/>
      <c r="E58" s="42">
        <v>59.04</v>
      </c>
      <c r="F58" s="48">
        <v>1671</v>
      </c>
      <c r="G58" s="116">
        <f t="shared" ref="G58:G67" si="35">E58*F58</f>
        <v>98655.84</v>
      </c>
      <c r="H58" s="37" t="s">
        <v>91</v>
      </c>
      <c r="I58" s="118">
        <v>19</v>
      </c>
      <c r="J58" s="39">
        <v>2000</v>
      </c>
      <c r="K58" s="17">
        <f t="shared" si="1"/>
        <v>105.26315789473684</v>
      </c>
      <c r="L58" s="118">
        <v>19</v>
      </c>
      <c r="M58" s="18">
        <f t="shared" ref="M58" si="36">F58/V58*60</f>
        <v>1928.0769230769233</v>
      </c>
      <c r="N58" s="18">
        <f t="shared" si="3"/>
        <v>101.47773279352228</v>
      </c>
      <c r="O58" s="19">
        <f t="shared" si="4"/>
        <v>0</v>
      </c>
      <c r="P58" s="20">
        <f t="shared" si="5"/>
        <v>-3.7854251012145568</v>
      </c>
      <c r="Q58" s="115">
        <f t="shared" si="6"/>
        <v>0.96403846153846173</v>
      </c>
      <c r="R58" s="198">
        <f>Q68</f>
        <v>0.96182122623884425</v>
      </c>
      <c r="S58" s="40">
        <v>8.3333333333333329E-2</v>
      </c>
      <c r="T58" s="40">
        <v>0.11944444444444444</v>
      </c>
      <c r="U58" s="28"/>
      <c r="V58" s="119">
        <f t="shared" ref="V58:V67" si="37">(T58-S58)*24*60</f>
        <v>51.999999999999993</v>
      </c>
      <c r="W58" s="23">
        <f>T58</f>
        <v>0.11944444444444444</v>
      </c>
      <c r="X58" s="23">
        <f>S59</f>
        <v>0.1388888888888889</v>
      </c>
      <c r="Y58" s="28"/>
      <c r="Z58" s="28"/>
      <c r="AA58" s="191"/>
      <c r="AB58" s="191"/>
      <c r="AC58" s="239">
        <v>10</v>
      </c>
      <c r="AD58" s="25"/>
      <c r="AE58" s="19">
        <f t="shared" si="8"/>
        <v>-71.923076923076678</v>
      </c>
      <c r="AF58" s="115">
        <f t="shared" si="9"/>
        <v>0.96403846153846162</v>
      </c>
      <c r="AG58" s="198">
        <f>AF68</f>
        <v>0.96182122623884425</v>
      </c>
    </row>
    <row r="59" spans="1:33" ht="15.75" customHeight="1">
      <c r="A59" s="195" t="s">
        <v>313</v>
      </c>
      <c r="B59" s="42" t="s">
        <v>103</v>
      </c>
      <c r="C59" s="220" t="s">
        <v>132</v>
      </c>
      <c r="D59" s="220"/>
      <c r="E59" s="42">
        <v>51.44</v>
      </c>
      <c r="F59" s="48">
        <v>8281</v>
      </c>
      <c r="G59" s="116">
        <f t="shared" si="35"/>
        <v>425974.63999999996</v>
      </c>
      <c r="H59" s="37" t="s">
        <v>91</v>
      </c>
      <c r="I59" s="118">
        <v>18</v>
      </c>
      <c r="J59" s="39">
        <v>2000</v>
      </c>
      <c r="K59" s="17">
        <f t="shared" si="1"/>
        <v>111.11111111111111</v>
      </c>
      <c r="L59" s="118">
        <v>18</v>
      </c>
      <c r="M59" s="18">
        <f>F59/V59*60</f>
        <v>1903.6781609195402</v>
      </c>
      <c r="N59" s="18">
        <f t="shared" si="3"/>
        <v>105.75989782886334</v>
      </c>
      <c r="O59" s="19">
        <f t="shared" si="4"/>
        <v>0</v>
      </c>
      <c r="P59" s="20">
        <f t="shared" si="5"/>
        <v>-5.3512132822477696</v>
      </c>
      <c r="Q59" s="115">
        <f t="shared" si="6"/>
        <v>0.95183908045977006</v>
      </c>
      <c r="R59" s="198"/>
      <c r="S59" s="40">
        <v>0.1388888888888889</v>
      </c>
      <c r="T59" s="40">
        <v>0.32013888888888886</v>
      </c>
      <c r="U59" s="116">
        <f t="shared" ref="U59:U67" si="38">IF(S59=TIME(17,0,0),"",(S59-T58)*24*60)</f>
        <v>28.000000000000021</v>
      </c>
      <c r="V59" s="119">
        <f t="shared" si="37"/>
        <v>261</v>
      </c>
      <c r="W59" s="23"/>
      <c r="X59" s="23"/>
      <c r="Y59" s="23"/>
      <c r="Z59" s="23"/>
      <c r="AA59" s="191"/>
      <c r="AB59" s="191"/>
      <c r="AC59" s="239"/>
      <c r="AD59" s="25"/>
      <c r="AE59" s="19">
        <f t="shared" si="8"/>
        <v>-96.321839080459768</v>
      </c>
      <c r="AF59" s="115">
        <f t="shared" si="9"/>
        <v>0.95183908045977017</v>
      </c>
      <c r="AG59" s="198"/>
    </row>
    <row r="60" spans="1:33" ht="15.75" customHeight="1">
      <c r="A60" s="195" t="s">
        <v>313</v>
      </c>
      <c r="B60" s="42" t="s">
        <v>92</v>
      </c>
      <c r="C60" s="224" t="s">
        <v>134</v>
      </c>
      <c r="D60" s="225"/>
      <c r="E60" s="42">
        <v>56.43</v>
      </c>
      <c r="F60" s="48">
        <v>1340</v>
      </c>
      <c r="G60" s="116">
        <f t="shared" si="35"/>
        <v>75616.2</v>
      </c>
      <c r="H60" s="37" t="s">
        <v>91</v>
      </c>
      <c r="I60" s="118">
        <v>22</v>
      </c>
      <c r="J60" s="39">
        <v>2000</v>
      </c>
      <c r="K60" s="17">
        <f t="shared" si="1"/>
        <v>90.909090909090907</v>
      </c>
      <c r="L60" s="118">
        <v>22</v>
      </c>
      <c r="M60" s="18">
        <f t="shared" ref="M60:M67" si="39">F60/V60*60</f>
        <v>1914.2857142857138</v>
      </c>
      <c r="N60" s="18">
        <f t="shared" si="3"/>
        <v>87.012987012986983</v>
      </c>
      <c r="O60" s="19">
        <f t="shared" si="4"/>
        <v>0</v>
      </c>
      <c r="P60" s="20">
        <f t="shared" si="5"/>
        <v>-3.8961038961039236</v>
      </c>
      <c r="Q60" s="115">
        <f t="shared" si="6"/>
        <v>0.95714285714285685</v>
      </c>
      <c r="R60" s="198"/>
      <c r="S60" s="40">
        <v>0.3256944444444444</v>
      </c>
      <c r="T60" s="40">
        <v>0.35486111111111107</v>
      </c>
      <c r="U60" s="116">
        <f t="shared" si="38"/>
        <v>7.9999999999999716</v>
      </c>
      <c r="V60" s="119">
        <f t="shared" si="37"/>
        <v>42.000000000000014</v>
      </c>
      <c r="W60" s="23"/>
      <c r="X60" s="23"/>
      <c r="Y60" s="26"/>
      <c r="Z60" s="26"/>
      <c r="AA60" s="191"/>
      <c r="AB60" s="191"/>
      <c r="AC60" s="239"/>
      <c r="AD60" s="25"/>
      <c r="AE60" s="19">
        <f t="shared" si="8"/>
        <v>-85.714285714286234</v>
      </c>
      <c r="AF60" s="115">
        <f t="shared" si="9"/>
        <v>0.95714285714285685</v>
      </c>
      <c r="AG60" s="198"/>
    </row>
    <row r="61" spans="1:33" ht="15.75" customHeight="1">
      <c r="A61" s="195" t="s">
        <v>313</v>
      </c>
      <c r="B61" s="42" t="s">
        <v>92</v>
      </c>
      <c r="C61" s="113" t="s">
        <v>135</v>
      </c>
      <c r="D61" s="114"/>
      <c r="E61" s="42">
        <v>51.44</v>
      </c>
      <c r="F61" s="48">
        <v>1900</v>
      </c>
      <c r="G61" s="116">
        <f t="shared" si="35"/>
        <v>97736</v>
      </c>
      <c r="H61" s="37" t="s">
        <v>91</v>
      </c>
      <c r="I61" s="118">
        <v>25</v>
      </c>
      <c r="J61" s="39">
        <v>2000</v>
      </c>
      <c r="K61" s="17">
        <f t="shared" si="1"/>
        <v>80</v>
      </c>
      <c r="L61" s="118">
        <v>25</v>
      </c>
      <c r="M61" s="18">
        <f t="shared" si="39"/>
        <v>1932.2033898305074</v>
      </c>
      <c r="N61" s="18">
        <f t="shared" si="3"/>
        <v>77.288135593220289</v>
      </c>
      <c r="O61" s="19">
        <f t="shared" si="4"/>
        <v>0</v>
      </c>
      <c r="P61" s="20">
        <f t="shared" si="5"/>
        <v>-2.7118644067797106</v>
      </c>
      <c r="Q61" s="115">
        <f t="shared" si="6"/>
        <v>0.96610169491525366</v>
      </c>
      <c r="R61" s="198"/>
      <c r="S61" s="40">
        <v>0.35833333333333328</v>
      </c>
      <c r="T61" s="40">
        <v>0.39930555555555552</v>
      </c>
      <c r="U61" s="116">
        <f t="shared" si="38"/>
        <v>4.9999999999999822</v>
      </c>
      <c r="V61" s="119">
        <f t="shared" si="37"/>
        <v>59.000000000000028</v>
      </c>
      <c r="W61" s="23"/>
      <c r="X61" s="23"/>
      <c r="Y61" s="26"/>
      <c r="Z61" s="26"/>
      <c r="AA61" s="191"/>
      <c r="AB61" s="191"/>
      <c r="AC61" s="239"/>
      <c r="AD61" s="25"/>
      <c r="AE61" s="19">
        <f t="shared" si="8"/>
        <v>-67.796610169492624</v>
      </c>
      <c r="AF61" s="115">
        <f t="shared" si="9"/>
        <v>0.96610169491525366</v>
      </c>
      <c r="AG61" s="198"/>
    </row>
    <row r="62" spans="1:33" ht="15.75" customHeight="1">
      <c r="A62" s="195" t="s">
        <v>313</v>
      </c>
      <c r="B62" s="42" t="s">
        <v>96</v>
      </c>
      <c r="C62" s="113" t="s">
        <v>136</v>
      </c>
      <c r="D62" s="114"/>
      <c r="E62" s="42">
        <v>46</v>
      </c>
      <c r="F62" s="48">
        <v>1927</v>
      </c>
      <c r="G62" s="116">
        <f t="shared" si="35"/>
        <v>88642</v>
      </c>
      <c r="H62" s="37" t="s">
        <v>91</v>
      </c>
      <c r="I62" s="118">
        <v>16</v>
      </c>
      <c r="J62" s="39">
        <v>2000</v>
      </c>
      <c r="K62" s="17">
        <f t="shared" si="1"/>
        <v>125</v>
      </c>
      <c r="L62" s="118">
        <v>16</v>
      </c>
      <c r="M62" s="18">
        <f t="shared" si="39"/>
        <v>1926.9999999999991</v>
      </c>
      <c r="N62" s="18">
        <f t="shared" si="3"/>
        <v>120.43749999999994</v>
      </c>
      <c r="O62" s="19">
        <f t="shared" si="4"/>
        <v>0</v>
      </c>
      <c r="P62" s="20">
        <f t="shared" si="5"/>
        <v>-4.5625000000000568</v>
      </c>
      <c r="Q62" s="115">
        <f t="shared" si="6"/>
        <v>0.96349999999999958</v>
      </c>
      <c r="R62" s="198"/>
      <c r="S62" s="40">
        <v>0.40347222222222218</v>
      </c>
      <c r="T62" s="40">
        <v>0.44513888888888886</v>
      </c>
      <c r="U62" s="116">
        <f t="shared" si="38"/>
        <v>5.9999999999999787</v>
      </c>
      <c r="V62" s="119">
        <f t="shared" si="37"/>
        <v>60.000000000000028</v>
      </c>
      <c r="W62" s="23"/>
      <c r="X62" s="23"/>
      <c r="Y62" s="26"/>
      <c r="Z62" s="26"/>
      <c r="AA62" s="191"/>
      <c r="AB62" s="191"/>
      <c r="AC62" s="239"/>
      <c r="AD62" s="25"/>
      <c r="AE62" s="19">
        <f t="shared" si="8"/>
        <v>-73.000000000000909</v>
      </c>
      <c r="AF62" s="115">
        <f t="shared" si="9"/>
        <v>0.96349999999999958</v>
      </c>
      <c r="AG62" s="198"/>
    </row>
    <row r="63" spans="1:33" ht="15.75" customHeight="1">
      <c r="A63" s="195" t="s">
        <v>313</v>
      </c>
      <c r="B63" s="42" t="s">
        <v>96</v>
      </c>
      <c r="C63" s="224" t="s">
        <v>137</v>
      </c>
      <c r="D63" s="225"/>
      <c r="E63" s="42">
        <v>46</v>
      </c>
      <c r="F63" s="48">
        <v>2101</v>
      </c>
      <c r="G63" s="116">
        <f t="shared" si="35"/>
        <v>96646</v>
      </c>
      <c r="H63" s="37" t="s">
        <v>91</v>
      </c>
      <c r="I63" s="118">
        <v>17</v>
      </c>
      <c r="J63" s="39">
        <v>2000</v>
      </c>
      <c r="K63" s="17">
        <f t="shared" si="1"/>
        <v>117.64705882352941</v>
      </c>
      <c r="L63" s="118">
        <v>17</v>
      </c>
      <c r="M63" s="18">
        <f t="shared" si="39"/>
        <v>1910</v>
      </c>
      <c r="N63" s="18">
        <f t="shared" si="3"/>
        <v>112.35294117647059</v>
      </c>
      <c r="O63" s="19">
        <f t="shared" si="4"/>
        <v>0</v>
      </c>
      <c r="P63" s="20">
        <f t="shared" si="5"/>
        <v>-5.2941176470588118</v>
      </c>
      <c r="Q63" s="115">
        <f t="shared" si="6"/>
        <v>0.95500000000000007</v>
      </c>
      <c r="R63" s="198"/>
      <c r="S63" s="40">
        <v>0.4506944444444444</v>
      </c>
      <c r="T63" s="40">
        <v>0.49652777777777773</v>
      </c>
      <c r="U63" s="116">
        <f t="shared" si="38"/>
        <v>7.9999999999999716</v>
      </c>
      <c r="V63" s="119">
        <f t="shared" si="37"/>
        <v>66</v>
      </c>
      <c r="W63" s="23"/>
      <c r="X63" s="23"/>
      <c r="Y63" s="26"/>
      <c r="Z63" s="26"/>
      <c r="AA63" s="209"/>
      <c r="AB63" s="210"/>
      <c r="AC63" s="239"/>
      <c r="AD63" s="25"/>
      <c r="AE63" s="19">
        <f t="shared" si="8"/>
        <v>-90</v>
      </c>
      <c r="AF63" s="115">
        <f t="shared" si="9"/>
        <v>0.95499999999999996</v>
      </c>
      <c r="AG63" s="198"/>
    </row>
    <row r="64" spans="1:33" ht="15.75" customHeight="1">
      <c r="A64" s="195" t="s">
        <v>313</v>
      </c>
      <c r="B64" s="42" t="s">
        <v>92</v>
      </c>
      <c r="C64" s="224" t="s">
        <v>138</v>
      </c>
      <c r="D64" s="225"/>
      <c r="E64" s="42">
        <v>55.56</v>
      </c>
      <c r="F64" s="48">
        <v>2784</v>
      </c>
      <c r="G64" s="116">
        <f t="shared" si="35"/>
        <v>154679.04000000001</v>
      </c>
      <c r="H64" s="37" t="s">
        <v>91</v>
      </c>
      <c r="I64" s="118">
        <v>17</v>
      </c>
      <c r="J64" s="39">
        <v>2000</v>
      </c>
      <c r="K64" s="17">
        <f t="shared" si="1"/>
        <v>117.64705882352941</v>
      </c>
      <c r="L64" s="118">
        <v>17</v>
      </c>
      <c r="M64" s="18">
        <f t="shared" si="39"/>
        <v>1919.9999999999998</v>
      </c>
      <c r="N64" s="18">
        <f t="shared" si="3"/>
        <v>112.94117647058822</v>
      </c>
      <c r="O64" s="19">
        <f t="shared" si="4"/>
        <v>0</v>
      </c>
      <c r="P64" s="20">
        <f t="shared" si="5"/>
        <v>-4.7058823529411882</v>
      </c>
      <c r="Q64" s="115">
        <f t="shared" si="6"/>
        <v>0.95999999999999985</v>
      </c>
      <c r="R64" s="198"/>
      <c r="S64" s="40">
        <v>0.70833333333333337</v>
      </c>
      <c r="T64" s="40">
        <v>0.76875000000000004</v>
      </c>
      <c r="U64" s="116" t="str">
        <f t="shared" si="38"/>
        <v/>
      </c>
      <c r="V64" s="119">
        <f t="shared" si="37"/>
        <v>87.000000000000014</v>
      </c>
      <c r="W64" s="23"/>
      <c r="X64" s="23"/>
      <c r="Y64" s="26"/>
      <c r="Z64" s="26"/>
      <c r="AA64" s="209"/>
      <c r="AB64" s="210"/>
      <c r="AC64" s="239"/>
      <c r="AD64" s="25"/>
      <c r="AE64" s="19">
        <f t="shared" si="8"/>
        <v>-80.000000000000227</v>
      </c>
      <c r="AF64" s="115">
        <f t="shared" si="9"/>
        <v>0.95999999999999985</v>
      </c>
      <c r="AG64" s="198"/>
    </row>
    <row r="65" spans="1:33" ht="15.75" customHeight="1">
      <c r="A65" s="195" t="s">
        <v>313</v>
      </c>
      <c r="B65" s="42" t="s">
        <v>92</v>
      </c>
      <c r="C65" s="224" t="s">
        <v>139</v>
      </c>
      <c r="D65" s="225"/>
      <c r="E65" s="42">
        <v>54.09</v>
      </c>
      <c r="F65" s="48">
        <v>1197</v>
      </c>
      <c r="G65" s="116">
        <f t="shared" si="35"/>
        <v>64745.73</v>
      </c>
      <c r="H65" s="37" t="s">
        <v>91</v>
      </c>
      <c r="I65" s="118">
        <v>13</v>
      </c>
      <c r="J65" s="39">
        <v>2000</v>
      </c>
      <c r="K65" s="17">
        <f t="shared" si="1"/>
        <v>153.84615384615384</v>
      </c>
      <c r="L65" s="118">
        <v>13</v>
      </c>
      <c r="M65" s="18">
        <f t="shared" si="39"/>
        <v>1941.0810810810794</v>
      </c>
      <c r="N65" s="18">
        <f t="shared" si="3"/>
        <v>149.31392931392918</v>
      </c>
      <c r="O65" s="19">
        <f t="shared" si="4"/>
        <v>0</v>
      </c>
      <c r="P65" s="20">
        <f t="shared" si="5"/>
        <v>-4.5322245322246602</v>
      </c>
      <c r="Q65" s="115">
        <f t="shared" si="6"/>
        <v>0.97054054054053973</v>
      </c>
      <c r="R65" s="198"/>
      <c r="S65" s="40">
        <v>0.77430555555555558</v>
      </c>
      <c r="T65" s="40">
        <v>0.8</v>
      </c>
      <c r="U65" s="116">
        <f t="shared" si="38"/>
        <v>7.9999999999999716</v>
      </c>
      <c r="V65" s="119">
        <f t="shared" si="37"/>
        <v>37.000000000000028</v>
      </c>
      <c r="W65" s="23"/>
      <c r="X65" s="23"/>
      <c r="Y65" s="26"/>
      <c r="Z65" s="26"/>
      <c r="AA65" s="209"/>
      <c r="AB65" s="210"/>
      <c r="AC65" s="239"/>
      <c r="AD65" s="25"/>
      <c r="AE65" s="19">
        <f t="shared" si="8"/>
        <v>-58.918918918920554</v>
      </c>
      <c r="AF65" s="115">
        <f t="shared" si="9"/>
        <v>0.97054054054053973</v>
      </c>
      <c r="AG65" s="198"/>
    </row>
    <row r="66" spans="1:33">
      <c r="A66" s="195" t="s">
        <v>313</v>
      </c>
      <c r="B66" s="42" t="s">
        <v>92</v>
      </c>
      <c r="C66" s="113" t="s">
        <v>140</v>
      </c>
      <c r="D66" s="114"/>
      <c r="E66" s="42">
        <v>51.06</v>
      </c>
      <c r="F66" s="48">
        <v>1000</v>
      </c>
      <c r="G66" s="116">
        <f t="shared" si="35"/>
        <v>51060</v>
      </c>
      <c r="H66" s="37">
        <v>2</v>
      </c>
      <c r="I66" s="118">
        <v>13</v>
      </c>
      <c r="J66" s="39">
        <v>2000</v>
      </c>
      <c r="K66" s="17">
        <f t="shared" si="1"/>
        <v>153.84615384615384</v>
      </c>
      <c r="L66" s="118">
        <v>13</v>
      </c>
      <c r="M66" s="18">
        <f t="shared" si="39"/>
        <v>1935.483870967739</v>
      </c>
      <c r="N66" s="18">
        <f t="shared" si="3"/>
        <v>148.88337468982607</v>
      </c>
      <c r="O66" s="19">
        <f t="shared" si="4"/>
        <v>0</v>
      </c>
      <c r="P66" s="20">
        <f t="shared" si="5"/>
        <v>-4.9627791563277697</v>
      </c>
      <c r="Q66" s="115">
        <f t="shared" si="6"/>
        <v>0.96774193548386944</v>
      </c>
      <c r="R66" s="198"/>
      <c r="S66" s="40">
        <v>0.8041666666666667</v>
      </c>
      <c r="T66" s="40">
        <v>0.82569444444444451</v>
      </c>
      <c r="U66" s="116">
        <f t="shared" si="38"/>
        <v>5.9999999999999787</v>
      </c>
      <c r="V66" s="119">
        <f t="shared" si="37"/>
        <v>31.00000000000005</v>
      </c>
      <c r="W66" s="23">
        <f>T66</f>
        <v>0.82569444444444451</v>
      </c>
      <c r="X66" s="23">
        <f>S67</f>
        <v>0.86736111111111114</v>
      </c>
      <c r="Y66" s="26"/>
      <c r="Z66" s="26"/>
      <c r="AA66" s="111"/>
      <c r="AB66" s="112"/>
      <c r="AC66" s="239"/>
      <c r="AD66" s="25"/>
      <c r="AE66" s="19">
        <f t="shared" si="8"/>
        <v>-64.516129032261006</v>
      </c>
      <c r="AF66" s="115">
        <f t="shared" si="9"/>
        <v>0.96774193548386944</v>
      </c>
      <c r="AG66" s="198"/>
    </row>
    <row r="67" spans="1:33">
      <c r="A67" s="195" t="s">
        <v>313</v>
      </c>
      <c r="B67" s="42" t="s">
        <v>92</v>
      </c>
      <c r="C67" s="224" t="s">
        <v>140</v>
      </c>
      <c r="D67" s="225"/>
      <c r="E67" s="42">
        <v>51.06</v>
      </c>
      <c r="F67" s="48">
        <v>2502</v>
      </c>
      <c r="G67" s="116">
        <f t="shared" si="35"/>
        <v>127752.12000000001</v>
      </c>
      <c r="H67" s="37" t="s">
        <v>91</v>
      </c>
      <c r="I67" s="118">
        <v>13</v>
      </c>
      <c r="J67" s="39">
        <v>2000</v>
      </c>
      <c r="K67" s="17">
        <f t="shared" si="1"/>
        <v>153.84615384615384</v>
      </c>
      <c r="L67" s="118">
        <v>13</v>
      </c>
      <c r="M67" s="18">
        <f t="shared" si="39"/>
        <v>1924.6153846153836</v>
      </c>
      <c r="N67" s="18">
        <f t="shared" si="3"/>
        <v>148.04733727810643</v>
      </c>
      <c r="O67" s="19">
        <f t="shared" si="4"/>
        <v>0</v>
      </c>
      <c r="P67" s="20">
        <f t="shared" si="5"/>
        <v>-5.798816568047414</v>
      </c>
      <c r="Q67" s="115">
        <f t="shared" si="6"/>
        <v>0.96230769230769175</v>
      </c>
      <c r="R67" s="198"/>
      <c r="S67" s="40">
        <v>0.86736111111111114</v>
      </c>
      <c r="T67" s="40">
        <v>0.92152777777777783</v>
      </c>
      <c r="U67" s="116">
        <f t="shared" si="38"/>
        <v>59.999999999999943</v>
      </c>
      <c r="V67" s="119">
        <f t="shared" si="37"/>
        <v>78.000000000000043</v>
      </c>
      <c r="W67" s="23"/>
      <c r="X67" s="23"/>
      <c r="Y67" s="26"/>
      <c r="Z67" s="26"/>
      <c r="AA67" s="209"/>
      <c r="AB67" s="210"/>
      <c r="AC67" s="239"/>
      <c r="AD67" s="25"/>
      <c r="AE67" s="19">
        <f t="shared" si="8"/>
        <v>-75.384615384616382</v>
      </c>
      <c r="AF67" s="115">
        <f t="shared" si="9"/>
        <v>0.96230769230769186</v>
      </c>
      <c r="AG67" s="198"/>
    </row>
    <row r="68" spans="1:33">
      <c r="A68" s="235" t="s">
        <v>313</v>
      </c>
      <c r="B68" s="42" t="s">
        <v>305</v>
      </c>
      <c r="C68" s="208"/>
      <c r="D68" s="208"/>
      <c r="E68" s="117"/>
      <c r="F68" s="44"/>
      <c r="G68" s="17"/>
      <c r="H68" s="120"/>
      <c r="I68" s="29">
        <v>17.3</v>
      </c>
      <c r="J68" s="39">
        <v>2000</v>
      </c>
      <c r="K68" s="17">
        <f t="shared" si="1"/>
        <v>115.60693641618496</v>
      </c>
      <c r="L68" s="29">
        <v>17.3</v>
      </c>
      <c r="M68" s="18">
        <f>AVERAGE(M58:M67)</f>
        <v>1923.6424524776885</v>
      </c>
      <c r="N68" s="17">
        <f t="shared" si="3"/>
        <v>111.19320534553113</v>
      </c>
      <c r="O68" s="19">
        <f t="shared" si="4"/>
        <v>0</v>
      </c>
      <c r="P68" s="20">
        <f t="shared" si="5"/>
        <v>-4.4137310706538386</v>
      </c>
      <c r="Q68" s="115">
        <f t="shared" si="6"/>
        <v>0.96182122623884425</v>
      </c>
      <c r="R68" s="198"/>
      <c r="S68" s="40"/>
      <c r="T68" s="40"/>
      <c r="U68" s="116"/>
      <c r="V68" s="119"/>
      <c r="W68" s="17"/>
      <c r="X68" s="17"/>
      <c r="Y68" s="30">
        <f>SUM(Y58:Y67)</f>
        <v>0</v>
      </c>
      <c r="Z68" s="30">
        <f>SUM(Z58:Z67)</f>
        <v>0</v>
      </c>
      <c r="AA68" s="201"/>
      <c r="AB68" s="201"/>
      <c r="AC68" s="30">
        <v>10</v>
      </c>
      <c r="AD68" s="30">
        <f>SUM(AD58:AD67)</f>
        <v>0</v>
      </c>
      <c r="AE68" s="19">
        <f>M68-J68</f>
        <v>-76.357547522311506</v>
      </c>
      <c r="AF68" s="115">
        <f t="shared" si="9"/>
        <v>0.96182122623884425</v>
      </c>
      <c r="AG68" s="198"/>
    </row>
    <row r="69" spans="1:33" ht="15.75" customHeight="1">
      <c r="A69" s="233" t="s">
        <v>314</v>
      </c>
      <c r="B69" s="120" t="s">
        <v>127</v>
      </c>
      <c r="C69" s="220" t="s">
        <v>141</v>
      </c>
      <c r="D69" s="220"/>
      <c r="E69" s="42">
        <v>35.119999999999997</v>
      </c>
      <c r="F69" s="48">
        <v>4999</v>
      </c>
      <c r="G69" s="116">
        <f t="shared" ref="G69:G72" si="40">E69*F69</f>
        <v>175564.87999999998</v>
      </c>
      <c r="H69" s="37" t="s">
        <v>91</v>
      </c>
      <c r="I69" s="118">
        <v>10</v>
      </c>
      <c r="J69" s="39">
        <v>3000</v>
      </c>
      <c r="K69" s="17">
        <f t="shared" ref="K69:K105" si="41">J69/I69</f>
        <v>300</v>
      </c>
      <c r="L69" s="118">
        <v>10</v>
      </c>
      <c r="M69" s="18">
        <f t="shared" ref="M69:M72" si="42">F69/V69*60</f>
        <v>2856.5714285714289</v>
      </c>
      <c r="N69" s="17">
        <f t="shared" ref="N69:N105" si="43">M69/L69</f>
        <v>285.6571428571429</v>
      </c>
      <c r="O69" s="19">
        <f t="shared" ref="O69:O105" si="44">L69-I69</f>
        <v>0</v>
      </c>
      <c r="P69" s="20">
        <f t="shared" ref="P69:P105" si="45">N69-K69</f>
        <v>-14.342857142857099</v>
      </c>
      <c r="Q69" s="115">
        <f t="shared" ref="Q69:Q105" si="46">N69/K69</f>
        <v>0.95219047619047636</v>
      </c>
      <c r="R69" s="198">
        <f>Q73</f>
        <v>0.95941764831869747</v>
      </c>
      <c r="S69" s="40">
        <v>0.20833333333333334</v>
      </c>
      <c r="T69" s="40">
        <v>0.28125</v>
      </c>
      <c r="U69" s="116"/>
      <c r="V69" s="119">
        <f t="shared" ref="V69:V72" si="47">(T69-S69)*24*60</f>
        <v>104.99999999999999</v>
      </c>
      <c r="W69" s="23"/>
      <c r="X69" s="23"/>
      <c r="Y69" s="28"/>
      <c r="Z69" s="28"/>
      <c r="AA69" s="191"/>
      <c r="AB69" s="191"/>
      <c r="AC69" s="239">
        <v>4</v>
      </c>
      <c r="AD69" s="25"/>
      <c r="AE69" s="19">
        <f t="shared" ref="AE69:AE84" si="48">M69-J69</f>
        <v>-143.4285714285711</v>
      </c>
      <c r="AF69" s="115">
        <f t="shared" ref="AF69:AF105" si="49">M69/J69</f>
        <v>0.95219047619047625</v>
      </c>
      <c r="AG69" s="198">
        <f>AF73</f>
        <v>0.95941764831869747</v>
      </c>
    </row>
    <row r="70" spans="1:33" ht="15.75" customHeight="1">
      <c r="A70" s="233" t="s">
        <v>314</v>
      </c>
      <c r="B70" s="120" t="s">
        <v>127</v>
      </c>
      <c r="C70" s="220" t="s">
        <v>142</v>
      </c>
      <c r="D70" s="220"/>
      <c r="E70" s="42">
        <v>26.78</v>
      </c>
      <c r="F70" s="48">
        <v>2782</v>
      </c>
      <c r="G70" s="116">
        <f t="shared" si="40"/>
        <v>74501.960000000006</v>
      </c>
      <c r="H70" s="37" t="s">
        <v>91</v>
      </c>
      <c r="I70" s="118">
        <v>10</v>
      </c>
      <c r="J70" s="39">
        <v>3000</v>
      </c>
      <c r="K70" s="17">
        <f t="shared" si="41"/>
        <v>300</v>
      </c>
      <c r="L70" s="118">
        <v>10</v>
      </c>
      <c r="M70" s="18">
        <f t="shared" si="42"/>
        <v>2877.9310344827568</v>
      </c>
      <c r="N70" s="17">
        <f t="shared" si="43"/>
        <v>287.7931034482757</v>
      </c>
      <c r="O70" s="19">
        <f t="shared" si="44"/>
        <v>0</v>
      </c>
      <c r="P70" s="20">
        <f t="shared" si="45"/>
        <v>-12.206896551724299</v>
      </c>
      <c r="Q70" s="115">
        <f t="shared" si="46"/>
        <v>0.9593103448275857</v>
      </c>
      <c r="R70" s="198"/>
      <c r="S70" s="40">
        <v>0.28541666666666665</v>
      </c>
      <c r="T70" s="40">
        <v>0.32569444444444445</v>
      </c>
      <c r="U70" s="116">
        <f t="shared" ref="U70:U72" si="50">(S70-T69)*24*60</f>
        <v>5.9999999999999787</v>
      </c>
      <c r="V70" s="119">
        <f t="shared" si="47"/>
        <v>58.000000000000036</v>
      </c>
      <c r="W70" s="116"/>
      <c r="X70" s="116"/>
      <c r="Y70" s="116"/>
      <c r="Z70" s="116"/>
      <c r="AA70" s="191"/>
      <c r="AB70" s="191"/>
      <c r="AC70" s="239"/>
      <c r="AD70" s="25"/>
      <c r="AE70" s="19">
        <f t="shared" si="48"/>
        <v>-122.06896551724321</v>
      </c>
      <c r="AF70" s="115">
        <f t="shared" si="49"/>
        <v>0.95931034482758559</v>
      </c>
      <c r="AG70" s="198"/>
    </row>
    <row r="71" spans="1:33" ht="15.75" customHeight="1">
      <c r="A71" s="233" t="s">
        <v>314</v>
      </c>
      <c r="B71" s="120" t="s">
        <v>127</v>
      </c>
      <c r="C71" s="220" t="s">
        <v>143</v>
      </c>
      <c r="D71" s="220"/>
      <c r="E71" s="42">
        <v>36.14</v>
      </c>
      <c r="F71" s="48">
        <v>1705</v>
      </c>
      <c r="G71" s="116">
        <f t="shared" si="40"/>
        <v>61618.700000000004</v>
      </c>
      <c r="H71" s="37" t="s">
        <v>91</v>
      </c>
      <c r="I71" s="118">
        <v>11</v>
      </c>
      <c r="J71" s="39">
        <v>3000</v>
      </c>
      <c r="K71" s="17">
        <f t="shared" si="41"/>
        <v>272.72727272727275</v>
      </c>
      <c r="L71" s="118">
        <v>11</v>
      </c>
      <c r="M71" s="18">
        <f t="shared" si="42"/>
        <v>2922.8571428571399</v>
      </c>
      <c r="N71" s="17">
        <f t="shared" si="43"/>
        <v>265.71428571428544</v>
      </c>
      <c r="O71" s="19">
        <f t="shared" si="44"/>
        <v>0</v>
      </c>
      <c r="P71" s="20">
        <f t="shared" si="45"/>
        <v>-7.0129870129873098</v>
      </c>
      <c r="Q71" s="115">
        <f t="shared" si="46"/>
        <v>0.9742857142857132</v>
      </c>
      <c r="R71" s="198"/>
      <c r="S71" s="40">
        <v>0.3298611111111111</v>
      </c>
      <c r="T71" s="40">
        <v>0.35416666666666669</v>
      </c>
      <c r="U71" s="116">
        <f t="shared" si="50"/>
        <v>5.9999999999999787</v>
      </c>
      <c r="V71" s="119">
        <f t="shared" si="47"/>
        <v>35.000000000000036</v>
      </c>
      <c r="W71" s="116"/>
      <c r="X71" s="116"/>
      <c r="Y71" s="116"/>
      <c r="Z71" s="116"/>
      <c r="AA71" s="191"/>
      <c r="AB71" s="191"/>
      <c r="AC71" s="239"/>
      <c r="AD71" s="25"/>
      <c r="AE71" s="19">
        <f t="shared" si="48"/>
        <v>-77.142857142860066</v>
      </c>
      <c r="AF71" s="115">
        <f t="shared" si="49"/>
        <v>0.97428571428571331</v>
      </c>
      <c r="AG71" s="198"/>
    </row>
    <row r="72" spans="1:33" ht="15.75" customHeight="1">
      <c r="A72" s="233" t="s">
        <v>314</v>
      </c>
      <c r="B72" s="120" t="s">
        <v>127</v>
      </c>
      <c r="C72" s="220" t="s">
        <v>144</v>
      </c>
      <c r="D72" s="220"/>
      <c r="E72" s="42">
        <v>35.869999999999997</v>
      </c>
      <c r="F72" s="48">
        <v>6568</v>
      </c>
      <c r="G72" s="116">
        <f t="shared" si="40"/>
        <v>235594.15999999997</v>
      </c>
      <c r="H72" s="37" t="s">
        <v>91</v>
      </c>
      <c r="I72" s="118">
        <v>10</v>
      </c>
      <c r="J72" s="39">
        <v>3000</v>
      </c>
      <c r="K72" s="17">
        <f t="shared" si="41"/>
        <v>300</v>
      </c>
      <c r="L72" s="118">
        <v>10</v>
      </c>
      <c r="M72" s="18">
        <f t="shared" si="42"/>
        <v>2855.6521739130435</v>
      </c>
      <c r="N72" s="17">
        <f t="shared" si="43"/>
        <v>285.56521739130437</v>
      </c>
      <c r="O72" s="19">
        <f t="shared" si="44"/>
        <v>0</v>
      </c>
      <c r="P72" s="20">
        <f t="shared" si="45"/>
        <v>-14.434782608695627</v>
      </c>
      <c r="Q72" s="115">
        <f t="shared" si="46"/>
        <v>0.95188405797101461</v>
      </c>
      <c r="R72" s="198"/>
      <c r="S72" s="40">
        <v>0.35902777777777778</v>
      </c>
      <c r="T72" s="40">
        <v>0.4548611111111111</v>
      </c>
      <c r="U72" s="116">
        <f t="shared" si="50"/>
        <v>6.9999999999999751</v>
      </c>
      <c r="V72" s="119">
        <f t="shared" si="47"/>
        <v>138</v>
      </c>
      <c r="W72" s="116"/>
      <c r="X72" s="116"/>
      <c r="Y72" s="116"/>
      <c r="Z72" s="116"/>
      <c r="AA72" s="191"/>
      <c r="AB72" s="191"/>
      <c r="AC72" s="239"/>
      <c r="AD72" s="25"/>
      <c r="AE72" s="19">
        <f t="shared" si="48"/>
        <v>-144.3478260869565</v>
      </c>
      <c r="AF72" s="115">
        <f t="shared" si="49"/>
        <v>0.9518840579710145</v>
      </c>
      <c r="AG72" s="198"/>
    </row>
    <row r="73" spans="1:33">
      <c r="A73" s="234" t="s">
        <v>314</v>
      </c>
      <c r="B73" s="42" t="s">
        <v>305</v>
      </c>
      <c r="C73" s="208"/>
      <c r="D73" s="208"/>
      <c r="E73" s="117"/>
      <c r="F73" s="44"/>
      <c r="G73" s="17"/>
      <c r="H73" s="120"/>
      <c r="I73" s="29">
        <v>10.25</v>
      </c>
      <c r="J73" s="39">
        <v>3000</v>
      </c>
      <c r="K73" s="17">
        <f t="shared" si="41"/>
        <v>292.6829268292683</v>
      </c>
      <c r="L73" s="29">
        <v>10.25</v>
      </c>
      <c r="M73" s="18">
        <f>AVERAGE(M69:M72)</f>
        <v>2878.2529449560925</v>
      </c>
      <c r="N73" s="17">
        <f t="shared" si="43"/>
        <v>280.80516536157</v>
      </c>
      <c r="O73" s="19">
        <f t="shared" si="44"/>
        <v>0</v>
      </c>
      <c r="P73" s="20">
        <f t="shared" si="45"/>
        <v>-11.877761467698292</v>
      </c>
      <c r="Q73" s="115">
        <f t="shared" si="46"/>
        <v>0.95941764831869747</v>
      </c>
      <c r="R73" s="198"/>
      <c r="S73" s="40"/>
      <c r="T73" s="40"/>
      <c r="U73" s="17"/>
      <c r="V73" s="119"/>
      <c r="W73" s="17"/>
      <c r="X73" s="17"/>
      <c r="Y73" s="30">
        <f>SUM(Y69:Y72)</f>
        <v>0</v>
      </c>
      <c r="Z73" s="30">
        <f>SUM(Z69:Z72)</f>
        <v>0</v>
      </c>
      <c r="AA73" s="201"/>
      <c r="AB73" s="201"/>
      <c r="AC73" s="30">
        <v>4</v>
      </c>
      <c r="AD73" s="30">
        <f>SUM(AD69:AD72)</f>
        <v>0</v>
      </c>
      <c r="AE73" s="19">
        <f t="shared" si="48"/>
        <v>-121.74705504390749</v>
      </c>
      <c r="AF73" s="115">
        <f t="shared" si="49"/>
        <v>0.95941764831869747</v>
      </c>
      <c r="AG73" s="198"/>
    </row>
    <row r="74" spans="1:33" ht="15.75" customHeight="1">
      <c r="A74" s="236" t="s">
        <v>315</v>
      </c>
      <c r="B74" s="120" t="s">
        <v>116</v>
      </c>
      <c r="C74" s="220" t="s">
        <v>145</v>
      </c>
      <c r="D74" s="220"/>
      <c r="E74" s="42">
        <v>19.02</v>
      </c>
      <c r="F74" s="120">
        <v>6000</v>
      </c>
      <c r="G74" s="116">
        <f t="shared" ref="G74:G83" si="51">E74*F74</f>
        <v>114120</v>
      </c>
      <c r="H74" s="37">
        <v>2</v>
      </c>
      <c r="I74" s="118">
        <v>14</v>
      </c>
      <c r="J74" s="39">
        <v>2400</v>
      </c>
      <c r="K74" s="17">
        <f t="shared" si="41"/>
        <v>171.42857142857142</v>
      </c>
      <c r="L74" s="118">
        <v>14</v>
      </c>
      <c r="M74" s="18">
        <f t="shared" ref="M74:M83" si="52">F74/V74*60</f>
        <v>2292.993630573249</v>
      </c>
      <c r="N74" s="17">
        <f t="shared" si="43"/>
        <v>163.78525932666065</v>
      </c>
      <c r="O74" s="19">
        <f t="shared" si="44"/>
        <v>0</v>
      </c>
      <c r="P74" s="20">
        <f t="shared" si="45"/>
        <v>-7.6433121019107659</v>
      </c>
      <c r="Q74" s="115">
        <f t="shared" si="46"/>
        <v>0.95541401273885385</v>
      </c>
      <c r="R74" s="198">
        <f>Q84</f>
        <v>0.95739202172144355</v>
      </c>
      <c r="S74" s="40">
        <v>8.3333333333333329E-2</v>
      </c>
      <c r="T74" s="40">
        <v>0.19236111111111109</v>
      </c>
      <c r="U74" s="28"/>
      <c r="V74" s="119">
        <f t="shared" ref="V74:V83" si="53">(T74-S74)*24*60</f>
        <v>156.99999999999997</v>
      </c>
      <c r="W74" s="23">
        <f>T74</f>
        <v>0.19236111111111109</v>
      </c>
      <c r="X74" s="23">
        <f>S75</f>
        <v>0.21041666666666664</v>
      </c>
      <c r="Y74" s="23"/>
      <c r="Z74" s="23"/>
      <c r="AA74" s="191"/>
      <c r="AB74" s="191"/>
      <c r="AC74" s="239">
        <v>10</v>
      </c>
      <c r="AD74" s="25"/>
      <c r="AE74" s="19">
        <f t="shared" si="48"/>
        <v>-107.00636942675101</v>
      </c>
      <c r="AF74" s="115">
        <f t="shared" si="49"/>
        <v>0.95541401273885374</v>
      </c>
      <c r="AG74" s="198">
        <f>AF84</f>
        <v>0.95739202172144344</v>
      </c>
    </row>
    <row r="75" spans="1:33" ht="15.75" customHeight="1">
      <c r="A75" s="237" t="s">
        <v>315</v>
      </c>
      <c r="B75" s="120" t="s">
        <v>116</v>
      </c>
      <c r="C75" s="220" t="s">
        <v>146</v>
      </c>
      <c r="D75" s="220"/>
      <c r="E75" s="42">
        <v>20.36</v>
      </c>
      <c r="F75" s="120">
        <v>2600</v>
      </c>
      <c r="G75" s="116">
        <f t="shared" si="51"/>
        <v>52936</v>
      </c>
      <c r="H75" s="37">
        <v>2</v>
      </c>
      <c r="I75" s="118">
        <v>17</v>
      </c>
      <c r="J75" s="39">
        <v>2400</v>
      </c>
      <c r="K75" s="17">
        <f t="shared" si="41"/>
        <v>141.1764705882353</v>
      </c>
      <c r="L75" s="118">
        <v>17</v>
      </c>
      <c r="M75" s="18">
        <f t="shared" si="52"/>
        <v>2294.1176470588234</v>
      </c>
      <c r="N75" s="17">
        <f t="shared" si="43"/>
        <v>134.94809688581313</v>
      </c>
      <c r="O75" s="19">
        <f t="shared" si="44"/>
        <v>0</v>
      </c>
      <c r="P75" s="20">
        <f t="shared" si="45"/>
        <v>-6.228373702422175</v>
      </c>
      <c r="Q75" s="115">
        <f t="shared" si="46"/>
        <v>0.95588235294117629</v>
      </c>
      <c r="R75" s="198"/>
      <c r="S75" s="40">
        <v>0.21041666666666664</v>
      </c>
      <c r="T75" s="40">
        <v>0.25763888888888886</v>
      </c>
      <c r="U75" s="116">
        <f t="shared" ref="U75:U83" si="54">(S75-T74)*24*60</f>
        <v>25.999999999999986</v>
      </c>
      <c r="V75" s="119">
        <f t="shared" si="53"/>
        <v>68</v>
      </c>
      <c r="W75" s="23"/>
      <c r="X75" s="23"/>
      <c r="Y75" s="23"/>
      <c r="Z75" s="23"/>
      <c r="AA75" s="191"/>
      <c r="AB75" s="191"/>
      <c r="AC75" s="239"/>
      <c r="AD75" s="25"/>
      <c r="AE75" s="19">
        <f t="shared" si="48"/>
        <v>-105.88235294117658</v>
      </c>
      <c r="AF75" s="115">
        <f t="shared" si="49"/>
        <v>0.95588235294117641</v>
      </c>
      <c r="AG75" s="198"/>
    </row>
    <row r="76" spans="1:33" ht="15.75" customHeight="1">
      <c r="A76" s="237" t="s">
        <v>315</v>
      </c>
      <c r="B76" s="120" t="s">
        <v>116</v>
      </c>
      <c r="C76" s="220" t="s">
        <v>120</v>
      </c>
      <c r="D76" s="220"/>
      <c r="E76" s="42">
        <v>25.99</v>
      </c>
      <c r="F76" s="120">
        <v>1468</v>
      </c>
      <c r="G76" s="116">
        <f t="shared" si="51"/>
        <v>38153.32</v>
      </c>
      <c r="H76" s="37" t="s">
        <v>91</v>
      </c>
      <c r="I76" s="118">
        <v>18</v>
      </c>
      <c r="J76" s="39">
        <v>2400</v>
      </c>
      <c r="K76" s="17">
        <f t="shared" si="41"/>
        <v>133.33333333333334</v>
      </c>
      <c r="L76" s="118">
        <v>18</v>
      </c>
      <c r="M76" s="18">
        <f t="shared" si="52"/>
        <v>2317.8947368421032</v>
      </c>
      <c r="N76" s="17">
        <f t="shared" si="43"/>
        <v>128.77192982456128</v>
      </c>
      <c r="O76" s="19">
        <f t="shared" si="44"/>
        <v>0</v>
      </c>
      <c r="P76" s="20">
        <f t="shared" si="45"/>
        <v>-4.5614035087720595</v>
      </c>
      <c r="Q76" s="115">
        <f t="shared" si="46"/>
        <v>0.96578947368420953</v>
      </c>
      <c r="R76" s="198"/>
      <c r="S76" s="40">
        <v>0.26249999999999996</v>
      </c>
      <c r="T76" s="40">
        <v>0.28888888888888886</v>
      </c>
      <c r="U76" s="116">
        <f t="shared" si="54"/>
        <v>6.9999999999999751</v>
      </c>
      <c r="V76" s="119">
        <f t="shared" si="53"/>
        <v>38.000000000000028</v>
      </c>
      <c r="W76" s="23"/>
      <c r="X76" s="23"/>
      <c r="Y76" s="23"/>
      <c r="Z76" s="23"/>
      <c r="AA76" s="191"/>
      <c r="AB76" s="191"/>
      <c r="AC76" s="239"/>
      <c r="AD76" s="25"/>
      <c r="AE76" s="19">
        <f t="shared" si="48"/>
        <v>-82.105263157896843</v>
      </c>
      <c r="AF76" s="115">
        <f t="shared" si="49"/>
        <v>0.96578947368420964</v>
      </c>
      <c r="AG76" s="198"/>
    </row>
    <row r="77" spans="1:33" ht="15.75" customHeight="1">
      <c r="A77" s="237" t="s">
        <v>315</v>
      </c>
      <c r="B77" s="120" t="s">
        <v>116</v>
      </c>
      <c r="C77" s="220" t="s">
        <v>148</v>
      </c>
      <c r="D77" s="220"/>
      <c r="E77" s="42">
        <v>28.29</v>
      </c>
      <c r="F77" s="120">
        <v>2800</v>
      </c>
      <c r="G77" s="116">
        <f t="shared" si="51"/>
        <v>79212</v>
      </c>
      <c r="H77" s="37">
        <v>2</v>
      </c>
      <c r="I77" s="118">
        <v>21</v>
      </c>
      <c r="J77" s="39">
        <v>2400</v>
      </c>
      <c r="K77" s="17">
        <f t="shared" si="41"/>
        <v>114.28571428571429</v>
      </c>
      <c r="L77" s="118">
        <v>21</v>
      </c>
      <c r="M77" s="18">
        <f t="shared" si="52"/>
        <v>2301.3698630136987</v>
      </c>
      <c r="N77" s="17">
        <f t="shared" si="43"/>
        <v>109.58904109589041</v>
      </c>
      <c r="O77" s="19">
        <f t="shared" si="44"/>
        <v>0</v>
      </c>
      <c r="P77" s="20">
        <f t="shared" si="45"/>
        <v>-4.6966731898238834</v>
      </c>
      <c r="Q77" s="115">
        <f t="shared" si="46"/>
        <v>0.95890410958904104</v>
      </c>
      <c r="R77" s="198"/>
      <c r="S77" s="40">
        <v>0.2944444444444444</v>
      </c>
      <c r="T77" s="40">
        <v>0.34513888888888883</v>
      </c>
      <c r="U77" s="116">
        <f t="shared" si="54"/>
        <v>7.9999999999999716</v>
      </c>
      <c r="V77" s="119">
        <f t="shared" si="53"/>
        <v>72.999999999999986</v>
      </c>
      <c r="W77" s="23"/>
      <c r="X77" s="23"/>
      <c r="Y77" s="23"/>
      <c r="Z77" s="23"/>
      <c r="AA77" s="191"/>
      <c r="AB77" s="191"/>
      <c r="AC77" s="239"/>
      <c r="AD77" s="25"/>
      <c r="AE77" s="19">
        <f t="shared" si="48"/>
        <v>-98.630136986301295</v>
      </c>
      <c r="AF77" s="115">
        <f t="shared" si="49"/>
        <v>0.95890410958904115</v>
      </c>
      <c r="AG77" s="198"/>
    </row>
    <row r="78" spans="1:33" ht="15.75" customHeight="1">
      <c r="A78" s="237" t="s">
        <v>315</v>
      </c>
      <c r="B78" s="120" t="s">
        <v>116</v>
      </c>
      <c r="C78" s="220" t="s">
        <v>149</v>
      </c>
      <c r="D78" s="220"/>
      <c r="E78" s="42">
        <v>24.25</v>
      </c>
      <c r="F78" s="120">
        <v>3000</v>
      </c>
      <c r="G78" s="116">
        <f t="shared" si="51"/>
        <v>72750</v>
      </c>
      <c r="H78" s="37">
        <v>2</v>
      </c>
      <c r="I78" s="118">
        <v>17</v>
      </c>
      <c r="J78" s="39">
        <v>2400</v>
      </c>
      <c r="K78" s="17">
        <f t="shared" si="41"/>
        <v>141.1764705882353</v>
      </c>
      <c r="L78" s="118">
        <v>17</v>
      </c>
      <c r="M78" s="18">
        <f t="shared" si="52"/>
        <v>2307.692307692309</v>
      </c>
      <c r="N78" s="17">
        <f t="shared" si="43"/>
        <v>135.74660633484172</v>
      </c>
      <c r="O78" s="19">
        <f t="shared" si="44"/>
        <v>0</v>
      </c>
      <c r="P78" s="20">
        <f t="shared" si="45"/>
        <v>-5.429864253393589</v>
      </c>
      <c r="Q78" s="115">
        <f t="shared" si="46"/>
        <v>0.96153846153846212</v>
      </c>
      <c r="R78" s="198"/>
      <c r="S78" s="40">
        <v>0.35069444444444436</v>
      </c>
      <c r="T78" s="40">
        <v>0.40486111111111101</v>
      </c>
      <c r="U78" s="116">
        <f t="shared" si="54"/>
        <v>7.9999999999999716</v>
      </c>
      <c r="V78" s="119">
        <f t="shared" si="53"/>
        <v>77.999999999999957</v>
      </c>
      <c r="W78" s="23"/>
      <c r="X78" s="23"/>
      <c r="Y78" s="23"/>
      <c r="Z78" s="23"/>
      <c r="AA78" s="191"/>
      <c r="AB78" s="191"/>
      <c r="AC78" s="239"/>
      <c r="AD78" s="25"/>
      <c r="AE78" s="19">
        <f t="shared" si="48"/>
        <v>-92.307692307691013</v>
      </c>
      <c r="AF78" s="115">
        <f t="shared" si="49"/>
        <v>0.96153846153846212</v>
      </c>
      <c r="AG78" s="198"/>
    </row>
    <row r="79" spans="1:33" ht="15.75" customHeight="1">
      <c r="A79" s="237" t="s">
        <v>315</v>
      </c>
      <c r="B79" s="120" t="s">
        <v>116</v>
      </c>
      <c r="C79" s="220" t="s">
        <v>150</v>
      </c>
      <c r="D79" s="220"/>
      <c r="E79" s="42">
        <v>23.89</v>
      </c>
      <c r="F79" s="120">
        <v>4750</v>
      </c>
      <c r="G79" s="116">
        <f t="shared" si="51"/>
        <v>113477.5</v>
      </c>
      <c r="H79" s="37" t="s">
        <v>91</v>
      </c>
      <c r="I79" s="118">
        <v>13</v>
      </c>
      <c r="J79" s="39">
        <v>2400</v>
      </c>
      <c r="K79" s="17">
        <f t="shared" si="41"/>
        <v>184.61538461538461</v>
      </c>
      <c r="L79" s="118">
        <v>13</v>
      </c>
      <c r="M79" s="18">
        <f t="shared" si="52"/>
        <v>2279.9999999999995</v>
      </c>
      <c r="N79" s="17">
        <f t="shared" si="43"/>
        <v>175.38461538461536</v>
      </c>
      <c r="O79" s="19">
        <f t="shared" si="44"/>
        <v>0</v>
      </c>
      <c r="P79" s="20">
        <f t="shared" si="45"/>
        <v>-9.2307692307692548</v>
      </c>
      <c r="Q79" s="115">
        <f t="shared" si="46"/>
        <v>0.94999999999999984</v>
      </c>
      <c r="R79" s="198"/>
      <c r="S79" s="40">
        <v>0.40833333333333321</v>
      </c>
      <c r="T79" s="40">
        <v>0.4951388888888888</v>
      </c>
      <c r="U79" s="116">
        <f t="shared" si="54"/>
        <v>4.9999999999999822</v>
      </c>
      <c r="V79" s="119">
        <f t="shared" si="53"/>
        <v>125.00000000000003</v>
      </c>
      <c r="W79" s="23">
        <f>T79</f>
        <v>0.4951388888888888</v>
      </c>
      <c r="X79" s="23">
        <f>S80</f>
        <v>0.5347222222222221</v>
      </c>
      <c r="Y79" s="23"/>
      <c r="Z79" s="23"/>
      <c r="AA79" s="191"/>
      <c r="AB79" s="191"/>
      <c r="AC79" s="239"/>
      <c r="AD79" s="25"/>
      <c r="AE79" s="19">
        <f t="shared" si="48"/>
        <v>-120.00000000000045</v>
      </c>
      <c r="AF79" s="115">
        <f t="shared" si="49"/>
        <v>0.94999999999999984</v>
      </c>
      <c r="AG79" s="198"/>
    </row>
    <row r="80" spans="1:33" ht="15.75" customHeight="1">
      <c r="A80" s="237" t="s">
        <v>315</v>
      </c>
      <c r="B80" s="120" t="s">
        <v>116</v>
      </c>
      <c r="C80" s="224" t="s">
        <v>148</v>
      </c>
      <c r="D80" s="225"/>
      <c r="E80" s="42">
        <v>28.29</v>
      </c>
      <c r="F80" s="120">
        <v>2136</v>
      </c>
      <c r="G80" s="116">
        <f t="shared" si="51"/>
        <v>60427.439999999995</v>
      </c>
      <c r="H80" s="37" t="s">
        <v>91</v>
      </c>
      <c r="I80" s="118">
        <v>21</v>
      </c>
      <c r="J80" s="39">
        <v>2400</v>
      </c>
      <c r="K80" s="17">
        <f t="shared" si="41"/>
        <v>114.28571428571429</v>
      </c>
      <c r="L80" s="118">
        <v>21</v>
      </c>
      <c r="M80" s="18">
        <f t="shared" si="52"/>
        <v>2288.5714285714303</v>
      </c>
      <c r="N80" s="17">
        <f t="shared" si="43"/>
        <v>108.97959183673477</v>
      </c>
      <c r="O80" s="19">
        <f t="shared" si="44"/>
        <v>0</v>
      </c>
      <c r="P80" s="20">
        <f t="shared" si="45"/>
        <v>-5.3061224489795222</v>
      </c>
      <c r="Q80" s="115">
        <f t="shared" si="46"/>
        <v>0.95357142857142918</v>
      </c>
      <c r="R80" s="198"/>
      <c r="S80" s="40">
        <v>0.5347222222222221</v>
      </c>
      <c r="T80" s="40">
        <v>0.57361111111111096</v>
      </c>
      <c r="U80" s="116">
        <f t="shared" si="54"/>
        <v>56.999999999999957</v>
      </c>
      <c r="V80" s="119">
        <f t="shared" si="53"/>
        <v>55.999999999999957</v>
      </c>
      <c r="W80" s="23"/>
      <c r="X80" s="23"/>
      <c r="Y80" s="26"/>
      <c r="Z80" s="26"/>
      <c r="AA80" s="209"/>
      <c r="AB80" s="210"/>
      <c r="AC80" s="239"/>
      <c r="AD80" s="25"/>
      <c r="AE80" s="19">
        <f t="shared" si="48"/>
        <v>-111.42857142856974</v>
      </c>
      <c r="AF80" s="115">
        <f t="shared" si="49"/>
        <v>0.95357142857142929</v>
      </c>
      <c r="AG80" s="198"/>
    </row>
    <row r="81" spans="1:33" ht="15.75" customHeight="1">
      <c r="A81" s="237" t="s">
        <v>315</v>
      </c>
      <c r="B81" s="120" t="s">
        <v>116</v>
      </c>
      <c r="C81" s="224" t="s">
        <v>146</v>
      </c>
      <c r="D81" s="225"/>
      <c r="E81" s="42">
        <v>20.36</v>
      </c>
      <c r="F81" s="120">
        <v>2140</v>
      </c>
      <c r="G81" s="116">
        <f t="shared" si="51"/>
        <v>43570.400000000001</v>
      </c>
      <c r="H81" s="37" t="s">
        <v>91</v>
      </c>
      <c r="I81" s="118">
        <v>17</v>
      </c>
      <c r="J81" s="39">
        <v>2400</v>
      </c>
      <c r="K81" s="17">
        <f t="shared" si="41"/>
        <v>141.1764705882353</v>
      </c>
      <c r="L81" s="118">
        <v>17</v>
      </c>
      <c r="M81" s="18">
        <f t="shared" si="52"/>
        <v>2292.8571428571445</v>
      </c>
      <c r="N81" s="17">
        <f t="shared" si="43"/>
        <v>134.87394957983201</v>
      </c>
      <c r="O81" s="19">
        <f t="shared" si="44"/>
        <v>0</v>
      </c>
      <c r="P81" s="20">
        <f t="shared" si="45"/>
        <v>-6.3025210084032892</v>
      </c>
      <c r="Q81" s="115">
        <f t="shared" si="46"/>
        <v>0.95535714285714335</v>
      </c>
      <c r="R81" s="198"/>
      <c r="S81" s="40">
        <v>0.57777777777777761</v>
      </c>
      <c r="T81" s="40">
        <v>0.61666666666666647</v>
      </c>
      <c r="U81" s="116">
        <f t="shared" si="54"/>
        <v>5.9999999999999787</v>
      </c>
      <c r="V81" s="119">
        <f t="shared" si="53"/>
        <v>55.999999999999957</v>
      </c>
      <c r="W81" s="23"/>
      <c r="X81" s="23"/>
      <c r="Y81" s="26"/>
      <c r="Z81" s="26"/>
      <c r="AA81" s="209"/>
      <c r="AB81" s="210"/>
      <c r="AC81" s="239"/>
      <c r="AD81" s="25"/>
      <c r="AE81" s="19">
        <f t="shared" si="48"/>
        <v>-107.14285714285552</v>
      </c>
      <c r="AF81" s="115">
        <f t="shared" si="49"/>
        <v>0.95535714285714357</v>
      </c>
      <c r="AG81" s="198"/>
    </row>
    <row r="82" spans="1:33" ht="15.75" customHeight="1">
      <c r="A82" s="237" t="s">
        <v>315</v>
      </c>
      <c r="B82" s="120" t="s">
        <v>116</v>
      </c>
      <c r="C82" s="224" t="s">
        <v>149</v>
      </c>
      <c r="D82" s="225"/>
      <c r="E82" s="42">
        <v>24.25</v>
      </c>
      <c r="F82" s="120">
        <v>2387</v>
      </c>
      <c r="G82" s="116">
        <f t="shared" si="51"/>
        <v>57884.75</v>
      </c>
      <c r="H82" s="37" t="s">
        <v>91</v>
      </c>
      <c r="I82" s="118">
        <v>17</v>
      </c>
      <c r="J82" s="39">
        <v>2400</v>
      </c>
      <c r="K82" s="17">
        <f t="shared" si="41"/>
        <v>141.1764705882353</v>
      </c>
      <c r="L82" s="118">
        <v>17</v>
      </c>
      <c r="M82" s="18">
        <f t="shared" si="52"/>
        <v>2310.0000000000023</v>
      </c>
      <c r="N82" s="17">
        <f t="shared" si="43"/>
        <v>135.88235294117661</v>
      </c>
      <c r="O82" s="19">
        <f t="shared" si="44"/>
        <v>0</v>
      </c>
      <c r="P82" s="20">
        <f t="shared" si="45"/>
        <v>-5.2941176470586981</v>
      </c>
      <c r="Q82" s="115">
        <f t="shared" si="46"/>
        <v>0.96250000000000091</v>
      </c>
      <c r="R82" s="198"/>
      <c r="S82" s="40">
        <v>0.62083333333333313</v>
      </c>
      <c r="T82" s="40">
        <v>0.66388888888888864</v>
      </c>
      <c r="U82" s="116">
        <f t="shared" si="54"/>
        <v>5.9999999999999787</v>
      </c>
      <c r="V82" s="119">
        <f t="shared" si="53"/>
        <v>61.999999999999943</v>
      </c>
      <c r="W82" s="23"/>
      <c r="X82" s="23"/>
      <c r="Y82" s="26"/>
      <c r="Z82" s="26"/>
      <c r="AA82" s="209"/>
      <c r="AB82" s="210"/>
      <c r="AC82" s="239"/>
      <c r="AD82" s="25"/>
      <c r="AE82" s="19">
        <f t="shared" si="48"/>
        <v>-89.999999999997726</v>
      </c>
      <c r="AF82" s="115">
        <f t="shared" si="49"/>
        <v>0.96250000000000091</v>
      </c>
      <c r="AG82" s="198"/>
    </row>
    <row r="83" spans="1:33" ht="15.75" customHeight="1">
      <c r="A83" s="237" t="s">
        <v>315</v>
      </c>
      <c r="B83" s="120" t="s">
        <v>116</v>
      </c>
      <c r="C83" s="224" t="s">
        <v>145</v>
      </c>
      <c r="D83" s="225"/>
      <c r="E83" s="42">
        <v>19.02</v>
      </c>
      <c r="F83" s="120">
        <v>5195</v>
      </c>
      <c r="G83" s="116">
        <f t="shared" si="51"/>
        <v>98808.9</v>
      </c>
      <c r="H83" s="37" t="s">
        <v>91</v>
      </c>
      <c r="I83" s="118">
        <v>14</v>
      </c>
      <c r="J83" s="39">
        <v>2400</v>
      </c>
      <c r="K83" s="17">
        <f t="shared" si="41"/>
        <v>171.42857142857142</v>
      </c>
      <c r="L83" s="118">
        <v>14</v>
      </c>
      <c r="M83" s="18">
        <f t="shared" si="52"/>
        <v>2291.911764705882</v>
      </c>
      <c r="N83" s="17">
        <f t="shared" si="43"/>
        <v>163.70798319327727</v>
      </c>
      <c r="O83" s="19">
        <f t="shared" si="44"/>
        <v>0</v>
      </c>
      <c r="P83" s="20">
        <f t="shared" si="45"/>
        <v>-7.7205882352941444</v>
      </c>
      <c r="Q83" s="115">
        <f t="shared" si="46"/>
        <v>0.95496323529411753</v>
      </c>
      <c r="R83" s="198"/>
      <c r="S83" s="40">
        <v>0.66736111111111085</v>
      </c>
      <c r="T83" s="40">
        <v>0.76180555555555529</v>
      </c>
      <c r="U83" s="116">
        <f t="shared" si="54"/>
        <v>4.9999999999999822</v>
      </c>
      <c r="V83" s="119">
        <f t="shared" si="53"/>
        <v>136</v>
      </c>
      <c r="W83" s="23"/>
      <c r="X83" s="23"/>
      <c r="Y83" s="26"/>
      <c r="Z83" s="26"/>
      <c r="AA83" s="209"/>
      <c r="AB83" s="210"/>
      <c r="AC83" s="239"/>
      <c r="AD83" s="25"/>
      <c r="AE83" s="19">
        <f t="shared" si="48"/>
        <v>-108.08823529411802</v>
      </c>
      <c r="AF83" s="115">
        <f t="shared" si="49"/>
        <v>0.95496323529411753</v>
      </c>
      <c r="AG83" s="198"/>
    </row>
    <row r="84" spans="1:33" ht="16.5" customHeight="1">
      <c r="A84" s="238" t="s">
        <v>315</v>
      </c>
      <c r="B84" s="42" t="s">
        <v>305</v>
      </c>
      <c r="C84" s="229"/>
      <c r="D84" s="230"/>
      <c r="E84" s="117"/>
      <c r="F84" s="44"/>
      <c r="G84" s="17"/>
      <c r="H84" s="120"/>
      <c r="I84" s="29">
        <v>16.899999999999999</v>
      </c>
      <c r="J84" s="39">
        <v>2400</v>
      </c>
      <c r="K84" s="17">
        <f t="shared" si="41"/>
        <v>142.01183431952663</v>
      </c>
      <c r="L84" s="29">
        <v>16.899999999999999</v>
      </c>
      <c r="M84" s="18">
        <f>AVERAGE(M74:M83)</f>
        <v>2297.7408521314642</v>
      </c>
      <c r="N84" s="17">
        <f t="shared" si="43"/>
        <v>135.96099716754227</v>
      </c>
      <c r="O84" s="19">
        <f t="shared" si="44"/>
        <v>0</v>
      </c>
      <c r="P84" s="20">
        <f t="shared" si="45"/>
        <v>-6.0508371519843536</v>
      </c>
      <c r="Q84" s="115">
        <f t="shared" si="46"/>
        <v>0.95739202172144355</v>
      </c>
      <c r="R84" s="198"/>
      <c r="S84" s="40"/>
      <c r="T84" s="40"/>
      <c r="U84" s="17"/>
      <c r="V84" s="119"/>
      <c r="W84" s="17"/>
      <c r="X84" s="17"/>
      <c r="Y84" s="30">
        <f>SUM(Y74:Y83)</f>
        <v>0</v>
      </c>
      <c r="Z84" s="30">
        <f>SUM(Z74:Z83)</f>
        <v>0</v>
      </c>
      <c r="AA84" s="201"/>
      <c r="AB84" s="201"/>
      <c r="AC84" s="30">
        <v>10</v>
      </c>
      <c r="AD84" s="30">
        <f>SUM(AD74:AD83)</f>
        <v>0</v>
      </c>
      <c r="AE84" s="19">
        <f t="shared" si="48"/>
        <v>-102.25914786853582</v>
      </c>
      <c r="AF84" s="115">
        <f t="shared" si="49"/>
        <v>0.95739202172144344</v>
      </c>
      <c r="AG84" s="198"/>
    </row>
    <row r="85" spans="1:33">
      <c r="D85" s="33"/>
      <c r="E85" s="33"/>
    </row>
  </sheetData>
  <mergeCells count="212">
    <mergeCell ref="C84:D84"/>
    <mergeCell ref="AA84:AB84"/>
    <mergeCell ref="C81:D81"/>
    <mergeCell ref="AA81:AB81"/>
    <mergeCell ref="C82:D82"/>
    <mergeCell ref="AA82:AB82"/>
    <mergeCell ref="C83:D83"/>
    <mergeCell ref="AA83:AB83"/>
    <mergeCell ref="AA77:AB77"/>
    <mergeCell ref="C78:D78"/>
    <mergeCell ref="AA78:AB78"/>
    <mergeCell ref="C79:D79"/>
    <mergeCell ref="AA79:AB79"/>
    <mergeCell ref="C80:D80"/>
    <mergeCell ref="AA80:AB80"/>
    <mergeCell ref="A74:A84"/>
    <mergeCell ref="C74:D74"/>
    <mergeCell ref="R74:R84"/>
    <mergeCell ref="AA74:AB74"/>
    <mergeCell ref="AG74:AG84"/>
    <mergeCell ref="C75:D75"/>
    <mergeCell ref="AA75:AB75"/>
    <mergeCell ref="C76:D76"/>
    <mergeCell ref="AA76:AB76"/>
    <mergeCell ref="C77:D77"/>
    <mergeCell ref="AG69:AG73"/>
    <mergeCell ref="C70:D70"/>
    <mergeCell ref="AA70:AB70"/>
    <mergeCell ref="C71:D71"/>
    <mergeCell ref="AA71:AB71"/>
    <mergeCell ref="C72:D72"/>
    <mergeCell ref="AA72:AB72"/>
    <mergeCell ref="C73:D73"/>
    <mergeCell ref="AA73:AB73"/>
    <mergeCell ref="C67:D67"/>
    <mergeCell ref="AA67:AB67"/>
    <mergeCell ref="C68:D68"/>
    <mergeCell ref="AA68:AB68"/>
    <mergeCell ref="A69:A73"/>
    <mergeCell ref="C69:D69"/>
    <mergeCell ref="R69:R73"/>
    <mergeCell ref="AA69:AB69"/>
    <mergeCell ref="AA62:AB62"/>
    <mergeCell ref="C63:D63"/>
    <mergeCell ref="AA63:AB63"/>
    <mergeCell ref="C64:D64"/>
    <mergeCell ref="AA64:AB64"/>
    <mergeCell ref="C65:D65"/>
    <mergeCell ref="AA65:AB65"/>
    <mergeCell ref="A58:A68"/>
    <mergeCell ref="C58:D58"/>
    <mergeCell ref="R58:R68"/>
    <mergeCell ref="AA58:AB58"/>
    <mergeCell ref="AG58:AG68"/>
    <mergeCell ref="C59:D59"/>
    <mergeCell ref="AA59:AB59"/>
    <mergeCell ref="C60:D60"/>
    <mergeCell ref="AA60:AB60"/>
    <mergeCell ref="AA61:AB61"/>
    <mergeCell ref="AG53:AG57"/>
    <mergeCell ref="C54:D54"/>
    <mergeCell ref="AA54:AB54"/>
    <mergeCell ref="C55:D55"/>
    <mergeCell ref="AA55:AB55"/>
    <mergeCell ref="C56:D56"/>
    <mergeCell ref="AA56:AB56"/>
    <mergeCell ref="C57:D57"/>
    <mergeCell ref="AA57:AB57"/>
    <mergeCell ref="AA50:AB50"/>
    <mergeCell ref="C51:D51"/>
    <mergeCell ref="AA51:AB51"/>
    <mergeCell ref="C52:D52"/>
    <mergeCell ref="AA52:AB52"/>
    <mergeCell ref="A53:A57"/>
    <mergeCell ref="C53:D53"/>
    <mergeCell ref="R53:R57"/>
    <mergeCell ref="AA53:AB53"/>
    <mergeCell ref="AG44:AG52"/>
    <mergeCell ref="C45:D45"/>
    <mergeCell ref="AA45:AB45"/>
    <mergeCell ref="C46:D46"/>
    <mergeCell ref="AA46:AB46"/>
    <mergeCell ref="C47:D47"/>
    <mergeCell ref="AA47:AB47"/>
    <mergeCell ref="C48:D48"/>
    <mergeCell ref="AA48:AB48"/>
    <mergeCell ref="C49:D49"/>
    <mergeCell ref="AA40:AB40"/>
    <mergeCell ref="C42:D42"/>
    <mergeCell ref="C43:D43"/>
    <mergeCell ref="AA43:AB43"/>
    <mergeCell ref="A44:A52"/>
    <mergeCell ref="C44:D44"/>
    <mergeCell ref="R44:R52"/>
    <mergeCell ref="AA44:AB44"/>
    <mergeCell ref="AA49:AB49"/>
    <mergeCell ref="C50:D50"/>
    <mergeCell ref="AG34:AG43"/>
    <mergeCell ref="C35:D35"/>
    <mergeCell ref="AA35:AB35"/>
    <mergeCell ref="C36:D36"/>
    <mergeCell ref="AA36:AB36"/>
    <mergeCell ref="C37:D37"/>
    <mergeCell ref="AA37:AB37"/>
    <mergeCell ref="C38:D38"/>
    <mergeCell ref="AA38:AB38"/>
    <mergeCell ref="C39:D39"/>
    <mergeCell ref="C32:D32"/>
    <mergeCell ref="AA32:AB32"/>
    <mergeCell ref="C33:D33"/>
    <mergeCell ref="AA33:AB33"/>
    <mergeCell ref="A34:A43"/>
    <mergeCell ref="C34:D34"/>
    <mergeCell ref="R34:R43"/>
    <mergeCell ref="AA34:AB34"/>
    <mergeCell ref="AA39:AB39"/>
    <mergeCell ref="C40:D40"/>
    <mergeCell ref="AG26:AG33"/>
    <mergeCell ref="C27:D27"/>
    <mergeCell ref="AA27:AB27"/>
    <mergeCell ref="C28:D28"/>
    <mergeCell ref="AA28:AB28"/>
    <mergeCell ref="C29:D29"/>
    <mergeCell ref="AA29:AB29"/>
    <mergeCell ref="C30:D30"/>
    <mergeCell ref="AA30:AB30"/>
    <mergeCell ref="C31:D31"/>
    <mergeCell ref="AA21:AB21"/>
    <mergeCell ref="C22:D22"/>
    <mergeCell ref="AA22:AB22"/>
    <mergeCell ref="C25:D25"/>
    <mergeCell ref="AA25:AB25"/>
    <mergeCell ref="A26:A33"/>
    <mergeCell ref="C26:D26"/>
    <mergeCell ref="R26:R33"/>
    <mergeCell ref="AA26:AB26"/>
    <mergeCell ref="AA31:AB31"/>
    <mergeCell ref="A18:A25"/>
    <mergeCell ref="C18:D18"/>
    <mergeCell ref="R18:R25"/>
    <mergeCell ref="AA18:AB18"/>
    <mergeCell ref="AG18:AG25"/>
    <mergeCell ref="C19:D19"/>
    <mergeCell ref="AA19:AB19"/>
    <mergeCell ref="C20:D20"/>
    <mergeCell ref="AA20:AB20"/>
    <mergeCell ref="C21:D21"/>
    <mergeCell ref="AG11:AG17"/>
    <mergeCell ref="C12:D12"/>
    <mergeCell ref="AA12:AB12"/>
    <mergeCell ref="C13:D13"/>
    <mergeCell ref="AA13:AB13"/>
    <mergeCell ref="C14:D14"/>
    <mergeCell ref="AA14:AB14"/>
    <mergeCell ref="C15:D15"/>
    <mergeCell ref="AA15:AB15"/>
    <mergeCell ref="C16:D16"/>
    <mergeCell ref="C10:D10"/>
    <mergeCell ref="AA10:AB10"/>
    <mergeCell ref="A11:A17"/>
    <mergeCell ref="C11:D11"/>
    <mergeCell ref="R11:R17"/>
    <mergeCell ref="AA11:AB11"/>
    <mergeCell ref="AA16:AB16"/>
    <mergeCell ref="C17:D17"/>
    <mergeCell ref="AA17:AB17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A5:A10"/>
    <mergeCell ref="C5:D5"/>
    <mergeCell ref="R5:R10"/>
    <mergeCell ref="AA5:AB5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S1:X2"/>
    <mergeCell ref="AA1:AB2"/>
    <mergeCell ref="AE1:AG2"/>
  </mergeCells>
  <phoneticPr fontId="3" type="noConversion"/>
  <conditionalFormatting sqref="O72:O79 O68:O69 O84 O5:O11 O17:O19 O25:O41 O43:O63">
    <cfRule type="cellIs" dxfId="90" priority="83" operator="greaterThan">
      <formula>0</formula>
    </cfRule>
  </conditionalFormatting>
  <conditionalFormatting sqref="P5:P9 P72 AE72 P74:P79 P34:P41 P69 P11 P17:P19 P26:P32 P58:P63 P44:P56 AE5:AE69 AE74:AE84">
    <cfRule type="cellIs" dxfId="89" priority="87" operator="lessThan">
      <formula>0</formula>
    </cfRule>
  </conditionalFormatting>
  <conditionalFormatting sqref="AF72 Q72:Q79 Q68:Q69 Q84 Q5:Q11 Q17:Q19 Q25:Q41 Q43:Q63 AF5:AF69 AF74:AF84">
    <cfRule type="cellIs" dxfId="88" priority="84" operator="greaterThan">
      <formula>1</formula>
    </cfRule>
    <cfRule type="cellIs" dxfId="87" priority="85" operator="lessThan">
      <formula>0.8</formula>
    </cfRule>
  </conditionalFormatting>
  <conditionalFormatting sqref="AG18:AG19 R18:R19 AG72 R72:R79 R25:R31 AG25:AG31 AG33:AG41 R33:R41 AG68:AG69 R68:R69 R84 AG5:AG11 R5:R11 AG43:AG63 R43:R63">
    <cfRule type="cellIs" dxfId="86" priority="89" operator="lessThan">
      <formula>0.8</formula>
    </cfRule>
  </conditionalFormatting>
  <conditionalFormatting sqref="AG53">
    <cfRule type="cellIs" dxfId="85" priority="91" operator="lessThan">
      <formula>0.8</formula>
    </cfRule>
  </conditionalFormatting>
  <conditionalFormatting sqref="AG26:AG31">
    <cfRule type="cellIs" dxfId="84" priority="88" operator="lessThan">
      <formula>0.8</formula>
    </cfRule>
  </conditionalFormatting>
  <conditionalFormatting sqref="AG34">
    <cfRule type="cellIs" dxfId="83" priority="90" operator="lessThan">
      <formula>0.8</formula>
    </cfRule>
  </conditionalFormatting>
  <conditionalFormatting sqref="AG44:AG51">
    <cfRule type="cellIs" dxfId="82" priority="86" operator="lessThan">
      <formula>0.8</formula>
    </cfRule>
  </conditionalFormatting>
  <conditionalFormatting sqref="AE73">
    <cfRule type="cellIs" dxfId="81" priority="82" operator="lessThan">
      <formula>0</formula>
    </cfRule>
  </conditionalFormatting>
  <conditionalFormatting sqref="AF73">
    <cfRule type="cellIs" dxfId="80" priority="80" operator="greaterThan">
      <formula>1</formula>
    </cfRule>
    <cfRule type="cellIs" dxfId="79" priority="81" operator="lessThan">
      <formula>0.8</formula>
    </cfRule>
  </conditionalFormatting>
  <conditionalFormatting sqref="O20:O21">
    <cfRule type="cellIs" dxfId="78" priority="75" operator="greaterThan">
      <formula>0</formula>
    </cfRule>
  </conditionalFormatting>
  <conditionalFormatting sqref="P20:P21">
    <cfRule type="cellIs" dxfId="77" priority="78" operator="lessThan">
      <formula>0</formula>
    </cfRule>
  </conditionalFormatting>
  <conditionalFormatting sqref="Q20:Q21">
    <cfRule type="cellIs" dxfId="76" priority="76" operator="greaterThan">
      <formula>1</formula>
    </cfRule>
    <cfRule type="cellIs" dxfId="75" priority="77" operator="lessThan">
      <formula>0.8</formula>
    </cfRule>
  </conditionalFormatting>
  <conditionalFormatting sqref="R20:R21 AG20:AG21">
    <cfRule type="cellIs" dxfId="74" priority="79" operator="lessThan">
      <formula>0.8</formula>
    </cfRule>
  </conditionalFormatting>
  <conditionalFormatting sqref="O12:O16">
    <cfRule type="cellIs" dxfId="73" priority="71" operator="greaterThan">
      <formula>0</formula>
    </cfRule>
  </conditionalFormatting>
  <conditionalFormatting sqref="P12:P16">
    <cfRule type="cellIs" dxfId="72" priority="74" operator="lessThan">
      <formula>0</formula>
    </cfRule>
  </conditionalFormatting>
  <conditionalFormatting sqref="Q12:Q16">
    <cfRule type="cellIs" dxfId="71" priority="72" operator="greaterThan">
      <formula>1</formula>
    </cfRule>
    <cfRule type="cellIs" dxfId="70" priority="73" operator="lessThan">
      <formula>0.8</formula>
    </cfRule>
  </conditionalFormatting>
  <conditionalFormatting sqref="O64">
    <cfRule type="cellIs" dxfId="69" priority="66" operator="greaterThan">
      <formula>0</formula>
    </cfRule>
  </conditionalFormatting>
  <conditionalFormatting sqref="P64">
    <cfRule type="cellIs" dxfId="68" priority="69" operator="lessThan">
      <formula>0</formula>
    </cfRule>
  </conditionalFormatting>
  <conditionalFormatting sqref="Q64">
    <cfRule type="cellIs" dxfId="67" priority="67" operator="greaterThan">
      <formula>1</formula>
    </cfRule>
    <cfRule type="cellIs" dxfId="66" priority="68" operator="lessThan">
      <formula>0.8</formula>
    </cfRule>
  </conditionalFormatting>
  <conditionalFormatting sqref="R64 AG64">
    <cfRule type="cellIs" dxfId="65" priority="70" operator="lessThan">
      <formula>0.8</formula>
    </cfRule>
  </conditionalFormatting>
  <conditionalFormatting sqref="O71">
    <cfRule type="cellIs" dxfId="64" priority="61" operator="greaterThan">
      <formula>0</formula>
    </cfRule>
  </conditionalFormatting>
  <conditionalFormatting sqref="P71 AE71">
    <cfRule type="cellIs" dxfId="63" priority="64" operator="lessThan">
      <formula>0</formula>
    </cfRule>
  </conditionalFormatting>
  <conditionalFormatting sqref="Q71 AF71">
    <cfRule type="cellIs" dxfId="62" priority="62" operator="greaterThan">
      <formula>1</formula>
    </cfRule>
    <cfRule type="cellIs" dxfId="61" priority="63" operator="lessThan">
      <formula>0.8</formula>
    </cfRule>
  </conditionalFormatting>
  <conditionalFormatting sqref="R71 AG71">
    <cfRule type="cellIs" dxfId="60" priority="65" operator="lessThan">
      <formula>0.8</formula>
    </cfRule>
  </conditionalFormatting>
  <conditionalFormatting sqref="O42">
    <cfRule type="cellIs" dxfId="59" priority="56" operator="greaterThan">
      <formula>0</formula>
    </cfRule>
  </conditionalFormatting>
  <conditionalFormatting sqref="P42">
    <cfRule type="cellIs" dxfId="58" priority="59" operator="lessThan">
      <formula>0</formula>
    </cfRule>
  </conditionalFormatting>
  <conditionalFormatting sqref="Q42">
    <cfRule type="cellIs" dxfId="57" priority="57" operator="greaterThan">
      <formula>1</formula>
    </cfRule>
    <cfRule type="cellIs" dxfId="56" priority="58" operator="lessThan">
      <formula>0.8</formula>
    </cfRule>
  </conditionalFormatting>
  <conditionalFormatting sqref="R42 AG42">
    <cfRule type="cellIs" dxfId="55" priority="60" operator="lessThan">
      <formula>0.8</formula>
    </cfRule>
  </conditionalFormatting>
  <conditionalFormatting sqref="O80">
    <cfRule type="cellIs" dxfId="54" priority="51" operator="greaterThan">
      <formula>0</formula>
    </cfRule>
  </conditionalFormatting>
  <conditionalFormatting sqref="P80">
    <cfRule type="cellIs" dxfId="53" priority="54" operator="lessThan">
      <formula>0</formula>
    </cfRule>
  </conditionalFormatting>
  <conditionalFormatting sqref="Q80">
    <cfRule type="cellIs" dxfId="52" priority="52" operator="greaterThan">
      <formula>1</formula>
    </cfRule>
    <cfRule type="cellIs" dxfId="51" priority="53" operator="lessThan">
      <formula>0.8</formula>
    </cfRule>
  </conditionalFormatting>
  <conditionalFormatting sqref="R80">
    <cfRule type="cellIs" dxfId="50" priority="55" operator="lessThan">
      <formula>0.8</formula>
    </cfRule>
  </conditionalFormatting>
  <conditionalFormatting sqref="O22:O23">
    <cfRule type="cellIs" dxfId="49" priority="46" operator="greaterThan">
      <formula>0</formula>
    </cfRule>
  </conditionalFormatting>
  <conditionalFormatting sqref="P22:P23">
    <cfRule type="cellIs" dxfId="48" priority="49" operator="lessThan">
      <formula>0</formula>
    </cfRule>
  </conditionalFormatting>
  <conditionalFormatting sqref="Q22:Q23">
    <cfRule type="cellIs" dxfId="47" priority="47" operator="greaterThan">
      <formula>1</formula>
    </cfRule>
    <cfRule type="cellIs" dxfId="46" priority="48" operator="lessThan">
      <formula>0.8</formula>
    </cfRule>
  </conditionalFormatting>
  <conditionalFormatting sqref="R22:R23 AG22:AG23">
    <cfRule type="cellIs" dxfId="45" priority="50" operator="lessThan">
      <formula>0.8</formula>
    </cfRule>
  </conditionalFormatting>
  <conditionalFormatting sqref="O65">
    <cfRule type="cellIs" dxfId="44" priority="41" operator="greaterThan">
      <formula>0</formula>
    </cfRule>
  </conditionalFormatting>
  <conditionalFormatting sqref="P65">
    <cfRule type="cellIs" dxfId="43" priority="44" operator="lessThan">
      <formula>0</formula>
    </cfRule>
  </conditionalFormatting>
  <conditionalFormatting sqref="Q65">
    <cfRule type="cellIs" dxfId="42" priority="42" operator="greaterThan">
      <formula>1</formula>
    </cfRule>
    <cfRule type="cellIs" dxfId="41" priority="43" operator="lessThan">
      <formula>0.8</formula>
    </cfRule>
  </conditionalFormatting>
  <conditionalFormatting sqref="AG65 R65">
    <cfRule type="cellIs" dxfId="40" priority="45" operator="lessThan">
      <formula>0.8</formula>
    </cfRule>
  </conditionalFormatting>
  <conditionalFormatting sqref="R32 AG32">
    <cfRule type="cellIs" dxfId="39" priority="40" operator="lessThan">
      <formula>0.8</formula>
    </cfRule>
  </conditionalFormatting>
  <conditionalFormatting sqref="AG32">
    <cfRule type="cellIs" dxfId="38" priority="39" operator="lessThan">
      <formula>0.8</formula>
    </cfRule>
  </conditionalFormatting>
  <conditionalFormatting sqref="O70">
    <cfRule type="cellIs" dxfId="37" priority="34" operator="greaterThan">
      <formula>0</formula>
    </cfRule>
  </conditionalFormatting>
  <conditionalFormatting sqref="P70 AE70">
    <cfRule type="cellIs" dxfId="36" priority="37" operator="lessThan">
      <formula>0</formula>
    </cfRule>
  </conditionalFormatting>
  <conditionalFormatting sqref="Q70 AF70">
    <cfRule type="cellIs" dxfId="35" priority="35" operator="greaterThan">
      <formula>1</formula>
    </cfRule>
    <cfRule type="cellIs" dxfId="34" priority="36" operator="lessThan">
      <formula>0.8</formula>
    </cfRule>
  </conditionalFormatting>
  <conditionalFormatting sqref="R70 AG70">
    <cfRule type="cellIs" dxfId="33" priority="38" operator="lessThan">
      <formula>0.8</formula>
    </cfRule>
  </conditionalFormatting>
  <conditionalFormatting sqref="O24">
    <cfRule type="cellIs" dxfId="32" priority="29" operator="greaterThan">
      <formula>0</formula>
    </cfRule>
  </conditionalFormatting>
  <conditionalFormatting sqref="P24">
    <cfRule type="cellIs" dxfId="31" priority="32" operator="lessThan">
      <formula>0</formula>
    </cfRule>
  </conditionalFormatting>
  <conditionalFormatting sqref="Q24">
    <cfRule type="cellIs" dxfId="30" priority="30" operator="greaterThan">
      <formula>1</formula>
    </cfRule>
    <cfRule type="cellIs" dxfId="29" priority="31" operator="lessThan">
      <formula>0.8</formula>
    </cfRule>
  </conditionalFormatting>
  <conditionalFormatting sqref="AG24 R24">
    <cfRule type="cellIs" dxfId="28" priority="33" operator="lessThan">
      <formula>0.8</formula>
    </cfRule>
  </conditionalFormatting>
  <conditionalFormatting sqref="P10">
    <cfRule type="cellIs" dxfId="27" priority="28" operator="lessThan">
      <formula>0</formula>
    </cfRule>
  </conditionalFormatting>
  <conditionalFormatting sqref="P25">
    <cfRule type="cellIs" dxfId="26" priority="27" operator="lessThan">
      <formula>0</formula>
    </cfRule>
  </conditionalFormatting>
  <conditionalFormatting sqref="P33">
    <cfRule type="cellIs" dxfId="25" priority="26" operator="lessThan">
      <formula>0</formula>
    </cfRule>
  </conditionalFormatting>
  <conditionalFormatting sqref="P43">
    <cfRule type="cellIs" dxfId="24" priority="25" operator="lessThan">
      <formula>0</formula>
    </cfRule>
  </conditionalFormatting>
  <conditionalFormatting sqref="P57">
    <cfRule type="cellIs" dxfId="23" priority="24" operator="lessThan">
      <formula>0</formula>
    </cfRule>
  </conditionalFormatting>
  <conditionalFormatting sqref="P68">
    <cfRule type="cellIs" dxfId="22" priority="23" operator="lessThan">
      <formula>0</formula>
    </cfRule>
  </conditionalFormatting>
  <conditionalFormatting sqref="P73">
    <cfRule type="cellIs" dxfId="21" priority="22" operator="lessThan">
      <formula>0</formula>
    </cfRule>
  </conditionalFormatting>
  <conditionalFormatting sqref="P84">
    <cfRule type="cellIs" dxfId="20" priority="21" operator="lessThan">
      <formula>0</formula>
    </cfRule>
  </conditionalFormatting>
  <conditionalFormatting sqref="O81">
    <cfRule type="cellIs" dxfId="19" priority="16" operator="greaterThan">
      <formula>0</formula>
    </cfRule>
  </conditionalFormatting>
  <conditionalFormatting sqref="P81">
    <cfRule type="cellIs" dxfId="18" priority="19" operator="lessThan">
      <formula>0</formula>
    </cfRule>
  </conditionalFormatting>
  <conditionalFormatting sqref="Q81">
    <cfRule type="cellIs" dxfId="17" priority="17" operator="greaterThan">
      <formula>1</formula>
    </cfRule>
    <cfRule type="cellIs" dxfId="16" priority="18" operator="lessThan">
      <formula>0.8</formula>
    </cfRule>
  </conditionalFormatting>
  <conditionalFormatting sqref="R81">
    <cfRule type="cellIs" dxfId="15" priority="20" operator="lessThan">
      <formula>0.8</formula>
    </cfRule>
  </conditionalFormatting>
  <conditionalFormatting sqref="O82">
    <cfRule type="cellIs" dxfId="14" priority="11" operator="greaterThan">
      <formula>0</formula>
    </cfRule>
  </conditionalFormatting>
  <conditionalFormatting sqref="P82">
    <cfRule type="cellIs" dxfId="13" priority="14" operator="lessThan">
      <formula>0</formula>
    </cfRule>
  </conditionalFormatting>
  <conditionalFormatting sqref="Q82">
    <cfRule type="cellIs" dxfId="12" priority="12" operator="greaterThan">
      <formula>1</formula>
    </cfRule>
    <cfRule type="cellIs" dxfId="11" priority="13" operator="lessThan">
      <formula>0.8</formula>
    </cfRule>
  </conditionalFormatting>
  <conditionalFormatting sqref="R82">
    <cfRule type="cellIs" dxfId="10" priority="15" operator="lessThan">
      <formula>0.8</formula>
    </cfRule>
  </conditionalFormatting>
  <conditionalFormatting sqref="O66:O67">
    <cfRule type="cellIs" dxfId="9" priority="6" operator="greaterThan">
      <formula>0</formula>
    </cfRule>
  </conditionalFormatting>
  <conditionalFormatting sqref="P66:P67">
    <cfRule type="cellIs" dxfId="8" priority="9" operator="lessThan">
      <formula>0</formula>
    </cfRule>
  </conditionalFormatting>
  <conditionalFormatting sqref="Q66:Q67">
    <cfRule type="cellIs" dxfId="7" priority="7" operator="greaterThan">
      <formula>1</formula>
    </cfRule>
    <cfRule type="cellIs" dxfId="6" priority="8" operator="lessThan">
      <formula>0.8</formula>
    </cfRule>
  </conditionalFormatting>
  <conditionalFormatting sqref="AG66:AG67 R66:R67">
    <cfRule type="cellIs" dxfId="5" priority="10" operator="lessThan">
      <formula>0.8</formula>
    </cfRule>
  </conditionalFormatting>
  <conditionalFormatting sqref="O83">
    <cfRule type="cellIs" dxfId="4" priority="1" operator="greaterThan">
      <formula>0</formula>
    </cfRule>
  </conditionalFormatting>
  <conditionalFormatting sqref="P83">
    <cfRule type="cellIs" dxfId="3" priority="4" operator="lessThan">
      <formula>0</formula>
    </cfRule>
  </conditionalFormatting>
  <conditionalFormatting sqref="Q83">
    <cfRule type="cellIs" dxfId="2" priority="2" operator="greaterThan">
      <formula>1</formula>
    </cfRule>
    <cfRule type="cellIs" dxfId="1" priority="3" operator="lessThan">
      <formula>0.8</formula>
    </cfRule>
  </conditionalFormatting>
  <conditionalFormatting sqref="R83">
    <cfRule type="cellIs" dxfId="0" priority="5" operator="lessThan">
      <formula>0.8</formula>
    </cfRule>
  </conditionalFormatting>
  <dataValidations count="1">
    <dataValidation type="list" allowBlank="1" showInputMessage="1" showErrorMessage="1" sqref="AB10 AA5:AB9 AA10:AA72 AB12:AB69 AA73:AB84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10" sqref="A10"/>
    </sheetView>
  </sheetViews>
  <sheetFormatPr defaultColWidth="8.77734375" defaultRowHeight="15.6"/>
  <cols>
    <col min="1" max="1" width="8.77734375" style="52"/>
    <col min="2" max="2" width="17.88671875" style="52" customWidth="1"/>
    <col min="3" max="3" width="9.21875" style="60" customWidth="1"/>
    <col min="4" max="13" width="12.6640625" style="52" customWidth="1"/>
    <col min="14" max="14" width="11" style="52" bestFit="1" customWidth="1"/>
    <col min="15" max="15" width="17.77734375" style="52" bestFit="1" customWidth="1"/>
    <col min="16" max="16" width="12.21875" style="52" bestFit="1" customWidth="1"/>
    <col min="17" max="22" width="9.21875" style="52" customWidth="1"/>
    <col min="23" max="23" width="10.77734375" style="52" customWidth="1"/>
    <col min="24" max="24" width="11" style="52" customWidth="1"/>
    <col min="25" max="16384" width="8.77734375" style="52"/>
  </cols>
  <sheetData>
    <row r="1" spans="2:17" ht="27.75" customHeight="1">
      <c r="B1" s="122" t="s">
        <v>151</v>
      </c>
      <c r="C1" s="122"/>
      <c r="D1" s="122"/>
      <c r="E1" s="122"/>
      <c r="F1" s="122"/>
      <c r="G1" s="122"/>
      <c r="H1" s="122"/>
      <c r="I1" s="122"/>
      <c r="J1" s="122"/>
      <c r="K1" s="51"/>
      <c r="L1" s="51"/>
      <c r="M1" s="51"/>
      <c r="N1" s="51"/>
      <c r="O1" s="51"/>
      <c r="P1" s="51"/>
    </row>
    <row r="2" spans="2:17" ht="27.75" customHeight="1">
      <c r="B2" s="123"/>
      <c r="C2" s="123"/>
      <c r="D2" s="123"/>
      <c r="E2" s="123"/>
      <c r="F2" s="123"/>
      <c r="G2" s="123"/>
      <c r="H2" s="123"/>
      <c r="I2" s="123"/>
      <c r="J2" s="123"/>
      <c r="K2" s="53"/>
      <c r="L2" s="53"/>
      <c r="M2" s="53"/>
      <c r="N2" s="51"/>
      <c r="O2" s="51"/>
      <c r="P2" s="51"/>
    </row>
    <row r="3" spans="2:17" ht="46.5" customHeight="1">
      <c r="B3" s="54" t="s">
        <v>152</v>
      </c>
      <c r="C3" s="124" t="str">
        <f>TEXT('0801 4度C'!A2,"yyyy.mm.ddaaaa")</f>
        <v>2026.08.01星期六</v>
      </c>
      <c r="D3" s="125"/>
      <c r="E3" s="54" t="s">
        <v>153</v>
      </c>
      <c r="F3" s="126">
        <f>'0801 4度C'!D1</f>
        <v>162409</v>
      </c>
      <c r="G3" s="127"/>
      <c r="H3" s="54" t="s">
        <v>154</v>
      </c>
      <c r="I3" s="128">
        <f>'0801 4度C'!F1</f>
        <v>5699318.379999998</v>
      </c>
      <c r="J3" s="129"/>
      <c r="K3" s="55"/>
      <c r="L3" s="56"/>
      <c r="M3" s="57"/>
      <c r="N3" s="57"/>
    </row>
    <row r="4" spans="2:17" ht="28.5" customHeight="1">
      <c r="B4" s="130" t="s">
        <v>155</v>
      </c>
      <c r="C4" s="133" t="s">
        <v>156</v>
      </c>
      <c r="D4" s="134"/>
      <c r="E4" s="135" t="s">
        <v>157</v>
      </c>
      <c r="F4" s="136"/>
      <c r="G4" s="135" t="s">
        <v>158</v>
      </c>
      <c r="H4" s="136"/>
      <c r="I4" s="135" t="s">
        <v>159</v>
      </c>
      <c r="J4" s="136"/>
      <c r="K4" s="137" t="s">
        <v>160</v>
      </c>
      <c r="L4" s="138"/>
      <c r="M4" s="138" t="s">
        <v>161</v>
      </c>
      <c r="N4" s="138"/>
    </row>
    <row r="5" spans="2:17" ht="28.5" customHeight="1">
      <c r="B5" s="131"/>
      <c r="C5" s="133" t="s">
        <v>162</v>
      </c>
      <c r="D5" s="134"/>
      <c r="E5" s="133" t="s">
        <v>163</v>
      </c>
      <c r="F5" s="134"/>
      <c r="G5" s="139" t="s">
        <v>164</v>
      </c>
      <c r="H5" s="140"/>
      <c r="I5" s="141" t="s">
        <v>165</v>
      </c>
      <c r="J5" s="142"/>
      <c r="K5" s="58" t="s">
        <v>166</v>
      </c>
      <c r="L5" s="59" t="s">
        <v>167</v>
      </c>
      <c r="M5" s="58" t="s">
        <v>166</v>
      </c>
      <c r="N5" s="59" t="s">
        <v>168</v>
      </c>
    </row>
    <row r="6" spans="2:17" ht="28.5" customHeight="1">
      <c r="B6" s="131"/>
      <c r="C6" s="133" t="s">
        <v>169</v>
      </c>
      <c r="D6" s="134"/>
      <c r="E6" s="156">
        <f>AVERAGE(D13:M13)</f>
        <v>157.89240593512454</v>
      </c>
      <c r="F6" s="157">
        <f>AVERAGE(D31:O31,D13:J13)</f>
        <v>166.4135038522393</v>
      </c>
      <c r="G6" s="158">
        <f>AVERAGE(D13:J13)</f>
        <v>166.4135038522393</v>
      </c>
      <c r="H6" s="159"/>
      <c r="I6" s="158">
        <f>AVERAGE(K13:M13)</f>
        <v>138.00984412852344</v>
      </c>
      <c r="J6" s="159"/>
      <c r="K6" s="160">
        <f>'0801 4度C'!Y2</f>
        <v>0</v>
      </c>
      <c r="L6" s="145">
        <f>'0801 4度C'!Z2</f>
        <v>0</v>
      </c>
      <c r="M6" s="161">
        <f>'0801 4度C'!AC2</f>
        <v>57</v>
      </c>
      <c r="N6" s="145">
        <f>'0801 4度C'!AD2</f>
        <v>0</v>
      </c>
    </row>
    <row r="7" spans="2:17" ht="28.5" customHeight="1">
      <c r="B7" s="131"/>
      <c r="C7" s="146" t="s">
        <v>170</v>
      </c>
      <c r="D7" s="147"/>
      <c r="E7" s="148">
        <f>AVERAGE(D14:M14)</f>
        <v>151.386534661615</v>
      </c>
      <c r="F7" s="149">
        <f>AVERAGE(D32:O32,D14:J14)</f>
        <v>159.63047014493512</v>
      </c>
      <c r="G7" s="150">
        <f>AVERAGE(D14:J14)</f>
        <v>159.63047014493512</v>
      </c>
      <c r="H7" s="151"/>
      <c r="I7" s="150">
        <f>AVERAGE(K14:M14)</f>
        <v>132.1506852005347</v>
      </c>
      <c r="J7" s="151"/>
      <c r="K7" s="160"/>
      <c r="L7" s="145"/>
      <c r="M7" s="161"/>
      <c r="N7" s="145"/>
    </row>
    <row r="8" spans="2:17" ht="28.5" customHeight="1">
      <c r="B8" s="132"/>
      <c r="C8" s="146" t="s">
        <v>171</v>
      </c>
      <c r="D8" s="147"/>
      <c r="E8" s="152">
        <f>AVERAGE(D15:M15)</f>
        <v>0.95847738866723253</v>
      </c>
      <c r="F8" s="153">
        <f>AVERAGE(D15:J15,D33:O33)</f>
        <v>0.95884124006851601</v>
      </c>
      <c r="G8" s="154">
        <f>AVERAGE(D15:J15)</f>
        <v>0.95884124006851601</v>
      </c>
      <c r="H8" s="155"/>
      <c r="I8" s="154">
        <f>AVERAGE(K15:M15)</f>
        <v>0.9576284020642376</v>
      </c>
      <c r="J8" s="155"/>
      <c r="K8" s="160"/>
      <c r="L8" s="145"/>
      <c r="M8" s="161"/>
      <c r="N8" s="145"/>
    </row>
    <row r="9" spans="2:17" ht="28.5" customHeight="1" thickBot="1">
      <c r="H9" s="61"/>
      <c r="K9" s="62" t="s">
        <v>172</v>
      </c>
      <c r="N9" s="57"/>
      <c r="O9" s="57"/>
      <c r="P9" s="57"/>
      <c r="Q9" s="57"/>
    </row>
    <row r="10" spans="2:17" ht="30" customHeight="1">
      <c r="B10" s="162" t="s">
        <v>173</v>
      </c>
      <c r="C10" s="163"/>
      <c r="D10" s="164" t="s">
        <v>174</v>
      </c>
      <c r="E10" s="165"/>
      <c r="F10" s="165"/>
      <c r="G10" s="165"/>
      <c r="H10" s="165"/>
      <c r="I10" s="165"/>
      <c r="J10" s="166"/>
      <c r="K10" s="167" t="s">
        <v>175</v>
      </c>
      <c r="L10" s="168"/>
      <c r="M10" s="169"/>
      <c r="P10" s="63"/>
      <c r="Q10" s="63"/>
    </row>
    <row r="11" spans="2:17" ht="17.25" customHeight="1">
      <c r="B11" s="170" t="s">
        <v>176</v>
      </c>
      <c r="C11" s="171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200000000000003" customHeight="1">
      <c r="B12" s="172"/>
      <c r="C12" s="173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200000000000003" customHeight="1">
      <c r="B13" s="174" t="s">
        <v>187</v>
      </c>
      <c r="C13" s="70" t="s">
        <v>188</v>
      </c>
      <c r="D13" s="71">
        <f>SUMIFS('0801 4度C'!$K:$K,'0801 4度C'!$A:$A,"新豐6線",'0801 4度C'!$B:$B,"平均")</f>
        <v>130.43478260869566</v>
      </c>
      <c r="E13" s="72">
        <f>SUMIFS('0801 4度C'!$K:$K,'0801 4度C'!$A:$A,"新豐2線",'0801 4度C'!$B:$B,"平均")</f>
        <v>84.269662921348313</v>
      </c>
      <c r="F13" s="73">
        <f>SUMIFS('0801 4度C'!$K:$K,'0801 4度C'!$A:$A,"新豐5線",'0801 4度C'!$B:$B,"平均")</f>
        <v>93.023255813953497</v>
      </c>
      <c r="G13" s="73">
        <f>SUMIFS('0801 4度C'!$K:$K,'0801 4度C'!$A:$A,"新豐7線",'0801 4度C'!$B:$B,"平均")</f>
        <v>127.65957446808511</v>
      </c>
      <c r="H13" s="73">
        <f>SUMIFS('0801 4度C'!$K:$K,'0801 4度C'!$A:$A,"新豐3線",'0801 4度C'!$B:$B,"平均")</f>
        <v>324.32432432432432</v>
      </c>
      <c r="I13" s="73">
        <f>SUMIFS('0801 4度C'!$K:$K,'0801 4度C'!$A:$A,"新豐1線",'0801 4度C'!$B:$B,"平均")</f>
        <v>112.5</v>
      </c>
      <c r="J13" s="74">
        <f>SUMIFS('0801 4度C'!$K:$K,'0801 4度C'!$A:$A,"新豐10線",'0801 4度C'!$B:$B,"平均")</f>
        <v>292.6829268292683</v>
      </c>
      <c r="K13" s="75">
        <f>SUMIFS('0801 4度C'!$K:$K,'0801 4度C'!$A:$A,"新豐8線",'0801 4度C'!$B:$B,"平均")</f>
        <v>137.70491803278691</v>
      </c>
      <c r="L13" s="76">
        <f>SUMIFS('0801 4度C'!$K:$K,'0801 4度C'!$A:$A,"新豐9線",'0801 4度C'!$B:$B,"平均")</f>
        <v>123.94366197183099</v>
      </c>
      <c r="M13" s="74">
        <f>SUMIFS('0801 4度C'!$K:$K,'0801 4度C'!$A:$A,"新豐4線",'0801 4度C'!$B:$B,"平均")</f>
        <v>152.38095238095238</v>
      </c>
    </row>
    <row r="14" spans="2:17" ht="39.6" customHeight="1">
      <c r="B14" s="175"/>
      <c r="C14" s="77" t="s">
        <v>189</v>
      </c>
      <c r="D14" s="78">
        <f>SUMIFS('0801 4度C'!$N:$N,'0801 4度C'!$A:$A,"新豐6線",'0801 4度C'!$B:$B,"平均")</f>
        <v>124.64954947073736</v>
      </c>
      <c r="E14" s="79">
        <f>SUMIFS('0801 4度C'!$N:$N,'0801 4度C'!$A:$A,"新豐2線",'0801 4度C'!$B:$B,"平均")</f>
        <v>80.691233498507728</v>
      </c>
      <c r="F14" s="79">
        <f>SUMIFS('0801 4度C'!$N:$N,'0801 4度C'!$A:$A,"新豐5線",'0801 4度C'!$B:$B,"平均")</f>
        <v>88.980413028185296</v>
      </c>
      <c r="G14" s="79">
        <f>SUMIFS('0801 4度C'!$N:$N,'0801 4度C'!$A:$A,"新豐7線",'0801 4度C'!$B:$B,"平均")</f>
        <v>122.27707403468241</v>
      </c>
      <c r="H14" s="79">
        <f>SUMIFS('0801 4度C'!$N:$N,'0801 4度C'!$A:$A,"新豐3線",'0801 4度C'!$B:$B,"平均")</f>
        <v>311.51593075864935</v>
      </c>
      <c r="I14" s="79">
        <f>SUMIFS('0801 4度C'!$N:$N,'0801 4度C'!$A:$A,"新豐1線",'0801 4度C'!$B:$B,"平均")</f>
        <v>108.49650132668255</v>
      </c>
      <c r="J14" s="80">
        <f>SUMIFS('0801 4度C'!$N:$N,'0801 4度C'!$A:$A,"新豐10線",'0801 4度C'!$B:$B,"平均")</f>
        <v>280.80258889710115</v>
      </c>
      <c r="K14" s="81">
        <f>SUMIFS('0801 4度C'!$N:$N,'0801 4度C'!$A:$A,"新豐8線",'0801 4度C'!$B:$B,"平均")</f>
        <v>132.21809579239195</v>
      </c>
      <c r="L14" s="82">
        <f>SUMIFS('0801 4度C'!$N:$N,'0801 4度C'!$A:$A,"新豐9線",'0801 4度C'!$B:$B,"平均")</f>
        <v>118.68020410566494</v>
      </c>
      <c r="M14" s="80">
        <f>SUMIFS('0801 4度C'!$N:$N,'0801 4度C'!$A:$A,"新豐4線",'0801 4度C'!$B:$B,"平均")</f>
        <v>145.55375570354721</v>
      </c>
    </row>
    <row r="15" spans="2:17" ht="40.200000000000003" customHeight="1">
      <c r="B15" s="176"/>
      <c r="C15" s="83" t="s">
        <v>190</v>
      </c>
      <c r="D15" s="84">
        <f t="shared" ref="D15:M15" si="0">D14/D13</f>
        <v>0.95564654594231968</v>
      </c>
      <c r="E15" s="85">
        <f t="shared" si="0"/>
        <v>0.95753597084895836</v>
      </c>
      <c r="F15" s="85">
        <f t="shared" si="0"/>
        <v>0.95653944005299185</v>
      </c>
      <c r="G15" s="85">
        <f t="shared" si="0"/>
        <v>0.95783707993834555</v>
      </c>
      <c r="H15" s="85">
        <f t="shared" si="0"/>
        <v>0.96050745317250219</v>
      </c>
      <c r="I15" s="85">
        <f t="shared" si="0"/>
        <v>0.96441334512606713</v>
      </c>
      <c r="J15" s="86">
        <f t="shared" si="0"/>
        <v>0.95940884539842886</v>
      </c>
      <c r="K15" s="84">
        <f t="shared" si="0"/>
        <v>0.96015521944475091</v>
      </c>
      <c r="L15" s="85">
        <f t="shared" si="0"/>
        <v>0.95753346494343305</v>
      </c>
      <c r="M15" s="86">
        <f t="shared" si="0"/>
        <v>0.95519652180452863</v>
      </c>
    </row>
    <row r="16" spans="2:17" ht="17.25" customHeight="1">
      <c r="B16" s="143" t="s">
        <v>191</v>
      </c>
      <c r="C16" s="87" t="s">
        <v>192</v>
      </c>
      <c r="D16" s="88">
        <f>VLOOKUP("新豐6線",'0801 4度C'!$A:$T,19,0)</f>
        <v>0.70833333333333337</v>
      </c>
      <c r="E16" s="89">
        <f>VLOOKUP("新豐2線",'0801 4度C'!$A:$T,19,0)</f>
        <v>8.3333333333333329E-2</v>
      </c>
      <c r="F16" s="89">
        <f>VLOOKUP("新豐5線",'0801 4度C'!$A:$T,19,0)</f>
        <v>8.3333333333333329E-2</v>
      </c>
      <c r="G16" s="89">
        <f>VLOOKUP("新豐7線",'0801 4度C'!$A:$T,19,0)</f>
        <v>0.20833333333333334</v>
      </c>
      <c r="H16" s="89">
        <f>VLOOKUP("新豐3線",'0801 4度C'!$A:$T,19,0)</f>
        <v>0.20833333333333334</v>
      </c>
      <c r="I16" s="89">
        <f>VLOOKUP("新豐1線",'0801 4度C'!$A:$T,19,0)</f>
        <v>8.3333333333333329E-2</v>
      </c>
      <c r="J16" s="90">
        <f>VLOOKUP("新豐10線",'0801 4度C'!$A:$T,19,0)</f>
        <v>0.20833333333333334</v>
      </c>
      <c r="K16" s="91">
        <f>VLOOKUP("新豐8線",'0801 4度C'!$A:$T,19,0)</f>
        <v>8.3333333333333329E-2</v>
      </c>
      <c r="L16" s="92">
        <f>VLOOKUP("新豐9線",'0801 4度C'!$A:$T,19,0)</f>
        <v>8.3333333333333329E-2</v>
      </c>
      <c r="M16" s="93">
        <f>VLOOKUP("新豐4線",'0801 4度C'!$A:$T,19,0)</f>
        <v>8.3333333333333329E-2</v>
      </c>
    </row>
    <row r="17" spans="2:13" ht="17.25" customHeight="1">
      <c r="B17" s="144"/>
      <c r="C17" s="87" t="s">
        <v>193</v>
      </c>
      <c r="D17" s="91">
        <f>LOOKUP(2,1/(('0801 4度C'!$A:$A="新豐6線")*('0801 4度C'!$T:$T&lt;&gt;"")),'0801 4度C'!$T:$T)</f>
        <v>0.84375000000000011</v>
      </c>
      <c r="E17" s="89">
        <f>LOOKUP(2,1/(('0801 4度C'!$A:$A="新豐2線")*('0801 4度C'!$T:$T&lt;&gt;"")),'0801 4度C'!$T:$T)</f>
        <v>0.58055555555555549</v>
      </c>
      <c r="F17" s="89">
        <f>LOOKUP(2,1/(('0801 4度C'!$A:$A="新豐5線")*('0801 4度C'!$T:$T&lt;&gt;"")),'0801 4度C'!$T:$T)</f>
        <v>0.84930555555555554</v>
      </c>
      <c r="G17" s="89">
        <f>LOOKUP(2,1/(('0801 4度C'!$A:$A="新豐7線")*('0801 4度C'!$T:$T&lt;&gt;"")),'0801 4度C'!$T:$T)</f>
        <v>0.84652777777777777</v>
      </c>
      <c r="H17" s="89">
        <f>LOOKUP(2,1/(('0801 4度C'!$A:$A="新豐3線")*('0801 4度C'!$T:$T&lt;&gt;"")),'0801 4度C'!$T:$T)</f>
        <v>0.38541666666666663</v>
      </c>
      <c r="I17" s="89">
        <f>LOOKUP(2,1/(('0801 4度C'!$A:$A="新豐1線")*('0801 4度C'!$T:$T&lt;&gt;"")),'0801 4度C'!$T:$T)</f>
        <v>0.85625000000000007</v>
      </c>
      <c r="J17" s="90">
        <f>LOOKUP(2,1/(('0801 4度C'!$A:$A="新豐10線")*('0801 4度C'!$T:$T&lt;&gt;"")),'0801 4度C'!$T:$T)</f>
        <v>0.39374999999999993</v>
      </c>
      <c r="K17" s="88">
        <f>LOOKUP(2,1/(('0801 4度C'!$A:$A="新豐8線")*('0801 4度C'!$T:$T&lt;&gt;"")),'0801 4度C'!$T:$T)</f>
        <v>0.62291666666666656</v>
      </c>
      <c r="L17" s="89">
        <f>LOOKUP(2,1/(('0801 4度C'!$A:$A="新豐9線")*('0801 4度C'!$T:$T&lt;&gt;"")),'0801 4度C'!$T:$T)</f>
        <v>0.5083333333333333</v>
      </c>
      <c r="M17" s="90">
        <f>LOOKUP(2,1/(('0801 4度C'!$A:$A="新豐4線")*('0801 4度C'!$T:$T&lt;&gt;"")),'0801 4度C'!$T:$T)</f>
        <v>0.68402777777777779</v>
      </c>
    </row>
    <row r="18" spans="2:13" ht="17.25" customHeight="1">
      <c r="B18" s="179" t="s">
        <v>194</v>
      </c>
      <c r="C18" s="94" t="s">
        <v>195</v>
      </c>
      <c r="D18" s="95">
        <f>SUMIFS('0801 4度C'!$Y:$Y,'0801 4度C'!$A:$A,"新豐6線",'0801 4度C'!$B:$B,"平均")</f>
        <v>0</v>
      </c>
      <c r="E18" s="96">
        <f>SUMIFS('0801 4度C'!$Y:$Y,'0801 4度C'!$A:$A,"新豐2線",'0801 4度C'!$B:$B,"平均")</f>
        <v>0</v>
      </c>
      <c r="F18" s="96">
        <f>SUMIFS('0801 4度C'!$Y:$Y,'0801 4度C'!$A:$A,"新豐5線",'0801 4度C'!$B:$B,"平均")</f>
        <v>0</v>
      </c>
      <c r="G18" s="96">
        <f>SUMIFS('0801 4度C'!$Y:$Y,'0801 4度C'!$A:$A,"新豐7線",'0801 4度C'!$B:$B,"平均")</f>
        <v>0</v>
      </c>
      <c r="H18" s="96">
        <f>SUMIFS('0801 4度C'!$Y:$Y,'0801 4度C'!$A:$A,"新豐3線",'0801 4度C'!$B:$B,"平均")</f>
        <v>0</v>
      </c>
      <c r="I18" s="96">
        <f>SUMIFS('0801 4度C'!$Y:$Y,'0801 4度C'!$A:$A,"新豐1線",'0801 4度C'!$B:$B,"平均")</f>
        <v>0</v>
      </c>
      <c r="J18" s="97">
        <f>SUMIFS('0801 4度C'!$Y:$Y,'0801 4度C'!$A:$A,"新豐10線",'0801 4度C'!$B:$B,"平均")</f>
        <v>0</v>
      </c>
      <c r="K18" s="98">
        <f>SUMIFS('0801 4度C'!$Y:$Y,'0801 4度C'!$A:$A,"新豐8線",'0801 4度C'!$B:$B,"平均")</f>
        <v>0</v>
      </c>
      <c r="L18" s="96">
        <f>SUMIFS('0801 4度C'!$Y:$Y,'0801 4度C'!$A:$A,"新豐9線",'0801 4度C'!$B:$B,"平均")</f>
        <v>0</v>
      </c>
      <c r="M18" s="97">
        <f>SUMIFS('0801 4度C'!$Y:$Y,'0801 4度C'!$A:$A,"新豐4線",'0801 4度C'!$B:$B,"平均")</f>
        <v>0</v>
      </c>
    </row>
    <row r="19" spans="2:13" ht="17.25" customHeight="1">
      <c r="B19" s="180"/>
      <c r="C19" s="94" t="s">
        <v>196</v>
      </c>
      <c r="D19" s="95">
        <f>SUMIFS('0801 4度C'!$Z:$Z,'0801 4度C'!$A:$A,"新豐6線",'0801 4度C'!$B:$B,"平均")</f>
        <v>0</v>
      </c>
      <c r="E19" s="96">
        <f>SUMIFS('0801 4度C'!$Z:$Z,'0801 4度C'!$A:$A,"新豐2線",'0801 4度C'!$B:$B,"平均")</f>
        <v>0</v>
      </c>
      <c r="F19" s="96">
        <f>SUMIFS('0801 4度C'!$Z:$Z,'0801 4度C'!$A:$A,"新豐5線",'0801 4度C'!$B:$B,"平均")</f>
        <v>0</v>
      </c>
      <c r="G19" s="96">
        <f>SUMIFS('0801 4度C'!$Z:$Z,'0801 4度C'!$A:$A,"新豐7線",'0801 4度C'!$B:$B,"平均")</f>
        <v>0</v>
      </c>
      <c r="H19" s="96">
        <f>SUMIFS('0801 4度C'!$Z:$Z,'0801 4度C'!$A:$A,"新豐3線",'0801 4度C'!$B:$B,"平均")</f>
        <v>0</v>
      </c>
      <c r="I19" s="96">
        <f>SUMIFS('0801 4度C'!$Z:$Z,'0801 4度C'!$A:$A,"新豐1線",'0801 4度C'!$B:$B,"平均")</f>
        <v>0</v>
      </c>
      <c r="J19" s="97">
        <f>SUMIFS('0801 4度C'!$Z:$Z,'0801 4度C'!$A:$A,"新豐10線",'0801 4度C'!$B:$B,"平均")</f>
        <v>0</v>
      </c>
      <c r="K19" s="98">
        <f>SUMIFS('0801 4度C'!$Z:$Z,'0801 4度C'!$A:$A,"新豐8線",'0801 4度C'!$B:$B,"平均")</f>
        <v>0</v>
      </c>
      <c r="L19" s="96">
        <f>SUMIFS('0801 4度C'!$Z:$Z,'0801 4度C'!$A:$A,"新豐9線",'0801 4度C'!$B:$B,"平均")</f>
        <v>0</v>
      </c>
      <c r="M19" s="97">
        <f>SUMIFS('0801 4度C'!$Z:$Z,'0801 4度C'!$A:$A,"新豐4線",'0801 4度C'!$B:$B,"平均")</f>
        <v>0</v>
      </c>
    </row>
    <row r="20" spans="2:13" ht="17.25" customHeight="1">
      <c r="B20" s="179" t="s">
        <v>197</v>
      </c>
      <c r="C20" s="94" t="s">
        <v>198</v>
      </c>
      <c r="D20" s="95">
        <f>SUMIFS('0801 4度C'!$AC:$AC,'0801 4度C'!$A:$A,"新豐6線",'0801 4度C'!$B:$B,"平均")</f>
        <v>3</v>
      </c>
      <c r="E20" s="96">
        <f>SUMIFS('0801 4度C'!$AC:$AC,'0801 4度C'!$A:$A,"新豐2線",'0801 4度C'!$B:$B,"平均")</f>
        <v>5</v>
      </c>
      <c r="F20" s="96">
        <f>SUMIFS('0801 4度C'!$AC:$AC,'0801 4度C'!$A:$A,"新豐5線",'0801 4度C'!$B:$B,"平均")</f>
        <v>7</v>
      </c>
      <c r="G20" s="96">
        <f>SUMIFS('0801 4度C'!$AC:$AC,'0801 4度C'!$A:$A,"新豐7線",'0801 4度C'!$B:$B,"平均")</f>
        <v>6</v>
      </c>
      <c r="H20" s="96">
        <f>SUMIFS('0801 4度C'!$AC:$AC,'0801 4度C'!$A:$A,"新豐3線",'0801 4度C'!$B:$B,"平均")</f>
        <v>4</v>
      </c>
      <c r="I20" s="96">
        <f>SUMIFS('0801 4度C'!$AC:$AC,'0801 4度C'!$A:$A,"新豐1線",'0801 4度C'!$B:$B,"平均")</f>
        <v>9</v>
      </c>
      <c r="J20" s="97">
        <f>SUMIFS('0801 4度C'!$AC:$AC,'0801 4度C'!$A:$A,"新豐10線",'0801 4度C'!$B:$B,"平均")</f>
        <v>4</v>
      </c>
      <c r="K20" s="98">
        <f>SUMIFS('0801 4度C'!$AC:$AC,'0801 4度C'!$A:$A,"新豐8線",'0801 4度C'!$B:$B,"平均")</f>
        <v>7</v>
      </c>
      <c r="L20" s="96">
        <f>SUMIFS('0801 4度C'!$AC:$AC,'0801 4度C'!$A:$A,"新豐9線",'0801 4度C'!$B:$B,"平均")</f>
        <v>4</v>
      </c>
      <c r="M20" s="97">
        <f>SUMIFS('0801 4度C'!$AC:$AC,'0801 4度C'!$A:$A,"新豐4線",'0801 4度C'!$B:$B,"平均")</f>
        <v>8</v>
      </c>
    </row>
    <row r="21" spans="2:13" ht="17.25" customHeight="1">
      <c r="B21" s="180"/>
      <c r="C21" s="94" t="s">
        <v>199</v>
      </c>
      <c r="D21" s="95">
        <f>SUMIFS('0801 4度C'!$AD:$AD,'0801 4度C'!$A:$A,"新豐6線",'0801 4度C'!$B:$B,"平均")</f>
        <v>0</v>
      </c>
      <c r="E21" s="96">
        <f>SUMIFS('0801 4度C'!$AD:$AD,'0801 4度C'!$A:$A,"新豐2線",'0801 4度C'!$B:$B,"平均")</f>
        <v>0</v>
      </c>
      <c r="F21" s="96">
        <f>SUMIFS('0801 4度C'!$AD:$AD,'0801 4度C'!$A:$A,"新豐5線",'0801 4度C'!$B:$B,"平均")</f>
        <v>0</v>
      </c>
      <c r="G21" s="96">
        <f>SUMIFS('0801 4度C'!$AD:$AD,'0801 4度C'!$A:$A,"新豐7線",'0801 4度C'!$B:$B,"平均")</f>
        <v>0</v>
      </c>
      <c r="H21" s="96">
        <f>SUMIFS('0801 4度C'!$AD:$AD,'0801 4度C'!$A:$A,"新豐3線",'0801 4度C'!$B:$B,"平均")</f>
        <v>0</v>
      </c>
      <c r="I21" s="96">
        <f>SUMIFS('0801 4度C'!$AD:$AD,'0801 4度C'!$A:$A,"新豐1線",'0801 4度C'!$B:$B,"平均")</f>
        <v>0</v>
      </c>
      <c r="J21" s="97">
        <f>SUMIFS('0801 4度C'!$AD:$AD,'0801 4度C'!$A:$A,"新豐10線",'0801 4度C'!$B:$B,"平均")</f>
        <v>0</v>
      </c>
      <c r="K21" s="98">
        <f>SUMIFS('0801 4度C'!$AD:$AD,'0801 4度C'!$A:$A,"新豐8線",'0801 4度C'!$B:$B,"平均")</f>
        <v>0</v>
      </c>
      <c r="L21" s="96">
        <f>SUMIFS('0801 4度C'!$AD:$AD,'0801 4度C'!$A:$A,"新豐9線",'0801 4度C'!$B:$B,"平均")</f>
        <v>0</v>
      </c>
      <c r="M21" s="97">
        <f>SUMIFS('0801 4度C'!$AD:$AD,'0801 4度C'!$A:$A,"新豐4線",'0801 4度C'!$B:$B,"平均")</f>
        <v>0</v>
      </c>
    </row>
    <row r="22" spans="2:13" ht="17.25" customHeight="1">
      <c r="B22" s="181" t="s">
        <v>200</v>
      </c>
      <c r="C22" s="182"/>
      <c r="D22" s="99">
        <f>SUMIFS('0801 4度C'!$I:$I,'0801 4度C'!$A:$A,"新豐6線",'0801 4度C'!$B:$B,"平均")</f>
        <v>15.333333333333334</v>
      </c>
      <c r="E22" s="100">
        <f>SUMIFS('0801 4度C'!$I:$I,'0801 4度C'!$A:$A,"新豐2線",'0801 4度C'!$B:$B,"平均")</f>
        <v>17.8</v>
      </c>
      <c r="F22" s="100">
        <f>SUMIFS('0801 4度C'!$I:$I,'0801 4度C'!$A:$A,"新豐5線",'0801 4度C'!$B:$B,"平均")</f>
        <v>18.428571428571427</v>
      </c>
      <c r="G22" s="100">
        <f>SUMIFS('0801 4度C'!$I:$I,'0801 4度C'!$A:$A,"新豐7線",'0801 4度C'!$B:$B,"平均")</f>
        <v>15.666666666666666</v>
      </c>
      <c r="H22" s="100">
        <f>SUMIFS('0801 4度C'!$I:$I,'0801 4度C'!$A:$A,"新豐3線",'0801 4度C'!$B:$B,"平均")</f>
        <v>9.25</v>
      </c>
      <c r="I22" s="100">
        <f>SUMIFS('0801 4度C'!$I:$I,'0801 4度C'!$A:$A,"新豐1線",'0801 4度C'!$B:$B,"平均")</f>
        <v>17.777777777777779</v>
      </c>
      <c r="J22" s="101">
        <f>SUMIFS('0801 4度C'!$I:$I,'0801 4度C'!$A:$A,"新豐10線",'0801 4度C'!$B:$B,"平均")</f>
        <v>10.25</v>
      </c>
      <c r="K22" s="99">
        <f>SUMIFS('0801 4度C'!$I:$I,'0801 4度C'!$A:$A,"新豐8線",'0801 4度C'!$B:$B,"平均")</f>
        <v>17.428571428571427</v>
      </c>
      <c r="L22" s="100">
        <f>SUMIFS('0801 4度C'!$I:$I,'0801 4度C'!$A:$A,"新豐9線",'0801 4度C'!$B:$B,"平均")</f>
        <v>17.75</v>
      </c>
      <c r="M22" s="101">
        <f>SUMIFS('0801 4度C'!$I:$I,'0801 4度C'!$A:$A,"新豐4線",'0801 4度C'!$B:$B,"平均")</f>
        <v>15.75</v>
      </c>
    </row>
    <row r="23" spans="2:13" ht="17.25" customHeight="1">
      <c r="B23" s="181" t="s">
        <v>201</v>
      </c>
      <c r="C23" s="182"/>
      <c r="D23" s="102" t="s">
        <v>202</v>
      </c>
      <c r="E23" s="103" t="s">
        <v>203</v>
      </c>
      <c r="F23" s="103" t="s">
        <v>204</v>
      </c>
      <c r="G23" s="103" t="s">
        <v>204</v>
      </c>
      <c r="H23" s="103" t="s">
        <v>205</v>
      </c>
      <c r="I23" s="103" t="s">
        <v>202</v>
      </c>
      <c r="J23" s="104" t="s">
        <v>205</v>
      </c>
      <c r="K23" s="102" t="s">
        <v>206</v>
      </c>
      <c r="L23" s="103" t="s">
        <v>206</v>
      </c>
      <c r="M23" s="104" t="s">
        <v>207</v>
      </c>
    </row>
    <row r="24" spans="2:13" ht="17.25" customHeight="1">
      <c r="B24" s="181" t="s">
        <v>208</v>
      </c>
      <c r="C24" s="182"/>
      <c r="D24" s="102"/>
      <c r="E24" s="103"/>
      <c r="F24" s="103" t="s">
        <v>209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183" t="s">
        <v>210</v>
      </c>
      <c r="C25" s="184"/>
      <c r="D25" s="105"/>
      <c r="E25" s="106" t="s">
        <v>211</v>
      </c>
      <c r="F25" s="177" t="s">
        <v>212</v>
      </c>
      <c r="G25" s="178"/>
      <c r="H25" s="106" t="s">
        <v>213</v>
      </c>
      <c r="I25" s="106" t="s">
        <v>214</v>
      </c>
      <c r="J25" s="107" t="s">
        <v>213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6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2"/>
  <sheetViews>
    <sheetView zoomScale="80" zoomScaleNormal="80" workbookViewId="0">
      <pane ySplit="4" topLeftCell="A20" activePane="bottomLeft" state="frozen"/>
      <selection activeCell="J38" sqref="J38"/>
      <selection pane="bottomLeft" activeCell="U69" sqref="U69"/>
    </sheetView>
  </sheetViews>
  <sheetFormatPr defaultColWidth="8" defaultRowHeight="15.6"/>
  <cols>
    <col min="1" max="1" width="15.109375" style="9" customWidth="1"/>
    <col min="2" max="2" width="19.33203125" style="9" customWidth="1"/>
    <col min="3" max="3" width="15.21875" style="9" customWidth="1"/>
    <col min="4" max="4" width="17.44140625" style="9" customWidth="1"/>
    <col min="5" max="5" width="7.44140625" style="9" customWidth="1"/>
    <col min="6" max="7" width="14.33203125" style="9" customWidth="1"/>
    <col min="8" max="8" width="8" style="9" customWidth="1"/>
    <col min="9" max="9" width="5.88671875" style="9" customWidth="1"/>
    <col min="10" max="10" width="10.6640625" style="9" customWidth="1"/>
    <col min="11" max="11" width="14.6640625" style="9" customWidth="1"/>
    <col min="12" max="12" width="7.21875" style="9" customWidth="1"/>
    <col min="13" max="13" width="8" style="9" customWidth="1"/>
    <col min="14" max="14" width="12" style="9" customWidth="1"/>
    <col min="15" max="15" width="6" style="9" customWidth="1"/>
    <col min="16" max="16" width="9.21875" style="9" customWidth="1"/>
    <col min="17" max="17" width="11.44140625" style="9" customWidth="1"/>
    <col min="18" max="18" width="8.44140625" style="9" customWidth="1"/>
    <col min="19" max="19" width="10.109375" style="41" customWidth="1"/>
    <col min="20" max="20" width="7.6640625" style="41" customWidth="1"/>
    <col min="21" max="21" width="10.21875" style="9" customWidth="1"/>
    <col min="22" max="22" width="8.77734375" style="34" customWidth="1"/>
    <col min="23" max="23" width="7.33203125" style="9" customWidth="1"/>
    <col min="24" max="24" width="6.88671875" style="9" customWidth="1"/>
    <col min="25" max="26" width="8.77734375" style="9" customWidth="1"/>
    <col min="27" max="27" width="12.77734375" style="9" customWidth="1"/>
    <col min="28" max="28" width="18.88671875" style="9" customWidth="1"/>
    <col min="29" max="30" width="15.109375" style="9" customWidth="1"/>
    <col min="31" max="31" width="13.109375" style="9" bestFit="1" customWidth="1"/>
    <col min="32" max="32" width="10.33203125" style="9" customWidth="1"/>
    <col min="33" max="33" width="9.33203125" style="9" customWidth="1"/>
    <col min="34" max="34" width="8" style="9"/>
    <col min="35" max="35" width="24.6640625" style="9" bestFit="1" customWidth="1"/>
    <col min="36" max="16384" width="8" style="9"/>
  </cols>
  <sheetData>
    <row r="1" spans="1:33" ht="36.75" customHeight="1">
      <c r="A1" s="1" t="s">
        <v>0</v>
      </c>
      <c r="B1" s="1"/>
      <c r="C1" s="2" t="s">
        <v>1</v>
      </c>
      <c r="D1" s="3">
        <f>SUM(F5:F71)</f>
        <v>162409</v>
      </c>
      <c r="E1" s="4" t="s">
        <v>2</v>
      </c>
      <c r="F1" s="1">
        <f>SUM(G5:G71)</f>
        <v>5699318.379999998</v>
      </c>
      <c r="G1" s="1" t="s">
        <v>3</v>
      </c>
      <c r="H1" s="5">
        <f>L8+L14+L47+L57+L22+L62+L37+L42+L29+L71</f>
        <v>155.43492063492064</v>
      </c>
      <c r="I1" s="185" t="s">
        <v>4</v>
      </c>
      <c r="J1" s="185"/>
      <c r="K1" s="185"/>
      <c r="L1" s="185" t="s">
        <v>5</v>
      </c>
      <c r="M1" s="185"/>
      <c r="N1" s="185"/>
      <c r="O1" s="185" t="s">
        <v>6</v>
      </c>
      <c r="P1" s="185"/>
      <c r="Q1" s="185"/>
      <c r="R1" s="185"/>
      <c r="S1" s="185" t="s">
        <v>7</v>
      </c>
      <c r="T1" s="185"/>
      <c r="U1" s="185"/>
      <c r="V1" s="185"/>
      <c r="W1" s="185"/>
      <c r="X1" s="185"/>
      <c r="Y1" s="6" t="s">
        <v>8</v>
      </c>
      <c r="Z1" s="7" t="s">
        <v>9</v>
      </c>
      <c r="AA1" s="186" t="s">
        <v>10</v>
      </c>
      <c r="AB1" s="186"/>
      <c r="AC1" s="8" t="s">
        <v>8</v>
      </c>
      <c r="AD1" s="7" t="s">
        <v>11</v>
      </c>
      <c r="AE1" s="185" t="s">
        <v>12</v>
      </c>
      <c r="AF1" s="187"/>
      <c r="AG1" s="187"/>
    </row>
    <row r="2" spans="1:33" ht="26.25" customHeight="1">
      <c r="A2" s="35">
        <v>46235</v>
      </c>
      <c r="B2" s="36" t="s">
        <v>90</v>
      </c>
      <c r="C2" s="2" t="s">
        <v>13</v>
      </c>
      <c r="D2" s="10">
        <f>AVERAGE(N8,N14,N47,N57,N22,N62,N29,N37,N42,N71)</f>
        <v>151.386534661615</v>
      </c>
      <c r="E2" s="11" t="s">
        <v>14</v>
      </c>
      <c r="F2" s="12">
        <f>F1/D1</f>
        <v>35.092380225233811</v>
      </c>
      <c r="G2" s="1" t="s">
        <v>15</v>
      </c>
      <c r="H2" s="13">
        <f>COUNT(H5:H71)</f>
        <v>4</v>
      </c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4">
        <f>SUM(Y8+Y14+Y22+Y29+Y37+Y42+Y47+Y57+Y62+Y71)</f>
        <v>0</v>
      </c>
      <c r="Z2" s="14">
        <f>SUM(Z8+Z14+Z22+Z29+Z37+Z42+Z47+Z57+Z62+Z71)</f>
        <v>0</v>
      </c>
      <c r="AA2" s="186"/>
      <c r="AB2" s="186"/>
      <c r="AC2" s="14">
        <v>57</v>
      </c>
      <c r="AD2" s="14">
        <f>SUM(AD8+AD14+AD22+AD29+AD37+AD42+AD47+AD57+AD62+AD71)</f>
        <v>0</v>
      </c>
      <c r="AE2" s="187"/>
      <c r="AF2" s="187"/>
      <c r="AG2" s="187"/>
    </row>
    <row r="3" spans="1:33" ht="40.5" customHeight="1">
      <c r="A3" s="191" t="s">
        <v>16</v>
      </c>
      <c r="B3" s="191" t="s">
        <v>17</v>
      </c>
      <c r="C3" s="191" t="s">
        <v>18</v>
      </c>
      <c r="D3" s="191"/>
      <c r="E3" s="192" t="s">
        <v>19</v>
      </c>
      <c r="F3" s="191" t="s">
        <v>20</v>
      </c>
      <c r="G3" s="192" t="s">
        <v>21</v>
      </c>
      <c r="H3" s="199" t="s">
        <v>22</v>
      </c>
      <c r="I3" s="190" t="s">
        <v>23</v>
      </c>
      <c r="J3" s="188" t="s">
        <v>24</v>
      </c>
      <c r="K3" s="189" t="s">
        <v>13</v>
      </c>
      <c r="L3" s="190" t="s">
        <v>25</v>
      </c>
      <c r="M3" s="188" t="s">
        <v>24</v>
      </c>
      <c r="N3" s="189" t="s">
        <v>26</v>
      </c>
      <c r="O3" s="190" t="s">
        <v>25</v>
      </c>
      <c r="P3" s="189" t="s">
        <v>13</v>
      </c>
      <c r="Q3" s="194" t="s">
        <v>27</v>
      </c>
      <c r="R3" s="195" t="s">
        <v>28</v>
      </c>
      <c r="S3" s="205" t="s">
        <v>29</v>
      </c>
      <c r="T3" s="205"/>
      <c r="U3" s="199" t="s">
        <v>30</v>
      </c>
      <c r="V3" s="199" t="s">
        <v>31</v>
      </c>
      <c r="W3" s="191" t="s">
        <v>32</v>
      </c>
      <c r="X3" s="191"/>
      <c r="Y3" s="200" t="s">
        <v>33</v>
      </c>
      <c r="Z3" s="201"/>
      <c r="AA3" s="202" t="s">
        <v>34</v>
      </c>
      <c r="AB3" s="203"/>
      <c r="AC3" s="200" t="s">
        <v>35</v>
      </c>
      <c r="AD3" s="201"/>
      <c r="AE3" s="188" t="s">
        <v>36</v>
      </c>
      <c r="AF3" s="194" t="s">
        <v>37</v>
      </c>
      <c r="AG3" s="195" t="s">
        <v>38</v>
      </c>
    </row>
    <row r="4" spans="1:33" ht="15.75" customHeight="1">
      <c r="A4" s="191"/>
      <c r="B4" s="191"/>
      <c r="C4" s="191"/>
      <c r="D4" s="191"/>
      <c r="E4" s="193"/>
      <c r="F4" s="191"/>
      <c r="G4" s="193"/>
      <c r="H4" s="199"/>
      <c r="I4" s="190"/>
      <c r="J4" s="188"/>
      <c r="K4" s="189"/>
      <c r="L4" s="190"/>
      <c r="M4" s="188"/>
      <c r="N4" s="189"/>
      <c r="O4" s="190"/>
      <c r="P4" s="189"/>
      <c r="Q4" s="194"/>
      <c r="R4" s="195"/>
      <c r="S4" s="38" t="s">
        <v>39</v>
      </c>
      <c r="T4" s="38" t="s">
        <v>40</v>
      </c>
      <c r="U4" s="199"/>
      <c r="V4" s="199"/>
      <c r="W4" s="4" t="s">
        <v>41</v>
      </c>
      <c r="X4" s="4" t="s">
        <v>42</v>
      </c>
      <c r="Y4" s="15" t="s">
        <v>43</v>
      </c>
      <c r="Z4" s="15" t="s">
        <v>44</v>
      </c>
      <c r="AA4" s="204"/>
      <c r="AB4" s="203"/>
      <c r="AC4" s="15" t="s">
        <v>45</v>
      </c>
      <c r="AD4" s="15" t="s">
        <v>46</v>
      </c>
      <c r="AE4" s="188"/>
      <c r="AF4" s="194"/>
      <c r="AG4" s="195"/>
    </row>
    <row r="5" spans="1:33">
      <c r="A5" s="196" t="s">
        <v>47</v>
      </c>
      <c r="B5" s="42" t="s">
        <v>92</v>
      </c>
      <c r="C5" s="197" t="s">
        <v>93</v>
      </c>
      <c r="D5" s="197"/>
      <c r="E5" s="42">
        <v>50.92</v>
      </c>
      <c r="F5" s="38">
        <v>2223</v>
      </c>
      <c r="G5" s="4">
        <f t="shared" ref="G5:G7" si="0">E5*F5</f>
        <v>113195.16</v>
      </c>
      <c r="H5" s="37" t="s">
        <v>91</v>
      </c>
      <c r="I5" s="16">
        <v>15</v>
      </c>
      <c r="J5" s="39">
        <v>2000</v>
      </c>
      <c r="K5" s="17">
        <f t="shared" ref="K5:K28" si="1">J5/I5</f>
        <v>133.33333333333334</v>
      </c>
      <c r="L5" s="16">
        <v>15</v>
      </c>
      <c r="M5" s="18">
        <f t="shared" ref="M5:M7" si="2">F5/V5*60</f>
        <v>1905.4285714285695</v>
      </c>
      <c r="N5" s="17">
        <f t="shared" ref="N5:N28" si="3">M5/L5</f>
        <v>127.0285714285713</v>
      </c>
      <c r="O5" s="19">
        <f t="shared" ref="O5:O28" si="4">L5-I5</f>
        <v>0</v>
      </c>
      <c r="P5" s="20">
        <f t="shared" ref="P5:P28" si="5">N5-K5</f>
        <v>-6.3047619047620458</v>
      </c>
      <c r="Q5" s="21">
        <f t="shared" ref="Q5:Q28" si="6">N5/K5</f>
        <v>0.95271428571428463</v>
      </c>
      <c r="R5" s="198">
        <f>Q8</f>
        <v>0.95564654594231968</v>
      </c>
      <c r="S5" s="40">
        <v>0.70833333333333337</v>
      </c>
      <c r="T5" s="40">
        <v>0.75694444444444453</v>
      </c>
      <c r="U5" s="4"/>
      <c r="V5" s="22">
        <f t="shared" ref="V5:V7" si="7">(T5-S5)*24*60</f>
        <v>70.000000000000071</v>
      </c>
      <c r="W5" s="23"/>
      <c r="X5" s="23"/>
      <c r="Y5" s="24"/>
      <c r="Z5" s="24"/>
      <c r="AA5" s="191"/>
      <c r="AB5" s="191"/>
      <c r="AC5" s="25">
        <v>3</v>
      </c>
      <c r="AD5" s="25"/>
      <c r="AE5" s="19">
        <f t="shared" ref="AE5:AE28" si="8">M5-J5</f>
        <v>-94.571428571430488</v>
      </c>
      <c r="AF5" s="21">
        <f t="shared" ref="AF5:AF28" si="9">M5/J5</f>
        <v>0.95271428571428474</v>
      </c>
      <c r="AG5" s="198">
        <f>AF8</f>
        <v>0.95564654594231979</v>
      </c>
    </row>
    <row r="6" spans="1:33">
      <c r="A6" s="190" t="s">
        <v>48</v>
      </c>
      <c r="B6" s="42" t="s">
        <v>92</v>
      </c>
      <c r="C6" s="197" t="s">
        <v>94</v>
      </c>
      <c r="D6" s="197"/>
      <c r="E6" s="42">
        <v>50.98</v>
      </c>
      <c r="F6" s="38">
        <v>2282</v>
      </c>
      <c r="G6" s="4">
        <f t="shared" si="0"/>
        <v>116336.35999999999</v>
      </c>
      <c r="H6" s="37" t="s">
        <v>91</v>
      </c>
      <c r="I6" s="16">
        <v>16</v>
      </c>
      <c r="J6" s="39">
        <v>2000</v>
      </c>
      <c r="K6" s="17">
        <f t="shared" si="1"/>
        <v>125</v>
      </c>
      <c r="L6" s="16">
        <v>16</v>
      </c>
      <c r="M6" s="18">
        <f t="shared" si="2"/>
        <v>1928.4507042253499</v>
      </c>
      <c r="N6" s="17">
        <f t="shared" si="3"/>
        <v>120.52816901408437</v>
      </c>
      <c r="O6" s="19">
        <f t="shared" si="4"/>
        <v>0</v>
      </c>
      <c r="P6" s="20">
        <f t="shared" si="5"/>
        <v>-4.4718309859156307</v>
      </c>
      <c r="Q6" s="21">
        <f t="shared" si="6"/>
        <v>0.9642253521126749</v>
      </c>
      <c r="R6" s="198"/>
      <c r="S6" s="40">
        <v>0.76111111111111118</v>
      </c>
      <c r="T6" s="40">
        <v>0.81041666666666679</v>
      </c>
      <c r="U6" s="4">
        <f t="shared" ref="U6:U7" si="10">IF(S6=TIME(17,0,0),"",(S6-T5)*24*60)</f>
        <v>5.9999999999999787</v>
      </c>
      <c r="V6" s="22">
        <f t="shared" si="7"/>
        <v>71.000000000000071</v>
      </c>
      <c r="W6" s="23"/>
      <c r="X6" s="23"/>
      <c r="Y6" s="23"/>
      <c r="Z6" s="23"/>
      <c r="AA6" s="191"/>
      <c r="AB6" s="191"/>
      <c r="AC6" s="25"/>
      <c r="AD6" s="25"/>
      <c r="AE6" s="19">
        <f t="shared" si="8"/>
        <v>-71.549295774650091</v>
      </c>
      <c r="AF6" s="21">
        <f t="shared" si="9"/>
        <v>0.9642253521126749</v>
      </c>
      <c r="AG6" s="198"/>
    </row>
    <row r="7" spans="1:33">
      <c r="A7" s="190" t="s">
        <v>48</v>
      </c>
      <c r="B7" s="42" t="s">
        <v>92</v>
      </c>
      <c r="C7" s="206" t="s">
        <v>95</v>
      </c>
      <c r="D7" s="207"/>
      <c r="E7" s="42">
        <v>50.67</v>
      </c>
      <c r="F7" s="38">
        <v>1330</v>
      </c>
      <c r="G7" s="4">
        <f t="shared" si="0"/>
        <v>67391.100000000006</v>
      </c>
      <c r="H7" s="37" t="s">
        <v>91</v>
      </c>
      <c r="I7" s="16">
        <v>15</v>
      </c>
      <c r="J7" s="39">
        <v>2000</v>
      </c>
      <c r="K7" s="17">
        <f t="shared" si="1"/>
        <v>133.33333333333334</v>
      </c>
      <c r="L7" s="16">
        <v>15</v>
      </c>
      <c r="M7" s="18">
        <f t="shared" si="2"/>
        <v>1899.9999999999995</v>
      </c>
      <c r="N7" s="17">
        <f t="shared" si="3"/>
        <v>126.66666666666664</v>
      </c>
      <c r="O7" s="19">
        <f t="shared" si="4"/>
        <v>0</v>
      </c>
      <c r="P7" s="20">
        <f t="shared" si="5"/>
        <v>-6.6666666666666998</v>
      </c>
      <c r="Q7" s="21">
        <f t="shared" si="6"/>
        <v>0.94999999999999973</v>
      </c>
      <c r="R7" s="198"/>
      <c r="S7" s="40">
        <v>0.81458333333333344</v>
      </c>
      <c r="T7" s="40">
        <v>0.84375000000000011</v>
      </c>
      <c r="U7" s="4">
        <f t="shared" si="10"/>
        <v>5.9999999999999787</v>
      </c>
      <c r="V7" s="22">
        <f t="shared" si="7"/>
        <v>42.000000000000014</v>
      </c>
      <c r="W7" s="23"/>
      <c r="X7" s="23"/>
      <c r="Y7" s="26"/>
      <c r="Z7" s="26"/>
      <c r="AA7" s="209"/>
      <c r="AB7" s="210"/>
      <c r="AC7" s="27"/>
      <c r="AD7" s="27"/>
      <c r="AE7" s="19">
        <f t="shared" si="8"/>
        <v>-100.00000000000045</v>
      </c>
      <c r="AF7" s="21">
        <f t="shared" si="9"/>
        <v>0.94999999999999973</v>
      </c>
      <c r="AG7" s="198"/>
    </row>
    <row r="8" spans="1:33">
      <c r="A8" s="190" t="s">
        <v>48</v>
      </c>
      <c r="B8" s="42" t="s">
        <v>49</v>
      </c>
      <c r="C8" s="208"/>
      <c r="D8" s="208"/>
      <c r="E8" s="43"/>
      <c r="F8" s="44"/>
      <c r="G8" s="17"/>
      <c r="H8" s="38"/>
      <c r="I8" s="29">
        <v>15.333333333333334</v>
      </c>
      <c r="J8" s="39">
        <v>2000</v>
      </c>
      <c r="K8" s="17">
        <f t="shared" si="1"/>
        <v>130.43478260869566</v>
      </c>
      <c r="L8" s="29">
        <v>15.333333333333334</v>
      </c>
      <c r="M8" s="18">
        <f>AVERAGE(M5:M7)</f>
        <v>1911.2930918846396</v>
      </c>
      <c r="N8" s="17">
        <f t="shared" si="3"/>
        <v>124.64954947073736</v>
      </c>
      <c r="O8" s="19">
        <f t="shared" si="4"/>
        <v>0</v>
      </c>
      <c r="P8" s="20">
        <f t="shared" si="5"/>
        <v>-5.7852331379583006</v>
      </c>
      <c r="Q8" s="21">
        <f t="shared" si="6"/>
        <v>0.95564654594231968</v>
      </c>
      <c r="R8" s="198"/>
      <c r="S8" s="40"/>
      <c r="T8" s="40"/>
      <c r="U8" s="4"/>
      <c r="V8" s="22"/>
      <c r="W8" s="17"/>
      <c r="X8" s="17"/>
      <c r="Y8" s="30">
        <f>SUM(Y5:Y7)</f>
        <v>0</v>
      </c>
      <c r="Z8" s="30">
        <f>SUM(Z5:Z7)</f>
        <v>0</v>
      </c>
      <c r="AA8" s="201"/>
      <c r="AB8" s="201"/>
      <c r="AC8" s="30">
        <v>3</v>
      </c>
      <c r="AD8" s="30">
        <v>0</v>
      </c>
      <c r="AE8" s="19">
        <f t="shared" si="8"/>
        <v>-88.70690811536042</v>
      </c>
      <c r="AF8" s="21">
        <f t="shared" si="9"/>
        <v>0.95564654594231979</v>
      </c>
      <c r="AG8" s="198"/>
    </row>
    <row r="9" spans="1:33" ht="15.75" customHeight="1">
      <c r="A9" s="214" t="s">
        <v>50</v>
      </c>
      <c r="B9" s="42" t="s">
        <v>96</v>
      </c>
      <c r="C9" s="206" t="s">
        <v>97</v>
      </c>
      <c r="D9" s="207"/>
      <c r="E9" s="42">
        <v>39.799999999999997</v>
      </c>
      <c r="F9" s="38">
        <v>6002</v>
      </c>
      <c r="G9" s="4">
        <f t="shared" ref="G9:G13" si="11">E9*F9</f>
        <v>238879.59999999998</v>
      </c>
      <c r="H9" s="37" t="s">
        <v>91</v>
      </c>
      <c r="I9" s="16">
        <v>17</v>
      </c>
      <c r="J9" s="39">
        <v>1500</v>
      </c>
      <c r="K9" s="17">
        <f t="shared" si="1"/>
        <v>88.235294117647058</v>
      </c>
      <c r="L9" s="16">
        <v>17</v>
      </c>
      <c r="M9" s="18">
        <f t="shared" ref="M9:M13" si="12">F9/V9*60</f>
        <v>1429.0476190476188</v>
      </c>
      <c r="N9" s="17">
        <f t="shared" si="3"/>
        <v>84.061624649859937</v>
      </c>
      <c r="O9" s="19">
        <f t="shared" si="4"/>
        <v>0</v>
      </c>
      <c r="P9" s="20">
        <f t="shared" si="5"/>
        <v>-4.1736694677871213</v>
      </c>
      <c r="Q9" s="21">
        <f t="shared" si="6"/>
        <v>0.9526984126984126</v>
      </c>
      <c r="R9" s="198">
        <f>Q14</f>
        <v>0.95753597084895836</v>
      </c>
      <c r="S9" s="40">
        <v>8.3333333333333329E-2</v>
      </c>
      <c r="T9" s="40">
        <v>0.25833333333333336</v>
      </c>
      <c r="U9" s="4"/>
      <c r="V9" s="22">
        <f t="shared" ref="V9:V13" si="13">(T9-S9)*24*60</f>
        <v>252.00000000000006</v>
      </c>
      <c r="W9" s="23">
        <f>T9</f>
        <v>0.25833333333333336</v>
      </c>
      <c r="X9" s="23">
        <f>S10</f>
        <v>0.27777777777777779</v>
      </c>
      <c r="Y9" s="23"/>
      <c r="Z9" s="23"/>
      <c r="AA9" s="191"/>
      <c r="AB9" s="191"/>
      <c r="AC9" s="25">
        <v>5</v>
      </c>
      <c r="AD9" s="25"/>
      <c r="AE9" s="19">
        <f t="shared" si="8"/>
        <v>-70.952380952381191</v>
      </c>
      <c r="AF9" s="21">
        <f t="shared" si="9"/>
        <v>0.95269841269841249</v>
      </c>
      <c r="AG9" s="198">
        <f>AF14</f>
        <v>0.95753597084895847</v>
      </c>
    </row>
    <row r="10" spans="1:33" ht="15.75" customHeight="1">
      <c r="A10" s="214" t="s">
        <v>51</v>
      </c>
      <c r="B10" s="42" t="s">
        <v>96</v>
      </c>
      <c r="C10" s="206" t="s">
        <v>98</v>
      </c>
      <c r="D10" s="207"/>
      <c r="E10" s="42">
        <v>39.46</v>
      </c>
      <c r="F10" s="38">
        <v>2427</v>
      </c>
      <c r="G10" s="4">
        <f t="shared" si="11"/>
        <v>95769.42</v>
      </c>
      <c r="H10" s="37" t="s">
        <v>91</v>
      </c>
      <c r="I10" s="16">
        <v>15</v>
      </c>
      <c r="J10" s="39">
        <v>1500</v>
      </c>
      <c r="K10" s="17">
        <f t="shared" si="1"/>
        <v>100</v>
      </c>
      <c r="L10" s="16">
        <v>15</v>
      </c>
      <c r="M10" s="18">
        <f t="shared" si="12"/>
        <v>1441.7821782178225</v>
      </c>
      <c r="N10" s="17">
        <f t="shared" si="3"/>
        <v>96.118811881188165</v>
      </c>
      <c r="O10" s="19">
        <f t="shared" si="4"/>
        <v>0</v>
      </c>
      <c r="P10" s="20">
        <f t="shared" si="5"/>
        <v>-3.8811881188118349</v>
      </c>
      <c r="Q10" s="21">
        <f t="shared" si="6"/>
        <v>0.9611881188118816</v>
      </c>
      <c r="R10" s="198"/>
      <c r="S10" s="40">
        <v>0.27777777777777779</v>
      </c>
      <c r="T10" s="40">
        <v>0.34791666666666665</v>
      </c>
      <c r="U10" s="4">
        <f t="shared" ref="U10:U13" si="14">IF(S10=TIME(17,0,0),"",(S10-T9)*24*60)</f>
        <v>27.999999999999979</v>
      </c>
      <c r="V10" s="22">
        <f t="shared" si="13"/>
        <v>100.99999999999996</v>
      </c>
      <c r="W10" s="23"/>
      <c r="X10" s="23"/>
      <c r="Y10" s="23"/>
      <c r="Z10" s="23"/>
      <c r="AA10" s="191"/>
      <c r="AB10" s="191"/>
      <c r="AC10" s="25"/>
      <c r="AD10" s="25"/>
      <c r="AE10" s="19">
        <f t="shared" si="8"/>
        <v>-58.217821782177452</v>
      </c>
      <c r="AF10" s="21">
        <f t="shared" si="9"/>
        <v>0.96118811881188171</v>
      </c>
      <c r="AG10" s="198"/>
    </row>
    <row r="11" spans="1:33" ht="15.75" customHeight="1">
      <c r="A11" s="214" t="s">
        <v>51</v>
      </c>
      <c r="B11" s="42" t="s">
        <v>96</v>
      </c>
      <c r="C11" s="206" t="s">
        <v>99</v>
      </c>
      <c r="D11" s="207"/>
      <c r="E11" s="42">
        <v>39.520000000000003</v>
      </c>
      <c r="F11" s="38">
        <v>2036</v>
      </c>
      <c r="G11" s="4">
        <f t="shared" si="11"/>
        <v>80462.720000000001</v>
      </c>
      <c r="H11" s="37" t="s">
        <v>91</v>
      </c>
      <c r="I11" s="16">
        <v>19</v>
      </c>
      <c r="J11" s="39">
        <v>1500</v>
      </c>
      <c r="K11" s="17">
        <f t="shared" si="1"/>
        <v>78.94736842105263</v>
      </c>
      <c r="L11" s="16">
        <v>19</v>
      </c>
      <c r="M11" s="18">
        <f t="shared" si="12"/>
        <v>1437.1764705882351</v>
      </c>
      <c r="N11" s="17">
        <f t="shared" si="3"/>
        <v>75.640866873065008</v>
      </c>
      <c r="O11" s="19">
        <f t="shared" si="4"/>
        <v>0</v>
      </c>
      <c r="P11" s="20">
        <f t="shared" si="5"/>
        <v>-3.3065015479876223</v>
      </c>
      <c r="Q11" s="21">
        <f t="shared" si="6"/>
        <v>0.95811764705882341</v>
      </c>
      <c r="R11" s="198"/>
      <c r="S11" s="40">
        <v>0.35347222222222219</v>
      </c>
      <c r="T11" s="40">
        <v>0.41249999999999998</v>
      </c>
      <c r="U11" s="4">
        <f t="shared" si="14"/>
        <v>7.9999999999999716</v>
      </c>
      <c r="V11" s="22">
        <f t="shared" si="13"/>
        <v>85.000000000000014</v>
      </c>
      <c r="W11" s="23"/>
      <c r="X11" s="23"/>
      <c r="Y11" s="23"/>
      <c r="Z11" s="23"/>
      <c r="AA11" s="191"/>
      <c r="AB11" s="191"/>
      <c r="AC11" s="25"/>
      <c r="AD11" s="25"/>
      <c r="AE11" s="19">
        <f t="shared" si="8"/>
        <v>-62.823529411764866</v>
      </c>
      <c r="AF11" s="21">
        <f t="shared" si="9"/>
        <v>0.95811764705882341</v>
      </c>
      <c r="AG11" s="198"/>
    </row>
    <row r="12" spans="1:33" ht="15.75" customHeight="1">
      <c r="A12" s="214" t="s">
        <v>51</v>
      </c>
      <c r="B12" s="42" t="s">
        <v>96</v>
      </c>
      <c r="C12" s="206" t="s">
        <v>100</v>
      </c>
      <c r="D12" s="207"/>
      <c r="E12" s="42">
        <v>39.619999999999997</v>
      </c>
      <c r="F12" s="38">
        <v>2400</v>
      </c>
      <c r="G12" s="4">
        <f t="shared" si="11"/>
        <v>95088</v>
      </c>
      <c r="H12" s="37">
        <v>2</v>
      </c>
      <c r="I12" s="16">
        <v>19</v>
      </c>
      <c r="J12" s="39">
        <v>1500</v>
      </c>
      <c r="K12" s="17">
        <f t="shared" si="1"/>
        <v>78.94736842105263</v>
      </c>
      <c r="L12" s="16">
        <v>19</v>
      </c>
      <c r="M12" s="18">
        <f t="shared" si="12"/>
        <v>1440.0000000000005</v>
      </c>
      <c r="N12" s="17">
        <f t="shared" si="3"/>
        <v>75.789473684210549</v>
      </c>
      <c r="O12" s="19">
        <f t="shared" si="4"/>
        <v>0</v>
      </c>
      <c r="P12" s="20">
        <f t="shared" si="5"/>
        <v>-3.1578947368420813</v>
      </c>
      <c r="Q12" s="21">
        <f t="shared" si="6"/>
        <v>0.9600000000000003</v>
      </c>
      <c r="R12" s="198"/>
      <c r="S12" s="40">
        <v>0.41805555555555551</v>
      </c>
      <c r="T12" s="40">
        <v>0.48749999999999993</v>
      </c>
      <c r="U12" s="4">
        <f t="shared" si="14"/>
        <v>7.9999999999999716</v>
      </c>
      <c r="V12" s="22">
        <f t="shared" si="13"/>
        <v>99.999999999999972</v>
      </c>
      <c r="W12" s="23">
        <f>T12</f>
        <v>0.48749999999999993</v>
      </c>
      <c r="X12" s="23">
        <f>S13</f>
        <v>0.52916666666666656</v>
      </c>
      <c r="Y12" s="23"/>
      <c r="Z12" s="23"/>
      <c r="AA12" s="209"/>
      <c r="AB12" s="210"/>
      <c r="AC12" s="25"/>
      <c r="AD12" s="25"/>
      <c r="AE12" s="19">
        <f t="shared" si="8"/>
        <v>-59.999999999999545</v>
      </c>
      <c r="AF12" s="21">
        <f t="shared" si="9"/>
        <v>0.9600000000000003</v>
      </c>
      <c r="AG12" s="198"/>
    </row>
    <row r="13" spans="1:33" ht="15.75" customHeight="1">
      <c r="A13" s="214" t="s">
        <v>51</v>
      </c>
      <c r="B13" s="42" t="s">
        <v>96</v>
      </c>
      <c r="C13" s="206" t="s">
        <v>100</v>
      </c>
      <c r="D13" s="207"/>
      <c r="E13" s="42">
        <v>39.619999999999997</v>
      </c>
      <c r="F13" s="38">
        <v>1768</v>
      </c>
      <c r="G13" s="4">
        <f t="shared" si="11"/>
        <v>70048.159999999989</v>
      </c>
      <c r="H13" s="37" t="s">
        <v>91</v>
      </c>
      <c r="I13" s="16">
        <v>19</v>
      </c>
      <c r="J13" s="39">
        <v>1500</v>
      </c>
      <c r="K13" s="17">
        <f t="shared" si="1"/>
        <v>78.94736842105263</v>
      </c>
      <c r="L13" s="16">
        <v>19</v>
      </c>
      <c r="M13" s="18">
        <f t="shared" si="12"/>
        <v>1433.5135135135124</v>
      </c>
      <c r="N13" s="17">
        <f t="shared" si="3"/>
        <v>75.44807965860592</v>
      </c>
      <c r="O13" s="19">
        <f t="shared" si="4"/>
        <v>0</v>
      </c>
      <c r="P13" s="20">
        <f t="shared" si="5"/>
        <v>-3.4992887624467102</v>
      </c>
      <c r="Q13" s="21">
        <f t="shared" si="6"/>
        <v>0.95567567567567502</v>
      </c>
      <c r="R13" s="198"/>
      <c r="S13" s="40">
        <v>0.52916666666666656</v>
      </c>
      <c r="T13" s="40">
        <v>0.58055555555555549</v>
      </c>
      <c r="U13" s="4">
        <f t="shared" si="14"/>
        <v>59.999999999999943</v>
      </c>
      <c r="V13" s="22">
        <f t="shared" si="13"/>
        <v>74.000000000000057</v>
      </c>
      <c r="W13" s="23"/>
      <c r="X13" s="23"/>
      <c r="Y13" s="26"/>
      <c r="Z13" s="26"/>
      <c r="AA13" s="209"/>
      <c r="AB13" s="210"/>
      <c r="AC13" s="25"/>
      <c r="AD13" s="25"/>
      <c r="AE13" s="19">
        <f t="shared" si="8"/>
        <v>-66.486486486487593</v>
      </c>
      <c r="AF13" s="21">
        <f t="shared" si="9"/>
        <v>0.95567567567567491</v>
      </c>
      <c r="AG13" s="198"/>
    </row>
    <row r="14" spans="1:33" ht="16.5" customHeight="1">
      <c r="A14" s="214" t="s">
        <v>51</v>
      </c>
      <c r="B14" s="42" t="s">
        <v>52</v>
      </c>
      <c r="C14" s="208"/>
      <c r="D14" s="208"/>
      <c r="E14" s="43"/>
      <c r="F14" s="39"/>
      <c r="G14" s="18"/>
      <c r="H14" s="38"/>
      <c r="I14" s="29">
        <v>17.8</v>
      </c>
      <c r="J14" s="39">
        <v>1500</v>
      </c>
      <c r="K14" s="17">
        <f t="shared" si="1"/>
        <v>84.269662921348313</v>
      </c>
      <c r="L14" s="29">
        <v>17.8</v>
      </c>
      <c r="M14" s="18">
        <f>AVERAGE(M9:M13)</f>
        <v>1436.3039562734377</v>
      </c>
      <c r="N14" s="17">
        <f t="shared" si="3"/>
        <v>80.691233498507728</v>
      </c>
      <c r="O14" s="19">
        <f t="shared" si="4"/>
        <v>0</v>
      </c>
      <c r="P14" s="20">
        <f t="shared" si="5"/>
        <v>-3.5784294228405855</v>
      </c>
      <c r="Q14" s="21">
        <f t="shared" si="6"/>
        <v>0.95753597084895836</v>
      </c>
      <c r="R14" s="198"/>
      <c r="S14" s="40"/>
      <c r="T14" s="40"/>
      <c r="U14" s="17"/>
      <c r="V14" s="22"/>
      <c r="W14" s="17"/>
      <c r="X14" s="17"/>
      <c r="Y14" s="30">
        <f>SUM(Y9:Y13)</f>
        <v>0</v>
      </c>
      <c r="Z14" s="30">
        <f>SUM(Z9:Z13)</f>
        <v>0</v>
      </c>
      <c r="AA14" s="201"/>
      <c r="AB14" s="201"/>
      <c r="AC14" s="30">
        <v>5</v>
      </c>
      <c r="AD14" s="30">
        <v>0</v>
      </c>
      <c r="AE14" s="19">
        <f t="shared" si="8"/>
        <v>-63.696043726562266</v>
      </c>
      <c r="AF14" s="21">
        <f t="shared" si="9"/>
        <v>0.95753597084895847</v>
      </c>
      <c r="AG14" s="198"/>
    </row>
    <row r="15" spans="1:33" ht="16.5" customHeight="1">
      <c r="A15" s="211" t="s">
        <v>53</v>
      </c>
      <c r="B15" s="38" t="s">
        <v>101</v>
      </c>
      <c r="C15" s="213" t="s">
        <v>102</v>
      </c>
      <c r="D15" s="213"/>
      <c r="E15" s="42">
        <v>31.11</v>
      </c>
      <c r="F15" s="38">
        <v>3398</v>
      </c>
      <c r="G15" s="4">
        <f t="shared" ref="G15:G21" si="15">E15*F15</f>
        <v>105711.78</v>
      </c>
      <c r="H15" s="37" t="s">
        <v>91</v>
      </c>
      <c r="I15" s="16">
        <v>14</v>
      </c>
      <c r="J15" s="39">
        <v>2000</v>
      </c>
      <c r="K15" s="17">
        <f t="shared" si="1"/>
        <v>142.85714285714286</v>
      </c>
      <c r="L15" s="16">
        <v>14</v>
      </c>
      <c r="M15" s="18">
        <f t="shared" ref="M15:M21" si="16">F15/V15*60</f>
        <v>1905.4205607476636</v>
      </c>
      <c r="N15" s="17">
        <f t="shared" si="3"/>
        <v>136.1014686248331</v>
      </c>
      <c r="O15" s="19">
        <f t="shared" si="4"/>
        <v>0</v>
      </c>
      <c r="P15" s="20">
        <f t="shared" si="5"/>
        <v>-6.7556742323097581</v>
      </c>
      <c r="Q15" s="21">
        <f t="shared" si="6"/>
        <v>0.95271028037383165</v>
      </c>
      <c r="R15" s="198">
        <f>Q22</f>
        <v>0.95653944005299185</v>
      </c>
      <c r="S15" s="40">
        <v>8.3333333333333329E-2</v>
      </c>
      <c r="T15" s="40">
        <v>0.15763888888888888</v>
      </c>
      <c r="U15" s="4"/>
      <c r="V15" s="22">
        <f t="shared" ref="V15:V21" si="17">(T15-S15)*24*60</f>
        <v>107</v>
      </c>
      <c r="W15" s="23">
        <f>T15</f>
        <v>0.15763888888888888</v>
      </c>
      <c r="X15" s="23">
        <f>S16</f>
        <v>0.17638888888888887</v>
      </c>
      <c r="Y15" s="28"/>
      <c r="Z15" s="28"/>
      <c r="AA15" s="191"/>
      <c r="AB15" s="191"/>
      <c r="AC15" s="25">
        <v>7</v>
      </c>
      <c r="AD15" s="25"/>
      <c r="AE15" s="19">
        <f t="shared" si="8"/>
        <v>-94.579439252336442</v>
      </c>
      <c r="AF15" s="21">
        <f t="shared" si="9"/>
        <v>0.95271028037383176</v>
      </c>
      <c r="AG15" s="198">
        <f>AF22</f>
        <v>0.95653944005299196</v>
      </c>
    </row>
    <row r="16" spans="1:33" ht="16.5" customHeight="1">
      <c r="A16" s="212" t="s">
        <v>54</v>
      </c>
      <c r="B16" s="38" t="s">
        <v>103</v>
      </c>
      <c r="C16" s="213" t="s">
        <v>104</v>
      </c>
      <c r="D16" s="213"/>
      <c r="E16" s="42">
        <v>38.619999999999997</v>
      </c>
      <c r="F16" s="38">
        <v>1857</v>
      </c>
      <c r="G16" s="4">
        <f t="shared" si="15"/>
        <v>71717.34</v>
      </c>
      <c r="H16" s="37" t="s">
        <v>91</v>
      </c>
      <c r="I16" s="16">
        <v>24</v>
      </c>
      <c r="J16" s="39">
        <v>1500</v>
      </c>
      <c r="K16" s="17">
        <f t="shared" si="1"/>
        <v>62.5</v>
      </c>
      <c r="L16" s="16">
        <v>24</v>
      </c>
      <c r="M16" s="18">
        <f t="shared" si="16"/>
        <v>1428.4615384615383</v>
      </c>
      <c r="N16" s="17">
        <f t="shared" si="3"/>
        <v>59.519230769230766</v>
      </c>
      <c r="O16" s="19">
        <f t="shared" si="4"/>
        <v>0</v>
      </c>
      <c r="P16" s="20">
        <f t="shared" si="5"/>
        <v>-2.9807692307692335</v>
      </c>
      <c r="Q16" s="21">
        <f t="shared" si="6"/>
        <v>0.9523076923076923</v>
      </c>
      <c r="R16" s="198"/>
      <c r="S16" s="40">
        <v>0.17638888888888887</v>
      </c>
      <c r="T16" s="40">
        <v>0.23055555555555554</v>
      </c>
      <c r="U16" s="4">
        <f t="shared" ref="U16:U21" si="18">IF(S16=TIME(17,0,0),"",(S16-T15)*24*60)</f>
        <v>26.999999999999986</v>
      </c>
      <c r="V16" s="22">
        <f t="shared" si="17"/>
        <v>78</v>
      </c>
      <c r="W16" s="23"/>
      <c r="X16" s="23"/>
      <c r="Y16" s="23"/>
      <c r="Z16" s="23"/>
      <c r="AA16" s="191"/>
      <c r="AB16" s="191"/>
      <c r="AC16" s="25"/>
      <c r="AD16" s="25"/>
      <c r="AE16" s="19">
        <f t="shared" si="8"/>
        <v>-71.538461538461661</v>
      </c>
      <c r="AF16" s="21">
        <f t="shared" si="9"/>
        <v>0.95230769230769219</v>
      </c>
      <c r="AG16" s="198"/>
    </row>
    <row r="17" spans="1:33" ht="16.5" customHeight="1">
      <c r="A17" s="212" t="s">
        <v>53</v>
      </c>
      <c r="B17" s="38" t="s">
        <v>103</v>
      </c>
      <c r="C17" s="213" t="s">
        <v>105</v>
      </c>
      <c r="D17" s="213"/>
      <c r="E17" s="42">
        <v>41</v>
      </c>
      <c r="F17" s="38">
        <v>1447</v>
      </c>
      <c r="G17" s="4">
        <f t="shared" si="15"/>
        <v>59327</v>
      </c>
      <c r="H17" s="37" t="s">
        <v>91</v>
      </c>
      <c r="I17" s="16">
        <v>26</v>
      </c>
      <c r="J17" s="39">
        <v>1500</v>
      </c>
      <c r="K17" s="17">
        <f t="shared" si="1"/>
        <v>57.692307692307693</v>
      </c>
      <c r="L17" s="16">
        <v>26</v>
      </c>
      <c r="M17" s="18">
        <f t="shared" si="16"/>
        <v>1446.9999999999993</v>
      </c>
      <c r="N17" s="17">
        <f t="shared" si="3"/>
        <v>55.653846153846125</v>
      </c>
      <c r="O17" s="19">
        <f t="shared" si="4"/>
        <v>0</v>
      </c>
      <c r="P17" s="20">
        <f t="shared" si="5"/>
        <v>-2.0384615384615685</v>
      </c>
      <c r="Q17" s="21">
        <f t="shared" si="6"/>
        <v>0.96466666666666612</v>
      </c>
      <c r="R17" s="198"/>
      <c r="S17" s="40">
        <v>0.23541666666666666</v>
      </c>
      <c r="T17" s="40">
        <v>0.27708333333333335</v>
      </c>
      <c r="U17" s="4">
        <f t="shared" si="18"/>
        <v>7.0000000000000151</v>
      </c>
      <c r="V17" s="22">
        <f t="shared" si="17"/>
        <v>60.000000000000028</v>
      </c>
      <c r="W17" s="23"/>
      <c r="X17" s="23"/>
      <c r="Y17" s="23"/>
      <c r="Z17" s="23"/>
      <c r="AA17" s="191"/>
      <c r="AB17" s="191"/>
      <c r="AC17" s="25"/>
      <c r="AD17" s="25"/>
      <c r="AE17" s="19">
        <f t="shared" si="8"/>
        <v>-53.000000000000682</v>
      </c>
      <c r="AF17" s="21">
        <f t="shared" si="9"/>
        <v>0.96466666666666623</v>
      </c>
      <c r="AG17" s="198"/>
    </row>
    <row r="18" spans="1:33" ht="16.5" customHeight="1">
      <c r="A18" s="212" t="s">
        <v>53</v>
      </c>
      <c r="B18" s="38" t="s">
        <v>92</v>
      </c>
      <c r="C18" s="213" t="s">
        <v>106</v>
      </c>
      <c r="D18" s="213"/>
      <c r="E18" s="42">
        <v>37.03</v>
      </c>
      <c r="F18" s="38">
        <v>2599</v>
      </c>
      <c r="G18" s="4">
        <f t="shared" si="15"/>
        <v>96240.97</v>
      </c>
      <c r="H18" s="37" t="s">
        <v>91</v>
      </c>
      <c r="I18" s="16">
        <v>13</v>
      </c>
      <c r="J18" s="39">
        <v>1500</v>
      </c>
      <c r="K18" s="17">
        <f t="shared" si="1"/>
        <v>115.38461538461539</v>
      </c>
      <c r="L18" s="16">
        <v>13</v>
      </c>
      <c r="M18" s="18">
        <f t="shared" si="16"/>
        <v>1430.6422018348621</v>
      </c>
      <c r="N18" s="17">
        <f t="shared" si="3"/>
        <v>110.04940014114324</v>
      </c>
      <c r="O18" s="19">
        <f t="shared" si="4"/>
        <v>0</v>
      </c>
      <c r="P18" s="20">
        <f t="shared" si="5"/>
        <v>-5.3352152434721489</v>
      </c>
      <c r="Q18" s="21">
        <f t="shared" si="6"/>
        <v>0.95376146788990801</v>
      </c>
      <c r="R18" s="198"/>
      <c r="S18" s="40">
        <v>0.28125</v>
      </c>
      <c r="T18" s="40">
        <v>0.35694444444444445</v>
      </c>
      <c r="U18" s="4">
        <f t="shared" si="18"/>
        <v>5.9999999999999787</v>
      </c>
      <c r="V18" s="22">
        <f t="shared" si="17"/>
        <v>109.00000000000001</v>
      </c>
      <c r="W18" s="23"/>
      <c r="X18" s="23"/>
      <c r="Y18" s="23"/>
      <c r="Z18" s="23"/>
      <c r="AA18" s="191"/>
      <c r="AB18" s="191"/>
      <c r="AC18" s="25"/>
      <c r="AD18" s="25"/>
      <c r="AE18" s="19">
        <f t="shared" si="8"/>
        <v>-69.357798165137865</v>
      </c>
      <c r="AF18" s="21">
        <f t="shared" si="9"/>
        <v>0.95376146788990812</v>
      </c>
      <c r="AG18" s="198"/>
    </row>
    <row r="19" spans="1:33" ht="16.5" customHeight="1">
      <c r="A19" s="212" t="s">
        <v>55</v>
      </c>
      <c r="B19" s="38" t="s">
        <v>92</v>
      </c>
      <c r="C19" s="213" t="s">
        <v>107</v>
      </c>
      <c r="D19" s="213"/>
      <c r="E19" s="42">
        <v>50.67</v>
      </c>
      <c r="F19" s="38">
        <v>1570</v>
      </c>
      <c r="G19" s="4">
        <f t="shared" si="15"/>
        <v>79551.900000000009</v>
      </c>
      <c r="H19" s="37" t="s">
        <v>91</v>
      </c>
      <c r="I19" s="16">
        <v>17</v>
      </c>
      <c r="J19" s="39">
        <v>2000</v>
      </c>
      <c r="K19" s="17">
        <f t="shared" si="1"/>
        <v>117.64705882352941</v>
      </c>
      <c r="L19" s="16">
        <v>17</v>
      </c>
      <c r="M19" s="18">
        <f t="shared" si="16"/>
        <v>1922.4489795918375</v>
      </c>
      <c r="N19" s="17">
        <f t="shared" si="3"/>
        <v>113.0852340936375</v>
      </c>
      <c r="O19" s="19">
        <f t="shared" si="4"/>
        <v>0</v>
      </c>
      <c r="P19" s="20">
        <f t="shared" si="5"/>
        <v>-4.5618247298919101</v>
      </c>
      <c r="Q19" s="21">
        <f t="shared" si="6"/>
        <v>0.96122448979591879</v>
      </c>
      <c r="R19" s="198"/>
      <c r="S19" s="40">
        <v>0.70833333333333337</v>
      </c>
      <c r="T19" s="40">
        <v>0.74236111111111114</v>
      </c>
      <c r="U19" s="4" t="str">
        <f t="shared" si="18"/>
        <v/>
      </c>
      <c r="V19" s="22">
        <f t="shared" si="17"/>
        <v>48.999999999999986</v>
      </c>
      <c r="W19" s="23"/>
      <c r="X19" s="23"/>
      <c r="Y19" s="23"/>
      <c r="Z19" s="23"/>
      <c r="AA19" s="191"/>
      <c r="AB19" s="191"/>
      <c r="AC19" s="25"/>
      <c r="AD19" s="25"/>
      <c r="AE19" s="19">
        <f t="shared" si="8"/>
        <v>-77.551020408162458</v>
      </c>
      <c r="AF19" s="21">
        <f t="shared" si="9"/>
        <v>0.96122448979591879</v>
      </c>
      <c r="AG19" s="198"/>
    </row>
    <row r="20" spans="1:33" ht="16.5" customHeight="1">
      <c r="A20" s="212" t="s">
        <v>53</v>
      </c>
      <c r="B20" s="38" t="s">
        <v>92</v>
      </c>
      <c r="C20" s="45" t="s">
        <v>108</v>
      </c>
      <c r="D20" s="46"/>
      <c r="E20" s="42">
        <v>54.5</v>
      </c>
      <c r="F20" s="38">
        <v>1906</v>
      </c>
      <c r="G20" s="4">
        <f t="shared" si="15"/>
        <v>103877</v>
      </c>
      <c r="H20" s="37" t="s">
        <v>91</v>
      </c>
      <c r="I20" s="16">
        <v>20</v>
      </c>
      <c r="J20" s="39">
        <v>1500</v>
      </c>
      <c r="K20" s="17">
        <f t="shared" si="1"/>
        <v>75</v>
      </c>
      <c r="L20" s="16">
        <v>20</v>
      </c>
      <c r="M20" s="18">
        <f t="shared" si="16"/>
        <v>1429.4999999999995</v>
      </c>
      <c r="N20" s="17">
        <f t="shared" si="3"/>
        <v>71.47499999999998</v>
      </c>
      <c r="O20" s="19">
        <f t="shared" si="4"/>
        <v>0</v>
      </c>
      <c r="P20" s="20">
        <f t="shared" si="5"/>
        <v>-3.5250000000000199</v>
      </c>
      <c r="Q20" s="21">
        <f t="shared" si="6"/>
        <v>0.95299999999999974</v>
      </c>
      <c r="R20" s="198"/>
      <c r="S20" s="40">
        <v>0.74722222222222223</v>
      </c>
      <c r="T20" s="40">
        <v>0.80277777777777781</v>
      </c>
      <c r="U20" s="4">
        <f t="shared" si="18"/>
        <v>6.9999999999999751</v>
      </c>
      <c r="V20" s="22">
        <f t="shared" si="17"/>
        <v>80.000000000000028</v>
      </c>
      <c r="W20" s="23"/>
      <c r="X20" s="23"/>
      <c r="Y20" s="26"/>
      <c r="Z20" s="26"/>
      <c r="AA20" s="31"/>
      <c r="AB20" s="32"/>
      <c r="AC20" s="25"/>
      <c r="AD20" s="25"/>
      <c r="AE20" s="19">
        <f t="shared" si="8"/>
        <v>-70.500000000000455</v>
      </c>
      <c r="AF20" s="21">
        <f t="shared" si="9"/>
        <v>0.95299999999999974</v>
      </c>
      <c r="AG20" s="198"/>
    </row>
    <row r="21" spans="1:33" ht="16.5" customHeight="1">
      <c r="A21" s="212" t="s">
        <v>55</v>
      </c>
      <c r="B21" s="38" t="s">
        <v>92</v>
      </c>
      <c r="C21" s="45" t="s">
        <v>109</v>
      </c>
      <c r="D21" s="46"/>
      <c r="E21" s="42">
        <v>50.49</v>
      </c>
      <c r="F21" s="38">
        <v>1915</v>
      </c>
      <c r="G21" s="4">
        <f t="shared" si="15"/>
        <v>96688.35</v>
      </c>
      <c r="H21" s="37" t="s">
        <v>91</v>
      </c>
      <c r="I21" s="16">
        <v>15</v>
      </c>
      <c r="J21" s="39">
        <v>2000</v>
      </c>
      <c r="K21" s="17">
        <f t="shared" si="1"/>
        <v>133.33333333333334</v>
      </c>
      <c r="L21" s="16">
        <v>15</v>
      </c>
      <c r="M21" s="18">
        <f t="shared" si="16"/>
        <v>1915.0000000000018</v>
      </c>
      <c r="N21" s="17">
        <f t="shared" si="3"/>
        <v>127.66666666666679</v>
      </c>
      <c r="O21" s="19">
        <f t="shared" si="4"/>
        <v>0</v>
      </c>
      <c r="P21" s="20">
        <f t="shared" si="5"/>
        <v>-5.6666666666665577</v>
      </c>
      <c r="Q21" s="21">
        <f t="shared" si="6"/>
        <v>0.95750000000000079</v>
      </c>
      <c r="R21" s="198"/>
      <c r="S21" s="40">
        <v>0.80763888888888891</v>
      </c>
      <c r="T21" s="40">
        <v>0.84930555555555554</v>
      </c>
      <c r="U21" s="4">
        <f t="shared" si="18"/>
        <v>6.9999999999999751</v>
      </c>
      <c r="V21" s="22">
        <f t="shared" si="17"/>
        <v>59.999999999999943</v>
      </c>
      <c r="W21" s="23"/>
      <c r="X21" s="23"/>
      <c r="Y21" s="26"/>
      <c r="Z21" s="26"/>
      <c r="AA21" s="31"/>
      <c r="AB21" s="32"/>
      <c r="AC21" s="25"/>
      <c r="AD21" s="25"/>
      <c r="AE21" s="19">
        <f t="shared" si="8"/>
        <v>-84.999999999998181</v>
      </c>
      <c r="AF21" s="21">
        <f t="shared" si="9"/>
        <v>0.95750000000000091</v>
      </c>
      <c r="AG21" s="198"/>
    </row>
    <row r="22" spans="1:33" ht="16.5" customHeight="1">
      <c r="A22" s="212" t="s">
        <v>56</v>
      </c>
      <c r="B22" s="42" t="s">
        <v>57</v>
      </c>
      <c r="C22" s="208"/>
      <c r="D22" s="208"/>
      <c r="E22" s="43"/>
      <c r="F22" s="44"/>
      <c r="G22" s="17"/>
      <c r="H22" s="38"/>
      <c r="I22" s="29">
        <v>18.428571428571427</v>
      </c>
      <c r="J22" s="39">
        <v>1714.2857142857142</v>
      </c>
      <c r="K22" s="17">
        <f t="shared" si="1"/>
        <v>93.023255813953497</v>
      </c>
      <c r="L22" s="29">
        <v>18.428571428571427</v>
      </c>
      <c r="M22" s="18">
        <f>AVERAGE(M15:M21)</f>
        <v>1639.7818972337004</v>
      </c>
      <c r="N22" s="17">
        <f t="shared" si="3"/>
        <v>88.980413028185296</v>
      </c>
      <c r="O22" s="19">
        <f t="shared" si="4"/>
        <v>0</v>
      </c>
      <c r="P22" s="20">
        <f t="shared" si="5"/>
        <v>-4.042842785768201</v>
      </c>
      <c r="Q22" s="21">
        <f t="shared" si="6"/>
        <v>0.95653944005299185</v>
      </c>
      <c r="R22" s="198"/>
      <c r="S22" s="40"/>
      <c r="T22" s="40"/>
      <c r="U22" s="4"/>
      <c r="V22" s="22"/>
      <c r="W22" s="17"/>
      <c r="X22" s="17"/>
      <c r="Y22" s="30">
        <f>SUM(Y15:Y21)</f>
        <v>0</v>
      </c>
      <c r="Z22" s="30">
        <f>SUM(Z15:Z21)</f>
        <v>0</v>
      </c>
      <c r="AA22" s="201"/>
      <c r="AB22" s="201"/>
      <c r="AC22" s="30">
        <v>7</v>
      </c>
      <c r="AD22" s="30">
        <v>0</v>
      </c>
      <c r="AE22" s="19">
        <f t="shared" si="8"/>
        <v>-74.503817052013801</v>
      </c>
      <c r="AF22" s="21">
        <f t="shared" si="9"/>
        <v>0.95653944005299196</v>
      </c>
      <c r="AG22" s="198"/>
    </row>
    <row r="23" spans="1:33" ht="15.75" customHeight="1">
      <c r="A23" s="215" t="s">
        <v>58</v>
      </c>
      <c r="B23" s="42" t="s">
        <v>92</v>
      </c>
      <c r="C23" s="213" t="s">
        <v>110</v>
      </c>
      <c r="D23" s="213"/>
      <c r="E23" s="42">
        <v>50.67</v>
      </c>
      <c r="F23" s="38">
        <v>1455</v>
      </c>
      <c r="G23" s="4">
        <f t="shared" ref="G23:G28" si="19">E23*F23</f>
        <v>73724.850000000006</v>
      </c>
      <c r="H23" s="37" t="s">
        <v>91</v>
      </c>
      <c r="I23" s="16">
        <v>17</v>
      </c>
      <c r="J23" s="39">
        <v>2000</v>
      </c>
      <c r="K23" s="17">
        <f t="shared" si="1"/>
        <v>117.64705882352941</v>
      </c>
      <c r="L23" s="16">
        <v>17</v>
      </c>
      <c r="M23" s="18">
        <f t="shared" ref="M23:M28" si="20">F23/V23*60</f>
        <v>1940.0000000000002</v>
      </c>
      <c r="N23" s="17">
        <f t="shared" si="3"/>
        <v>114.11764705882354</v>
      </c>
      <c r="O23" s="19">
        <f t="shared" si="4"/>
        <v>0</v>
      </c>
      <c r="P23" s="20">
        <f t="shared" si="5"/>
        <v>-3.5294117647058698</v>
      </c>
      <c r="Q23" s="21">
        <f t="shared" si="6"/>
        <v>0.97000000000000008</v>
      </c>
      <c r="R23" s="198">
        <f>Q29</f>
        <v>0.95783707993834555</v>
      </c>
      <c r="S23" s="40">
        <v>0.20833333333333334</v>
      </c>
      <c r="T23" s="40">
        <v>0.23958333333333334</v>
      </c>
      <c r="U23" s="4"/>
      <c r="V23" s="22">
        <f t="shared" ref="V23:V28" si="21">(T23-S23)*24*60</f>
        <v>45</v>
      </c>
      <c r="W23" s="23"/>
      <c r="X23" s="23"/>
      <c r="Y23" s="28"/>
      <c r="Z23" s="28"/>
      <c r="AA23" s="191"/>
      <c r="AB23" s="191"/>
      <c r="AC23" s="25">
        <v>6</v>
      </c>
      <c r="AD23" s="25"/>
      <c r="AE23" s="19">
        <f t="shared" si="8"/>
        <v>-59.999999999999773</v>
      </c>
      <c r="AF23" s="21">
        <f t="shared" si="9"/>
        <v>0.97000000000000008</v>
      </c>
      <c r="AG23" s="198">
        <f>AF29</f>
        <v>0.95783707993834555</v>
      </c>
    </row>
    <row r="24" spans="1:33" ht="15.75" customHeight="1">
      <c r="A24" s="216" t="s">
        <v>59</v>
      </c>
      <c r="B24" s="42" t="s">
        <v>92</v>
      </c>
      <c r="C24" s="213" t="s">
        <v>111</v>
      </c>
      <c r="D24" s="213"/>
      <c r="E24" s="42">
        <v>57.73</v>
      </c>
      <c r="F24" s="38">
        <v>2069</v>
      </c>
      <c r="G24" s="4">
        <f t="shared" si="19"/>
        <v>119443.37</v>
      </c>
      <c r="H24" s="37" t="s">
        <v>91</v>
      </c>
      <c r="I24" s="16">
        <v>14</v>
      </c>
      <c r="J24" s="39">
        <v>2000</v>
      </c>
      <c r="K24" s="17">
        <f t="shared" si="1"/>
        <v>142.85714285714286</v>
      </c>
      <c r="L24" s="16">
        <v>14</v>
      </c>
      <c r="M24" s="18">
        <f t="shared" si="20"/>
        <v>1909.8461538461534</v>
      </c>
      <c r="N24" s="17">
        <f t="shared" si="3"/>
        <v>136.41758241758239</v>
      </c>
      <c r="O24" s="19">
        <f t="shared" si="4"/>
        <v>0</v>
      </c>
      <c r="P24" s="20">
        <f t="shared" si="5"/>
        <v>-6.4395604395604664</v>
      </c>
      <c r="Q24" s="21">
        <f t="shared" si="6"/>
        <v>0.95492307692307676</v>
      </c>
      <c r="R24" s="198"/>
      <c r="S24" s="40">
        <v>0.24375000000000002</v>
      </c>
      <c r="T24" s="40">
        <v>0.28888888888888892</v>
      </c>
      <c r="U24" s="4">
        <f t="shared" ref="U24:U28" si="22">IF(S24=TIME(17,0,0),"",(S24-T23)*24*60)</f>
        <v>6.0000000000000187</v>
      </c>
      <c r="V24" s="22">
        <f t="shared" si="21"/>
        <v>65.000000000000014</v>
      </c>
      <c r="W24" s="23"/>
      <c r="X24" s="4"/>
      <c r="Y24" s="4"/>
      <c r="Z24" s="4"/>
      <c r="AA24" s="191"/>
      <c r="AB24" s="191"/>
      <c r="AC24" s="25"/>
      <c r="AD24" s="25"/>
      <c r="AE24" s="19">
        <f t="shared" si="8"/>
        <v>-90.153846153846644</v>
      </c>
      <c r="AF24" s="21">
        <f t="shared" si="9"/>
        <v>0.95492307692307665</v>
      </c>
      <c r="AG24" s="198"/>
    </row>
    <row r="25" spans="1:33" ht="15.75" customHeight="1">
      <c r="A25" s="216" t="s">
        <v>60</v>
      </c>
      <c r="B25" s="42" t="s">
        <v>92</v>
      </c>
      <c r="C25" s="213" t="s">
        <v>112</v>
      </c>
      <c r="D25" s="213"/>
      <c r="E25" s="42">
        <v>53.27</v>
      </c>
      <c r="F25" s="38">
        <v>1121</v>
      </c>
      <c r="G25" s="4">
        <f t="shared" si="19"/>
        <v>59715.670000000006</v>
      </c>
      <c r="H25" s="37" t="s">
        <v>91</v>
      </c>
      <c r="I25" s="16">
        <v>16</v>
      </c>
      <c r="J25" s="39">
        <v>2000</v>
      </c>
      <c r="K25" s="17">
        <f t="shared" si="1"/>
        <v>125</v>
      </c>
      <c r="L25" s="16">
        <v>16</v>
      </c>
      <c r="M25" s="18">
        <f t="shared" si="20"/>
        <v>1921.7142857142837</v>
      </c>
      <c r="N25" s="17">
        <f t="shared" si="3"/>
        <v>120.10714285714273</v>
      </c>
      <c r="O25" s="19">
        <f t="shared" si="4"/>
        <v>0</v>
      </c>
      <c r="P25" s="20">
        <f t="shared" si="5"/>
        <v>-4.8928571428572667</v>
      </c>
      <c r="Q25" s="21">
        <f t="shared" si="6"/>
        <v>0.96085714285714185</v>
      </c>
      <c r="R25" s="198"/>
      <c r="S25" s="40">
        <v>0.29444444444444445</v>
      </c>
      <c r="T25" s="40">
        <v>0.31875000000000003</v>
      </c>
      <c r="U25" s="4">
        <f t="shared" si="22"/>
        <v>7.9999999999999716</v>
      </c>
      <c r="V25" s="22">
        <f t="shared" si="21"/>
        <v>35.000000000000036</v>
      </c>
      <c r="W25" s="23"/>
      <c r="X25" s="4"/>
      <c r="Y25" s="4"/>
      <c r="Z25" s="4"/>
      <c r="AA25" s="191"/>
      <c r="AB25" s="191"/>
      <c r="AC25" s="25"/>
      <c r="AD25" s="25"/>
      <c r="AE25" s="19">
        <f t="shared" si="8"/>
        <v>-78.285714285716267</v>
      </c>
      <c r="AF25" s="21">
        <f t="shared" si="9"/>
        <v>0.96085714285714185</v>
      </c>
      <c r="AG25" s="198"/>
    </row>
    <row r="26" spans="1:33" ht="15.75" customHeight="1">
      <c r="A26" s="216" t="s">
        <v>60</v>
      </c>
      <c r="B26" s="42" t="s">
        <v>92</v>
      </c>
      <c r="C26" s="213" t="s">
        <v>113</v>
      </c>
      <c r="D26" s="213"/>
      <c r="E26" s="42">
        <v>56.43</v>
      </c>
      <c r="F26" s="38">
        <v>1400</v>
      </c>
      <c r="G26" s="4">
        <f t="shared" si="19"/>
        <v>79002</v>
      </c>
      <c r="H26" s="37" t="s">
        <v>91</v>
      </c>
      <c r="I26" s="16">
        <v>13</v>
      </c>
      <c r="J26" s="39">
        <v>2000</v>
      </c>
      <c r="K26" s="17">
        <f t="shared" si="1"/>
        <v>153.84615384615384</v>
      </c>
      <c r="L26" s="16">
        <v>13</v>
      </c>
      <c r="M26" s="18">
        <f t="shared" si="20"/>
        <v>1909.090909090909</v>
      </c>
      <c r="N26" s="17">
        <f t="shared" si="3"/>
        <v>146.85314685314685</v>
      </c>
      <c r="O26" s="19">
        <f t="shared" si="4"/>
        <v>0</v>
      </c>
      <c r="P26" s="20">
        <f t="shared" si="5"/>
        <v>-6.9930069930069862</v>
      </c>
      <c r="Q26" s="21">
        <f t="shared" si="6"/>
        <v>0.95454545454545459</v>
      </c>
      <c r="R26" s="198"/>
      <c r="S26" s="40">
        <v>0.70833333333333337</v>
      </c>
      <c r="T26" s="40">
        <v>0.73888888888888893</v>
      </c>
      <c r="U26" s="4" t="str">
        <f t="shared" si="22"/>
        <v/>
      </c>
      <c r="V26" s="22">
        <f t="shared" si="21"/>
        <v>44</v>
      </c>
      <c r="W26" s="23"/>
      <c r="X26" s="4"/>
      <c r="Y26" s="4"/>
      <c r="Z26" s="4"/>
      <c r="AA26" s="191"/>
      <c r="AB26" s="191"/>
      <c r="AC26" s="25"/>
      <c r="AD26" s="25"/>
      <c r="AE26" s="19">
        <f t="shared" si="8"/>
        <v>-90.909090909090992</v>
      </c>
      <c r="AF26" s="21">
        <f t="shared" si="9"/>
        <v>0.95454545454545447</v>
      </c>
      <c r="AG26" s="198"/>
    </row>
    <row r="27" spans="1:33" ht="15.75" customHeight="1">
      <c r="A27" s="216" t="s">
        <v>60</v>
      </c>
      <c r="B27" s="42" t="s">
        <v>92</v>
      </c>
      <c r="C27" s="213" t="s">
        <v>114</v>
      </c>
      <c r="D27" s="213"/>
      <c r="E27" s="42">
        <v>54.09</v>
      </c>
      <c r="F27" s="38">
        <v>2503</v>
      </c>
      <c r="G27" s="4">
        <f t="shared" si="19"/>
        <v>135387.27000000002</v>
      </c>
      <c r="H27" s="37" t="s">
        <v>91</v>
      </c>
      <c r="I27" s="16">
        <v>18</v>
      </c>
      <c r="J27" s="39">
        <v>2000</v>
      </c>
      <c r="K27" s="17">
        <f t="shared" si="1"/>
        <v>111.11111111111111</v>
      </c>
      <c r="L27" s="16">
        <v>18</v>
      </c>
      <c r="M27" s="18">
        <f t="shared" si="20"/>
        <v>1901.0126582278469</v>
      </c>
      <c r="N27" s="17">
        <f t="shared" si="3"/>
        <v>105.61181434599149</v>
      </c>
      <c r="O27" s="19">
        <f t="shared" si="4"/>
        <v>0</v>
      </c>
      <c r="P27" s="20">
        <f t="shared" si="5"/>
        <v>-5.4992967651196238</v>
      </c>
      <c r="Q27" s="21">
        <f t="shared" si="6"/>
        <v>0.95050632911392341</v>
      </c>
      <c r="R27" s="198"/>
      <c r="S27" s="40">
        <v>0.74236111111111114</v>
      </c>
      <c r="T27" s="40">
        <v>0.79722222222222228</v>
      </c>
      <c r="U27" s="4">
        <f t="shared" si="22"/>
        <v>4.9999999999999822</v>
      </c>
      <c r="V27" s="22">
        <f t="shared" si="21"/>
        <v>79.000000000000043</v>
      </c>
      <c r="W27" s="23"/>
      <c r="X27" s="23"/>
      <c r="Y27" s="4"/>
      <c r="Z27" s="4"/>
      <c r="AA27" s="191"/>
      <c r="AB27" s="191"/>
      <c r="AC27" s="25"/>
      <c r="AD27" s="25"/>
      <c r="AE27" s="19">
        <f t="shared" si="8"/>
        <v>-98.987341772153059</v>
      </c>
      <c r="AF27" s="21">
        <f t="shared" si="9"/>
        <v>0.95050632911392352</v>
      </c>
      <c r="AG27" s="198"/>
    </row>
    <row r="28" spans="1:33" ht="15.75" customHeight="1">
      <c r="A28" s="216" t="s">
        <v>60</v>
      </c>
      <c r="B28" s="42" t="s">
        <v>92</v>
      </c>
      <c r="C28" s="213" t="s">
        <v>115</v>
      </c>
      <c r="D28" s="213"/>
      <c r="E28" s="42">
        <v>57.3</v>
      </c>
      <c r="F28" s="38">
        <v>2008</v>
      </c>
      <c r="G28" s="4">
        <f t="shared" si="19"/>
        <v>115058.4</v>
      </c>
      <c r="H28" s="37" t="s">
        <v>91</v>
      </c>
      <c r="I28" s="16">
        <v>16</v>
      </c>
      <c r="J28" s="39">
        <v>2000</v>
      </c>
      <c r="K28" s="17">
        <f t="shared" si="1"/>
        <v>125</v>
      </c>
      <c r="L28" s="16">
        <v>16</v>
      </c>
      <c r="M28" s="18">
        <f t="shared" si="20"/>
        <v>1912.3809523809543</v>
      </c>
      <c r="N28" s="17">
        <f t="shared" si="3"/>
        <v>119.52380952380965</v>
      </c>
      <c r="O28" s="19">
        <f t="shared" si="4"/>
        <v>0</v>
      </c>
      <c r="P28" s="20">
        <f t="shared" si="5"/>
        <v>-5.4761904761903537</v>
      </c>
      <c r="Q28" s="21">
        <f t="shared" si="6"/>
        <v>0.95619047619047715</v>
      </c>
      <c r="R28" s="198"/>
      <c r="S28" s="40">
        <v>0.80277777777777781</v>
      </c>
      <c r="T28" s="40">
        <v>0.84652777777777777</v>
      </c>
      <c r="U28" s="4">
        <f t="shared" si="22"/>
        <v>7.9999999999999716</v>
      </c>
      <c r="V28" s="22">
        <f t="shared" si="21"/>
        <v>62.999999999999936</v>
      </c>
      <c r="W28" s="23"/>
      <c r="X28" s="28"/>
      <c r="Y28" s="28"/>
      <c r="Z28" s="28"/>
      <c r="AA28" s="191"/>
      <c r="AB28" s="191"/>
      <c r="AC28" s="25"/>
      <c r="AD28" s="25"/>
      <c r="AE28" s="19">
        <f t="shared" si="8"/>
        <v>-87.619047619045659</v>
      </c>
      <c r="AF28" s="21">
        <f t="shared" si="9"/>
        <v>0.95619047619047715</v>
      </c>
      <c r="AG28" s="198"/>
    </row>
    <row r="29" spans="1:33" ht="15.75" customHeight="1">
      <c r="A29" s="216" t="s">
        <v>60</v>
      </c>
      <c r="B29" s="42" t="s">
        <v>61</v>
      </c>
      <c r="C29" s="208"/>
      <c r="D29" s="208"/>
      <c r="E29" s="43"/>
      <c r="F29" s="38"/>
      <c r="G29" s="4"/>
      <c r="H29" s="38"/>
      <c r="I29" s="29">
        <v>15.666666666666666</v>
      </c>
      <c r="J29" s="39">
        <v>2000</v>
      </c>
      <c r="K29" s="17">
        <f t="shared" ref="K29:K58" si="23">J29/I29</f>
        <v>127.65957446808511</v>
      </c>
      <c r="L29" s="29">
        <v>15.666666666666666</v>
      </c>
      <c r="M29" s="18">
        <f>AVERAGE(M23:M28)</f>
        <v>1915.6741598766912</v>
      </c>
      <c r="N29" s="17">
        <f t="shared" ref="N29:N58" si="24">M29/L29</f>
        <v>122.27707403468241</v>
      </c>
      <c r="O29" s="19">
        <f t="shared" ref="O29:O58" si="25">L29-I29</f>
        <v>0</v>
      </c>
      <c r="P29" s="20">
        <f t="shared" ref="P29:P58" si="26">N29-K29</f>
        <v>-5.3825004334026971</v>
      </c>
      <c r="Q29" s="21">
        <f t="shared" ref="Q29:Q58" si="27">N29/K29</f>
        <v>0.95783707993834555</v>
      </c>
      <c r="R29" s="198"/>
      <c r="S29" s="40"/>
      <c r="T29" s="40"/>
      <c r="U29" s="17"/>
      <c r="V29" s="22"/>
      <c r="W29" s="17"/>
      <c r="X29" s="17"/>
      <c r="Y29" s="30">
        <f>SUM(Y23:Y28)</f>
        <v>0</v>
      </c>
      <c r="Z29" s="30">
        <f>SUM(Z23:Z28)</f>
        <v>0</v>
      </c>
      <c r="AA29" s="201"/>
      <c r="AB29" s="201"/>
      <c r="AC29" s="30">
        <v>6</v>
      </c>
      <c r="AD29" s="30">
        <v>0</v>
      </c>
      <c r="AE29" s="19">
        <f t="shared" ref="AE29:AE56" si="28">M29-J29</f>
        <v>-84.325840123308808</v>
      </c>
      <c r="AF29" s="21">
        <f t="shared" ref="AF29:AF58" si="29">M29/J29</f>
        <v>0.95783707993834555</v>
      </c>
      <c r="AG29" s="198"/>
    </row>
    <row r="30" spans="1:33" ht="15.75" customHeight="1">
      <c r="A30" s="217" t="s">
        <v>62</v>
      </c>
      <c r="B30" s="42" t="s">
        <v>116</v>
      </c>
      <c r="C30" s="213" t="s">
        <v>117</v>
      </c>
      <c r="D30" s="213"/>
      <c r="E30" s="42">
        <v>31.29</v>
      </c>
      <c r="F30" s="38">
        <v>4500</v>
      </c>
      <c r="G30" s="4">
        <f t="shared" ref="G30:G36" si="30">E30*F30</f>
        <v>140805</v>
      </c>
      <c r="H30" s="37">
        <v>2</v>
      </c>
      <c r="I30" s="16">
        <v>18</v>
      </c>
      <c r="J30" s="39">
        <v>2400</v>
      </c>
      <c r="K30" s="17">
        <f t="shared" si="23"/>
        <v>133.33333333333334</v>
      </c>
      <c r="L30" s="16">
        <v>18</v>
      </c>
      <c r="M30" s="18">
        <f t="shared" ref="M30:M36" si="31">F30/V30*60</f>
        <v>2288.1355932203392</v>
      </c>
      <c r="N30" s="17">
        <f t="shared" si="24"/>
        <v>127.11864406779662</v>
      </c>
      <c r="O30" s="19">
        <f t="shared" si="25"/>
        <v>0</v>
      </c>
      <c r="P30" s="20">
        <f t="shared" si="26"/>
        <v>-6.2146892655367196</v>
      </c>
      <c r="Q30" s="21">
        <f t="shared" si="27"/>
        <v>0.95338983050847459</v>
      </c>
      <c r="R30" s="198">
        <f>Q37</f>
        <v>0.96015521944475091</v>
      </c>
      <c r="S30" s="40">
        <v>8.3333333333333329E-2</v>
      </c>
      <c r="T30" s="40">
        <v>0.16527777777777777</v>
      </c>
      <c r="U30" s="4"/>
      <c r="V30" s="22">
        <f t="shared" ref="V30:V36" si="32">(T30-S30)*24*60</f>
        <v>118</v>
      </c>
      <c r="W30" s="23">
        <f>T30</f>
        <v>0.16527777777777777</v>
      </c>
      <c r="X30" s="23">
        <f>S31</f>
        <v>0.18333333333333332</v>
      </c>
      <c r="Y30" s="23"/>
      <c r="Z30" s="23"/>
      <c r="AA30" s="191"/>
      <c r="AB30" s="191"/>
      <c r="AC30" s="25">
        <v>7</v>
      </c>
      <c r="AD30" s="25"/>
      <c r="AE30" s="19">
        <f t="shared" si="28"/>
        <v>-111.86440677966084</v>
      </c>
      <c r="AF30" s="21">
        <f t="shared" si="29"/>
        <v>0.9533898305084747</v>
      </c>
      <c r="AG30" s="198">
        <f>AF37</f>
        <v>0.96015521944475102</v>
      </c>
    </row>
    <row r="31" spans="1:33" ht="15.75" customHeight="1">
      <c r="A31" s="217" t="s">
        <v>63</v>
      </c>
      <c r="B31" s="42" t="s">
        <v>116</v>
      </c>
      <c r="C31" s="213" t="s">
        <v>118</v>
      </c>
      <c r="D31" s="213"/>
      <c r="E31" s="42">
        <v>26.37</v>
      </c>
      <c r="F31" s="38">
        <v>5311</v>
      </c>
      <c r="G31" s="4">
        <f t="shared" si="30"/>
        <v>140051.07</v>
      </c>
      <c r="H31" s="37" t="s">
        <v>91</v>
      </c>
      <c r="I31" s="16">
        <v>18</v>
      </c>
      <c r="J31" s="39">
        <v>2400</v>
      </c>
      <c r="K31" s="17">
        <f t="shared" si="23"/>
        <v>133.33333333333334</v>
      </c>
      <c r="L31" s="16">
        <v>18</v>
      </c>
      <c r="M31" s="18">
        <f t="shared" si="31"/>
        <v>2292.5179856115105</v>
      </c>
      <c r="N31" s="17">
        <f t="shared" si="24"/>
        <v>127.36211031175058</v>
      </c>
      <c r="O31" s="19">
        <f t="shared" si="25"/>
        <v>0</v>
      </c>
      <c r="P31" s="20">
        <f t="shared" si="26"/>
        <v>-5.9712230215827589</v>
      </c>
      <c r="Q31" s="21">
        <f t="shared" si="27"/>
        <v>0.95521582733812926</v>
      </c>
      <c r="R31" s="198"/>
      <c r="S31" s="40">
        <v>0.18333333333333332</v>
      </c>
      <c r="T31" s="40">
        <v>0.27986111111111112</v>
      </c>
      <c r="U31" s="4">
        <f t="shared" ref="U31:U36" si="33">(S31-T30)*24*60</f>
        <v>25.999999999999986</v>
      </c>
      <c r="V31" s="22">
        <f t="shared" si="32"/>
        <v>139.00000000000003</v>
      </c>
      <c r="W31" s="23"/>
      <c r="X31" s="23"/>
      <c r="Y31" s="23"/>
      <c r="Z31" s="23"/>
      <c r="AA31" s="191"/>
      <c r="AB31" s="191"/>
      <c r="AC31" s="25"/>
      <c r="AD31" s="25"/>
      <c r="AE31" s="19">
        <f t="shared" si="28"/>
        <v>-107.48201438848946</v>
      </c>
      <c r="AF31" s="21">
        <f t="shared" si="29"/>
        <v>0.95521582733812938</v>
      </c>
      <c r="AG31" s="198"/>
    </row>
    <row r="32" spans="1:33" ht="15.75" customHeight="1">
      <c r="A32" s="217" t="s">
        <v>63</v>
      </c>
      <c r="B32" s="42" t="s">
        <v>116</v>
      </c>
      <c r="C32" s="213" t="s">
        <v>119</v>
      </c>
      <c r="D32" s="213"/>
      <c r="E32" s="42">
        <v>26.18</v>
      </c>
      <c r="F32" s="38">
        <v>6803</v>
      </c>
      <c r="G32" s="4">
        <f t="shared" si="30"/>
        <v>178102.54</v>
      </c>
      <c r="H32" s="37" t="s">
        <v>91</v>
      </c>
      <c r="I32" s="16">
        <v>18</v>
      </c>
      <c r="J32" s="39">
        <v>2400</v>
      </c>
      <c r="K32" s="17">
        <f t="shared" si="23"/>
        <v>133.33333333333334</v>
      </c>
      <c r="L32" s="16">
        <v>18</v>
      </c>
      <c r="M32" s="18">
        <f t="shared" si="31"/>
        <v>2293.1460674157306</v>
      </c>
      <c r="N32" s="17">
        <f t="shared" si="24"/>
        <v>127.39700374531837</v>
      </c>
      <c r="O32" s="19">
        <f t="shared" si="25"/>
        <v>0</v>
      </c>
      <c r="P32" s="20">
        <f t="shared" si="26"/>
        <v>-5.9363295880149707</v>
      </c>
      <c r="Q32" s="21">
        <f t="shared" si="27"/>
        <v>0.95547752808988773</v>
      </c>
      <c r="R32" s="198"/>
      <c r="S32" s="40">
        <v>0.28333333333333333</v>
      </c>
      <c r="T32" s="40">
        <v>0.40694444444444444</v>
      </c>
      <c r="U32" s="4">
        <f t="shared" si="33"/>
        <v>4.9999999999999822</v>
      </c>
      <c r="V32" s="22">
        <f t="shared" si="32"/>
        <v>178</v>
      </c>
      <c r="W32" s="23"/>
      <c r="X32" s="23"/>
      <c r="Y32" s="23"/>
      <c r="Z32" s="23"/>
      <c r="AA32" s="191"/>
      <c r="AB32" s="191"/>
      <c r="AC32" s="25"/>
      <c r="AD32" s="25"/>
      <c r="AE32" s="19">
        <f t="shared" si="28"/>
        <v>-106.85393258426939</v>
      </c>
      <c r="AF32" s="21">
        <f t="shared" si="29"/>
        <v>0.95547752808988773</v>
      </c>
      <c r="AG32" s="198"/>
    </row>
    <row r="33" spans="1:33" ht="15.75" customHeight="1">
      <c r="A33" s="217" t="s">
        <v>63</v>
      </c>
      <c r="B33" s="42" t="s">
        <v>116</v>
      </c>
      <c r="C33" s="213" t="s">
        <v>120</v>
      </c>
      <c r="D33" s="213"/>
      <c r="E33" s="42">
        <v>25.99</v>
      </c>
      <c r="F33" s="38">
        <v>908</v>
      </c>
      <c r="G33" s="4">
        <f t="shared" si="30"/>
        <v>23598.92</v>
      </c>
      <c r="H33" s="37" t="s">
        <v>91</v>
      </c>
      <c r="I33" s="16">
        <v>18</v>
      </c>
      <c r="J33" s="39">
        <v>2400</v>
      </c>
      <c r="K33" s="17">
        <f t="shared" si="23"/>
        <v>133.33333333333334</v>
      </c>
      <c r="L33" s="16">
        <v>18</v>
      </c>
      <c r="M33" s="18">
        <f t="shared" si="31"/>
        <v>2368.695652173913</v>
      </c>
      <c r="N33" s="17">
        <f t="shared" si="24"/>
        <v>131.59420289855072</v>
      </c>
      <c r="O33" s="19">
        <f t="shared" si="25"/>
        <v>0</v>
      </c>
      <c r="P33" s="20">
        <f t="shared" si="26"/>
        <v>-1.7391304347826235</v>
      </c>
      <c r="Q33" s="21">
        <f t="shared" si="27"/>
        <v>0.98695652173913029</v>
      </c>
      <c r="R33" s="198"/>
      <c r="S33" s="40">
        <v>0.41041666666666665</v>
      </c>
      <c r="T33" s="40">
        <v>0.42638888888888887</v>
      </c>
      <c r="U33" s="4">
        <f t="shared" si="33"/>
        <v>4.9999999999999822</v>
      </c>
      <c r="V33" s="22">
        <f t="shared" si="32"/>
        <v>23</v>
      </c>
      <c r="W33" s="23"/>
      <c r="X33" s="23"/>
      <c r="Y33" s="23"/>
      <c r="Z33" s="23"/>
      <c r="AA33" s="191"/>
      <c r="AB33" s="191"/>
      <c r="AC33" s="25"/>
      <c r="AD33" s="25"/>
      <c r="AE33" s="19">
        <f t="shared" si="28"/>
        <v>-31.304347826086996</v>
      </c>
      <c r="AF33" s="21">
        <f t="shared" si="29"/>
        <v>0.9869565217391304</v>
      </c>
      <c r="AG33" s="198"/>
    </row>
    <row r="34" spans="1:33" ht="15.75" customHeight="1">
      <c r="A34" s="217" t="s">
        <v>64</v>
      </c>
      <c r="B34" s="42" t="s">
        <v>116</v>
      </c>
      <c r="C34" s="213" t="s">
        <v>121</v>
      </c>
      <c r="D34" s="213"/>
      <c r="E34" s="42">
        <v>25.99</v>
      </c>
      <c r="F34" s="38">
        <v>3100</v>
      </c>
      <c r="G34" s="4">
        <f t="shared" si="30"/>
        <v>80569</v>
      </c>
      <c r="H34" s="37" t="s">
        <v>91</v>
      </c>
      <c r="I34" s="16">
        <v>14</v>
      </c>
      <c r="J34" s="39">
        <v>2400</v>
      </c>
      <c r="K34" s="17">
        <f t="shared" si="23"/>
        <v>171.42857142857142</v>
      </c>
      <c r="L34" s="16">
        <v>14</v>
      </c>
      <c r="M34" s="18">
        <f t="shared" si="31"/>
        <v>2296.2962962962956</v>
      </c>
      <c r="N34" s="17">
        <f t="shared" si="24"/>
        <v>164.02116402116397</v>
      </c>
      <c r="O34" s="19">
        <f t="shared" si="25"/>
        <v>0</v>
      </c>
      <c r="P34" s="20">
        <f t="shared" si="26"/>
        <v>-7.4074074074074474</v>
      </c>
      <c r="Q34" s="21">
        <f t="shared" si="27"/>
        <v>0.95679012345678993</v>
      </c>
      <c r="R34" s="198"/>
      <c r="S34" s="40">
        <v>0.42986111111111108</v>
      </c>
      <c r="T34" s="40">
        <v>0.4861111111111111</v>
      </c>
      <c r="U34" s="4">
        <f t="shared" si="33"/>
        <v>4.9999999999999822</v>
      </c>
      <c r="V34" s="22">
        <f t="shared" si="32"/>
        <v>81.000000000000028</v>
      </c>
      <c r="W34" s="23"/>
      <c r="X34" s="23"/>
      <c r="Y34" s="23"/>
      <c r="Z34" s="23"/>
      <c r="AA34" s="191"/>
      <c r="AB34" s="191"/>
      <c r="AC34" s="25"/>
      <c r="AD34" s="25"/>
      <c r="AE34" s="19">
        <f t="shared" si="28"/>
        <v>-103.70370370370438</v>
      </c>
      <c r="AF34" s="21">
        <f t="shared" si="29"/>
        <v>0.95679012345678982</v>
      </c>
      <c r="AG34" s="198"/>
    </row>
    <row r="35" spans="1:33" ht="15.75" customHeight="1">
      <c r="A35" s="217" t="s">
        <v>63</v>
      </c>
      <c r="B35" s="42" t="s">
        <v>116</v>
      </c>
      <c r="C35" s="213" t="s">
        <v>122</v>
      </c>
      <c r="D35" s="213"/>
      <c r="E35" s="42">
        <v>20.21</v>
      </c>
      <c r="F35" s="38">
        <v>1723</v>
      </c>
      <c r="G35" s="4">
        <f t="shared" si="30"/>
        <v>34821.83</v>
      </c>
      <c r="H35" s="37" t="s">
        <v>91</v>
      </c>
      <c r="I35" s="16">
        <v>18</v>
      </c>
      <c r="J35" s="39">
        <v>2400</v>
      </c>
      <c r="K35" s="17">
        <f t="shared" si="23"/>
        <v>133.33333333333334</v>
      </c>
      <c r="L35" s="16">
        <v>18</v>
      </c>
      <c r="M35" s="18">
        <f t="shared" si="31"/>
        <v>2297.3333333333371</v>
      </c>
      <c r="N35" s="17">
        <f t="shared" si="24"/>
        <v>127.62962962962985</v>
      </c>
      <c r="O35" s="19">
        <f t="shared" si="25"/>
        <v>0</v>
      </c>
      <c r="P35" s="20">
        <f t="shared" si="26"/>
        <v>-5.7037037037034963</v>
      </c>
      <c r="Q35" s="21">
        <f t="shared" si="27"/>
        <v>0.95722222222222375</v>
      </c>
      <c r="R35" s="198"/>
      <c r="S35" s="40">
        <v>0.48958333333333331</v>
      </c>
      <c r="T35" s="40">
        <v>0.52083333333333326</v>
      </c>
      <c r="U35" s="4">
        <f t="shared" si="33"/>
        <v>4.9999999999999822</v>
      </c>
      <c r="V35" s="22">
        <f t="shared" si="32"/>
        <v>44.999999999999922</v>
      </c>
      <c r="W35" s="23">
        <f>T35</f>
        <v>0.52083333333333326</v>
      </c>
      <c r="X35" s="23">
        <f>S36</f>
        <v>0.56249999999999989</v>
      </c>
      <c r="Y35" s="23"/>
      <c r="Z35" s="23"/>
      <c r="AA35" s="191"/>
      <c r="AB35" s="191"/>
      <c r="AC35" s="25"/>
      <c r="AD35" s="25"/>
      <c r="AE35" s="19">
        <f t="shared" si="28"/>
        <v>-102.66666666666288</v>
      </c>
      <c r="AF35" s="21">
        <f t="shared" si="29"/>
        <v>0.95722222222222375</v>
      </c>
      <c r="AG35" s="198"/>
    </row>
    <row r="36" spans="1:33" ht="15.75" customHeight="1">
      <c r="A36" s="217" t="s">
        <v>63</v>
      </c>
      <c r="B36" s="42" t="s">
        <v>116</v>
      </c>
      <c r="C36" s="213" t="s">
        <v>117</v>
      </c>
      <c r="D36" s="213"/>
      <c r="E36" s="42">
        <v>31.29</v>
      </c>
      <c r="F36" s="38">
        <v>3327</v>
      </c>
      <c r="G36" s="4">
        <f t="shared" si="30"/>
        <v>104101.83</v>
      </c>
      <c r="H36" s="37" t="s">
        <v>91</v>
      </c>
      <c r="I36" s="16">
        <v>18</v>
      </c>
      <c r="J36" s="39">
        <v>2400</v>
      </c>
      <c r="K36" s="17">
        <f t="shared" si="23"/>
        <v>133.33333333333334</v>
      </c>
      <c r="L36" s="16">
        <v>18</v>
      </c>
      <c r="M36" s="18">
        <f t="shared" si="31"/>
        <v>2294.4827586206893</v>
      </c>
      <c r="N36" s="17">
        <f t="shared" si="24"/>
        <v>127.47126436781608</v>
      </c>
      <c r="O36" s="19">
        <f t="shared" si="25"/>
        <v>0</v>
      </c>
      <c r="P36" s="20">
        <f t="shared" si="26"/>
        <v>-5.8620689655172669</v>
      </c>
      <c r="Q36" s="21">
        <f t="shared" si="27"/>
        <v>0.95603448275862046</v>
      </c>
      <c r="R36" s="198"/>
      <c r="S36" s="40">
        <v>0.56249999999999989</v>
      </c>
      <c r="T36" s="40">
        <v>0.62291666666666656</v>
      </c>
      <c r="U36" s="4">
        <f t="shared" si="33"/>
        <v>59.999999999999943</v>
      </c>
      <c r="V36" s="22">
        <f t="shared" si="32"/>
        <v>87.000000000000014</v>
      </c>
      <c r="W36" s="23"/>
      <c r="X36" s="23"/>
      <c r="Y36" s="23"/>
      <c r="Z36" s="23"/>
      <c r="AA36" s="191"/>
      <c r="AB36" s="191"/>
      <c r="AC36" s="25"/>
      <c r="AD36" s="25"/>
      <c r="AE36" s="19">
        <f t="shared" si="28"/>
        <v>-105.51724137931069</v>
      </c>
      <c r="AF36" s="21">
        <f t="shared" si="29"/>
        <v>0.95603448275862057</v>
      </c>
      <c r="AG36" s="198"/>
    </row>
    <row r="37" spans="1:33" ht="15.75" customHeight="1">
      <c r="A37" s="217" t="s">
        <v>63</v>
      </c>
      <c r="B37" s="42" t="s">
        <v>65</v>
      </c>
      <c r="C37" s="208"/>
      <c r="D37" s="208"/>
      <c r="E37" s="43"/>
      <c r="F37" s="38"/>
      <c r="G37" s="4"/>
      <c r="H37" s="38"/>
      <c r="I37" s="29">
        <v>17.428571428571427</v>
      </c>
      <c r="J37" s="39">
        <v>2400</v>
      </c>
      <c r="K37" s="17">
        <f t="shared" si="23"/>
        <v>137.70491803278691</v>
      </c>
      <c r="L37" s="29">
        <v>17.428571428571427</v>
      </c>
      <c r="M37" s="18">
        <f>AVERAGE(M30:M36)</f>
        <v>2304.3725266674023</v>
      </c>
      <c r="N37" s="17">
        <f t="shared" si="24"/>
        <v>132.21809579239195</v>
      </c>
      <c r="O37" s="19">
        <f t="shared" si="25"/>
        <v>0</v>
      </c>
      <c r="P37" s="20">
        <f t="shared" si="26"/>
        <v>-5.4868222403949574</v>
      </c>
      <c r="Q37" s="21">
        <f t="shared" si="27"/>
        <v>0.96015521944475091</v>
      </c>
      <c r="R37" s="198"/>
      <c r="S37" s="40"/>
      <c r="T37" s="40"/>
      <c r="U37" s="4"/>
      <c r="V37" s="22"/>
      <c r="W37" s="4"/>
      <c r="X37" s="4"/>
      <c r="Y37" s="30">
        <f>SUM(Y30:Y36)</f>
        <v>0</v>
      </c>
      <c r="Z37" s="30">
        <f>SUM(Z30:Z36)</f>
        <v>0</v>
      </c>
      <c r="AA37" s="201"/>
      <c r="AB37" s="201"/>
      <c r="AC37" s="30">
        <v>7</v>
      </c>
      <c r="AD37" s="30">
        <v>0</v>
      </c>
      <c r="AE37" s="19">
        <f t="shared" si="28"/>
        <v>-95.627473332597674</v>
      </c>
      <c r="AF37" s="21">
        <f t="shared" si="29"/>
        <v>0.96015521944475102</v>
      </c>
      <c r="AG37" s="198"/>
    </row>
    <row r="38" spans="1:33" ht="15.75" customHeight="1">
      <c r="A38" s="218" t="s">
        <v>66</v>
      </c>
      <c r="B38" s="42" t="s">
        <v>116</v>
      </c>
      <c r="C38" s="220" t="s">
        <v>123</v>
      </c>
      <c r="D38" s="220"/>
      <c r="E38" s="42">
        <v>26.18</v>
      </c>
      <c r="F38" s="38">
        <v>5011</v>
      </c>
      <c r="G38" s="4">
        <f t="shared" ref="G38:G41" si="34">E38*F38</f>
        <v>131187.98000000001</v>
      </c>
      <c r="H38" s="37" t="s">
        <v>91</v>
      </c>
      <c r="I38" s="16">
        <v>20</v>
      </c>
      <c r="J38" s="39">
        <v>2400</v>
      </c>
      <c r="K38" s="17">
        <f t="shared" si="23"/>
        <v>120</v>
      </c>
      <c r="L38" s="16">
        <v>20</v>
      </c>
      <c r="M38" s="18">
        <f t="shared" ref="M38:M41" si="35">F38/V38*60</f>
        <v>2295.1145038167942</v>
      </c>
      <c r="N38" s="17">
        <f t="shared" si="24"/>
        <v>114.75572519083971</v>
      </c>
      <c r="O38" s="19">
        <f t="shared" si="25"/>
        <v>0</v>
      </c>
      <c r="P38" s="20">
        <f t="shared" si="26"/>
        <v>-5.244274809160288</v>
      </c>
      <c r="Q38" s="21">
        <f t="shared" si="27"/>
        <v>0.95629770992366425</v>
      </c>
      <c r="R38" s="198">
        <f>Q42</f>
        <v>0.95753346494343305</v>
      </c>
      <c r="S38" s="40">
        <v>8.3333333333333329E-2</v>
      </c>
      <c r="T38" s="40">
        <v>0.17430555555555555</v>
      </c>
      <c r="U38" s="4"/>
      <c r="V38" s="22">
        <f t="shared" ref="V38:V41" si="36">(T38-S38)*24*60</f>
        <v>131</v>
      </c>
      <c r="W38" s="28">
        <f>T38</f>
        <v>0.17430555555555555</v>
      </c>
      <c r="X38" s="28">
        <f>S39</f>
        <v>0.19444444444444445</v>
      </c>
      <c r="Y38" s="28"/>
      <c r="Z38" s="28"/>
      <c r="AA38" s="191"/>
      <c r="AB38" s="191"/>
      <c r="AC38" s="25">
        <v>4</v>
      </c>
      <c r="AD38" s="25"/>
      <c r="AE38" s="19">
        <f t="shared" si="28"/>
        <v>-104.88549618320576</v>
      </c>
      <c r="AF38" s="21">
        <f t="shared" si="29"/>
        <v>0.95629770992366425</v>
      </c>
      <c r="AG38" s="198">
        <f>AF42</f>
        <v>0.95753346494343305</v>
      </c>
    </row>
    <row r="39" spans="1:33" ht="15.75" customHeight="1">
      <c r="A39" s="218" t="s">
        <v>67</v>
      </c>
      <c r="B39" s="42" t="s">
        <v>116</v>
      </c>
      <c r="C39" s="220" t="s">
        <v>124</v>
      </c>
      <c r="D39" s="220"/>
      <c r="E39" s="42">
        <v>24.43</v>
      </c>
      <c r="F39" s="38">
        <v>6013</v>
      </c>
      <c r="G39" s="4">
        <f t="shared" si="34"/>
        <v>146897.59</v>
      </c>
      <c r="H39" s="37" t="s">
        <v>91</v>
      </c>
      <c r="I39" s="16">
        <v>14</v>
      </c>
      <c r="J39" s="39">
        <v>2400</v>
      </c>
      <c r="K39" s="17">
        <f t="shared" si="23"/>
        <v>171.42857142857142</v>
      </c>
      <c r="L39" s="16">
        <v>14</v>
      </c>
      <c r="M39" s="18">
        <f t="shared" si="35"/>
        <v>2297.9617834394899</v>
      </c>
      <c r="N39" s="17">
        <f t="shared" si="24"/>
        <v>164.14012738853498</v>
      </c>
      <c r="O39" s="19">
        <f t="shared" si="25"/>
        <v>0</v>
      </c>
      <c r="P39" s="20">
        <f t="shared" si="26"/>
        <v>-7.2884440400364383</v>
      </c>
      <c r="Q39" s="21">
        <f t="shared" si="27"/>
        <v>0.95748407643312072</v>
      </c>
      <c r="R39" s="198"/>
      <c r="S39" s="40">
        <v>0.19444444444444445</v>
      </c>
      <c r="T39" s="40">
        <v>0.30347222222222225</v>
      </c>
      <c r="U39" s="4">
        <f t="shared" ref="U39:U41" si="37">(S39-T38)*24*60</f>
        <v>29.000000000000018</v>
      </c>
      <c r="V39" s="22">
        <f t="shared" si="36"/>
        <v>157.00000000000003</v>
      </c>
      <c r="W39" s="4"/>
      <c r="X39" s="4"/>
      <c r="Y39" s="4"/>
      <c r="Z39" s="4"/>
      <c r="AA39" s="191"/>
      <c r="AB39" s="191"/>
      <c r="AC39" s="25"/>
      <c r="AD39" s="25"/>
      <c r="AE39" s="19">
        <f t="shared" si="28"/>
        <v>-102.03821656051014</v>
      </c>
      <c r="AF39" s="21">
        <f t="shared" si="29"/>
        <v>0.95748407643312072</v>
      </c>
      <c r="AG39" s="198"/>
    </row>
    <row r="40" spans="1:33">
      <c r="A40" s="219" t="s">
        <v>67</v>
      </c>
      <c r="B40" s="42" t="s">
        <v>116</v>
      </c>
      <c r="C40" s="220" t="s">
        <v>125</v>
      </c>
      <c r="D40" s="220"/>
      <c r="E40" s="42">
        <v>25.98</v>
      </c>
      <c r="F40" s="38">
        <v>2800</v>
      </c>
      <c r="G40" s="4">
        <f t="shared" si="34"/>
        <v>72744</v>
      </c>
      <c r="H40" s="37" t="s">
        <v>91</v>
      </c>
      <c r="I40" s="16">
        <v>20</v>
      </c>
      <c r="J40" s="39">
        <v>2400</v>
      </c>
      <c r="K40" s="17">
        <f t="shared" si="23"/>
        <v>120</v>
      </c>
      <c r="L40" s="16">
        <v>20</v>
      </c>
      <c r="M40" s="18">
        <f t="shared" si="35"/>
        <v>2301.3698630136987</v>
      </c>
      <c r="N40" s="17">
        <f t="shared" si="24"/>
        <v>115.06849315068493</v>
      </c>
      <c r="O40" s="19">
        <f t="shared" si="25"/>
        <v>0</v>
      </c>
      <c r="P40" s="20">
        <f t="shared" si="26"/>
        <v>-4.9315068493150704</v>
      </c>
      <c r="Q40" s="21">
        <f t="shared" si="27"/>
        <v>0.95890410958904104</v>
      </c>
      <c r="R40" s="198"/>
      <c r="S40" s="40">
        <v>0.30763888888888891</v>
      </c>
      <c r="T40" s="40">
        <v>0.35833333333333334</v>
      </c>
      <c r="U40" s="4">
        <f t="shared" si="37"/>
        <v>5.9999999999999787</v>
      </c>
      <c r="V40" s="22">
        <f t="shared" si="36"/>
        <v>72.999999999999986</v>
      </c>
      <c r="W40" s="4"/>
      <c r="X40" s="4"/>
      <c r="Y40" s="4"/>
      <c r="Z40" s="4"/>
      <c r="AA40" s="191"/>
      <c r="AB40" s="191"/>
      <c r="AC40" s="25"/>
      <c r="AD40" s="25"/>
      <c r="AE40" s="19">
        <f t="shared" si="28"/>
        <v>-98.630136986301295</v>
      </c>
      <c r="AF40" s="21">
        <f t="shared" si="29"/>
        <v>0.95890410958904115</v>
      </c>
      <c r="AG40" s="198"/>
    </row>
    <row r="41" spans="1:33">
      <c r="A41" s="219" t="s">
        <v>66</v>
      </c>
      <c r="B41" s="42" t="s">
        <v>116</v>
      </c>
      <c r="C41" s="220" t="s">
        <v>126</v>
      </c>
      <c r="D41" s="220"/>
      <c r="E41" s="42">
        <v>34.1</v>
      </c>
      <c r="F41" s="38">
        <v>5387</v>
      </c>
      <c r="G41" s="4">
        <f t="shared" si="34"/>
        <v>183696.7</v>
      </c>
      <c r="H41" s="37" t="s">
        <v>91</v>
      </c>
      <c r="I41" s="16">
        <v>17</v>
      </c>
      <c r="J41" s="39">
        <v>1600</v>
      </c>
      <c r="K41" s="17">
        <f t="shared" si="23"/>
        <v>94.117647058823536</v>
      </c>
      <c r="L41" s="16">
        <v>17</v>
      </c>
      <c r="M41" s="18">
        <f t="shared" si="35"/>
        <v>1531.8483412322278</v>
      </c>
      <c r="N41" s="17">
        <f t="shared" si="24"/>
        <v>90.108725954836927</v>
      </c>
      <c r="O41" s="19">
        <f t="shared" si="25"/>
        <v>0</v>
      </c>
      <c r="P41" s="20">
        <f t="shared" si="26"/>
        <v>-4.0089211039866086</v>
      </c>
      <c r="Q41" s="21">
        <f t="shared" si="27"/>
        <v>0.95740521327014227</v>
      </c>
      <c r="R41" s="198"/>
      <c r="S41" s="40">
        <v>0.36180555555555555</v>
      </c>
      <c r="T41" s="40">
        <v>0.5083333333333333</v>
      </c>
      <c r="U41" s="4">
        <f t="shared" si="37"/>
        <v>4.9999999999999822</v>
      </c>
      <c r="V41" s="22">
        <f t="shared" si="36"/>
        <v>210.99999999999997</v>
      </c>
      <c r="W41" s="23"/>
      <c r="X41" s="23"/>
      <c r="Y41" s="23"/>
      <c r="Z41" s="23"/>
      <c r="AA41" s="191"/>
      <c r="AB41" s="191"/>
      <c r="AC41" s="25"/>
      <c r="AD41" s="25"/>
      <c r="AE41" s="19">
        <f t="shared" si="28"/>
        <v>-68.151658767772233</v>
      </c>
      <c r="AF41" s="21">
        <f t="shared" si="29"/>
        <v>0.95740521327014239</v>
      </c>
      <c r="AG41" s="198"/>
    </row>
    <row r="42" spans="1:33">
      <c r="A42" s="219" t="s">
        <v>68</v>
      </c>
      <c r="B42" s="44" t="s">
        <v>69</v>
      </c>
      <c r="C42" s="208"/>
      <c r="D42" s="208"/>
      <c r="E42" s="43"/>
      <c r="F42" s="44"/>
      <c r="G42" s="17"/>
      <c r="H42" s="38"/>
      <c r="I42" s="29">
        <v>17.75</v>
      </c>
      <c r="J42" s="39">
        <v>2200</v>
      </c>
      <c r="K42" s="17">
        <f t="shared" si="23"/>
        <v>123.94366197183099</v>
      </c>
      <c r="L42" s="29">
        <v>17.75</v>
      </c>
      <c r="M42" s="18">
        <f>AVERAGE(M38:M41)</f>
        <v>2106.5736228755527</v>
      </c>
      <c r="N42" s="17">
        <f t="shared" si="24"/>
        <v>118.68020410566494</v>
      </c>
      <c r="O42" s="19">
        <f t="shared" si="25"/>
        <v>0</v>
      </c>
      <c r="P42" s="20">
        <f t="shared" si="26"/>
        <v>-5.2634578661660498</v>
      </c>
      <c r="Q42" s="21">
        <f t="shared" si="27"/>
        <v>0.95753346494343305</v>
      </c>
      <c r="R42" s="198"/>
      <c r="S42" s="40"/>
      <c r="T42" s="40"/>
      <c r="U42" s="17"/>
      <c r="V42" s="22"/>
      <c r="W42" s="17"/>
      <c r="X42" s="17"/>
      <c r="Y42" s="30">
        <f>SUM(Y38:Y41)</f>
        <v>0</v>
      </c>
      <c r="Z42" s="30">
        <f>SUM(Z38:Z41)</f>
        <v>0</v>
      </c>
      <c r="AA42" s="201"/>
      <c r="AB42" s="201"/>
      <c r="AC42" s="30">
        <v>4</v>
      </c>
      <c r="AD42" s="30">
        <v>0</v>
      </c>
      <c r="AE42" s="19">
        <f t="shared" si="28"/>
        <v>-93.426377124447299</v>
      </c>
      <c r="AF42" s="21">
        <f t="shared" si="29"/>
        <v>0.95753346494343305</v>
      </c>
      <c r="AG42" s="198"/>
    </row>
    <row r="43" spans="1:33" ht="15.75" customHeight="1">
      <c r="A43" s="221" t="s">
        <v>70</v>
      </c>
      <c r="B43" s="42" t="s">
        <v>127</v>
      </c>
      <c r="C43" s="224" t="s">
        <v>128</v>
      </c>
      <c r="D43" s="225"/>
      <c r="E43" s="42">
        <v>21.13</v>
      </c>
      <c r="F43" s="38">
        <v>4899</v>
      </c>
      <c r="G43" s="4">
        <f t="shared" ref="G43:G46" si="38">E43*F43</f>
        <v>103515.87</v>
      </c>
      <c r="H43" s="37" t="s">
        <v>91</v>
      </c>
      <c r="I43" s="16">
        <v>10</v>
      </c>
      <c r="J43" s="39">
        <v>3000</v>
      </c>
      <c r="K43" s="17">
        <f t="shared" si="23"/>
        <v>300</v>
      </c>
      <c r="L43" s="16">
        <v>10</v>
      </c>
      <c r="M43" s="18">
        <f t="shared" ref="M43:M46" si="39">F43/V43*60</f>
        <v>2853.7864077669906</v>
      </c>
      <c r="N43" s="18">
        <f t="shared" si="24"/>
        <v>285.37864077669906</v>
      </c>
      <c r="O43" s="19">
        <f t="shared" si="25"/>
        <v>0</v>
      </c>
      <c r="P43" s="20">
        <f t="shared" si="26"/>
        <v>-14.621359223300942</v>
      </c>
      <c r="Q43" s="21">
        <f t="shared" si="27"/>
        <v>0.95126213592233022</v>
      </c>
      <c r="R43" s="226">
        <f>Q47</f>
        <v>0.96050745317250219</v>
      </c>
      <c r="S43" s="40">
        <v>0.20833333333333334</v>
      </c>
      <c r="T43" s="40">
        <v>0.27986111111111112</v>
      </c>
      <c r="U43" s="28"/>
      <c r="V43" s="22">
        <f t="shared" ref="V43:V46" si="40">(T43-S43)*24*60</f>
        <v>103</v>
      </c>
      <c r="W43" s="23"/>
      <c r="X43" s="23"/>
      <c r="Y43" s="26"/>
      <c r="Z43" s="26"/>
      <c r="AA43" s="209"/>
      <c r="AB43" s="210"/>
      <c r="AC43" s="25">
        <v>4</v>
      </c>
      <c r="AD43" s="25"/>
      <c r="AE43" s="19">
        <f t="shared" si="28"/>
        <v>-146.21359223300942</v>
      </c>
      <c r="AF43" s="21">
        <f t="shared" si="29"/>
        <v>0.95126213592233022</v>
      </c>
      <c r="AG43" s="226">
        <f>AF47</f>
        <v>0.96050745317250219</v>
      </c>
    </row>
    <row r="44" spans="1:33" ht="15.75" customHeight="1">
      <c r="A44" s="222" t="s">
        <v>71</v>
      </c>
      <c r="B44" s="42" t="s">
        <v>127</v>
      </c>
      <c r="C44" s="224" t="s">
        <v>129</v>
      </c>
      <c r="D44" s="225"/>
      <c r="E44" s="42">
        <v>27.17</v>
      </c>
      <c r="F44" s="38">
        <v>4303</v>
      </c>
      <c r="G44" s="4">
        <f t="shared" si="38"/>
        <v>116912.51000000001</v>
      </c>
      <c r="H44" s="37" t="s">
        <v>91</v>
      </c>
      <c r="I44" s="16">
        <v>10</v>
      </c>
      <c r="J44" s="39">
        <v>3000</v>
      </c>
      <c r="K44" s="17">
        <f t="shared" si="23"/>
        <v>300</v>
      </c>
      <c r="L44" s="16">
        <v>10</v>
      </c>
      <c r="M44" s="18">
        <f t="shared" si="39"/>
        <v>2868.6666666666665</v>
      </c>
      <c r="N44" s="18">
        <f t="shared" si="24"/>
        <v>286.86666666666667</v>
      </c>
      <c r="O44" s="19">
        <f t="shared" si="25"/>
        <v>0</v>
      </c>
      <c r="P44" s="20">
        <f t="shared" si="26"/>
        <v>-13.133333333333326</v>
      </c>
      <c r="Q44" s="21">
        <f t="shared" si="27"/>
        <v>0.9562222222222222</v>
      </c>
      <c r="R44" s="227"/>
      <c r="S44" s="40">
        <v>0.28333333333333333</v>
      </c>
      <c r="T44" s="40">
        <v>0.34583333333333333</v>
      </c>
      <c r="U44" s="4">
        <f t="shared" ref="U44:U46" si="41">(S44-T43)*24*60</f>
        <v>4.9999999999999822</v>
      </c>
      <c r="V44" s="22">
        <f t="shared" si="40"/>
        <v>90</v>
      </c>
      <c r="W44" s="23"/>
      <c r="X44" s="23"/>
      <c r="Y44" s="26"/>
      <c r="Z44" s="26"/>
      <c r="AA44" s="209"/>
      <c r="AB44" s="210"/>
      <c r="AC44" s="25"/>
      <c r="AD44" s="25"/>
      <c r="AE44" s="19">
        <f t="shared" si="28"/>
        <v>-131.33333333333348</v>
      </c>
      <c r="AF44" s="21">
        <f t="shared" si="29"/>
        <v>0.9562222222222222</v>
      </c>
      <c r="AG44" s="227"/>
    </row>
    <row r="45" spans="1:33" ht="15.75" customHeight="1">
      <c r="A45" s="222" t="s">
        <v>72</v>
      </c>
      <c r="B45" s="42" t="s">
        <v>127</v>
      </c>
      <c r="C45" s="224" t="s">
        <v>130</v>
      </c>
      <c r="D45" s="225"/>
      <c r="E45" s="42">
        <v>35.869999999999997</v>
      </c>
      <c r="F45" s="38">
        <v>1569</v>
      </c>
      <c r="G45" s="4">
        <f t="shared" si="38"/>
        <v>56280.03</v>
      </c>
      <c r="H45" s="37" t="s">
        <v>91</v>
      </c>
      <c r="I45" s="16">
        <v>9</v>
      </c>
      <c r="J45" s="39">
        <v>3000</v>
      </c>
      <c r="K45" s="17">
        <f t="shared" si="23"/>
        <v>333.33333333333331</v>
      </c>
      <c r="L45" s="16">
        <v>9</v>
      </c>
      <c r="M45" s="18">
        <f t="shared" si="39"/>
        <v>2852.7272727272689</v>
      </c>
      <c r="N45" s="18">
        <f t="shared" si="24"/>
        <v>316.96969696969654</v>
      </c>
      <c r="O45" s="19">
        <f t="shared" si="25"/>
        <v>0</v>
      </c>
      <c r="P45" s="20">
        <f t="shared" si="26"/>
        <v>-16.363636363636772</v>
      </c>
      <c r="Q45" s="21">
        <f t="shared" si="27"/>
        <v>0.9509090909090897</v>
      </c>
      <c r="R45" s="227"/>
      <c r="S45" s="40">
        <v>0.35138888888888886</v>
      </c>
      <c r="T45" s="40">
        <v>0.37430555555555556</v>
      </c>
      <c r="U45" s="4">
        <f t="shared" si="41"/>
        <v>7.9999999999999716</v>
      </c>
      <c r="V45" s="22">
        <f t="shared" si="40"/>
        <v>33.000000000000043</v>
      </c>
      <c r="W45" s="23"/>
      <c r="X45" s="23"/>
      <c r="Y45" s="26"/>
      <c r="Z45" s="26"/>
      <c r="AA45" s="209"/>
      <c r="AB45" s="210"/>
      <c r="AC45" s="25"/>
      <c r="AD45" s="25"/>
      <c r="AE45" s="19">
        <f t="shared" si="28"/>
        <v>-147.27272727273112</v>
      </c>
      <c r="AF45" s="21">
        <f t="shared" si="29"/>
        <v>0.95090909090908959</v>
      </c>
      <c r="AG45" s="227"/>
    </row>
    <row r="46" spans="1:33" ht="15.75" customHeight="1">
      <c r="A46" s="222" t="s">
        <v>72</v>
      </c>
      <c r="B46" s="42" t="s">
        <v>127</v>
      </c>
      <c r="C46" s="224" t="s">
        <v>131</v>
      </c>
      <c r="D46" s="225"/>
      <c r="E46" s="42">
        <v>34.35</v>
      </c>
      <c r="F46" s="38">
        <v>541</v>
      </c>
      <c r="G46" s="4">
        <f t="shared" si="38"/>
        <v>18583.350000000002</v>
      </c>
      <c r="H46" s="37" t="s">
        <v>91</v>
      </c>
      <c r="I46" s="16">
        <v>8</v>
      </c>
      <c r="J46" s="39">
        <v>3000</v>
      </c>
      <c r="K46" s="17">
        <f t="shared" si="23"/>
        <v>375</v>
      </c>
      <c r="L46" s="16">
        <v>8</v>
      </c>
      <c r="M46" s="18">
        <f t="shared" si="39"/>
        <v>2950.9090909091015</v>
      </c>
      <c r="N46" s="18">
        <f t="shared" si="24"/>
        <v>368.86363636363768</v>
      </c>
      <c r="O46" s="19">
        <f t="shared" si="25"/>
        <v>0</v>
      </c>
      <c r="P46" s="20">
        <f t="shared" si="26"/>
        <v>-6.1363636363623186</v>
      </c>
      <c r="Q46" s="21">
        <f t="shared" si="27"/>
        <v>0.98363636363636719</v>
      </c>
      <c r="R46" s="227"/>
      <c r="S46" s="40">
        <v>0.37777777777777777</v>
      </c>
      <c r="T46" s="40">
        <v>0.38541666666666663</v>
      </c>
      <c r="U46" s="4">
        <f t="shared" si="41"/>
        <v>4.9999999999999822</v>
      </c>
      <c r="V46" s="22">
        <f t="shared" si="40"/>
        <v>10.999999999999961</v>
      </c>
      <c r="W46" s="23"/>
      <c r="X46" s="23"/>
      <c r="Y46" s="26"/>
      <c r="Z46" s="26"/>
      <c r="AA46" s="209"/>
      <c r="AB46" s="210"/>
      <c r="AC46" s="25"/>
      <c r="AD46" s="25"/>
      <c r="AE46" s="19">
        <f t="shared" si="28"/>
        <v>-49.090909090898549</v>
      </c>
      <c r="AF46" s="21">
        <f t="shared" si="29"/>
        <v>0.98363636363636719</v>
      </c>
      <c r="AG46" s="227"/>
    </row>
    <row r="47" spans="1:33" ht="15.75" customHeight="1">
      <c r="A47" s="223" t="s">
        <v>73</v>
      </c>
      <c r="B47" s="42" t="s">
        <v>74</v>
      </c>
      <c r="C47" s="229"/>
      <c r="D47" s="230"/>
      <c r="E47" s="47"/>
      <c r="F47" s="38"/>
      <c r="G47" s="4"/>
      <c r="H47" s="38"/>
      <c r="I47" s="29">
        <v>9.25</v>
      </c>
      <c r="J47" s="39">
        <v>3000</v>
      </c>
      <c r="K47" s="17">
        <f t="shared" si="23"/>
        <v>324.32432432432432</v>
      </c>
      <c r="L47" s="29">
        <v>9.25</v>
      </c>
      <c r="M47" s="18">
        <f>AVERAGE(M43:M46)</f>
        <v>2881.5223595175066</v>
      </c>
      <c r="N47" s="17">
        <f t="shared" si="24"/>
        <v>311.51593075864935</v>
      </c>
      <c r="O47" s="19">
        <f t="shared" si="25"/>
        <v>0</v>
      </c>
      <c r="P47" s="20">
        <f t="shared" si="26"/>
        <v>-12.808393565674976</v>
      </c>
      <c r="Q47" s="21">
        <f t="shared" si="27"/>
        <v>0.96050745317250219</v>
      </c>
      <c r="R47" s="228"/>
      <c r="S47" s="40"/>
      <c r="T47" s="40"/>
      <c r="U47" s="4"/>
      <c r="V47" s="22"/>
      <c r="W47" s="23"/>
      <c r="X47" s="23"/>
      <c r="Y47" s="30">
        <f>SUM(Y43:Y46)</f>
        <v>0</v>
      </c>
      <c r="Z47" s="30">
        <f>SUM(Z43:Z46)</f>
        <v>0</v>
      </c>
      <c r="AA47" s="231"/>
      <c r="AB47" s="232"/>
      <c r="AC47" s="30">
        <v>4</v>
      </c>
      <c r="AD47" s="30">
        <v>0</v>
      </c>
      <c r="AE47" s="19">
        <f t="shared" si="28"/>
        <v>-118.47764048249337</v>
      </c>
      <c r="AF47" s="21">
        <f t="shared" si="29"/>
        <v>0.96050745317250219</v>
      </c>
      <c r="AG47" s="228"/>
    </row>
    <row r="48" spans="1:33" ht="15.75" customHeight="1">
      <c r="A48" s="195" t="s">
        <v>75</v>
      </c>
      <c r="B48" s="42" t="s">
        <v>103</v>
      </c>
      <c r="C48" s="220" t="s">
        <v>132</v>
      </c>
      <c r="D48" s="220"/>
      <c r="E48" s="42">
        <v>51.44</v>
      </c>
      <c r="F48" s="48">
        <v>7135</v>
      </c>
      <c r="G48" s="4">
        <f t="shared" ref="G48:G56" si="42">E48*F48</f>
        <v>367024.39999999997</v>
      </c>
      <c r="H48" s="37" t="s">
        <v>91</v>
      </c>
      <c r="I48" s="16">
        <v>18</v>
      </c>
      <c r="J48" s="39">
        <v>2000</v>
      </c>
      <c r="K48" s="17">
        <f t="shared" si="23"/>
        <v>111.11111111111111</v>
      </c>
      <c r="L48" s="16">
        <v>18</v>
      </c>
      <c r="M48" s="18">
        <f t="shared" ref="M48" si="43">F48/V48*60</f>
        <v>1902.6666666666667</v>
      </c>
      <c r="N48" s="18">
        <f t="shared" si="24"/>
        <v>105.70370370370371</v>
      </c>
      <c r="O48" s="19">
        <f t="shared" si="25"/>
        <v>0</v>
      </c>
      <c r="P48" s="20">
        <f t="shared" si="26"/>
        <v>-5.4074074074074048</v>
      </c>
      <c r="Q48" s="21">
        <f t="shared" si="27"/>
        <v>0.95133333333333336</v>
      </c>
      <c r="R48" s="198">
        <f>Q57</f>
        <v>0.96441334512606713</v>
      </c>
      <c r="S48" s="40">
        <v>8.3333333333333329E-2</v>
      </c>
      <c r="T48" s="40">
        <v>0.23958333333333331</v>
      </c>
      <c r="U48" s="28"/>
      <c r="V48" s="22">
        <f t="shared" ref="V48:V56" si="44">(T48-S48)*24*60</f>
        <v>225</v>
      </c>
      <c r="W48" s="23">
        <f>T48</f>
        <v>0.23958333333333331</v>
      </c>
      <c r="X48" s="23">
        <f>S49</f>
        <v>0.2583333333333333</v>
      </c>
      <c r="Y48" s="28"/>
      <c r="Z48" s="28"/>
      <c r="AA48" s="191"/>
      <c r="AB48" s="191"/>
      <c r="AC48" s="25">
        <v>9</v>
      </c>
      <c r="AD48" s="25"/>
      <c r="AE48" s="19">
        <f t="shared" si="28"/>
        <v>-97.333333333333258</v>
      </c>
      <c r="AF48" s="21">
        <f t="shared" si="29"/>
        <v>0.95133333333333336</v>
      </c>
      <c r="AG48" s="198">
        <f>AF57</f>
        <v>0.96441334512606713</v>
      </c>
    </row>
    <row r="49" spans="1:33" ht="15.75" customHeight="1">
      <c r="A49" s="195" t="s">
        <v>76</v>
      </c>
      <c r="B49" s="42" t="s">
        <v>92</v>
      </c>
      <c r="C49" s="220" t="s">
        <v>133</v>
      </c>
      <c r="D49" s="220"/>
      <c r="E49" s="42">
        <v>59.04</v>
      </c>
      <c r="F49" s="48">
        <v>1200</v>
      </c>
      <c r="G49" s="4">
        <f t="shared" si="42"/>
        <v>70848</v>
      </c>
      <c r="H49" s="37" t="s">
        <v>91</v>
      </c>
      <c r="I49" s="16">
        <v>19</v>
      </c>
      <c r="J49" s="39">
        <v>2000</v>
      </c>
      <c r="K49" s="17">
        <f t="shared" si="23"/>
        <v>105.26315789473684</v>
      </c>
      <c r="L49" s="16">
        <v>19</v>
      </c>
      <c r="M49" s="18">
        <f>F49/V49*60</f>
        <v>1945.9459459459445</v>
      </c>
      <c r="N49" s="18">
        <f t="shared" si="24"/>
        <v>102.4182076813655</v>
      </c>
      <c r="O49" s="19">
        <f t="shared" si="25"/>
        <v>0</v>
      </c>
      <c r="P49" s="20">
        <f t="shared" si="26"/>
        <v>-2.8449502133713338</v>
      </c>
      <c r="Q49" s="21">
        <f t="shared" si="27"/>
        <v>0.97297297297297236</v>
      </c>
      <c r="R49" s="198"/>
      <c r="S49" s="40">
        <v>0.2583333333333333</v>
      </c>
      <c r="T49" s="40">
        <v>0.28402777777777777</v>
      </c>
      <c r="U49" s="4">
        <f t="shared" ref="U49:U56" si="45">IF(S49=TIME(17,0,0),"",(S49-T48)*24*60)</f>
        <v>26.999999999999986</v>
      </c>
      <c r="V49" s="22">
        <f t="shared" si="44"/>
        <v>37.000000000000028</v>
      </c>
      <c r="W49" s="23"/>
      <c r="X49" s="23"/>
      <c r="Y49" s="23"/>
      <c r="Z49" s="23"/>
      <c r="AA49" s="191"/>
      <c r="AB49" s="191"/>
      <c r="AC49" s="25"/>
      <c r="AD49" s="25"/>
      <c r="AE49" s="19">
        <f t="shared" si="28"/>
        <v>-54.054054054055541</v>
      </c>
      <c r="AF49" s="21">
        <f t="shared" si="29"/>
        <v>0.97297297297297225</v>
      </c>
      <c r="AG49" s="198"/>
    </row>
    <row r="50" spans="1:33" ht="15.75" customHeight="1">
      <c r="A50" s="195" t="s">
        <v>77</v>
      </c>
      <c r="B50" s="42" t="s">
        <v>92</v>
      </c>
      <c r="C50" s="224" t="s">
        <v>134</v>
      </c>
      <c r="D50" s="225"/>
      <c r="E50" s="42">
        <v>56.43</v>
      </c>
      <c r="F50" s="48">
        <v>918</v>
      </c>
      <c r="G50" s="4">
        <f t="shared" si="42"/>
        <v>51802.74</v>
      </c>
      <c r="H50" s="37" t="s">
        <v>91</v>
      </c>
      <c r="I50" s="16">
        <v>22</v>
      </c>
      <c r="J50" s="39">
        <v>2000</v>
      </c>
      <c r="K50" s="17">
        <f t="shared" si="23"/>
        <v>90.909090909090907</v>
      </c>
      <c r="L50" s="16">
        <v>22</v>
      </c>
      <c r="M50" s="18">
        <f t="shared" ref="M50:M56" si="46">F50/V50*60</f>
        <v>1967.1428571428587</v>
      </c>
      <c r="N50" s="18">
        <f t="shared" si="24"/>
        <v>89.41558441558449</v>
      </c>
      <c r="O50" s="19">
        <f t="shared" si="25"/>
        <v>0</v>
      </c>
      <c r="P50" s="20">
        <f t="shared" si="26"/>
        <v>-1.4935064935064162</v>
      </c>
      <c r="Q50" s="21">
        <f t="shared" si="27"/>
        <v>0.98357142857142943</v>
      </c>
      <c r="R50" s="198"/>
      <c r="S50" s="40">
        <v>0.28749999999999998</v>
      </c>
      <c r="T50" s="40">
        <v>0.30694444444444441</v>
      </c>
      <c r="U50" s="4">
        <f t="shared" si="45"/>
        <v>4.9999999999999822</v>
      </c>
      <c r="V50" s="22">
        <f t="shared" si="44"/>
        <v>27.999999999999979</v>
      </c>
      <c r="W50" s="23"/>
      <c r="X50" s="23"/>
      <c r="Y50" s="26"/>
      <c r="Z50" s="26"/>
      <c r="AA50" s="191"/>
      <c r="AB50" s="191"/>
      <c r="AC50" s="25"/>
      <c r="AD50" s="25"/>
      <c r="AE50" s="19">
        <f t="shared" si="28"/>
        <v>-32.857142857141298</v>
      </c>
      <c r="AF50" s="21">
        <f t="shared" si="29"/>
        <v>0.98357142857142932</v>
      </c>
      <c r="AG50" s="198"/>
    </row>
    <row r="51" spans="1:33" ht="15.75" customHeight="1">
      <c r="A51" s="195" t="s">
        <v>78</v>
      </c>
      <c r="B51" s="42" t="s">
        <v>92</v>
      </c>
      <c r="C51" s="49" t="s">
        <v>135</v>
      </c>
      <c r="D51" s="50"/>
      <c r="E51" s="42">
        <v>51.44</v>
      </c>
      <c r="F51" s="48">
        <v>1384</v>
      </c>
      <c r="G51" s="4">
        <f t="shared" si="42"/>
        <v>71192.959999999992</v>
      </c>
      <c r="H51" s="37" t="s">
        <v>91</v>
      </c>
      <c r="I51" s="16">
        <v>25</v>
      </c>
      <c r="J51" s="39">
        <v>2000</v>
      </c>
      <c r="K51" s="17">
        <f t="shared" si="23"/>
        <v>80</v>
      </c>
      <c r="L51" s="16">
        <v>25</v>
      </c>
      <c r="M51" s="18">
        <f t="shared" si="46"/>
        <v>1931.1627906976739</v>
      </c>
      <c r="N51" s="18">
        <f t="shared" si="24"/>
        <v>77.246511627906955</v>
      </c>
      <c r="O51" s="19">
        <f t="shared" si="25"/>
        <v>0</v>
      </c>
      <c r="P51" s="20">
        <f t="shared" si="26"/>
        <v>-2.7534883720930452</v>
      </c>
      <c r="Q51" s="21">
        <f t="shared" si="27"/>
        <v>0.96558139534883691</v>
      </c>
      <c r="R51" s="198"/>
      <c r="S51" s="40">
        <v>0.31041666666666662</v>
      </c>
      <c r="T51" s="40">
        <v>0.34027777777777773</v>
      </c>
      <c r="U51" s="4">
        <f t="shared" si="45"/>
        <v>4.9999999999999822</v>
      </c>
      <c r="V51" s="22">
        <f t="shared" si="44"/>
        <v>43.000000000000007</v>
      </c>
      <c r="W51" s="23"/>
      <c r="X51" s="23"/>
      <c r="Y51" s="26"/>
      <c r="Z51" s="26"/>
      <c r="AA51" s="191"/>
      <c r="AB51" s="191"/>
      <c r="AC51" s="25"/>
      <c r="AD51" s="25"/>
      <c r="AE51" s="19">
        <f t="shared" si="28"/>
        <v>-68.837209302326073</v>
      </c>
      <c r="AF51" s="21">
        <f t="shared" si="29"/>
        <v>0.96558139534883691</v>
      </c>
      <c r="AG51" s="198"/>
    </row>
    <row r="52" spans="1:33" ht="15.75" customHeight="1">
      <c r="A52" s="195" t="s">
        <v>79</v>
      </c>
      <c r="B52" s="42" t="s">
        <v>96</v>
      </c>
      <c r="C52" s="49" t="s">
        <v>136</v>
      </c>
      <c r="D52" s="50"/>
      <c r="E52" s="42">
        <v>46</v>
      </c>
      <c r="F52" s="48">
        <v>1284</v>
      </c>
      <c r="G52" s="4">
        <f t="shared" si="42"/>
        <v>59064</v>
      </c>
      <c r="H52" s="37" t="s">
        <v>91</v>
      </c>
      <c r="I52" s="16">
        <v>16</v>
      </c>
      <c r="J52" s="39">
        <v>2000</v>
      </c>
      <c r="K52" s="17">
        <f t="shared" si="23"/>
        <v>125</v>
      </c>
      <c r="L52" s="16">
        <v>16</v>
      </c>
      <c r="M52" s="18">
        <f t="shared" si="46"/>
        <v>1925.9999999999993</v>
      </c>
      <c r="N52" s="18">
        <f t="shared" si="24"/>
        <v>120.37499999999996</v>
      </c>
      <c r="O52" s="19">
        <f t="shared" si="25"/>
        <v>0</v>
      </c>
      <c r="P52" s="20">
        <f t="shared" si="26"/>
        <v>-4.6250000000000426</v>
      </c>
      <c r="Q52" s="21">
        <f t="shared" si="27"/>
        <v>0.96299999999999963</v>
      </c>
      <c r="R52" s="198"/>
      <c r="S52" s="40">
        <v>0.34513888888888883</v>
      </c>
      <c r="T52" s="40">
        <v>0.37291666666666662</v>
      </c>
      <c r="U52" s="4">
        <f t="shared" si="45"/>
        <v>6.9999999999999751</v>
      </c>
      <c r="V52" s="22">
        <f t="shared" si="44"/>
        <v>40.000000000000014</v>
      </c>
      <c r="W52" s="23"/>
      <c r="X52" s="23"/>
      <c r="Y52" s="26"/>
      <c r="Z52" s="26"/>
      <c r="AA52" s="191"/>
      <c r="AB52" s="191"/>
      <c r="AC52" s="25"/>
      <c r="AD52" s="25"/>
      <c r="AE52" s="19">
        <f t="shared" si="28"/>
        <v>-74.000000000000682</v>
      </c>
      <c r="AF52" s="21">
        <f t="shared" si="29"/>
        <v>0.96299999999999963</v>
      </c>
      <c r="AG52" s="198"/>
    </row>
    <row r="53" spans="1:33" ht="15.75" customHeight="1">
      <c r="A53" s="195" t="s">
        <v>77</v>
      </c>
      <c r="B53" s="42" t="s">
        <v>96</v>
      </c>
      <c r="C53" s="224" t="s">
        <v>137</v>
      </c>
      <c r="D53" s="225"/>
      <c r="E53" s="42">
        <v>46</v>
      </c>
      <c r="F53" s="48">
        <v>1623</v>
      </c>
      <c r="G53" s="4">
        <f t="shared" si="42"/>
        <v>74658</v>
      </c>
      <c r="H53" s="37" t="s">
        <v>91</v>
      </c>
      <c r="I53" s="16">
        <v>17</v>
      </c>
      <c r="J53" s="39">
        <v>2000</v>
      </c>
      <c r="K53" s="17">
        <f t="shared" si="23"/>
        <v>117.64705882352941</v>
      </c>
      <c r="L53" s="16">
        <v>17</v>
      </c>
      <c r="M53" s="18">
        <f t="shared" si="46"/>
        <v>1909.4117647058833</v>
      </c>
      <c r="N53" s="18">
        <f t="shared" si="24"/>
        <v>112.31833910034608</v>
      </c>
      <c r="O53" s="19">
        <f t="shared" si="25"/>
        <v>0</v>
      </c>
      <c r="P53" s="20">
        <f t="shared" si="26"/>
        <v>-5.3287197231833261</v>
      </c>
      <c r="Q53" s="21">
        <f t="shared" si="27"/>
        <v>0.95470588235294174</v>
      </c>
      <c r="R53" s="198"/>
      <c r="S53" s="40">
        <v>0.37777777777777771</v>
      </c>
      <c r="T53" s="40">
        <v>0.41319444444444436</v>
      </c>
      <c r="U53" s="4">
        <f t="shared" si="45"/>
        <v>6.9999999999999751</v>
      </c>
      <c r="V53" s="22">
        <f t="shared" si="44"/>
        <v>50.999999999999979</v>
      </c>
      <c r="W53" s="23"/>
      <c r="X53" s="23"/>
      <c r="Y53" s="26"/>
      <c r="Z53" s="26"/>
      <c r="AA53" s="209"/>
      <c r="AB53" s="210"/>
      <c r="AC53" s="25"/>
      <c r="AD53" s="25"/>
      <c r="AE53" s="19">
        <f t="shared" si="28"/>
        <v>-90.588235294116657</v>
      </c>
      <c r="AF53" s="21">
        <f t="shared" si="29"/>
        <v>0.95470588235294163</v>
      </c>
      <c r="AG53" s="198"/>
    </row>
    <row r="54" spans="1:33" ht="15.75" customHeight="1">
      <c r="A54" s="195" t="s">
        <v>80</v>
      </c>
      <c r="B54" s="42" t="s">
        <v>92</v>
      </c>
      <c r="C54" s="224" t="s">
        <v>138</v>
      </c>
      <c r="D54" s="225"/>
      <c r="E54" s="42">
        <v>55.56</v>
      </c>
      <c r="F54" s="48">
        <v>2354</v>
      </c>
      <c r="G54" s="4">
        <f t="shared" si="42"/>
        <v>130788.24</v>
      </c>
      <c r="H54" s="37" t="s">
        <v>91</v>
      </c>
      <c r="I54" s="16">
        <v>17</v>
      </c>
      <c r="J54" s="39">
        <v>2000</v>
      </c>
      <c r="K54" s="17">
        <f t="shared" si="23"/>
        <v>117.64705882352941</v>
      </c>
      <c r="L54" s="16">
        <v>17</v>
      </c>
      <c r="M54" s="18">
        <f t="shared" si="46"/>
        <v>1908.6486486486472</v>
      </c>
      <c r="N54" s="18">
        <f t="shared" si="24"/>
        <v>112.27344992050865</v>
      </c>
      <c r="O54" s="19">
        <f t="shared" si="25"/>
        <v>0</v>
      </c>
      <c r="P54" s="20">
        <f t="shared" si="26"/>
        <v>-5.3736089030207523</v>
      </c>
      <c r="Q54" s="21">
        <f t="shared" si="27"/>
        <v>0.95432432432432357</v>
      </c>
      <c r="R54" s="198"/>
      <c r="S54" s="40">
        <v>0.70833333333333337</v>
      </c>
      <c r="T54" s="40">
        <v>0.7597222222222223</v>
      </c>
      <c r="U54" s="4" t="str">
        <f t="shared" si="45"/>
        <v/>
      </c>
      <c r="V54" s="22">
        <f t="shared" si="44"/>
        <v>74.000000000000057</v>
      </c>
      <c r="W54" s="23"/>
      <c r="X54" s="23"/>
      <c r="Y54" s="26"/>
      <c r="Z54" s="26"/>
      <c r="AA54" s="209"/>
      <c r="AB54" s="210"/>
      <c r="AC54" s="25"/>
      <c r="AD54" s="25"/>
      <c r="AE54" s="19">
        <f t="shared" si="28"/>
        <v>-91.351351351352832</v>
      </c>
      <c r="AF54" s="21">
        <f t="shared" si="29"/>
        <v>0.95432432432432357</v>
      </c>
      <c r="AG54" s="198"/>
    </row>
    <row r="55" spans="1:33" ht="15.75" customHeight="1">
      <c r="A55" s="195" t="s">
        <v>81</v>
      </c>
      <c r="B55" s="42" t="s">
        <v>92</v>
      </c>
      <c r="C55" s="224" t="s">
        <v>139</v>
      </c>
      <c r="D55" s="225"/>
      <c r="E55" s="42">
        <v>54.09</v>
      </c>
      <c r="F55" s="48">
        <v>853</v>
      </c>
      <c r="G55" s="4">
        <f t="shared" si="42"/>
        <v>46138.770000000004</v>
      </c>
      <c r="H55" s="37" t="s">
        <v>91</v>
      </c>
      <c r="I55" s="16">
        <v>13</v>
      </c>
      <c r="J55" s="39">
        <v>2000</v>
      </c>
      <c r="K55" s="17">
        <f t="shared" si="23"/>
        <v>153.84615384615384</v>
      </c>
      <c r="L55" s="16">
        <v>13</v>
      </c>
      <c r="M55" s="18">
        <f t="shared" si="46"/>
        <v>1968.4615384615333</v>
      </c>
      <c r="N55" s="18">
        <f t="shared" si="24"/>
        <v>151.42011834319487</v>
      </c>
      <c r="O55" s="19">
        <f t="shared" si="25"/>
        <v>0</v>
      </c>
      <c r="P55" s="20">
        <f t="shared" si="26"/>
        <v>-2.4260355029589675</v>
      </c>
      <c r="Q55" s="21">
        <f t="shared" si="27"/>
        <v>0.98423076923076669</v>
      </c>
      <c r="R55" s="198"/>
      <c r="S55" s="40">
        <v>0.76319444444444451</v>
      </c>
      <c r="T55" s="40">
        <v>0.78125000000000011</v>
      </c>
      <c r="U55" s="4">
        <f t="shared" si="45"/>
        <v>4.9999999999999822</v>
      </c>
      <c r="V55" s="22">
        <f t="shared" si="44"/>
        <v>26.000000000000068</v>
      </c>
      <c r="W55" s="23"/>
      <c r="X55" s="23"/>
      <c r="Y55" s="26"/>
      <c r="Z55" s="26"/>
      <c r="AA55" s="209"/>
      <c r="AB55" s="210"/>
      <c r="AC55" s="25"/>
      <c r="AD55" s="25"/>
      <c r="AE55" s="19">
        <f t="shared" si="28"/>
        <v>-31.538461538466663</v>
      </c>
      <c r="AF55" s="21">
        <f t="shared" si="29"/>
        <v>0.98423076923076669</v>
      </c>
      <c r="AG55" s="198"/>
    </row>
    <row r="56" spans="1:33">
      <c r="A56" s="195" t="s">
        <v>78</v>
      </c>
      <c r="B56" s="42" t="s">
        <v>92</v>
      </c>
      <c r="C56" s="49" t="s">
        <v>140</v>
      </c>
      <c r="D56" s="50"/>
      <c r="E56" s="42">
        <v>51.06</v>
      </c>
      <c r="F56" s="48">
        <v>3230</v>
      </c>
      <c r="G56" s="4">
        <f t="shared" si="42"/>
        <v>164923.80000000002</v>
      </c>
      <c r="H56" s="37" t="s">
        <v>91</v>
      </c>
      <c r="I56" s="16">
        <v>13</v>
      </c>
      <c r="J56" s="39">
        <v>2000</v>
      </c>
      <c r="K56" s="17">
        <f t="shared" si="23"/>
        <v>153.84615384615384</v>
      </c>
      <c r="L56" s="16">
        <v>13</v>
      </c>
      <c r="M56" s="18">
        <f t="shared" si="46"/>
        <v>1900.0000000000007</v>
      </c>
      <c r="N56" s="18">
        <f t="shared" si="24"/>
        <v>146.15384615384622</v>
      </c>
      <c r="O56" s="19">
        <f t="shared" si="25"/>
        <v>0</v>
      </c>
      <c r="P56" s="20">
        <f t="shared" si="26"/>
        <v>-7.6923076923076223</v>
      </c>
      <c r="Q56" s="21">
        <f t="shared" si="27"/>
        <v>0.9500000000000004</v>
      </c>
      <c r="R56" s="198"/>
      <c r="S56" s="40">
        <v>0.78541666666666676</v>
      </c>
      <c r="T56" s="40">
        <v>0.85625000000000007</v>
      </c>
      <c r="U56" s="4">
        <f t="shared" si="45"/>
        <v>5.9999999999999787</v>
      </c>
      <c r="V56" s="22">
        <f t="shared" si="44"/>
        <v>101.99999999999996</v>
      </c>
      <c r="W56" s="23"/>
      <c r="X56" s="23"/>
      <c r="Y56" s="26"/>
      <c r="Z56" s="26"/>
      <c r="AA56" s="31"/>
      <c r="AB56" s="32"/>
      <c r="AC56" s="25"/>
      <c r="AD56" s="25"/>
      <c r="AE56" s="19">
        <f t="shared" si="28"/>
        <v>-99.999999999999318</v>
      </c>
      <c r="AF56" s="21">
        <f t="shared" si="29"/>
        <v>0.95000000000000029</v>
      </c>
      <c r="AG56" s="198"/>
    </row>
    <row r="57" spans="1:33">
      <c r="A57" s="235" t="s">
        <v>78</v>
      </c>
      <c r="B57" s="42" t="s">
        <v>82</v>
      </c>
      <c r="C57" s="208"/>
      <c r="D57" s="208"/>
      <c r="E57" s="43"/>
      <c r="F57" s="44"/>
      <c r="G57" s="17"/>
      <c r="H57" s="38"/>
      <c r="I57" s="29">
        <v>17.777777777777779</v>
      </c>
      <c r="J57" s="39">
        <v>2000</v>
      </c>
      <c r="K57" s="17">
        <f t="shared" si="23"/>
        <v>112.5</v>
      </c>
      <c r="L57" s="29">
        <v>17.777777777777779</v>
      </c>
      <c r="M57" s="18">
        <f>AVERAGE(M48:M56)</f>
        <v>1928.8266902521343</v>
      </c>
      <c r="N57" s="17">
        <f t="shared" si="24"/>
        <v>108.49650132668255</v>
      </c>
      <c r="O57" s="19">
        <f t="shared" si="25"/>
        <v>0</v>
      </c>
      <c r="P57" s="20">
        <f t="shared" si="26"/>
        <v>-4.003498673317452</v>
      </c>
      <c r="Q57" s="21">
        <f t="shared" si="27"/>
        <v>0.96441334512606713</v>
      </c>
      <c r="R57" s="198"/>
      <c r="S57" s="40"/>
      <c r="T57" s="40"/>
      <c r="U57" s="4"/>
      <c r="V57" s="22"/>
      <c r="W57" s="17"/>
      <c r="X57" s="17"/>
      <c r="Y57" s="30">
        <f>SUM(Y48:Y56)</f>
        <v>0</v>
      </c>
      <c r="Z57" s="30">
        <f>SUM(Z48:Z56)</f>
        <v>0</v>
      </c>
      <c r="AA57" s="201"/>
      <c r="AB57" s="201"/>
      <c r="AC57" s="30">
        <v>9</v>
      </c>
      <c r="AD57" s="30">
        <v>0</v>
      </c>
      <c r="AE57" s="19">
        <f>M57-J57</f>
        <v>-71.173309747865687</v>
      </c>
      <c r="AF57" s="21">
        <f t="shared" si="29"/>
        <v>0.96441334512606713</v>
      </c>
      <c r="AG57" s="198"/>
    </row>
    <row r="58" spans="1:33" ht="15.75" customHeight="1">
      <c r="A58" s="233" t="s">
        <v>83</v>
      </c>
      <c r="B58" s="38" t="s">
        <v>127</v>
      </c>
      <c r="C58" s="220" t="s">
        <v>141</v>
      </c>
      <c r="D58" s="220"/>
      <c r="E58" s="42">
        <v>35.119999999999997</v>
      </c>
      <c r="F58" s="48">
        <v>3880</v>
      </c>
      <c r="G58" s="4">
        <f t="shared" ref="G58:G61" si="47">E58*F58</f>
        <v>136265.59999999998</v>
      </c>
      <c r="H58" s="37" t="s">
        <v>91</v>
      </c>
      <c r="I58" s="16">
        <v>10</v>
      </c>
      <c r="J58" s="39">
        <v>3000</v>
      </c>
      <c r="K58" s="17">
        <f t="shared" si="23"/>
        <v>300</v>
      </c>
      <c r="L58" s="16">
        <v>10</v>
      </c>
      <c r="M58" s="18">
        <f t="shared" ref="M58:M61" si="48">F58/V58*60</f>
        <v>2874.0740740740744</v>
      </c>
      <c r="N58" s="17">
        <f t="shared" si="24"/>
        <v>287.40740740740745</v>
      </c>
      <c r="O58" s="19">
        <f t="shared" si="25"/>
        <v>0</v>
      </c>
      <c r="P58" s="20">
        <f t="shared" si="26"/>
        <v>-12.592592592592553</v>
      </c>
      <c r="Q58" s="21">
        <f t="shared" si="27"/>
        <v>0.95802469135802482</v>
      </c>
      <c r="R58" s="198">
        <f>Q62</f>
        <v>0.95940884539842886</v>
      </c>
      <c r="S58" s="40">
        <v>0.20833333333333334</v>
      </c>
      <c r="T58" s="40">
        <v>0.26458333333333334</v>
      </c>
      <c r="U58" s="4"/>
      <c r="V58" s="22">
        <f t="shared" ref="V58:V61" si="49">(T58-S58)*24*60</f>
        <v>80.999999999999986</v>
      </c>
      <c r="W58" s="23"/>
      <c r="X58" s="23"/>
      <c r="Y58" s="28"/>
      <c r="Z58" s="28"/>
      <c r="AA58" s="191"/>
      <c r="AB58" s="191"/>
      <c r="AC58" s="25">
        <v>4</v>
      </c>
      <c r="AD58" s="25"/>
      <c r="AE58" s="19">
        <f t="shared" ref="AE58:AE71" si="50">M58-J58</f>
        <v>-125.92592592592564</v>
      </c>
      <c r="AF58" s="21">
        <f t="shared" si="29"/>
        <v>0.95802469135802482</v>
      </c>
      <c r="AG58" s="198">
        <f>AF62</f>
        <v>0.95940884539842897</v>
      </c>
    </row>
    <row r="59" spans="1:33" ht="15.75" customHeight="1">
      <c r="A59" s="233" t="s">
        <v>84</v>
      </c>
      <c r="B59" s="38" t="s">
        <v>127</v>
      </c>
      <c r="C59" s="220" t="s">
        <v>142</v>
      </c>
      <c r="D59" s="220"/>
      <c r="E59" s="42">
        <v>26.78</v>
      </c>
      <c r="F59" s="48">
        <v>2095</v>
      </c>
      <c r="G59" s="4">
        <f t="shared" si="47"/>
        <v>56104.100000000006</v>
      </c>
      <c r="H59" s="37" t="s">
        <v>91</v>
      </c>
      <c r="I59" s="16">
        <v>10</v>
      </c>
      <c r="J59" s="39">
        <v>3000</v>
      </c>
      <c r="K59" s="17">
        <f t="shared" ref="K59:K71" si="51">J59/I59</f>
        <v>300</v>
      </c>
      <c r="L59" s="16">
        <v>10</v>
      </c>
      <c r="M59" s="18">
        <f t="shared" si="48"/>
        <v>2856.818181818182</v>
      </c>
      <c r="N59" s="17">
        <f t="shared" ref="N59:N71" si="52">M59/L59</f>
        <v>285.68181818181819</v>
      </c>
      <c r="O59" s="19">
        <f t="shared" ref="O59:O71" si="53">L59-I59</f>
        <v>0</v>
      </c>
      <c r="P59" s="20">
        <f t="shared" ref="P59:P71" si="54">N59-K59</f>
        <v>-14.318181818181813</v>
      </c>
      <c r="Q59" s="21">
        <f t="shared" ref="Q59:Q71" si="55">N59/K59</f>
        <v>0.95227272727272727</v>
      </c>
      <c r="R59" s="198"/>
      <c r="S59" s="40">
        <v>0.26944444444444443</v>
      </c>
      <c r="T59" s="40">
        <v>0.3</v>
      </c>
      <c r="U59" s="4">
        <f t="shared" ref="U59:U61" si="56">(S59-T58)*24*60</f>
        <v>6.9999999999999751</v>
      </c>
      <c r="V59" s="22">
        <f t="shared" si="49"/>
        <v>44</v>
      </c>
      <c r="W59" s="4"/>
      <c r="X59" s="4"/>
      <c r="Y59" s="4"/>
      <c r="Z59" s="4"/>
      <c r="AA59" s="191"/>
      <c r="AB59" s="191"/>
      <c r="AC59" s="25"/>
      <c r="AD59" s="25"/>
      <c r="AE59" s="19">
        <f t="shared" si="50"/>
        <v>-143.18181818181802</v>
      </c>
      <c r="AF59" s="21">
        <f t="shared" ref="AF59:AF71" si="57">M59/J59</f>
        <v>0.95227272727272738</v>
      </c>
      <c r="AG59" s="198"/>
    </row>
    <row r="60" spans="1:33" ht="15.75" customHeight="1">
      <c r="A60" s="233" t="s">
        <v>83</v>
      </c>
      <c r="B60" s="38" t="s">
        <v>127</v>
      </c>
      <c r="C60" s="220" t="s">
        <v>143</v>
      </c>
      <c r="D60" s="220"/>
      <c r="E60" s="42">
        <v>36.14</v>
      </c>
      <c r="F60" s="48">
        <v>1318</v>
      </c>
      <c r="G60" s="4">
        <f t="shared" si="47"/>
        <v>47632.520000000004</v>
      </c>
      <c r="H60" s="37" t="s">
        <v>91</v>
      </c>
      <c r="I60" s="16">
        <v>11</v>
      </c>
      <c r="J60" s="39">
        <v>3000</v>
      </c>
      <c r="K60" s="17">
        <f t="shared" si="51"/>
        <v>272.72727272727275</v>
      </c>
      <c r="L60" s="16">
        <v>11</v>
      </c>
      <c r="M60" s="18">
        <f t="shared" si="48"/>
        <v>2928.8888888888905</v>
      </c>
      <c r="N60" s="17">
        <f t="shared" si="52"/>
        <v>266.26262626262638</v>
      </c>
      <c r="O60" s="19">
        <f t="shared" si="53"/>
        <v>0</v>
      </c>
      <c r="P60" s="20">
        <f t="shared" si="54"/>
        <v>-6.4646464646463642</v>
      </c>
      <c r="Q60" s="21">
        <f t="shared" si="55"/>
        <v>0.97629629629629666</v>
      </c>
      <c r="R60" s="198"/>
      <c r="S60" s="40">
        <v>0.3034722222222222</v>
      </c>
      <c r="T60" s="40">
        <v>0.32222222222222219</v>
      </c>
      <c r="U60" s="4">
        <f t="shared" si="56"/>
        <v>4.9999999999999822</v>
      </c>
      <c r="V60" s="22">
        <f t="shared" si="49"/>
        <v>26.999999999999986</v>
      </c>
      <c r="W60" s="4"/>
      <c r="X60" s="4"/>
      <c r="Y60" s="4"/>
      <c r="Z60" s="4"/>
      <c r="AA60" s="191"/>
      <c r="AB60" s="191"/>
      <c r="AC60" s="25"/>
      <c r="AD60" s="25"/>
      <c r="AE60" s="19">
        <f t="shared" si="50"/>
        <v>-71.111111111109494</v>
      </c>
      <c r="AF60" s="21">
        <f t="shared" si="57"/>
        <v>0.97629629629629688</v>
      </c>
      <c r="AG60" s="198"/>
    </row>
    <row r="61" spans="1:33" ht="15.75" customHeight="1">
      <c r="A61" s="233" t="s">
        <v>83</v>
      </c>
      <c r="B61" s="38" t="s">
        <v>127</v>
      </c>
      <c r="C61" s="220" t="s">
        <v>144</v>
      </c>
      <c r="D61" s="220"/>
      <c r="E61" s="42">
        <v>35.869999999999997</v>
      </c>
      <c r="F61" s="48">
        <v>4565</v>
      </c>
      <c r="G61" s="4">
        <f t="shared" si="47"/>
        <v>163746.54999999999</v>
      </c>
      <c r="H61" s="37" t="s">
        <v>91</v>
      </c>
      <c r="I61" s="16">
        <v>10</v>
      </c>
      <c r="J61" s="39">
        <v>3000</v>
      </c>
      <c r="K61" s="17">
        <f t="shared" si="51"/>
        <v>300</v>
      </c>
      <c r="L61" s="16">
        <v>10</v>
      </c>
      <c r="M61" s="18">
        <f t="shared" si="48"/>
        <v>2853.1250000000009</v>
      </c>
      <c r="N61" s="17">
        <f t="shared" si="52"/>
        <v>285.31250000000011</v>
      </c>
      <c r="O61" s="19">
        <f t="shared" si="53"/>
        <v>0</v>
      </c>
      <c r="P61" s="20">
        <f t="shared" si="54"/>
        <v>-14.687499999999886</v>
      </c>
      <c r="Q61" s="21">
        <f t="shared" si="55"/>
        <v>0.95104166666666701</v>
      </c>
      <c r="R61" s="198"/>
      <c r="S61" s="40">
        <v>0.32708333333333328</v>
      </c>
      <c r="T61" s="40">
        <v>0.39374999999999993</v>
      </c>
      <c r="U61" s="4">
        <f t="shared" si="56"/>
        <v>6.9999999999999751</v>
      </c>
      <c r="V61" s="22">
        <f t="shared" si="49"/>
        <v>95.999999999999972</v>
      </c>
      <c r="W61" s="4"/>
      <c r="X61" s="4"/>
      <c r="Y61" s="4"/>
      <c r="Z61" s="4"/>
      <c r="AA61" s="191"/>
      <c r="AB61" s="191"/>
      <c r="AC61" s="25"/>
      <c r="AD61" s="25"/>
      <c r="AE61" s="19">
        <f t="shared" si="50"/>
        <v>-146.87499999999909</v>
      </c>
      <c r="AF61" s="21">
        <f t="shared" si="57"/>
        <v>0.95104166666666701</v>
      </c>
      <c r="AG61" s="198"/>
    </row>
    <row r="62" spans="1:33">
      <c r="A62" s="234" t="s">
        <v>85</v>
      </c>
      <c r="B62" s="42" t="s">
        <v>82</v>
      </c>
      <c r="C62" s="208"/>
      <c r="D62" s="208"/>
      <c r="E62" s="43"/>
      <c r="F62" s="44"/>
      <c r="G62" s="17"/>
      <c r="H62" s="38"/>
      <c r="I62" s="29">
        <v>10.25</v>
      </c>
      <c r="J62" s="39">
        <v>3000</v>
      </c>
      <c r="K62" s="17">
        <f t="shared" si="51"/>
        <v>292.6829268292683</v>
      </c>
      <c r="L62" s="29">
        <v>10.25</v>
      </c>
      <c r="M62" s="18">
        <f>AVERAGE(M58:M61)</f>
        <v>2878.2265361952868</v>
      </c>
      <c r="N62" s="17">
        <f t="shared" si="52"/>
        <v>280.80258889710115</v>
      </c>
      <c r="O62" s="19">
        <f t="shared" si="53"/>
        <v>0</v>
      </c>
      <c r="P62" s="20">
        <f t="shared" si="54"/>
        <v>-11.880337932167151</v>
      </c>
      <c r="Q62" s="21">
        <f t="shared" si="55"/>
        <v>0.95940884539842886</v>
      </c>
      <c r="R62" s="198"/>
      <c r="S62" s="40"/>
      <c r="T62" s="40"/>
      <c r="U62" s="17"/>
      <c r="V62" s="22"/>
      <c r="W62" s="17"/>
      <c r="X62" s="17"/>
      <c r="Y62" s="30">
        <f>SUM(Y58:Y61)</f>
        <v>0</v>
      </c>
      <c r="Z62" s="30">
        <f>SUM(Z58:Z61)</f>
        <v>0</v>
      </c>
      <c r="AA62" s="201"/>
      <c r="AB62" s="201"/>
      <c r="AC62" s="30">
        <v>4</v>
      </c>
      <c r="AD62" s="30">
        <v>0</v>
      </c>
      <c r="AE62" s="19">
        <f t="shared" si="50"/>
        <v>-121.77346380471317</v>
      </c>
      <c r="AF62" s="21">
        <f t="shared" si="57"/>
        <v>0.95940884539842897</v>
      </c>
      <c r="AG62" s="198"/>
    </row>
    <row r="63" spans="1:33" ht="15.75" customHeight="1">
      <c r="A63" s="236" t="s">
        <v>86</v>
      </c>
      <c r="B63" s="38" t="s">
        <v>116</v>
      </c>
      <c r="C63" s="220" t="s">
        <v>145</v>
      </c>
      <c r="D63" s="220"/>
      <c r="E63" s="42">
        <v>19.02</v>
      </c>
      <c r="F63" s="38">
        <v>4800</v>
      </c>
      <c r="G63" s="4">
        <f t="shared" ref="G63:G70" si="58">E63*F63</f>
        <v>91296</v>
      </c>
      <c r="H63" s="37">
        <v>2</v>
      </c>
      <c r="I63" s="16">
        <v>14</v>
      </c>
      <c r="J63" s="39">
        <v>2400</v>
      </c>
      <c r="K63" s="17">
        <f t="shared" si="51"/>
        <v>171.42857142857142</v>
      </c>
      <c r="L63" s="16">
        <v>14</v>
      </c>
      <c r="M63" s="18">
        <f t="shared" ref="M63:M70" si="59">F63/V63*60</f>
        <v>2285.7142857142858</v>
      </c>
      <c r="N63" s="17">
        <f t="shared" si="52"/>
        <v>163.26530612244898</v>
      </c>
      <c r="O63" s="19">
        <f t="shared" si="53"/>
        <v>0</v>
      </c>
      <c r="P63" s="20">
        <f t="shared" si="54"/>
        <v>-8.1632653061224403</v>
      </c>
      <c r="Q63" s="21">
        <f t="shared" si="55"/>
        <v>0.95238095238095244</v>
      </c>
      <c r="R63" s="198">
        <f>Q71</f>
        <v>0.95519652180452863</v>
      </c>
      <c r="S63" s="40">
        <v>8.3333333333333329E-2</v>
      </c>
      <c r="T63" s="40">
        <v>0.17083333333333334</v>
      </c>
      <c r="U63" s="28"/>
      <c r="V63" s="22">
        <f t="shared" ref="V63:V70" si="60">(T63-S63)*24*60</f>
        <v>126</v>
      </c>
      <c r="W63" s="23">
        <f>T63</f>
        <v>0.17083333333333334</v>
      </c>
      <c r="X63" s="23">
        <f>S64</f>
        <v>0.18958333333333333</v>
      </c>
      <c r="Y63" s="23"/>
      <c r="Z63" s="23"/>
      <c r="AA63" s="191"/>
      <c r="AB63" s="191"/>
      <c r="AC63" s="25">
        <v>8</v>
      </c>
      <c r="AD63" s="25"/>
      <c r="AE63" s="19">
        <f t="shared" si="50"/>
        <v>-114.28571428571422</v>
      </c>
      <c r="AF63" s="21">
        <f t="shared" si="57"/>
        <v>0.95238095238095244</v>
      </c>
      <c r="AG63" s="198">
        <f>AF71</f>
        <v>0.95519652180452852</v>
      </c>
    </row>
    <row r="64" spans="1:33" ht="15.75" customHeight="1">
      <c r="A64" s="237" t="s">
        <v>87</v>
      </c>
      <c r="B64" s="38" t="s">
        <v>116</v>
      </c>
      <c r="C64" s="220" t="s">
        <v>146</v>
      </c>
      <c r="D64" s="220"/>
      <c r="E64" s="42">
        <v>20.36</v>
      </c>
      <c r="F64" s="38">
        <v>3180</v>
      </c>
      <c r="G64" s="4">
        <f t="shared" si="58"/>
        <v>64744.799999999996</v>
      </c>
      <c r="H64" s="37" t="s">
        <v>91</v>
      </c>
      <c r="I64" s="16">
        <v>17</v>
      </c>
      <c r="J64" s="39">
        <v>2400</v>
      </c>
      <c r="K64" s="17">
        <f t="shared" si="51"/>
        <v>141.1764705882353</v>
      </c>
      <c r="L64" s="16">
        <v>17</v>
      </c>
      <c r="M64" s="18">
        <f t="shared" si="59"/>
        <v>2298.7951807228919</v>
      </c>
      <c r="N64" s="17">
        <f t="shared" si="52"/>
        <v>135.22324592487598</v>
      </c>
      <c r="O64" s="19">
        <f t="shared" si="53"/>
        <v>0</v>
      </c>
      <c r="P64" s="20">
        <f t="shared" si="54"/>
        <v>-5.9532246633593218</v>
      </c>
      <c r="Q64" s="21">
        <f t="shared" si="55"/>
        <v>0.95783132530120485</v>
      </c>
      <c r="R64" s="198"/>
      <c r="S64" s="40">
        <v>0.18958333333333333</v>
      </c>
      <c r="T64" s="40">
        <v>0.2472222222222222</v>
      </c>
      <c r="U64" s="4">
        <f t="shared" ref="U64:U70" si="61">(S64-T63)*24*60</f>
        <v>26.999999999999986</v>
      </c>
      <c r="V64" s="22">
        <f t="shared" si="60"/>
        <v>82.999999999999986</v>
      </c>
      <c r="W64" s="23"/>
      <c r="X64" s="23"/>
      <c r="Y64" s="23"/>
      <c r="Z64" s="23"/>
      <c r="AA64" s="191"/>
      <c r="AB64" s="191"/>
      <c r="AC64" s="25"/>
      <c r="AD64" s="25"/>
      <c r="AE64" s="19">
        <f t="shared" si="50"/>
        <v>-101.20481927710807</v>
      </c>
      <c r="AF64" s="21">
        <f t="shared" si="57"/>
        <v>0.95783132530120496</v>
      </c>
      <c r="AG64" s="198"/>
    </row>
    <row r="65" spans="1:33" ht="15.75" customHeight="1">
      <c r="A65" s="237" t="s">
        <v>87</v>
      </c>
      <c r="B65" s="38" t="s">
        <v>116</v>
      </c>
      <c r="C65" s="220" t="s">
        <v>147</v>
      </c>
      <c r="D65" s="220"/>
      <c r="E65" s="42">
        <v>25.98</v>
      </c>
      <c r="F65" s="38">
        <v>2285</v>
      </c>
      <c r="G65" s="4">
        <f t="shared" si="58"/>
        <v>59364.3</v>
      </c>
      <c r="H65" s="37" t="s">
        <v>91</v>
      </c>
      <c r="I65" s="16">
        <v>17</v>
      </c>
      <c r="J65" s="39">
        <v>2400</v>
      </c>
      <c r="K65" s="17">
        <f t="shared" si="51"/>
        <v>141.1764705882353</v>
      </c>
      <c r="L65" s="16">
        <v>17</v>
      </c>
      <c r="M65" s="18">
        <f t="shared" si="59"/>
        <v>2284.9999999999991</v>
      </c>
      <c r="N65" s="17">
        <f t="shared" si="52"/>
        <v>134.41176470588229</v>
      </c>
      <c r="O65" s="19">
        <f t="shared" si="53"/>
        <v>0</v>
      </c>
      <c r="P65" s="20">
        <f t="shared" si="54"/>
        <v>-6.7647058823530131</v>
      </c>
      <c r="Q65" s="21">
        <f t="shared" si="55"/>
        <v>0.95208333333333284</v>
      </c>
      <c r="R65" s="198"/>
      <c r="S65" s="40">
        <v>0.25138888888888888</v>
      </c>
      <c r="T65" s="40">
        <v>0.29305555555555557</v>
      </c>
      <c r="U65" s="4">
        <f t="shared" si="61"/>
        <v>6.0000000000000187</v>
      </c>
      <c r="V65" s="22">
        <f t="shared" si="60"/>
        <v>60.000000000000028</v>
      </c>
      <c r="W65" s="23"/>
      <c r="X65" s="23"/>
      <c r="Y65" s="23"/>
      <c r="Z65" s="23"/>
      <c r="AA65" s="191"/>
      <c r="AB65" s="191"/>
      <c r="AC65" s="25"/>
      <c r="AD65" s="25"/>
      <c r="AE65" s="19">
        <f t="shared" si="50"/>
        <v>-115.00000000000091</v>
      </c>
      <c r="AF65" s="21">
        <f t="shared" si="57"/>
        <v>0.95208333333333295</v>
      </c>
      <c r="AG65" s="198"/>
    </row>
    <row r="66" spans="1:33" ht="15.75" customHeight="1">
      <c r="A66" s="237" t="s">
        <v>86</v>
      </c>
      <c r="B66" s="38" t="s">
        <v>116</v>
      </c>
      <c r="C66" s="220" t="s">
        <v>148</v>
      </c>
      <c r="D66" s="220"/>
      <c r="E66" s="42">
        <v>28.29</v>
      </c>
      <c r="F66" s="38">
        <v>3889</v>
      </c>
      <c r="G66" s="4">
        <f t="shared" si="58"/>
        <v>110019.81</v>
      </c>
      <c r="H66" s="37" t="s">
        <v>91</v>
      </c>
      <c r="I66" s="16">
        <v>21</v>
      </c>
      <c r="J66" s="39">
        <v>2400</v>
      </c>
      <c r="K66" s="17">
        <f t="shared" si="51"/>
        <v>114.28571428571429</v>
      </c>
      <c r="L66" s="16">
        <v>21</v>
      </c>
      <c r="M66" s="18">
        <f t="shared" si="59"/>
        <v>2287.6470588235284</v>
      </c>
      <c r="N66" s="17">
        <f t="shared" si="52"/>
        <v>108.93557422969182</v>
      </c>
      <c r="O66" s="19">
        <f t="shared" si="53"/>
        <v>0</v>
      </c>
      <c r="P66" s="20">
        <f t="shared" si="54"/>
        <v>-5.3501400560224681</v>
      </c>
      <c r="Q66" s="21">
        <f t="shared" si="55"/>
        <v>0.95318627450980342</v>
      </c>
      <c r="R66" s="198"/>
      <c r="S66" s="40">
        <v>0.29652777777777778</v>
      </c>
      <c r="T66" s="40">
        <v>0.36736111111111114</v>
      </c>
      <c r="U66" s="4">
        <f t="shared" si="61"/>
        <v>4.9999999999999822</v>
      </c>
      <c r="V66" s="22">
        <f t="shared" si="60"/>
        <v>102.00000000000004</v>
      </c>
      <c r="W66" s="23"/>
      <c r="X66" s="23"/>
      <c r="Y66" s="23"/>
      <c r="Z66" s="23"/>
      <c r="AA66" s="191"/>
      <c r="AB66" s="191"/>
      <c r="AC66" s="25"/>
      <c r="AD66" s="25"/>
      <c r="AE66" s="19">
        <f t="shared" si="50"/>
        <v>-112.35294117647163</v>
      </c>
      <c r="AF66" s="21">
        <f t="shared" si="57"/>
        <v>0.95318627450980353</v>
      </c>
      <c r="AG66" s="198"/>
    </row>
    <row r="67" spans="1:33" ht="15.75" customHeight="1">
      <c r="A67" s="237" t="s">
        <v>87</v>
      </c>
      <c r="B67" s="38" t="s">
        <v>116</v>
      </c>
      <c r="C67" s="220" t="s">
        <v>149</v>
      </c>
      <c r="D67" s="220"/>
      <c r="E67" s="42">
        <v>24.25</v>
      </c>
      <c r="F67" s="38">
        <v>4174</v>
      </c>
      <c r="G67" s="4">
        <f t="shared" si="58"/>
        <v>101219.5</v>
      </c>
      <c r="H67" s="37" t="s">
        <v>91</v>
      </c>
      <c r="I67" s="16">
        <v>17</v>
      </c>
      <c r="J67" s="39">
        <v>2400</v>
      </c>
      <c r="K67" s="17">
        <f t="shared" si="51"/>
        <v>141.1764705882353</v>
      </c>
      <c r="L67" s="16">
        <v>17</v>
      </c>
      <c r="M67" s="18">
        <f t="shared" si="59"/>
        <v>2297.6146788990823</v>
      </c>
      <c r="N67" s="17">
        <f t="shared" si="52"/>
        <v>135.15380464112249</v>
      </c>
      <c r="O67" s="19">
        <f t="shared" si="53"/>
        <v>0</v>
      </c>
      <c r="P67" s="20">
        <f t="shared" si="54"/>
        <v>-6.022665947112813</v>
      </c>
      <c r="Q67" s="21">
        <f t="shared" si="55"/>
        <v>0.95733944954128425</v>
      </c>
      <c r="R67" s="198"/>
      <c r="S67" s="40">
        <v>0.37083333333333335</v>
      </c>
      <c r="T67" s="40">
        <v>0.4465277777777778</v>
      </c>
      <c r="U67" s="4">
        <f t="shared" si="61"/>
        <v>4.9999999999999822</v>
      </c>
      <c r="V67" s="22">
        <f t="shared" si="60"/>
        <v>109.00000000000001</v>
      </c>
      <c r="W67" s="23"/>
      <c r="X67" s="23"/>
      <c r="Y67" s="23"/>
      <c r="Z67" s="23"/>
      <c r="AA67" s="191"/>
      <c r="AB67" s="191"/>
      <c r="AC67" s="25"/>
      <c r="AD67" s="25"/>
      <c r="AE67" s="19">
        <f t="shared" si="50"/>
        <v>-102.38532110091774</v>
      </c>
      <c r="AF67" s="21">
        <f t="shared" si="57"/>
        <v>0.95733944954128425</v>
      </c>
      <c r="AG67" s="198"/>
    </row>
    <row r="68" spans="1:33" ht="15.75" customHeight="1">
      <c r="A68" s="237" t="s">
        <v>88</v>
      </c>
      <c r="B68" s="38" t="s">
        <v>116</v>
      </c>
      <c r="C68" s="220" t="s">
        <v>150</v>
      </c>
      <c r="D68" s="220"/>
      <c r="E68" s="42">
        <v>23.89</v>
      </c>
      <c r="F68" s="38">
        <v>3800</v>
      </c>
      <c r="G68" s="4">
        <f t="shared" si="58"/>
        <v>90782</v>
      </c>
      <c r="H68" s="37">
        <v>2</v>
      </c>
      <c r="I68" s="16">
        <v>13</v>
      </c>
      <c r="J68" s="39">
        <v>2400</v>
      </c>
      <c r="K68" s="17">
        <f t="shared" si="51"/>
        <v>184.61538461538461</v>
      </c>
      <c r="L68" s="16">
        <v>13</v>
      </c>
      <c r="M68" s="18">
        <f t="shared" si="59"/>
        <v>2303.0303030303021</v>
      </c>
      <c r="N68" s="17">
        <f t="shared" si="52"/>
        <v>177.15617715617708</v>
      </c>
      <c r="O68" s="19">
        <f t="shared" si="53"/>
        <v>0</v>
      </c>
      <c r="P68" s="20">
        <f t="shared" si="54"/>
        <v>-7.4592074592075335</v>
      </c>
      <c r="Q68" s="21">
        <f t="shared" si="55"/>
        <v>0.95959595959595922</v>
      </c>
      <c r="R68" s="198"/>
      <c r="S68" s="40">
        <v>0.45208333333333334</v>
      </c>
      <c r="T68" s="40">
        <v>0.52083333333333337</v>
      </c>
      <c r="U68" s="4">
        <f t="shared" si="61"/>
        <v>7.9999999999999716</v>
      </c>
      <c r="V68" s="22">
        <f t="shared" si="60"/>
        <v>99.000000000000043</v>
      </c>
      <c r="W68" s="23">
        <f>T68</f>
        <v>0.52083333333333337</v>
      </c>
      <c r="X68" s="23">
        <f>S69</f>
        <v>0.56111111111111112</v>
      </c>
      <c r="Y68" s="23"/>
      <c r="Z68" s="23"/>
      <c r="AA68" s="191"/>
      <c r="AB68" s="191"/>
      <c r="AC68" s="25"/>
      <c r="AD68" s="25"/>
      <c r="AE68" s="19">
        <f t="shared" si="50"/>
        <v>-96.969696969697907</v>
      </c>
      <c r="AF68" s="21">
        <f t="shared" si="57"/>
        <v>0.95959595959595922</v>
      </c>
      <c r="AG68" s="198"/>
    </row>
    <row r="69" spans="1:33" ht="15.75" customHeight="1">
      <c r="A69" s="237" t="s">
        <v>86</v>
      </c>
      <c r="B69" s="38" t="s">
        <v>116</v>
      </c>
      <c r="C69" s="224" t="s">
        <v>145</v>
      </c>
      <c r="D69" s="225"/>
      <c r="E69" s="42">
        <v>19.02</v>
      </c>
      <c r="F69" s="38">
        <v>3862</v>
      </c>
      <c r="G69" s="4">
        <f t="shared" si="58"/>
        <v>73455.240000000005</v>
      </c>
      <c r="H69" s="37" t="s">
        <v>91</v>
      </c>
      <c r="I69" s="16">
        <v>14</v>
      </c>
      <c r="J69" s="39">
        <v>2400</v>
      </c>
      <c r="K69" s="17">
        <f t="shared" si="51"/>
        <v>171.42857142857142</v>
      </c>
      <c r="L69" s="16">
        <v>14</v>
      </c>
      <c r="M69" s="18">
        <f t="shared" si="59"/>
        <v>2294.2574257425749</v>
      </c>
      <c r="N69" s="17">
        <f t="shared" si="52"/>
        <v>163.87553041018393</v>
      </c>
      <c r="O69" s="19">
        <f t="shared" si="53"/>
        <v>0</v>
      </c>
      <c r="P69" s="20">
        <f t="shared" si="54"/>
        <v>-7.5530410183874892</v>
      </c>
      <c r="Q69" s="21">
        <f t="shared" si="55"/>
        <v>0.95594059405940635</v>
      </c>
      <c r="R69" s="198"/>
      <c r="S69" s="40">
        <v>0.56111111111111112</v>
      </c>
      <c r="T69" s="40">
        <v>0.63124999999999998</v>
      </c>
      <c r="U69" s="4">
        <f t="shared" si="61"/>
        <v>57.999999999999957</v>
      </c>
      <c r="V69" s="22">
        <f t="shared" si="60"/>
        <v>100.99999999999996</v>
      </c>
      <c r="W69" s="23"/>
      <c r="X69" s="23"/>
      <c r="Y69" s="26"/>
      <c r="Z69" s="26"/>
      <c r="AA69" s="209"/>
      <c r="AB69" s="210"/>
      <c r="AC69" s="25"/>
      <c r="AD69" s="25"/>
      <c r="AE69" s="19">
        <f t="shared" si="50"/>
        <v>-105.74257425742508</v>
      </c>
      <c r="AF69" s="21">
        <f t="shared" si="57"/>
        <v>0.95594059405940623</v>
      </c>
      <c r="AG69" s="198"/>
    </row>
    <row r="70" spans="1:33" ht="15.75" customHeight="1">
      <c r="A70" s="237" t="s">
        <v>86</v>
      </c>
      <c r="B70" s="38" t="s">
        <v>116</v>
      </c>
      <c r="C70" s="224" t="s">
        <v>150</v>
      </c>
      <c r="D70" s="225"/>
      <c r="E70" s="42">
        <v>23.89</v>
      </c>
      <c r="F70" s="38">
        <v>2669</v>
      </c>
      <c r="G70" s="4">
        <f t="shared" si="58"/>
        <v>63762.41</v>
      </c>
      <c r="H70" s="37" t="s">
        <v>91</v>
      </c>
      <c r="I70" s="16">
        <v>13</v>
      </c>
      <c r="J70" s="39">
        <v>2400</v>
      </c>
      <c r="K70" s="17">
        <f t="shared" si="51"/>
        <v>184.61538461538461</v>
      </c>
      <c r="L70" s="16">
        <v>13</v>
      </c>
      <c r="M70" s="18">
        <f t="shared" si="59"/>
        <v>2287.7142857142835</v>
      </c>
      <c r="N70" s="17">
        <f t="shared" si="52"/>
        <v>175.97802197802181</v>
      </c>
      <c r="O70" s="19">
        <f t="shared" si="53"/>
        <v>0</v>
      </c>
      <c r="P70" s="20">
        <f t="shared" si="54"/>
        <v>-8.6373626373627985</v>
      </c>
      <c r="Q70" s="21">
        <f t="shared" si="55"/>
        <v>0.95321428571428479</v>
      </c>
      <c r="R70" s="198"/>
      <c r="S70" s="40">
        <v>0.63541666666666663</v>
      </c>
      <c r="T70" s="40">
        <v>0.68402777777777779</v>
      </c>
      <c r="U70" s="4">
        <f t="shared" si="61"/>
        <v>5.9999999999999787</v>
      </c>
      <c r="V70" s="22">
        <f t="shared" si="60"/>
        <v>70.000000000000071</v>
      </c>
      <c r="W70" s="23"/>
      <c r="X70" s="23"/>
      <c r="Y70" s="26"/>
      <c r="Z70" s="26"/>
      <c r="AA70" s="209"/>
      <c r="AB70" s="210"/>
      <c r="AC70" s="25"/>
      <c r="AD70" s="25"/>
      <c r="AE70" s="19">
        <f t="shared" si="50"/>
        <v>-112.28571428571649</v>
      </c>
      <c r="AF70" s="21">
        <f t="shared" si="57"/>
        <v>0.95321428571428479</v>
      </c>
      <c r="AG70" s="198"/>
    </row>
    <row r="71" spans="1:33" ht="16.5" customHeight="1">
      <c r="A71" s="238" t="s">
        <v>89</v>
      </c>
      <c r="B71" s="42" t="s">
        <v>82</v>
      </c>
      <c r="C71" s="229"/>
      <c r="D71" s="230"/>
      <c r="E71" s="43"/>
      <c r="F71" s="44"/>
      <c r="G71" s="17"/>
      <c r="H71" s="38"/>
      <c r="I71" s="29">
        <v>15.75</v>
      </c>
      <c r="J71" s="39">
        <v>2400</v>
      </c>
      <c r="K71" s="17">
        <f t="shared" si="51"/>
        <v>152.38095238095238</v>
      </c>
      <c r="L71" s="29">
        <v>15.75</v>
      </c>
      <c r="M71" s="18">
        <f>AVERAGE(M63:M70)</f>
        <v>2292.4716523308684</v>
      </c>
      <c r="N71" s="17">
        <f t="shared" si="52"/>
        <v>145.55375570354721</v>
      </c>
      <c r="O71" s="19">
        <f t="shared" si="53"/>
        <v>0</v>
      </c>
      <c r="P71" s="20">
        <f t="shared" si="54"/>
        <v>-6.8271966774051691</v>
      </c>
      <c r="Q71" s="21">
        <f t="shared" si="55"/>
        <v>0.95519652180452863</v>
      </c>
      <c r="R71" s="198"/>
      <c r="S71" s="40"/>
      <c r="T71" s="40"/>
      <c r="U71" s="17"/>
      <c r="V71" s="22"/>
      <c r="W71" s="17"/>
      <c r="X71" s="17"/>
      <c r="Y71" s="30">
        <f>SUM(Y63:Y70)</f>
        <v>0</v>
      </c>
      <c r="Z71" s="30">
        <f>SUM(Z63:Z70)</f>
        <v>0</v>
      </c>
      <c r="AA71" s="201"/>
      <c r="AB71" s="201"/>
      <c r="AC71" s="30">
        <v>8</v>
      </c>
      <c r="AD71" s="30">
        <v>0</v>
      </c>
      <c r="AE71" s="19">
        <f t="shared" si="50"/>
        <v>-107.52834766913156</v>
      </c>
      <c r="AF71" s="21">
        <f t="shared" si="57"/>
        <v>0.95519652180452852</v>
      </c>
      <c r="AG71" s="198"/>
    </row>
    <row r="72" spans="1:33">
      <c r="D72" s="33"/>
      <c r="E72" s="33"/>
    </row>
  </sheetData>
  <mergeCells count="189">
    <mergeCell ref="AA66:AB66"/>
    <mergeCell ref="C67:D67"/>
    <mergeCell ref="AA67:AB67"/>
    <mergeCell ref="C68:D68"/>
    <mergeCell ref="A63:A71"/>
    <mergeCell ref="C63:D63"/>
    <mergeCell ref="R63:R71"/>
    <mergeCell ref="AA63:AB63"/>
    <mergeCell ref="AA68:AB68"/>
    <mergeCell ref="C69:D69"/>
    <mergeCell ref="AG58:AG62"/>
    <mergeCell ref="C59:D59"/>
    <mergeCell ref="AA59:AB59"/>
    <mergeCell ref="C60:D60"/>
    <mergeCell ref="AA60:AB60"/>
    <mergeCell ref="C61:D61"/>
    <mergeCell ref="AA61:AB61"/>
    <mergeCell ref="C71:D71"/>
    <mergeCell ref="AA71:AB71"/>
    <mergeCell ref="AA69:AB69"/>
    <mergeCell ref="C70:D70"/>
    <mergeCell ref="AA70:AB70"/>
    <mergeCell ref="AG63:AG71"/>
    <mergeCell ref="C64:D64"/>
    <mergeCell ref="AA64:AB64"/>
    <mergeCell ref="C65:D65"/>
    <mergeCell ref="AA65:AB65"/>
    <mergeCell ref="C66:D66"/>
    <mergeCell ref="A58:A62"/>
    <mergeCell ref="C58:D58"/>
    <mergeCell ref="R58:R62"/>
    <mergeCell ref="AA58:AB58"/>
    <mergeCell ref="AA52:AB52"/>
    <mergeCell ref="C53:D53"/>
    <mergeCell ref="AA53:AB53"/>
    <mergeCell ref="C54:D54"/>
    <mergeCell ref="AA54:AB54"/>
    <mergeCell ref="C55:D55"/>
    <mergeCell ref="AA55:AB55"/>
    <mergeCell ref="A48:A57"/>
    <mergeCell ref="C48:D48"/>
    <mergeCell ref="R48:R57"/>
    <mergeCell ref="AA48:AB48"/>
    <mergeCell ref="C62:D62"/>
    <mergeCell ref="AA62:AB62"/>
    <mergeCell ref="AG48:AG57"/>
    <mergeCell ref="C49:D49"/>
    <mergeCell ref="AA49:AB49"/>
    <mergeCell ref="C50:D50"/>
    <mergeCell ref="AA50:AB50"/>
    <mergeCell ref="AA51:AB51"/>
    <mergeCell ref="C47:D47"/>
    <mergeCell ref="AA47:AB47"/>
    <mergeCell ref="AA46:AB46"/>
    <mergeCell ref="C57:D57"/>
    <mergeCell ref="AA57:AB57"/>
    <mergeCell ref="A43:A47"/>
    <mergeCell ref="C43:D43"/>
    <mergeCell ref="R43:R47"/>
    <mergeCell ref="AA43:AB43"/>
    <mergeCell ref="AG43:AG47"/>
    <mergeCell ref="C44:D44"/>
    <mergeCell ref="AA44:AB44"/>
    <mergeCell ref="C45:D45"/>
    <mergeCell ref="AA45:AB45"/>
    <mergeCell ref="C46:D46"/>
    <mergeCell ref="C42:D42"/>
    <mergeCell ref="AA42:AB42"/>
    <mergeCell ref="AA41:AB41"/>
    <mergeCell ref="A38:A42"/>
    <mergeCell ref="C38:D38"/>
    <mergeCell ref="R38:R42"/>
    <mergeCell ref="AA38:AB38"/>
    <mergeCell ref="AG38:AG42"/>
    <mergeCell ref="C39:D39"/>
    <mergeCell ref="AA39:AB39"/>
    <mergeCell ref="C40:D40"/>
    <mergeCell ref="AA40:AB40"/>
    <mergeCell ref="C41:D41"/>
    <mergeCell ref="AG30:AG37"/>
    <mergeCell ref="C31:D31"/>
    <mergeCell ref="AA31:AB31"/>
    <mergeCell ref="C32:D32"/>
    <mergeCell ref="AA32:AB32"/>
    <mergeCell ref="C33:D33"/>
    <mergeCell ref="AA33:AB33"/>
    <mergeCell ref="C34:D34"/>
    <mergeCell ref="AA34:AB34"/>
    <mergeCell ref="C35:D35"/>
    <mergeCell ref="A23:A29"/>
    <mergeCell ref="C23:D23"/>
    <mergeCell ref="R23:R29"/>
    <mergeCell ref="AA23:AB23"/>
    <mergeCell ref="C29:D29"/>
    <mergeCell ref="AA29:AB29"/>
    <mergeCell ref="A30:A37"/>
    <mergeCell ref="C30:D30"/>
    <mergeCell ref="R30:R37"/>
    <mergeCell ref="AA30:AB30"/>
    <mergeCell ref="AA35:AB35"/>
    <mergeCell ref="C36:D36"/>
    <mergeCell ref="AA36:AB36"/>
    <mergeCell ref="C37:D37"/>
    <mergeCell ref="AA37:AB37"/>
    <mergeCell ref="AG23:AG29"/>
    <mergeCell ref="C24:D24"/>
    <mergeCell ref="AA24:AB24"/>
    <mergeCell ref="C25:D25"/>
    <mergeCell ref="AA25:AB25"/>
    <mergeCell ref="C26:D26"/>
    <mergeCell ref="C22:D22"/>
    <mergeCell ref="AA22:AB22"/>
    <mergeCell ref="AG15:AG22"/>
    <mergeCell ref="C16:D16"/>
    <mergeCell ref="AA16:AB16"/>
    <mergeCell ref="C17:D17"/>
    <mergeCell ref="AA17:AB17"/>
    <mergeCell ref="C18:D18"/>
    <mergeCell ref="AA18:AB18"/>
    <mergeCell ref="C19:D19"/>
    <mergeCell ref="AA19:AB19"/>
    <mergeCell ref="AA26:AB26"/>
    <mergeCell ref="C27:D27"/>
    <mergeCell ref="AA27:AB27"/>
    <mergeCell ref="C28:D28"/>
    <mergeCell ref="AA28:AB28"/>
    <mergeCell ref="A15:A22"/>
    <mergeCell ref="C15:D15"/>
    <mergeCell ref="R15:R22"/>
    <mergeCell ref="AA15:AB15"/>
    <mergeCell ref="AA12:AB12"/>
    <mergeCell ref="C13:D13"/>
    <mergeCell ref="AA13:AB13"/>
    <mergeCell ref="A9:A14"/>
    <mergeCell ref="C9:D9"/>
    <mergeCell ref="R9:R14"/>
    <mergeCell ref="AA9:AB9"/>
    <mergeCell ref="AG9:AG14"/>
    <mergeCell ref="C10:D10"/>
    <mergeCell ref="AA10:AB10"/>
    <mergeCell ref="C11:D11"/>
    <mergeCell ref="AA11:AB11"/>
    <mergeCell ref="C12:D12"/>
    <mergeCell ref="C8:D8"/>
    <mergeCell ref="AA8:AB8"/>
    <mergeCell ref="C7:D7"/>
    <mergeCell ref="AA7:AB7"/>
    <mergeCell ref="C14:D14"/>
    <mergeCell ref="AA14:AB1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61:O68 O57:O58 O71 O5:O9 O14:O16 O22:O53">
    <cfRule type="cellIs" dxfId="165" priority="210" operator="greaterThan">
      <formula>0</formula>
    </cfRule>
  </conditionalFormatting>
  <conditionalFormatting sqref="P5:P7 P61 AE61 P63:P68 P30:P36 P58 P9 P14:P16 P23:P28 P48:P53 P38:P46 AE5:AE58 AE63:AE71">
    <cfRule type="cellIs" dxfId="164" priority="214" operator="lessThan">
      <formula>0</formula>
    </cfRule>
  </conditionalFormatting>
  <conditionalFormatting sqref="AF61 Q61:Q68 Q57:Q58 Q71 Q5:Q9 Q14:Q16 Q22:Q53 AF5:AF58 AF63:AF71">
    <cfRule type="cellIs" dxfId="163" priority="211" operator="greaterThan">
      <formula>1</formula>
    </cfRule>
    <cfRule type="cellIs" dxfId="162" priority="212" operator="lessThan">
      <formula>0.8</formula>
    </cfRule>
  </conditionalFormatting>
  <conditionalFormatting sqref="AG15:AG16 R15:R16 AG61 R61:R68 AG57:AG58 R57:R58 R71 AG5:AG9 R5:R9 AG22:AG53 R22:R53">
    <cfRule type="cellIs" dxfId="161" priority="216" operator="lessThan">
      <formula>0.8</formula>
    </cfRule>
  </conditionalFormatting>
  <conditionalFormatting sqref="AG43">
    <cfRule type="cellIs" dxfId="160" priority="218" operator="lessThan">
      <formula>0.8</formula>
    </cfRule>
  </conditionalFormatting>
  <conditionalFormatting sqref="AG23:AG28">
    <cfRule type="cellIs" dxfId="159" priority="215" operator="lessThan">
      <formula>0.8</formula>
    </cfRule>
  </conditionalFormatting>
  <conditionalFormatting sqref="AG30">
    <cfRule type="cellIs" dxfId="158" priority="217" operator="lessThan">
      <formula>0.8</formula>
    </cfRule>
  </conditionalFormatting>
  <conditionalFormatting sqref="AG38:AG41">
    <cfRule type="cellIs" dxfId="157" priority="213" operator="lessThan">
      <formula>0.8</formula>
    </cfRule>
  </conditionalFormatting>
  <conditionalFormatting sqref="AE62">
    <cfRule type="cellIs" dxfId="156" priority="209" operator="lessThan">
      <formula>0</formula>
    </cfRule>
  </conditionalFormatting>
  <conditionalFormatting sqref="AF62">
    <cfRule type="cellIs" dxfId="155" priority="207" operator="greaterThan">
      <formula>1</formula>
    </cfRule>
    <cfRule type="cellIs" dxfId="154" priority="208" operator="lessThan">
      <formula>0.8</formula>
    </cfRule>
  </conditionalFormatting>
  <conditionalFormatting sqref="O17:O18">
    <cfRule type="cellIs" dxfId="153" priority="202" operator="greaterThan">
      <formula>0</formula>
    </cfRule>
  </conditionalFormatting>
  <conditionalFormatting sqref="P17:P18">
    <cfRule type="cellIs" dxfId="152" priority="205" operator="lessThan">
      <formula>0</formula>
    </cfRule>
  </conditionalFormatting>
  <conditionalFormatting sqref="Q17:Q18">
    <cfRule type="cellIs" dxfId="151" priority="203" operator="greaterThan">
      <formula>1</formula>
    </cfRule>
    <cfRule type="cellIs" dxfId="150" priority="204" operator="lessThan">
      <formula>0.8</formula>
    </cfRule>
  </conditionalFormatting>
  <conditionalFormatting sqref="R17:R18 AG17:AG18">
    <cfRule type="cellIs" dxfId="149" priority="206" operator="lessThan">
      <formula>0.8</formula>
    </cfRule>
  </conditionalFormatting>
  <conditionalFormatting sqref="O10:O13">
    <cfRule type="cellIs" dxfId="148" priority="198" operator="greaterThan">
      <formula>0</formula>
    </cfRule>
  </conditionalFormatting>
  <conditionalFormatting sqref="P10:P13">
    <cfRule type="cellIs" dxfId="147" priority="201" operator="lessThan">
      <formula>0</formula>
    </cfRule>
  </conditionalFormatting>
  <conditionalFormatting sqref="Q10:Q13">
    <cfRule type="cellIs" dxfId="146" priority="199" operator="greaterThan">
      <formula>1</formula>
    </cfRule>
    <cfRule type="cellIs" dxfId="145" priority="200" operator="lessThan">
      <formula>0.8</formula>
    </cfRule>
  </conditionalFormatting>
  <conditionalFormatting sqref="O54">
    <cfRule type="cellIs" dxfId="144" priority="193" operator="greaterThan">
      <formula>0</formula>
    </cfRule>
  </conditionalFormatting>
  <conditionalFormatting sqref="P54">
    <cfRule type="cellIs" dxfId="143" priority="196" operator="lessThan">
      <formula>0</formula>
    </cfRule>
  </conditionalFormatting>
  <conditionalFormatting sqref="Q54">
    <cfRule type="cellIs" dxfId="142" priority="194" operator="greaterThan">
      <formula>1</formula>
    </cfRule>
    <cfRule type="cellIs" dxfId="141" priority="195" operator="lessThan">
      <formula>0.8</formula>
    </cfRule>
  </conditionalFormatting>
  <conditionalFormatting sqref="R54 AG54">
    <cfRule type="cellIs" dxfId="140" priority="197" operator="lessThan">
      <formula>0.8</formula>
    </cfRule>
  </conditionalFormatting>
  <conditionalFormatting sqref="O60">
    <cfRule type="cellIs" dxfId="139" priority="180" operator="greaterThan">
      <formula>0</formula>
    </cfRule>
  </conditionalFormatting>
  <conditionalFormatting sqref="P60 AE60">
    <cfRule type="cellIs" dxfId="138" priority="183" operator="lessThan">
      <formula>0</formula>
    </cfRule>
  </conditionalFormatting>
  <conditionalFormatting sqref="Q60 AF60">
    <cfRule type="cellIs" dxfId="137" priority="181" operator="greaterThan">
      <formula>1</formula>
    </cfRule>
    <cfRule type="cellIs" dxfId="136" priority="182" operator="lessThan">
      <formula>0.8</formula>
    </cfRule>
  </conditionalFormatting>
  <conditionalFormatting sqref="R60 AG60">
    <cfRule type="cellIs" dxfId="135" priority="184" operator="lessThan">
      <formula>0.8</formula>
    </cfRule>
  </conditionalFormatting>
  <conditionalFormatting sqref="O69">
    <cfRule type="cellIs" dxfId="134" priority="153" operator="greaterThan">
      <formula>0</formula>
    </cfRule>
  </conditionalFormatting>
  <conditionalFormatting sqref="P69">
    <cfRule type="cellIs" dxfId="133" priority="156" operator="lessThan">
      <formula>0</formula>
    </cfRule>
  </conditionalFormatting>
  <conditionalFormatting sqref="Q69">
    <cfRule type="cellIs" dxfId="132" priority="154" operator="greaterThan">
      <formula>1</formula>
    </cfRule>
    <cfRule type="cellIs" dxfId="131" priority="155" operator="lessThan">
      <formula>0.8</formula>
    </cfRule>
  </conditionalFormatting>
  <conditionalFormatting sqref="R69">
    <cfRule type="cellIs" dxfId="130" priority="157" operator="lessThan">
      <formula>0.8</formula>
    </cfRule>
  </conditionalFormatting>
  <conditionalFormatting sqref="O19:O20">
    <cfRule type="cellIs" dxfId="129" priority="148" operator="greaterThan">
      <formula>0</formula>
    </cfRule>
  </conditionalFormatting>
  <conditionalFormatting sqref="P19:P20">
    <cfRule type="cellIs" dxfId="128" priority="151" operator="lessThan">
      <formula>0</formula>
    </cfRule>
  </conditionalFormatting>
  <conditionalFormatting sqref="Q19:Q20">
    <cfRule type="cellIs" dxfId="127" priority="149" operator="greaterThan">
      <formula>1</formula>
    </cfRule>
    <cfRule type="cellIs" dxfId="126" priority="150" operator="lessThan">
      <formula>0.8</formula>
    </cfRule>
  </conditionalFormatting>
  <conditionalFormatting sqref="R19:R20 AG19:AG20">
    <cfRule type="cellIs" dxfId="125" priority="152" operator="lessThan">
      <formula>0.8</formula>
    </cfRule>
  </conditionalFormatting>
  <conditionalFormatting sqref="O55">
    <cfRule type="cellIs" dxfId="124" priority="126" operator="greaterThan">
      <formula>0</formula>
    </cfRule>
  </conditionalFormatting>
  <conditionalFormatting sqref="P55">
    <cfRule type="cellIs" dxfId="123" priority="129" operator="lessThan">
      <formula>0</formula>
    </cfRule>
  </conditionalFormatting>
  <conditionalFormatting sqref="Q55">
    <cfRule type="cellIs" dxfId="122" priority="127" operator="greaterThan">
      <formula>1</formula>
    </cfRule>
    <cfRule type="cellIs" dxfId="121" priority="128" operator="lessThan">
      <formula>0.8</formula>
    </cfRule>
  </conditionalFormatting>
  <conditionalFormatting sqref="AG55 R55">
    <cfRule type="cellIs" dxfId="120" priority="130" operator="lessThan">
      <formula>0.8</formula>
    </cfRule>
  </conditionalFormatting>
  <conditionalFormatting sqref="O59">
    <cfRule type="cellIs" dxfId="119" priority="91" operator="greaterThan">
      <formula>0</formula>
    </cfRule>
  </conditionalFormatting>
  <conditionalFormatting sqref="P59 AE59">
    <cfRule type="cellIs" dxfId="118" priority="94" operator="lessThan">
      <formula>0</formula>
    </cfRule>
  </conditionalFormatting>
  <conditionalFormatting sqref="Q59 AF59">
    <cfRule type="cellIs" dxfId="117" priority="92" operator="greaterThan">
      <formula>1</formula>
    </cfRule>
    <cfRule type="cellIs" dxfId="116" priority="93" operator="lessThan">
      <formula>0.8</formula>
    </cfRule>
  </conditionalFormatting>
  <conditionalFormatting sqref="R59 AG59">
    <cfRule type="cellIs" dxfId="115" priority="95" operator="lessThan">
      <formula>0.8</formula>
    </cfRule>
  </conditionalFormatting>
  <conditionalFormatting sqref="O21">
    <cfRule type="cellIs" dxfId="114" priority="86" operator="greaterThan">
      <formula>0</formula>
    </cfRule>
  </conditionalFormatting>
  <conditionalFormatting sqref="P21">
    <cfRule type="cellIs" dxfId="113" priority="89" operator="lessThan">
      <formula>0</formula>
    </cfRule>
  </conditionalFormatting>
  <conditionalFormatting sqref="Q21">
    <cfRule type="cellIs" dxfId="112" priority="87" operator="greaterThan">
      <formula>1</formula>
    </cfRule>
    <cfRule type="cellIs" dxfId="111" priority="88" operator="lessThan">
      <formula>0.8</formula>
    </cfRule>
  </conditionalFormatting>
  <conditionalFormatting sqref="AG21 R21">
    <cfRule type="cellIs" dxfId="110" priority="90" operator="lessThan">
      <formula>0.8</formula>
    </cfRule>
  </conditionalFormatting>
  <conditionalFormatting sqref="P8">
    <cfRule type="cellIs" dxfId="109" priority="77" operator="lessThan">
      <formula>0</formula>
    </cfRule>
  </conditionalFormatting>
  <conditionalFormatting sqref="P22">
    <cfRule type="cellIs" dxfId="108" priority="75" operator="lessThan">
      <formula>0</formula>
    </cfRule>
  </conditionalFormatting>
  <conditionalFormatting sqref="P29">
    <cfRule type="cellIs" dxfId="107" priority="74" operator="lessThan">
      <formula>0</formula>
    </cfRule>
  </conditionalFormatting>
  <conditionalFormatting sqref="P37">
    <cfRule type="cellIs" dxfId="106" priority="73" operator="lessThan">
      <formula>0</formula>
    </cfRule>
  </conditionalFormatting>
  <conditionalFormatting sqref="P47">
    <cfRule type="cellIs" dxfId="105" priority="72" operator="lessThan">
      <formula>0</formula>
    </cfRule>
  </conditionalFormatting>
  <conditionalFormatting sqref="P57">
    <cfRule type="cellIs" dxfId="104" priority="71" operator="lessThan">
      <formula>0</formula>
    </cfRule>
  </conditionalFormatting>
  <conditionalFormatting sqref="P62">
    <cfRule type="cellIs" dxfId="103" priority="70" operator="lessThan">
      <formula>0</formula>
    </cfRule>
  </conditionalFormatting>
  <conditionalFormatting sqref="P71">
    <cfRule type="cellIs" dxfId="102" priority="69" operator="lessThan">
      <formula>0</formula>
    </cfRule>
  </conditionalFormatting>
  <conditionalFormatting sqref="O70">
    <cfRule type="cellIs" dxfId="101" priority="57" operator="greaterThan">
      <formula>0</formula>
    </cfRule>
  </conditionalFormatting>
  <conditionalFormatting sqref="P70">
    <cfRule type="cellIs" dxfId="100" priority="60" operator="lessThan">
      <formula>0</formula>
    </cfRule>
  </conditionalFormatting>
  <conditionalFormatting sqref="Q70">
    <cfRule type="cellIs" dxfId="99" priority="58" operator="greaterThan">
      <formula>1</formula>
    </cfRule>
    <cfRule type="cellIs" dxfId="98" priority="59" operator="lessThan">
      <formula>0.8</formula>
    </cfRule>
  </conditionalFormatting>
  <conditionalFormatting sqref="R70">
    <cfRule type="cellIs" dxfId="97" priority="61" operator="lessThan">
      <formula>0.8</formula>
    </cfRule>
  </conditionalFormatting>
  <conditionalFormatting sqref="O56">
    <cfRule type="cellIs" dxfId="96" priority="30" operator="greaterThan">
      <formula>0</formula>
    </cfRule>
  </conditionalFormatting>
  <conditionalFormatting sqref="P56">
    <cfRule type="cellIs" dxfId="95" priority="33" operator="lessThan">
      <formula>0</formula>
    </cfRule>
  </conditionalFormatting>
  <conditionalFormatting sqref="Q56">
    <cfRule type="cellIs" dxfId="94" priority="31" operator="greaterThan">
      <formula>1</formula>
    </cfRule>
    <cfRule type="cellIs" dxfId="93" priority="32" operator="lessThan">
      <formula>0.8</formula>
    </cfRule>
  </conditionalFormatting>
  <conditionalFormatting sqref="AG56 R56">
    <cfRule type="cellIs" dxfId="92" priority="34" operator="lessThan">
      <formula>0.8</formula>
    </cfRule>
  </conditionalFormatting>
  <dataValidations count="1">
    <dataValidation type="list" allowBlank="1" showInputMessage="1" showErrorMessage="1" sqref="AB8 AA5:AB7 AA8:AA61 AB10:AB58 AA62:AB71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0E444D-D497-422D-95E1-BBF297042325}"/>
</file>

<file path=customXml/itemProps2.xml><?xml version="1.0" encoding="utf-8"?>
<ds:datastoreItem xmlns:ds="http://schemas.openxmlformats.org/officeDocument/2006/customXml" ds:itemID="{4B1BD638-858E-4C17-8036-BE3345F7B4BF}"/>
</file>

<file path=customXml/itemProps3.xml><?xml version="1.0" encoding="utf-8"?>
<ds:datastoreItem xmlns:ds="http://schemas.openxmlformats.org/officeDocument/2006/customXml" ds:itemID="{079D8AB3-AD00-41BD-B0E7-81A9207FDD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0802</vt:lpstr>
      <vt:lpstr>0802 4度C</vt:lpstr>
      <vt:lpstr>0801</vt:lpstr>
      <vt:lpstr>0801 4度C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新豐生管04</dc:creator>
  <cp:lastModifiedBy>新豐生管02</cp:lastModifiedBy>
  <dcterms:created xsi:type="dcterms:W3CDTF">2026-08-02T01:35:55Z</dcterms:created>
  <dcterms:modified xsi:type="dcterms:W3CDTF">2026-08-03T02:03:29Z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