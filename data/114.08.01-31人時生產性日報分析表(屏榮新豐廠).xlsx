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worksheets/sheet58.xml" ContentType="application/vnd.openxmlformats-officedocument.spreadsheetml.worksheet+xml"/>
  <Override PartName="/xl/worksheets/sheet57.xml" ContentType="application/vnd.openxmlformats-officedocument.spreadsheetml.worksheet+xml"/>
  <Override PartName="/xl/worksheets/sheet56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5.xml" ContentType="application/vnd.openxmlformats-officedocument.spreadsheetml.worksheet+xml"/>
  <Override PartName="/xl/worksheets/sheet2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Z:\新豐\排程\人時生產日報\"/>
    </mc:Choice>
  </mc:AlternateContent>
  <bookViews>
    <workbookView xWindow="0" yWindow="0" windowWidth="15705" windowHeight="5610" tabRatio="797"/>
  </bookViews>
  <sheets>
    <sheet name="0831" sheetId="356" r:id="rId1"/>
    <sheet name="0831 4度C" sheetId="357" r:id="rId2"/>
    <sheet name="0830" sheetId="352" r:id="rId3"/>
    <sheet name="0830 4度C" sheetId="353" r:id="rId4"/>
    <sheet name="0829" sheetId="350" r:id="rId5"/>
    <sheet name="0829 4度C" sheetId="351" r:id="rId6"/>
    <sheet name="0828" sheetId="349" r:id="rId7"/>
    <sheet name="0828 4度C" sheetId="348" r:id="rId8"/>
    <sheet name="0827" sheetId="346" r:id="rId9"/>
    <sheet name="0827 4度C" sheetId="347" r:id="rId10"/>
    <sheet name="0826" sheetId="344" r:id="rId11"/>
    <sheet name="0826 4度C" sheetId="345" r:id="rId12"/>
    <sheet name="0825" sheetId="340" r:id="rId13"/>
    <sheet name="0825 4度C" sheetId="341" r:id="rId14"/>
    <sheet name="0824" sheetId="338" r:id="rId15"/>
    <sheet name="0824 4度C" sheetId="339" r:id="rId16"/>
    <sheet name="0823" sheetId="336" r:id="rId17"/>
    <sheet name="0823 4度C" sheetId="337" r:id="rId18"/>
    <sheet name="0822" sheetId="333" r:id="rId19"/>
    <sheet name="0822 4度C" sheetId="332" r:id="rId20"/>
    <sheet name="0821" sheetId="331" r:id="rId21"/>
    <sheet name="0821 4度C" sheetId="330" r:id="rId22"/>
    <sheet name="0820" sheetId="329" r:id="rId23"/>
    <sheet name="0820 4度C" sheetId="328" r:id="rId24"/>
    <sheet name="0819" sheetId="325" r:id="rId25"/>
    <sheet name="0819 4度C" sheetId="324" r:id="rId26"/>
    <sheet name="0818" sheetId="323" r:id="rId27"/>
    <sheet name="0818 4度C" sheetId="322" r:id="rId28"/>
    <sheet name="0817" sheetId="321" r:id="rId29"/>
    <sheet name="0817 4度C" sheetId="320" r:id="rId30"/>
    <sheet name="0816" sheetId="314" r:id="rId31"/>
    <sheet name="0816 4度C" sheetId="315" r:id="rId32"/>
    <sheet name="0815" sheetId="316" r:id="rId33"/>
    <sheet name="0815 4度C" sheetId="317" r:id="rId34"/>
    <sheet name="0814" sheetId="318" r:id="rId35"/>
    <sheet name="0814 4度C" sheetId="319" r:id="rId36"/>
    <sheet name="0813" sheetId="312" r:id="rId37"/>
    <sheet name="0813 4度C" sheetId="313" r:id="rId38"/>
    <sheet name="0812" sheetId="308" r:id="rId39"/>
    <sheet name="0812 4度C" sheetId="309" r:id="rId40"/>
    <sheet name="0811" sheetId="306" r:id="rId41"/>
    <sheet name="0811 4度C" sheetId="307" r:id="rId42"/>
    <sheet name="0810" sheetId="304" r:id="rId43"/>
    <sheet name="0810 4度C" sheetId="305" r:id="rId44"/>
    <sheet name="0809" sheetId="302" r:id="rId45"/>
    <sheet name="0809 4度C" sheetId="303" r:id="rId46"/>
    <sheet name="0808" sheetId="300" r:id="rId47"/>
    <sheet name="0808 4度C" sheetId="301" r:id="rId48"/>
    <sheet name="0807" sheetId="298" r:id="rId49"/>
    <sheet name="0807 4度C" sheetId="299" r:id="rId50"/>
    <sheet name="0806" sheetId="296" r:id="rId51"/>
    <sheet name="0806 4度C" sheetId="297" r:id="rId52"/>
    <sheet name="0805" sheetId="294" r:id="rId53"/>
    <sheet name="0805 4度C" sheetId="295" r:id="rId54"/>
    <sheet name="0804" sheetId="286" r:id="rId55"/>
    <sheet name="0804 4度C" sheetId="287" r:id="rId56"/>
    <sheet name="0803" sheetId="284" r:id="rId57"/>
    <sheet name="0803 4度C" sheetId="285" r:id="rId58"/>
    <sheet name="0802" sheetId="282" r:id="rId59"/>
    <sheet name="0802 4度C" sheetId="283" r:id="rId60"/>
    <sheet name="0801" sheetId="280" r:id="rId61"/>
    <sheet name="0801 4度C" sheetId="281" r:id="rId62"/>
  </sheets>
  <definedNames>
    <definedName name="_xlnm._FilterDatabase" localSheetId="61" hidden="1">'0801 4度C'!$A$4:$AE$4</definedName>
    <definedName name="_xlnm._FilterDatabase" localSheetId="59" hidden="1">'0802 4度C'!$A$4:$AE$4</definedName>
    <definedName name="_xlnm._FilterDatabase" localSheetId="57" hidden="1">'0803 4度C'!$A$4:$AE$4</definedName>
    <definedName name="_xlnm._FilterDatabase" localSheetId="55" hidden="1">'0804 4度C'!$A$4:$AE$4</definedName>
    <definedName name="_xlnm._FilterDatabase" localSheetId="53" hidden="1">'0805 4度C'!$A$4:$AE$4</definedName>
    <definedName name="_xlnm._FilterDatabase" localSheetId="51" hidden="1">'0806 4度C'!$A$4:$AE$4</definedName>
    <definedName name="_xlnm._FilterDatabase" localSheetId="49" hidden="1">'0807 4度C'!$A$4:$AE$4</definedName>
    <definedName name="_xlnm._FilterDatabase" localSheetId="47" hidden="1">'0808 4度C'!$A$4:$AE$4</definedName>
    <definedName name="_xlnm._FilterDatabase" localSheetId="45" hidden="1">'0809 4度C'!$A$4:$AE$4</definedName>
    <definedName name="_xlnm._FilterDatabase" localSheetId="43" hidden="1">'0810 4度C'!$A$4:$AE$4</definedName>
    <definedName name="_xlnm._FilterDatabase" localSheetId="41" hidden="1">'0811 4度C'!$A$4:$AE$4</definedName>
    <definedName name="_xlnm._FilterDatabase" localSheetId="39" hidden="1">'0812 4度C'!$A$4:$AE$4</definedName>
    <definedName name="_xlnm._FilterDatabase" localSheetId="37" hidden="1">'0813 4度C'!$A$4:$AE$4</definedName>
    <definedName name="_xlnm._FilterDatabase" localSheetId="35" hidden="1">'0814 4度C'!$A$4:$AE$4</definedName>
    <definedName name="_xlnm._FilterDatabase" localSheetId="33" hidden="1">'0815 4度C'!$A$4:$AE$4</definedName>
    <definedName name="_xlnm._FilterDatabase" localSheetId="31" hidden="1">'0816 4度C'!$A$4:$AE$4</definedName>
    <definedName name="_xlnm._FilterDatabase" localSheetId="29" hidden="1">'0817 4度C'!$A$4:$AE$4</definedName>
    <definedName name="_xlnm._FilterDatabase" localSheetId="27" hidden="1">'0818 4度C'!$A$4:$AE$4</definedName>
    <definedName name="_xlnm._FilterDatabase" localSheetId="25" hidden="1">'0819 4度C'!$A$4:$AE$4</definedName>
    <definedName name="_xlnm._FilterDatabase" localSheetId="23" hidden="1">'0820 4度C'!$A$4:$AE$4</definedName>
    <definedName name="_xlnm._FilterDatabase" localSheetId="21" hidden="1">'0821 4度C'!$A$4:$AE$4</definedName>
    <definedName name="_xlnm._FilterDatabase" localSheetId="19" hidden="1">'0822 4度C'!$A$4:$AE$4</definedName>
    <definedName name="_xlnm._FilterDatabase" localSheetId="17" hidden="1">'0823 4度C'!$A$4:$AE$4</definedName>
    <definedName name="_xlnm._FilterDatabase" localSheetId="15" hidden="1">'0824 4度C'!$A$4:$AE$4</definedName>
    <definedName name="_xlnm._FilterDatabase" localSheetId="13" hidden="1">'0825 4度C'!$A$4:$AE$4</definedName>
    <definedName name="_xlnm._FilterDatabase" localSheetId="11" hidden="1">'0826 4度C'!$A$4:$AE$4</definedName>
    <definedName name="_xlnm._FilterDatabase" localSheetId="9" hidden="1">'0827 4度C'!$A$4:$AE$4</definedName>
    <definedName name="_xlnm._FilterDatabase" localSheetId="7" hidden="1">'0828 4度C'!$A$4:$AE$4</definedName>
    <definedName name="_xlnm._FilterDatabase" localSheetId="5" hidden="1">'0829 4度C'!$A$4:$AE$4</definedName>
    <definedName name="_xlnm._FilterDatabase" localSheetId="3" hidden="1">'0830 4度C'!$A$4:$AE$4</definedName>
    <definedName name="_xlnm._FilterDatabase" localSheetId="1" hidden="1">'0831 4度C'!$A$4:$AE$4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72" i="357" l="1"/>
  <c r="K72" i="357"/>
  <c r="V71" i="357"/>
  <c r="M71" i="357" s="1"/>
  <c r="U71" i="357"/>
  <c r="O71" i="357"/>
  <c r="K71" i="357"/>
  <c r="G71" i="357"/>
  <c r="X70" i="357"/>
  <c r="W70" i="357"/>
  <c r="V70" i="357"/>
  <c r="M70" i="357" s="1"/>
  <c r="U70" i="357"/>
  <c r="O70" i="357"/>
  <c r="K70" i="357"/>
  <c r="G70" i="357"/>
  <c r="V69" i="357"/>
  <c r="M69" i="357" s="1"/>
  <c r="U69" i="357"/>
  <c r="O69" i="357"/>
  <c r="K69" i="357"/>
  <c r="G69" i="357"/>
  <c r="V68" i="357"/>
  <c r="M68" i="357" s="1"/>
  <c r="U68" i="357"/>
  <c r="O68" i="357"/>
  <c r="K68" i="357"/>
  <c r="G68" i="357"/>
  <c r="V67" i="357"/>
  <c r="M67" i="357" s="1"/>
  <c r="U67" i="357"/>
  <c r="O67" i="357"/>
  <c r="K67" i="357"/>
  <c r="G67" i="357"/>
  <c r="X66" i="357"/>
  <c r="W66" i="357"/>
  <c r="V66" i="357"/>
  <c r="M66" i="357" s="1"/>
  <c r="O66" i="357"/>
  <c r="K66" i="357"/>
  <c r="G66" i="357"/>
  <c r="O65" i="357"/>
  <c r="K65" i="357"/>
  <c r="V64" i="357"/>
  <c r="U64" i="357"/>
  <c r="O64" i="357"/>
  <c r="M64" i="357"/>
  <c r="AB64" i="357" s="1"/>
  <c r="K64" i="357"/>
  <c r="G64" i="357"/>
  <c r="V63" i="357"/>
  <c r="U63" i="357"/>
  <c r="O63" i="357"/>
  <c r="M63" i="357"/>
  <c r="AB63" i="357" s="1"/>
  <c r="K63" i="357"/>
  <c r="G63" i="357"/>
  <c r="V62" i="357"/>
  <c r="U62" i="357"/>
  <c r="O62" i="357"/>
  <c r="M62" i="357"/>
  <c r="AB62" i="357" s="1"/>
  <c r="K62" i="357"/>
  <c r="G62" i="357"/>
  <c r="V61" i="357"/>
  <c r="U61" i="357"/>
  <c r="O61" i="357"/>
  <c r="M61" i="357"/>
  <c r="AB61" i="357" s="1"/>
  <c r="K61" i="357"/>
  <c r="G61" i="357"/>
  <c r="AB60" i="357"/>
  <c r="V60" i="357"/>
  <c r="U60" i="357"/>
  <c r="O60" i="357"/>
  <c r="N60" i="357"/>
  <c r="Q60" i="357" s="1"/>
  <c r="M60" i="357"/>
  <c r="AA60" i="357" s="1"/>
  <c r="K60" i="357"/>
  <c r="G60" i="357"/>
  <c r="AB59" i="357"/>
  <c r="V59" i="357"/>
  <c r="O59" i="357"/>
  <c r="N59" i="357"/>
  <c r="Q59" i="357" s="1"/>
  <c r="M59" i="357"/>
  <c r="AA59" i="357" s="1"/>
  <c r="K59" i="357"/>
  <c r="G59" i="357"/>
  <c r="O58" i="357"/>
  <c r="K58" i="357"/>
  <c r="V57" i="357"/>
  <c r="M57" i="357" s="1"/>
  <c r="U57" i="357"/>
  <c r="O57" i="357"/>
  <c r="K57" i="357"/>
  <c r="G57" i="357"/>
  <c r="V56" i="357"/>
  <c r="M56" i="357" s="1"/>
  <c r="U56" i="357"/>
  <c r="O56" i="357"/>
  <c r="K56" i="357"/>
  <c r="G56" i="357"/>
  <c r="V55" i="357"/>
  <c r="M55" i="357" s="1"/>
  <c r="U55" i="357"/>
  <c r="O55" i="357"/>
  <c r="K55" i="357"/>
  <c r="G55" i="357"/>
  <c r="V54" i="357"/>
  <c r="U54" i="357"/>
  <c r="O54" i="357"/>
  <c r="M54" i="357"/>
  <c r="AB54" i="357" s="1"/>
  <c r="K54" i="357"/>
  <c r="G54" i="357"/>
  <c r="V53" i="357"/>
  <c r="O53" i="357"/>
  <c r="M53" i="357"/>
  <c r="AB53" i="357" s="1"/>
  <c r="K53" i="357"/>
  <c r="G53" i="357"/>
  <c r="O52" i="357"/>
  <c r="K52" i="357"/>
  <c r="V51" i="357"/>
  <c r="U51" i="357"/>
  <c r="O51" i="357"/>
  <c r="M51" i="357"/>
  <c r="N51" i="357" s="1"/>
  <c r="K51" i="357"/>
  <c r="G51" i="357"/>
  <c r="AB50" i="357"/>
  <c r="AA50" i="357"/>
  <c r="X50" i="357"/>
  <c r="W50" i="357"/>
  <c r="V50" i="357"/>
  <c r="U50" i="357"/>
  <c r="O50" i="357"/>
  <c r="N50" i="357"/>
  <c r="Q50" i="357" s="1"/>
  <c r="M50" i="357"/>
  <c r="K50" i="357"/>
  <c r="G50" i="357"/>
  <c r="V49" i="357"/>
  <c r="U49" i="357"/>
  <c r="O49" i="357"/>
  <c r="M49" i="357"/>
  <c r="N49" i="357" s="1"/>
  <c r="K49" i="357"/>
  <c r="G49" i="357"/>
  <c r="V48" i="357"/>
  <c r="M48" i="357" s="1"/>
  <c r="U48" i="357"/>
  <c r="O48" i="357"/>
  <c r="K48" i="357"/>
  <c r="G48" i="357"/>
  <c r="V47" i="357"/>
  <c r="M47" i="357" s="1"/>
  <c r="U47" i="357"/>
  <c r="O47" i="357"/>
  <c r="K47" i="357"/>
  <c r="G47" i="357"/>
  <c r="V46" i="357"/>
  <c r="M46" i="357" s="1"/>
  <c r="U46" i="357"/>
  <c r="O46" i="357"/>
  <c r="K46" i="357"/>
  <c r="G46" i="357"/>
  <c r="V45" i="357"/>
  <c r="M45" i="357" s="1"/>
  <c r="U45" i="357"/>
  <c r="O45" i="357"/>
  <c r="K45" i="357"/>
  <c r="G45" i="357"/>
  <c r="X44" i="357"/>
  <c r="W44" i="357"/>
  <c r="V44" i="357"/>
  <c r="M44" i="357" s="1"/>
  <c r="O44" i="357"/>
  <c r="K44" i="357"/>
  <c r="G44" i="357"/>
  <c r="O43" i="357"/>
  <c r="K43" i="357"/>
  <c r="V42" i="357"/>
  <c r="U42" i="357"/>
  <c r="O42" i="357"/>
  <c r="M42" i="357"/>
  <c r="AB42" i="357" s="1"/>
  <c r="K42" i="357"/>
  <c r="G42" i="357"/>
  <c r="V41" i="357"/>
  <c r="U41" i="357"/>
  <c r="O41" i="357"/>
  <c r="M41" i="357"/>
  <c r="AB41" i="357" s="1"/>
  <c r="K41" i="357"/>
  <c r="G41" i="357"/>
  <c r="V40" i="357"/>
  <c r="U40" i="357"/>
  <c r="O40" i="357"/>
  <c r="M40" i="357"/>
  <c r="AB40" i="357" s="1"/>
  <c r="K40" i="357"/>
  <c r="G40" i="357"/>
  <c r="V39" i="357"/>
  <c r="U39" i="357"/>
  <c r="O39" i="357"/>
  <c r="M39" i="357"/>
  <c r="AB39" i="357" s="1"/>
  <c r="K39" i="357"/>
  <c r="G39" i="357"/>
  <c r="AB38" i="357"/>
  <c r="X38" i="357"/>
  <c r="W38" i="357"/>
  <c r="V38" i="357"/>
  <c r="U38" i="357"/>
  <c r="O38" i="357"/>
  <c r="M38" i="357"/>
  <c r="AA38" i="357" s="1"/>
  <c r="K38" i="357"/>
  <c r="G38" i="357"/>
  <c r="V37" i="357"/>
  <c r="U37" i="357"/>
  <c r="O37" i="357"/>
  <c r="M37" i="357"/>
  <c r="AB37" i="357" s="1"/>
  <c r="K37" i="357"/>
  <c r="G37" i="357"/>
  <c r="AB36" i="357"/>
  <c r="V36" i="357"/>
  <c r="U36" i="357"/>
  <c r="O36" i="357"/>
  <c r="N36" i="357"/>
  <c r="Q36" i="357" s="1"/>
  <c r="M36" i="357"/>
  <c r="AA36" i="357" s="1"/>
  <c r="K36" i="357"/>
  <c r="G36" i="357"/>
  <c r="V35" i="357"/>
  <c r="U35" i="357"/>
  <c r="O35" i="357"/>
  <c r="M35" i="357"/>
  <c r="N35" i="357" s="1"/>
  <c r="K35" i="357"/>
  <c r="G35" i="357"/>
  <c r="V34" i="357"/>
  <c r="M34" i="357" s="1"/>
  <c r="U34" i="357"/>
  <c r="O34" i="357"/>
  <c r="K34" i="357"/>
  <c r="G34" i="357"/>
  <c r="AB33" i="357"/>
  <c r="AA33" i="357"/>
  <c r="X33" i="357"/>
  <c r="W33" i="357"/>
  <c r="V33" i="357"/>
  <c r="O33" i="357"/>
  <c r="N33" i="357"/>
  <c r="Q33" i="357" s="1"/>
  <c r="M33" i="357"/>
  <c r="M43" i="357" s="1"/>
  <c r="K33" i="357"/>
  <c r="G33" i="357"/>
  <c r="O32" i="357"/>
  <c r="K32" i="357"/>
  <c r="V31" i="357"/>
  <c r="M31" i="357" s="1"/>
  <c r="U31" i="357"/>
  <c r="O31" i="357"/>
  <c r="K31" i="357"/>
  <c r="G31" i="357"/>
  <c r="V30" i="357"/>
  <c r="M30" i="357" s="1"/>
  <c r="U30" i="357"/>
  <c r="O30" i="357"/>
  <c r="K30" i="357"/>
  <c r="G30" i="357"/>
  <c r="X29" i="357"/>
  <c r="W29" i="357"/>
  <c r="V29" i="357"/>
  <c r="M29" i="357" s="1"/>
  <c r="U29" i="357"/>
  <c r="O29" i="357"/>
  <c r="K29" i="357"/>
  <c r="G29" i="357"/>
  <c r="V28" i="357"/>
  <c r="M28" i="357" s="1"/>
  <c r="U28" i="357"/>
  <c r="O28" i="357"/>
  <c r="K28" i="357"/>
  <c r="G28" i="357"/>
  <c r="V27" i="357"/>
  <c r="M27" i="357" s="1"/>
  <c r="U27" i="357"/>
  <c r="O27" i="357"/>
  <c r="K27" i="357"/>
  <c r="G27" i="357"/>
  <c r="V26" i="357"/>
  <c r="U26" i="357"/>
  <c r="O26" i="357"/>
  <c r="M26" i="357"/>
  <c r="AB26" i="357" s="1"/>
  <c r="K26" i="357"/>
  <c r="G26" i="357"/>
  <c r="X25" i="357"/>
  <c r="W25" i="357"/>
  <c r="V25" i="357"/>
  <c r="M25" i="357" s="1"/>
  <c r="O25" i="357"/>
  <c r="K25" i="357"/>
  <c r="G25" i="357"/>
  <c r="O24" i="357"/>
  <c r="K24" i="357"/>
  <c r="V23" i="357"/>
  <c r="U23" i="357"/>
  <c r="O23" i="357"/>
  <c r="M23" i="357"/>
  <c r="AB23" i="357" s="1"/>
  <c r="K23" i="357"/>
  <c r="G23" i="357"/>
  <c r="AB22" i="357"/>
  <c r="V22" i="357"/>
  <c r="U22" i="357"/>
  <c r="O22" i="357"/>
  <c r="N22" i="357"/>
  <c r="Q22" i="357" s="1"/>
  <c r="M22" i="357"/>
  <c r="AA22" i="357" s="1"/>
  <c r="K22" i="357"/>
  <c r="G22" i="357"/>
  <c r="V21" i="357"/>
  <c r="U21" i="357"/>
  <c r="O21" i="357"/>
  <c r="M21" i="357"/>
  <c r="N21" i="357" s="1"/>
  <c r="K21" i="357"/>
  <c r="G21" i="357"/>
  <c r="V20" i="357"/>
  <c r="M20" i="357" s="1"/>
  <c r="U20" i="357"/>
  <c r="O20" i="357"/>
  <c r="K20" i="357"/>
  <c r="G20" i="357"/>
  <c r="V19" i="357"/>
  <c r="M19" i="357" s="1"/>
  <c r="U19" i="357"/>
  <c r="O19" i="357"/>
  <c r="K19" i="357"/>
  <c r="G19" i="357"/>
  <c r="V18" i="357"/>
  <c r="M18" i="357" s="1"/>
  <c r="O18" i="357"/>
  <c r="K18" i="357"/>
  <c r="G18" i="357"/>
  <c r="O17" i="357"/>
  <c r="K17" i="357"/>
  <c r="V16" i="357"/>
  <c r="U16" i="357"/>
  <c r="O16" i="357"/>
  <c r="M16" i="357"/>
  <c r="AB16" i="357" s="1"/>
  <c r="K16" i="357"/>
  <c r="G16" i="357"/>
  <c r="V15" i="357"/>
  <c r="U15" i="357"/>
  <c r="O15" i="357"/>
  <c r="M15" i="357"/>
  <c r="AB15" i="357" s="1"/>
  <c r="K15" i="357"/>
  <c r="G15" i="357"/>
  <c r="V14" i="357"/>
  <c r="O14" i="357"/>
  <c r="M14" i="357"/>
  <c r="M17" i="357" s="1"/>
  <c r="K14" i="357"/>
  <c r="G14" i="357"/>
  <c r="O13" i="357"/>
  <c r="K13" i="357"/>
  <c r="V12" i="357"/>
  <c r="M12" i="357" s="1"/>
  <c r="U12" i="357"/>
  <c r="O12" i="357"/>
  <c r="K12" i="357"/>
  <c r="G12" i="357"/>
  <c r="X11" i="357"/>
  <c r="W11" i="357"/>
  <c r="V11" i="357"/>
  <c r="U11" i="357"/>
  <c r="O11" i="357"/>
  <c r="M11" i="357"/>
  <c r="N11" i="357" s="1"/>
  <c r="K11" i="357"/>
  <c r="G11" i="357"/>
  <c r="V10" i="357"/>
  <c r="M10" i="357" s="1"/>
  <c r="U10" i="357"/>
  <c r="O10" i="357"/>
  <c r="K10" i="357"/>
  <c r="G10" i="357"/>
  <c r="AB9" i="357"/>
  <c r="AA9" i="357"/>
  <c r="X9" i="357"/>
  <c r="W9" i="357"/>
  <c r="V9" i="357"/>
  <c r="O9" i="357"/>
  <c r="N9" i="357"/>
  <c r="Q9" i="357" s="1"/>
  <c r="M9" i="357"/>
  <c r="K9" i="357"/>
  <c r="G9" i="357"/>
  <c r="O8" i="357"/>
  <c r="K8" i="357"/>
  <c r="V7" i="357"/>
  <c r="M7" i="357" s="1"/>
  <c r="U7" i="357"/>
  <c r="O7" i="357"/>
  <c r="K7" i="357"/>
  <c r="G7" i="357"/>
  <c r="V6" i="357"/>
  <c r="M6" i="357" s="1"/>
  <c r="U6" i="357"/>
  <c r="O6" i="357"/>
  <c r="K6" i="357"/>
  <c r="G6" i="357"/>
  <c r="V5" i="357"/>
  <c r="M5" i="357" s="1"/>
  <c r="O5" i="357"/>
  <c r="K5" i="357"/>
  <c r="G5" i="357"/>
  <c r="F1" i="357" s="1"/>
  <c r="H2" i="357"/>
  <c r="H1" i="357"/>
  <c r="D1" i="357"/>
  <c r="M18" i="356"/>
  <c r="L18" i="356"/>
  <c r="K18" i="356"/>
  <c r="J18" i="356"/>
  <c r="I18" i="356"/>
  <c r="H18" i="356"/>
  <c r="G18" i="356"/>
  <c r="F18" i="356"/>
  <c r="E18" i="356"/>
  <c r="D18" i="356"/>
  <c r="M17" i="356"/>
  <c r="L17" i="356"/>
  <c r="K17" i="356"/>
  <c r="J17" i="356"/>
  <c r="I17" i="356"/>
  <c r="H17" i="356"/>
  <c r="G17" i="356"/>
  <c r="F17" i="356"/>
  <c r="E17" i="356"/>
  <c r="D17" i="356"/>
  <c r="M16" i="356"/>
  <c r="L16" i="356"/>
  <c r="K16" i="356"/>
  <c r="J16" i="356"/>
  <c r="I16" i="356"/>
  <c r="H16" i="356"/>
  <c r="G16" i="356"/>
  <c r="F16" i="356"/>
  <c r="E16" i="356"/>
  <c r="D16" i="356"/>
  <c r="M13" i="356"/>
  <c r="L13" i="356"/>
  <c r="K13" i="356"/>
  <c r="I6" i="356" s="1"/>
  <c r="J13" i="356"/>
  <c r="I13" i="356"/>
  <c r="H13" i="356"/>
  <c r="G13" i="356"/>
  <c r="E6" i="356" s="1"/>
  <c r="F13" i="356"/>
  <c r="E13" i="356"/>
  <c r="D13" i="356"/>
  <c r="G6" i="356" s="1"/>
  <c r="F3" i="356"/>
  <c r="C3" i="356"/>
  <c r="Q35" i="357" l="1"/>
  <c r="P35" i="357"/>
  <c r="N47" i="357"/>
  <c r="AB47" i="357"/>
  <c r="AA47" i="357"/>
  <c r="N71" i="357"/>
  <c r="AB71" i="357"/>
  <c r="AA71" i="357"/>
  <c r="N12" i="357"/>
  <c r="AB12" i="357"/>
  <c r="AA12" i="357"/>
  <c r="N29" i="357"/>
  <c r="AB29" i="357"/>
  <c r="AA29" i="357"/>
  <c r="N31" i="357"/>
  <c r="AB31" i="357"/>
  <c r="AA31" i="357"/>
  <c r="N56" i="357"/>
  <c r="AB56" i="357"/>
  <c r="AA56" i="357"/>
  <c r="N6" i="357"/>
  <c r="AB6" i="357"/>
  <c r="AA6" i="357"/>
  <c r="N18" i="357"/>
  <c r="AB18" i="357"/>
  <c r="AA18" i="357"/>
  <c r="M24" i="357"/>
  <c r="N25" i="357"/>
  <c r="AB25" i="357"/>
  <c r="M32" i="357"/>
  <c r="AA25" i="357"/>
  <c r="Q11" i="357"/>
  <c r="P11" i="357"/>
  <c r="Q21" i="357"/>
  <c r="P21" i="357"/>
  <c r="AB27" i="357"/>
  <c r="AA27" i="357"/>
  <c r="N27" i="357"/>
  <c r="N48" i="357"/>
  <c r="AB48" i="357"/>
  <c r="AA48" i="357"/>
  <c r="N70" i="357"/>
  <c r="AB70" i="357"/>
  <c r="AA70" i="357"/>
  <c r="N44" i="357"/>
  <c r="AB44" i="357"/>
  <c r="AA44" i="357"/>
  <c r="M52" i="357"/>
  <c r="N46" i="357"/>
  <c r="AB46" i="357"/>
  <c r="AA46" i="357"/>
  <c r="N66" i="357"/>
  <c r="M72" i="357"/>
  <c r="AB66" i="357"/>
  <c r="AA66" i="357"/>
  <c r="N68" i="357"/>
  <c r="AB68" i="357"/>
  <c r="AA68" i="357"/>
  <c r="F2" i="357"/>
  <c r="I3" i="356"/>
  <c r="N17" i="357"/>
  <c r="AB17" i="357"/>
  <c r="AC14" i="357" s="1"/>
  <c r="AA17" i="357"/>
  <c r="N43" i="357"/>
  <c r="AB43" i="357"/>
  <c r="AC33" i="357" s="1"/>
  <c r="AA43" i="357"/>
  <c r="N34" i="357"/>
  <c r="AB34" i="357"/>
  <c r="AA34" i="357"/>
  <c r="Q49" i="357"/>
  <c r="P49" i="357"/>
  <c r="N57" i="357"/>
  <c r="AB57" i="357"/>
  <c r="AA57" i="357"/>
  <c r="N7" i="357"/>
  <c r="AB7" i="357"/>
  <c r="AA7" i="357"/>
  <c r="N19" i="357"/>
  <c r="AB19" i="357"/>
  <c r="AA19" i="357"/>
  <c r="N28" i="357"/>
  <c r="AB28" i="357"/>
  <c r="AA28" i="357"/>
  <c r="N30" i="357"/>
  <c r="AB30" i="357"/>
  <c r="AA30" i="357"/>
  <c r="AB55" i="357"/>
  <c r="AA55" i="357"/>
  <c r="N55" i="357"/>
  <c r="N5" i="357"/>
  <c r="M8" i="357"/>
  <c r="AB5" i="357"/>
  <c r="AA5" i="357"/>
  <c r="N69" i="357"/>
  <c r="AB69" i="357"/>
  <c r="AA69" i="357"/>
  <c r="Q51" i="357"/>
  <c r="P51" i="357"/>
  <c r="M13" i="357"/>
  <c r="N10" i="357"/>
  <c r="AB10" i="357"/>
  <c r="AA10" i="357"/>
  <c r="N20" i="357"/>
  <c r="AB20" i="357"/>
  <c r="AA20" i="357"/>
  <c r="N45" i="357"/>
  <c r="AB45" i="357"/>
  <c r="AA45" i="357"/>
  <c r="N67" i="357"/>
  <c r="AB67" i="357"/>
  <c r="AA67" i="357"/>
  <c r="N16" i="357"/>
  <c r="AB21" i="357"/>
  <c r="N26" i="357"/>
  <c r="AB35" i="357"/>
  <c r="N42" i="357"/>
  <c r="AB49" i="357"/>
  <c r="AB51" i="357"/>
  <c r="N53" i="357"/>
  <c r="N54" i="357"/>
  <c r="N64" i="357"/>
  <c r="AA21" i="357"/>
  <c r="AA35" i="357"/>
  <c r="AA49" i="357"/>
  <c r="AA51" i="357"/>
  <c r="AA11" i="357"/>
  <c r="N14" i="357"/>
  <c r="N15" i="357"/>
  <c r="N41" i="357"/>
  <c r="N63" i="357"/>
  <c r="F6" i="356"/>
  <c r="AB11" i="357"/>
  <c r="N38" i="357"/>
  <c r="N40" i="357"/>
  <c r="N62" i="357"/>
  <c r="N23" i="357"/>
  <c r="N37" i="357"/>
  <c r="N39" i="357"/>
  <c r="N61" i="357"/>
  <c r="P9" i="357"/>
  <c r="AA16" i="357"/>
  <c r="P22" i="357"/>
  <c r="AA26" i="357"/>
  <c r="P33" i="357"/>
  <c r="P36" i="357"/>
  <c r="AA42" i="357"/>
  <c r="P50" i="357"/>
  <c r="AA53" i="357"/>
  <c r="AA54" i="357"/>
  <c r="M58" i="357"/>
  <c r="P59" i="357"/>
  <c r="P60" i="357"/>
  <c r="AA64" i="357"/>
  <c r="AA14" i="357"/>
  <c r="AA15" i="357"/>
  <c r="AA41" i="357"/>
  <c r="AA63" i="357"/>
  <c r="AB14" i="357"/>
  <c r="AA40" i="357"/>
  <c r="AA62" i="357"/>
  <c r="AA23" i="357"/>
  <c r="AA37" i="357"/>
  <c r="AA39" i="357"/>
  <c r="AA61" i="357"/>
  <c r="M65" i="357"/>
  <c r="O63" i="353"/>
  <c r="K63" i="353"/>
  <c r="AB62" i="353"/>
  <c r="AA62" i="353"/>
  <c r="V62" i="353"/>
  <c r="U62" i="353"/>
  <c r="O62" i="353"/>
  <c r="N62" i="353"/>
  <c r="M62" i="353"/>
  <c r="K62" i="353"/>
  <c r="G62" i="353"/>
  <c r="AB61" i="353"/>
  <c r="V61" i="353"/>
  <c r="U61" i="353"/>
  <c r="O61" i="353"/>
  <c r="M61" i="353"/>
  <c r="AA61" i="353" s="1"/>
  <c r="K61" i="353"/>
  <c r="G61" i="353"/>
  <c r="AB60" i="353"/>
  <c r="V60" i="353"/>
  <c r="U60" i="353"/>
  <c r="O60" i="353"/>
  <c r="N60" i="353"/>
  <c r="Q60" i="353" s="1"/>
  <c r="M60" i="353"/>
  <c r="AA60" i="353" s="1"/>
  <c r="K60" i="353"/>
  <c r="G60" i="353"/>
  <c r="V59" i="353"/>
  <c r="U59" i="353"/>
  <c r="O59" i="353"/>
  <c r="N59" i="353"/>
  <c r="M59" i="353"/>
  <c r="K59" i="353"/>
  <c r="G59" i="353"/>
  <c r="AA58" i="353"/>
  <c r="X58" i="353"/>
  <c r="W58" i="353"/>
  <c r="V58" i="353"/>
  <c r="M58" i="353" s="1"/>
  <c r="O58" i="353"/>
  <c r="K58" i="353"/>
  <c r="G58" i="353"/>
  <c r="O57" i="353"/>
  <c r="K57" i="353"/>
  <c r="AB56" i="353"/>
  <c r="AA56" i="353"/>
  <c r="V56" i="353"/>
  <c r="M56" i="353" s="1"/>
  <c r="N56" i="353" s="1"/>
  <c r="U56" i="353"/>
  <c r="Q56" i="353"/>
  <c r="P56" i="353"/>
  <c r="O56" i="353"/>
  <c r="K56" i="353"/>
  <c r="G56" i="353"/>
  <c r="V55" i="353"/>
  <c r="M55" i="353" s="1"/>
  <c r="U55" i="353"/>
  <c r="O55" i="353"/>
  <c r="K55" i="353"/>
  <c r="G55" i="353"/>
  <c r="AB54" i="353"/>
  <c r="AA54" i="353"/>
  <c r="V54" i="353"/>
  <c r="M54" i="353" s="1"/>
  <c r="N54" i="353" s="1"/>
  <c r="U54" i="353"/>
  <c r="O54" i="353"/>
  <c r="K54" i="353"/>
  <c r="G54" i="353"/>
  <c r="AA53" i="353"/>
  <c r="V53" i="353"/>
  <c r="U53" i="353"/>
  <c r="O53" i="353"/>
  <c r="N53" i="353"/>
  <c r="M53" i="353"/>
  <c r="AB53" i="353" s="1"/>
  <c r="K53" i="353"/>
  <c r="G53" i="353"/>
  <c r="AB52" i="353"/>
  <c r="AA52" i="353"/>
  <c r="V52" i="353"/>
  <c r="U52" i="353"/>
  <c r="O52" i="353"/>
  <c r="M52" i="353"/>
  <c r="N52" i="353" s="1"/>
  <c r="K52" i="353"/>
  <c r="G52" i="353"/>
  <c r="AB51" i="353"/>
  <c r="V51" i="353"/>
  <c r="O51" i="353"/>
  <c r="N51" i="353"/>
  <c r="Q51" i="353" s="1"/>
  <c r="M51" i="353"/>
  <c r="K51" i="353"/>
  <c r="G51" i="353"/>
  <c r="O50" i="353"/>
  <c r="K50" i="353"/>
  <c r="AB49" i="353"/>
  <c r="AA49" i="353"/>
  <c r="V49" i="353"/>
  <c r="U49" i="353"/>
  <c r="O49" i="353"/>
  <c r="N49" i="353"/>
  <c r="Q49" i="353" s="1"/>
  <c r="M49" i="353"/>
  <c r="K49" i="353"/>
  <c r="G49" i="353"/>
  <c r="V48" i="353"/>
  <c r="U48" i="353"/>
  <c r="O48" i="353"/>
  <c r="M48" i="353"/>
  <c r="K48" i="353"/>
  <c r="G48" i="353"/>
  <c r="V47" i="353"/>
  <c r="U47" i="353"/>
  <c r="Q47" i="353"/>
  <c r="P47" i="353"/>
  <c r="O47" i="353"/>
  <c r="N47" i="353"/>
  <c r="M47" i="353"/>
  <c r="K47" i="353"/>
  <c r="G47" i="353"/>
  <c r="V46" i="353"/>
  <c r="U46" i="353"/>
  <c r="O46" i="353"/>
  <c r="N46" i="353"/>
  <c r="M46" i="353"/>
  <c r="K46" i="353"/>
  <c r="G46" i="353"/>
  <c r="AB45" i="353"/>
  <c r="AA45" i="353"/>
  <c r="V45" i="353"/>
  <c r="M45" i="353" s="1"/>
  <c r="O45" i="353"/>
  <c r="K45" i="353"/>
  <c r="G45" i="353"/>
  <c r="O44" i="353"/>
  <c r="K44" i="353"/>
  <c r="AA43" i="353"/>
  <c r="V43" i="353"/>
  <c r="M43" i="353" s="1"/>
  <c r="U43" i="353"/>
  <c r="O43" i="353"/>
  <c r="K43" i="353"/>
  <c r="G43" i="353"/>
  <c r="V42" i="353"/>
  <c r="M42" i="353" s="1"/>
  <c r="U42" i="353"/>
  <c r="O42" i="353"/>
  <c r="K42" i="353"/>
  <c r="G42" i="353"/>
  <c r="AB41" i="353"/>
  <c r="AA41" i="353"/>
  <c r="V41" i="353"/>
  <c r="M41" i="353" s="1"/>
  <c r="N41" i="353" s="1"/>
  <c r="P41" i="353" s="1"/>
  <c r="U41" i="353"/>
  <c r="Q41" i="353"/>
  <c r="O41" i="353"/>
  <c r="K41" i="353"/>
  <c r="G41" i="353"/>
  <c r="V40" i="353"/>
  <c r="U40" i="353"/>
  <c r="O40" i="353"/>
  <c r="M40" i="353"/>
  <c r="K40" i="353"/>
  <c r="G40" i="353"/>
  <c r="AB39" i="353"/>
  <c r="AA39" i="353"/>
  <c r="V39" i="353"/>
  <c r="M39" i="353" s="1"/>
  <c r="N39" i="353" s="1"/>
  <c r="U39" i="353"/>
  <c r="O39" i="353"/>
  <c r="K39" i="353"/>
  <c r="G39" i="353"/>
  <c r="AB38" i="353"/>
  <c r="AA38" i="353"/>
  <c r="V38" i="353"/>
  <c r="U38" i="353"/>
  <c r="O38" i="353"/>
  <c r="N38" i="353"/>
  <c r="M38" i="353"/>
  <c r="K38" i="353"/>
  <c r="G38" i="353"/>
  <c r="V37" i="353"/>
  <c r="O37" i="353"/>
  <c r="M37" i="353"/>
  <c r="K37" i="353"/>
  <c r="G37" i="353"/>
  <c r="O36" i="353"/>
  <c r="N36" i="353"/>
  <c r="P36" i="353" s="1"/>
  <c r="M36" i="353"/>
  <c r="K36" i="353"/>
  <c r="AB35" i="353"/>
  <c r="V35" i="353"/>
  <c r="U35" i="353"/>
  <c r="O35" i="353"/>
  <c r="M35" i="353"/>
  <c r="AA35" i="353" s="1"/>
  <c r="K35" i="353"/>
  <c r="G35" i="353"/>
  <c r="AB34" i="353"/>
  <c r="V34" i="353"/>
  <c r="U34" i="353"/>
  <c r="O34" i="353"/>
  <c r="N34" i="353"/>
  <c r="Q34" i="353" s="1"/>
  <c r="M34" i="353"/>
  <c r="AA34" i="353" s="1"/>
  <c r="K34" i="353"/>
  <c r="G34" i="353"/>
  <c r="V33" i="353"/>
  <c r="U33" i="353"/>
  <c r="O33" i="353"/>
  <c r="N33" i="353"/>
  <c r="M33" i="353"/>
  <c r="K33" i="353"/>
  <c r="G33" i="353"/>
  <c r="V32" i="353"/>
  <c r="M32" i="353" s="1"/>
  <c r="U32" i="353"/>
  <c r="Q32" i="353"/>
  <c r="P32" i="353"/>
  <c r="O32" i="353"/>
  <c r="N32" i="353"/>
  <c r="K32" i="353"/>
  <c r="G32" i="353"/>
  <c r="V31" i="353"/>
  <c r="M31" i="353" s="1"/>
  <c r="U31" i="353"/>
  <c r="P31" i="353"/>
  <c r="O31" i="353"/>
  <c r="N31" i="353"/>
  <c r="Q31" i="353" s="1"/>
  <c r="K31" i="353"/>
  <c r="G31" i="353"/>
  <c r="AB30" i="353"/>
  <c r="AA30" i="353"/>
  <c r="X30" i="353"/>
  <c r="W30" i="353"/>
  <c r="V30" i="353"/>
  <c r="M30" i="353" s="1"/>
  <c r="N30" i="353" s="1"/>
  <c r="O30" i="353"/>
  <c r="K30" i="353"/>
  <c r="G30" i="353"/>
  <c r="O29" i="353"/>
  <c r="M29" i="353"/>
  <c r="N29" i="353" s="1"/>
  <c r="Q29" i="353" s="1"/>
  <c r="R24" i="353" s="1"/>
  <c r="K29" i="353"/>
  <c r="AB28" i="353"/>
  <c r="AA28" i="353"/>
  <c r="V28" i="353"/>
  <c r="M28" i="353" s="1"/>
  <c r="N28" i="353" s="1"/>
  <c r="U28" i="353"/>
  <c r="O28" i="353"/>
  <c r="K28" i="353"/>
  <c r="G28" i="353"/>
  <c r="AA27" i="353"/>
  <c r="V27" i="353"/>
  <c r="U27" i="353"/>
  <c r="O27" i="353"/>
  <c r="N27" i="353"/>
  <c r="M27" i="353"/>
  <c r="AB27" i="353" s="1"/>
  <c r="K27" i="353"/>
  <c r="G27" i="353"/>
  <c r="AB26" i="353"/>
  <c r="AA26" i="353"/>
  <c r="V26" i="353"/>
  <c r="U26" i="353"/>
  <c r="O26" i="353"/>
  <c r="M26" i="353"/>
  <c r="N26" i="353" s="1"/>
  <c r="K26" i="353"/>
  <c r="G26" i="353"/>
  <c r="AB25" i="353"/>
  <c r="AA25" i="353"/>
  <c r="V25" i="353"/>
  <c r="U25" i="353"/>
  <c r="O25" i="353"/>
  <c r="N25" i="353"/>
  <c r="Q25" i="353" s="1"/>
  <c r="M25" i="353"/>
  <c r="K25" i="353"/>
  <c r="G25" i="353"/>
  <c r="X24" i="353"/>
  <c r="W24" i="353"/>
  <c r="V24" i="353"/>
  <c r="M24" i="353" s="1"/>
  <c r="P24" i="353"/>
  <c r="O24" i="353"/>
  <c r="N24" i="353"/>
  <c r="Q24" i="353" s="1"/>
  <c r="K24" i="353"/>
  <c r="G24" i="353"/>
  <c r="AB23" i="353"/>
  <c r="AC17" i="353" s="1"/>
  <c r="AA23" i="353"/>
  <c r="O23" i="353"/>
  <c r="K23" i="353"/>
  <c r="V22" i="353"/>
  <c r="U22" i="353"/>
  <c r="O22" i="353"/>
  <c r="N22" i="353"/>
  <c r="M22" i="353"/>
  <c r="K22" i="353"/>
  <c r="G22" i="353"/>
  <c r="AA21" i="353"/>
  <c r="V21" i="353"/>
  <c r="M21" i="353" s="1"/>
  <c r="U21" i="353"/>
  <c r="O21" i="353"/>
  <c r="K21" i="353"/>
  <c r="G21" i="353"/>
  <c r="V20" i="353"/>
  <c r="M20" i="353" s="1"/>
  <c r="U20" i="353"/>
  <c r="O20" i="353"/>
  <c r="K20" i="353"/>
  <c r="G20" i="353"/>
  <c r="AB19" i="353"/>
  <c r="AA19" i="353"/>
  <c r="V19" i="353"/>
  <c r="M19" i="353" s="1"/>
  <c r="N19" i="353" s="1"/>
  <c r="P19" i="353" s="1"/>
  <c r="U19" i="353"/>
  <c r="Q19" i="353"/>
  <c r="O19" i="353"/>
  <c r="K19" i="353"/>
  <c r="G19" i="353"/>
  <c r="V18" i="353"/>
  <c r="U18" i="353"/>
  <c r="O18" i="353"/>
  <c r="M18" i="353"/>
  <c r="K18" i="353"/>
  <c r="G18" i="353"/>
  <c r="AB17" i="353"/>
  <c r="AA17" i="353"/>
  <c r="V17" i="353"/>
  <c r="O17" i="353"/>
  <c r="M17" i="353"/>
  <c r="M23" i="353" s="1"/>
  <c r="N23" i="353" s="1"/>
  <c r="K17" i="353"/>
  <c r="G17" i="353"/>
  <c r="O16" i="353"/>
  <c r="M16" i="353"/>
  <c r="AB16" i="353" s="1"/>
  <c r="AC13" i="353" s="1"/>
  <c r="K16" i="353"/>
  <c r="AB15" i="353"/>
  <c r="AA15" i="353"/>
  <c r="V15" i="353"/>
  <c r="M15" i="353" s="1"/>
  <c r="N15" i="353" s="1"/>
  <c r="U15" i="353"/>
  <c r="O15" i="353"/>
  <c r="K15" i="353"/>
  <c r="G15" i="353"/>
  <c r="AB14" i="353"/>
  <c r="AA14" i="353"/>
  <c r="V14" i="353"/>
  <c r="U14" i="353"/>
  <c r="O14" i="353"/>
  <c r="N14" i="353"/>
  <c r="M14" i="353"/>
  <c r="K14" i="353"/>
  <c r="G14" i="353"/>
  <c r="V13" i="353"/>
  <c r="O13" i="353"/>
  <c r="M13" i="353"/>
  <c r="K13" i="353"/>
  <c r="G13" i="353"/>
  <c r="O12" i="353"/>
  <c r="N12" i="353"/>
  <c r="P12" i="353" s="1"/>
  <c r="M12" i="353"/>
  <c r="K12" i="353"/>
  <c r="AB11" i="353"/>
  <c r="V11" i="353"/>
  <c r="U11" i="353"/>
  <c r="O11" i="353"/>
  <c r="M11" i="353"/>
  <c r="AA11" i="353" s="1"/>
  <c r="K11" i="353"/>
  <c r="G11" i="353"/>
  <c r="AB10" i="353"/>
  <c r="V10" i="353"/>
  <c r="U10" i="353"/>
  <c r="O10" i="353"/>
  <c r="N10" i="353"/>
  <c r="P10" i="353" s="1"/>
  <c r="M10" i="353"/>
  <c r="AA10" i="353" s="1"/>
  <c r="K10" i="353"/>
  <c r="G10" i="353"/>
  <c r="X9" i="353"/>
  <c r="W9" i="353"/>
  <c r="V9" i="353"/>
  <c r="M9" i="353" s="1"/>
  <c r="O9" i="353"/>
  <c r="K9" i="353"/>
  <c r="G9" i="353"/>
  <c r="O8" i="353"/>
  <c r="K8" i="353"/>
  <c r="V7" i="353"/>
  <c r="M7" i="353" s="1"/>
  <c r="U7" i="353"/>
  <c r="Q7" i="353"/>
  <c r="P7" i="353"/>
  <c r="O7" i="353"/>
  <c r="N7" i="353"/>
  <c r="K7" i="353"/>
  <c r="G7" i="353"/>
  <c r="AB6" i="353"/>
  <c r="AA6" i="353"/>
  <c r="V6" i="353"/>
  <c r="M6" i="353" s="1"/>
  <c r="N6" i="353" s="1"/>
  <c r="U6" i="353"/>
  <c r="Q6" i="353"/>
  <c r="P6" i="353"/>
  <c r="O6" i="353"/>
  <c r="K6" i="353"/>
  <c r="G6" i="353"/>
  <c r="AA5" i="353"/>
  <c r="V5" i="353"/>
  <c r="O5" i="353"/>
  <c r="M5" i="353"/>
  <c r="K5" i="353"/>
  <c r="G5" i="353"/>
  <c r="F1" i="353" s="1"/>
  <c r="I3" i="352" s="1"/>
  <c r="H2" i="353"/>
  <c r="F2" i="353"/>
  <c r="H1" i="353"/>
  <c r="D1" i="353"/>
  <c r="M18" i="352"/>
  <c r="L18" i="352"/>
  <c r="K18" i="352"/>
  <c r="J18" i="352"/>
  <c r="I18" i="352"/>
  <c r="H18" i="352"/>
  <c r="G18" i="352"/>
  <c r="F18" i="352"/>
  <c r="E18" i="352"/>
  <c r="D18" i="352"/>
  <c r="M17" i="352"/>
  <c r="L17" i="352"/>
  <c r="K17" i="352"/>
  <c r="J17" i="352"/>
  <c r="I17" i="352"/>
  <c r="H17" i="352"/>
  <c r="G17" i="352"/>
  <c r="F17" i="352"/>
  <c r="E17" i="352"/>
  <c r="D17" i="352"/>
  <c r="M16" i="352"/>
  <c r="L16" i="352"/>
  <c r="K16" i="352"/>
  <c r="J16" i="352"/>
  <c r="I16" i="352"/>
  <c r="H16" i="352"/>
  <c r="G16" i="352"/>
  <c r="F16" i="352"/>
  <c r="E16" i="352"/>
  <c r="D16" i="352"/>
  <c r="M13" i="352"/>
  <c r="L13" i="352"/>
  <c r="K13" i="352"/>
  <c r="I6" i="352" s="1"/>
  <c r="J13" i="352"/>
  <c r="I13" i="352"/>
  <c r="F6" i="352" s="1"/>
  <c r="H13" i="352"/>
  <c r="G13" i="352"/>
  <c r="F13" i="352"/>
  <c r="E13" i="352"/>
  <c r="D13" i="352"/>
  <c r="G6" i="352" s="1"/>
  <c r="F3" i="352"/>
  <c r="C3" i="352"/>
  <c r="Q54" i="357" l="1"/>
  <c r="P54" i="357"/>
  <c r="Q30" i="357"/>
  <c r="P30" i="357"/>
  <c r="P57" i="357"/>
  <c r="Q57" i="357"/>
  <c r="AB52" i="357"/>
  <c r="AC44" i="357" s="1"/>
  <c r="AA52" i="357"/>
  <c r="N52" i="357"/>
  <c r="Q18" i="357"/>
  <c r="P18" i="357"/>
  <c r="P29" i="357"/>
  <c r="Q29" i="357"/>
  <c r="Q53" i="357"/>
  <c r="P53" i="357"/>
  <c r="Q63" i="357"/>
  <c r="P63" i="357"/>
  <c r="P45" i="357"/>
  <c r="Q45" i="357"/>
  <c r="Q69" i="357"/>
  <c r="P69" i="357"/>
  <c r="N65" i="357"/>
  <c r="AB65" i="357"/>
  <c r="AC59" i="357" s="1"/>
  <c r="AA65" i="357"/>
  <c r="Q41" i="357"/>
  <c r="P41" i="357"/>
  <c r="Q28" i="357"/>
  <c r="P28" i="357"/>
  <c r="Q44" i="357"/>
  <c r="P44" i="357"/>
  <c r="Q6" i="357"/>
  <c r="P6" i="357"/>
  <c r="Q12" i="357"/>
  <c r="P12" i="357"/>
  <c r="Q15" i="357"/>
  <c r="P15" i="357"/>
  <c r="Q42" i="357"/>
  <c r="P42" i="357"/>
  <c r="P68" i="357"/>
  <c r="Q68" i="357"/>
  <c r="Q61" i="357"/>
  <c r="P61" i="357"/>
  <c r="Q14" i="357"/>
  <c r="P14" i="357"/>
  <c r="Q20" i="357"/>
  <c r="P20" i="357"/>
  <c r="N8" i="357"/>
  <c r="AA8" i="357"/>
  <c r="AB8" i="357"/>
  <c r="AC5" i="357" s="1"/>
  <c r="Q34" i="357"/>
  <c r="P34" i="357"/>
  <c r="N58" i="357"/>
  <c r="AA58" i="357"/>
  <c r="AB58" i="357"/>
  <c r="AC53" i="357" s="1"/>
  <c r="Q39" i="357"/>
  <c r="P39" i="357"/>
  <c r="Q26" i="357"/>
  <c r="P26" i="357"/>
  <c r="Q5" i="357"/>
  <c r="P5" i="357"/>
  <c r="Q19" i="357"/>
  <c r="P19" i="357"/>
  <c r="Q70" i="357"/>
  <c r="P70" i="357"/>
  <c r="N32" i="357"/>
  <c r="AA32" i="357"/>
  <c r="AB32" i="357"/>
  <c r="AC25" i="357" s="1"/>
  <c r="Q56" i="357"/>
  <c r="P56" i="357"/>
  <c r="Q71" i="357"/>
  <c r="P71" i="357"/>
  <c r="Q37" i="357"/>
  <c r="P37" i="357"/>
  <c r="Q55" i="357"/>
  <c r="P55" i="357"/>
  <c r="AB72" i="357"/>
  <c r="AC66" i="357" s="1"/>
  <c r="AA72" i="357"/>
  <c r="N72" i="357"/>
  <c r="Q23" i="357"/>
  <c r="P23" i="357"/>
  <c r="Q16" i="357"/>
  <c r="P16" i="357"/>
  <c r="Q10" i="357"/>
  <c r="P10" i="357"/>
  <c r="L14" i="356"/>
  <c r="L15" i="356" s="1"/>
  <c r="Q43" i="357"/>
  <c r="R33" i="357" s="1"/>
  <c r="P43" i="357"/>
  <c r="Q66" i="357"/>
  <c r="P66" i="357"/>
  <c r="Q25" i="357"/>
  <c r="P25" i="357"/>
  <c r="Q62" i="357"/>
  <c r="P62" i="357"/>
  <c r="AB13" i="357"/>
  <c r="AC9" i="357" s="1"/>
  <c r="AA13" i="357"/>
  <c r="N13" i="357"/>
  <c r="P7" i="357"/>
  <c r="Q7" i="357"/>
  <c r="Q48" i="357"/>
  <c r="P48" i="357"/>
  <c r="AB24" i="357"/>
  <c r="AC18" i="357" s="1"/>
  <c r="AA24" i="357"/>
  <c r="N24" i="357"/>
  <c r="P31" i="357"/>
  <c r="Q31" i="357"/>
  <c r="Q47" i="357"/>
  <c r="P47" i="357"/>
  <c r="Q40" i="357"/>
  <c r="P40" i="357"/>
  <c r="Q27" i="357"/>
  <c r="P27" i="357"/>
  <c r="Q38" i="357"/>
  <c r="P38" i="357"/>
  <c r="Q64" i="357"/>
  <c r="P64" i="357"/>
  <c r="P67" i="357"/>
  <c r="Q67" i="357"/>
  <c r="Q17" i="357"/>
  <c r="R14" i="357" s="1"/>
  <c r="F14" i="356"/>
  <c r="F15" i="356" s="1"/>
  <c r="P17" i="357"/>
  <c r="P46" i="357"/>
  <c r="Q46" i="357"/>
  <c r="Q23" i="353"/>
  <c r="R17" i="353" s="1"/>
  <c r="G14" i="352"/>
  <c r="G15" i="352" s="1"/>
  <c r="P23" i="353"/>
  <c r="P34" i="353"/>
  <c r="Q10" i="353"/>
  <c r="N16" i="353"/>
  <c r="F14" i="352" s="1"/>
  <c r="F15" i="352" s="1"/>
  <c r="P51" i="353"/>
  <c r="AA29" i="353"/>
  <c r="P49" i="353"/>
  <c r="AA16" i="353"/>
  <c r="AB29" i="353"/>
  <c r="AC24" i="353" s="1"/>
  <c r="P25" i="353"/>
  <c r="P60" i="353"/>
  <c r="E6" i="352"/>
  <c r="M8" i="353"/>
  <c r="AB5" i="353"/>
  <c r="N5" i="353"/>
  <c r="AB7" i="353"/>
  <c r="AA7" i="353"/>
  <c r="AB9" i="353"/>
  <c r="AA9" i="353"/>
  <c r="N9" i="353"/>
  <c r="AB12" i="353"/>
  <c r="AC9" i="353" s="1"/>
  <c r="AA12" i="353"/>
  <c r="E14" i="352"/>
  <c r="E15" i="352" s="1"/>
  <c r="Q12" i="353"/>
  <c r="R9" i="353" s="1"/>
  <c r="AB13" i="353"/>
  <c r="AA13" i="353"/>
  <c r="N13" i="353"/>
  <c r="Q14" i="353"/>
  <c r="P14" i="353"/>
  <c r="Q15" i="353"/>
  <c r="P15" i="353"/>
  <c r="Q16" i="353"/>
  <c r="R13" i="353" s="1"/>
  <c r="P16" i="353"/>
  <c r="AB18" i="353"/>
  <c r="AA18" i="353"/>
  <c r="N18" i="353"/>
  <c r="AB20" i="353"/>
  <c r="AA20" i="353"/>
  <c r="N20" i="353"/>
  <c r="N21" i="353"/>
  <c r="AB21" i="353"/>
  <c r="AB22" i="353"/>
  <c r="AA22" i="353"/>
  <c r="Q22" i="353"/>
  <c r="P22" i="353"/>
  <c r="AB24" i="353"/>
  <c r="AA24" i="353"/>
  <c r="Q26" i="353"/>
  <c r="P26" i="353"/>
  <c r="Q27" i="353"/>
  <c r="P27" i="353"/>
  <c r="Q28" i="353"/>
  <c r="P28" i="353"/>
  <c r="K14" i="352"/>
  <c r="P29" i="353"/>
  <c r="Q30" i="353"/>
  <c r="P30" i="353"/>
  <c r="AB31" i="353"/>
  <c r="AA31" i="353"/>
  <c r="AB32" i="353"/>
  <c r="AA32" i="353"/>
  <c r="AB33" i="353"/>
  <c r="AA33" i="353"/>
  <c r="Q33" i="353"/>
  <c r="P33" i="353"/>
  <c r="AB36" i="353"/>
  <c r="AC30" i="353" s="1"/>
  <c r="AA36" i="353"/>
  <c r="L14" i="352"/>
  <c r="L15" i="352" s="1"/>
  <c r="Q36" i="353"/>
  <c r="R30" i="353" s="1"/>
  <c r="AB37" i="353"/>
  <c r="AA37" i="353"/>
  <c r="N37" i="353"/>
  <c r="M44" i="353"/>
  <c r="N44" i="353" s="1"/>
  <c r="Q38" i="353"/>
  <c r="P38" i="353"/>
  <c r="Q39" i="353"/>
  <c r="P39" i="353"/>
  <c r="AB40" i="353"/>
  <c r="AA40" i="353"/>
  <c r="N40" i="353"/>
  <c r="AB42" i="353"/>
  <c r="AA42" i="353"/>
  <c r="N42" i="353"/>
  <c r="N43" i="353"/>
  <c r="AB43" i="353"/>
  <c r="N45" i="353"/>
  <c r="M50" i="353"/>
  <c r="AB46" i="353"/>
  <c r="AA46" i="353"/>
  <c r="Q46" i="353"/>
  <c r="P46" i="353"/>
  <c r="AB47" i="353"/>
  <c r="AA47" i="353"/>
  <c r="AB48" i="353"/>
  <c r="AA48" i="353"/>
  <c r="N48" i="353"/>
  <c r="AA51" i="353"/>
  <c r="M57" i="353"/>
  <c r="Q52" i="353"/>
  <c r="P52" i="353"/>
  <c r="Q53" i="353"/>
  <c r="P53" i="353"/>
  <c r="Q54" i="353"/>
  <c r="P54" i="353"/>
  <c r="AA55" i="353"/>
  <c r="AB55" i="353"/>
  <c r="N55" i="353"/>
  <c r="N58" i="353"/>
  <c r="M63" i="353"/>
  <c r="AB58" i="353"/>
  <c r="AB59" i="353"/>
  <c r="AA59" i="353"/>
  <c r="P59" i="353"/>
  <c r="Q59" i="353"/>
  <c r="Q62" i="353"/>
  <c r="P62" i="353"/>
  <c r="N11" i="353"/>
  <c r="N35" i="353"/>
  <c r="N61" i="353"/>
  <c r="N17" i="353"/>
  <c r="D1" i="351"/>
  <c r="G5" i="351"/>
  <c r="F1" i="351" s="1"/>
  <c r="K5" i="351"/>
  <c r="O5" i="351"/>
  <c r="V5" i="351"/>
  <c r="M5" i="351" s="1"/>
  <c r="G6" i="351"/>
  <c r="K6" i="351"/>
  <c r="O6" i="351"/>
  <c r="U6" i="351"/>
  <c r="V6" i="351"/>
  <c r="M6" i="351" s="1"/>
  <c r="G7" i="351"/>
  <c r="K7" i="351"/>
  <c r="M7" i="351"/>
  <c r="AB7" i="351" s="1"/>
  <c r="O7" i="351"/>
  <c r="U7" i="351"/>
  <c r="V7" i="351"/>
  <c r="AA7" i="351"/>
  <c r="K8" i="351"/>
  <c r="D13" i="350" s="1"/>
  <c r="E6" i="350" s="1"/>
  <c r="O8" i="351"/>
  <c r="G9" i="351"/>
  <c r="K9" i="351"/>
  <c r="M9" i="351"/>
  <c r="N9" i="351" s="1"/>
  <c r="O9" i="351"/>
  <c r="V9" i="351"/>
  <c r="W9" i="351"/>
  <c r="X9" i="351"/>
  <c r="AB9" i="351"/>
  <c r="G10" i="351"/>
  <c r="K10" i="351"/>
  <c r="M10" i="351"/>
  <c r="M13" i="351" s="1"/>
  <c r="O10" i="351"/>
  <c r="U10" i="351"/>
  <c r="V10" i="351"/>
  <c r="G11" i="351"/>
  <c r="K11" i="351"/>
  <c r="O11" i="351"/>
  <c r="U11" i="351"/>
  <c r="V11" i="351"/>
  <c r="M11" i="351" s="1"/>
  <c r="W11" i="351"/>
  <c r="X11" i="351"/>
  <c r="G12" i="351"/>
  <c r="K12" i="351"/>
  <c r="M12" i="351"/>
  <c r="N12" i="351" s="1"/>
  <c r="O12" i="351"/>
  <c r="U12" i="351"/>
  <c r="V12" i="351"/>
  <c r="K13" i="351"/>
  <c r="O13" i="351"/>
  <c r="G14" i="351"/>
  <c r="K14" i="351"/>
  <c r="O14" i="351"/>
  <c r="V14" i="351"/>
  <c r="M14" i="351" s="1"/>
  <c r="G15" i="351"/>
  <c r="K15" i="351"/>
  <c r="O15" i="351"/>
  <c r="U15" i="351"/>
  <c r="V15" i="351"/>
  <c r="M15" i="351" s="1"/>
  <c r="G16" i="351"/>
  <c r="K16" i="351"/>
  <c r="O16" i="351"/>
  <c r="U16" i="351"/>
  <c r="V16" i="351"/>
  <c r="M16" i="351" s="1"/>
  <c r="K17" i="351"/>
  <c r="O17" i="351"/>
  <c r="G18" i="351"/>
  <c r="K18" i="351"/>
  <c r="M18" i="351"/>
  <c r="M24" i="351" s="1"/>
  <c r="N18" i="351"/>
  <c r="P18" i="351" s="1"/>
  <c r="O18" i="351"/>
  <c r="V18" i="351"/>
  <c r="AA18" i="351"/>
  <c r="G19" i="351"/>
  <c r="K19" i="351"/>
  <c r="M19" i="351"/>
  <c r="AB19" i="351" s="1"/>
  <c r="N19" i="351"/>
  <c r="P19" i="351" s="1"/>
  <c r="O19" i="351"/>
  <c r="U19" i="351"/>
  <c r="V19" i="351"/>
  <c r="AA19" i="351"/>
  <c r="G20" i="351"/>
  <c r="K20" i="351"/>
  <c r="M20" i="351"/>
  <c r="N20" i="351" s="1"/>
  <c r="O20" i="351"/>
  <c r="U20" i="351"/>
  <c r="V20" i="351"/>
  <c r="G21" i="351"/>
  <c r="K21" i="351"/>
  <c r="O21" i="351"/>
  <c r="U21" i="351"/>
  <c r="V21" i="351"/>
  <c r="M21" i="351" s="1"/>
  <c r="G22" i="351"/>
  <c r="K22" i="351"/>
  <c r="M22" i="351"/>
  <c r="N22" i="351" s="1"/>
  <c r="O22" i="351"/>
  <c r="U22" i="351"/>
  <c r="V22" i="351"/>
  <c r="AA22" i="351"/>
  <c r="AB22" i="351"/>
  <c r="G23" i="351"/>
  <c r="K23" i="351"/>
  <c r="O23" i="351"/>
  <c r="U23" i="351"/>
  <c r="V23" i="351"/>
  <c r="M23" i="351" s="1"/>
  <c r="K24" i="351"/>
  <c r="O24" i="351"/>
  <c r="G25" i="351"/>
  <c r="K25" i="351"/>
  <c r="O25" i="351"/>
  <c r="V25" i="351"/>
  <c r="M25" i="351" s="1"/>
  <c r="W25" i="351"/>
  <c r="X25" i="351"/>
  <c r="G26" i="351"/>
  <c r="K26" i="351"/>
  <c r="O26" i="351"/>
  <c r="U26" i="351"/>
  <c r="V26" i="351"/>
  <c r="M26" i="351" s="1"/>
  <c r="G27" i="351"/>
  <c r="K27" i="351"/>
  <c r="M27" i="351"/>
  <c r="AB27" i="351" s="1"/>
  <c r="O27" i="351"/>
  <c r="U27" i="351"/>
  <c r="V27" i="351"/>
  <c r="AA27" i="351"/>
  <c r="G28" i="351"/>
  <c r="K28" i="351"/>
  <c r="O28" i="351"/>
  <c r="U28" i="351"/>
  <c r="V28" i="351"/>
  <c r="M28" i="351" s="1"/>
  <c r="G29" i="351"/>
  <c r="K29" i="351"/>
  <c r="M29" i="351"/>
  <c r="AB29" i="351" s="1"/>
  <c r="O29" i="351"/>
  <c r="U29" i="351"/>
  <c r="V29" i="351"/>
  <c r="AA29" i="351"/>
  <c r="K30" i="351"/>
  <c r="O30" i="351"/>
  <c r="G31" i="351"/>
  <c r="K31" i="351"/>
  <c r="M31" i="351"/>
  <c r="N31" i="351" s="1"/>
  <c r="O31" i="351"/>
  <c r="V31" i="351"/>
  <c r="W31" i="351"/>
  <c r="X31" i="351"/>
  <c r="AB31" i="351"/>
  <c r="G32" i="351"/>
  <c r="K32" i="351"/>
  <c r="M32" i="351"/>
  <c r="N32" i="351" s="1"/>
  <c r="O32" i="351"/>
  <c r="U32" i="351"/>
  <c r="V32" i="351"/>
  <c r="G33" i="351"/>
  <c r="K33" i="351"/>
  <c r="O33" i="351"/>
  <c r="U33" i="351"/>
  <c r="V33" i="351"/>
  <c r="M33" i="351" s="1"/>
  <c r="G34" i="351"/>
  <c r="K34" i="351"/>
  <c r="M34" i="351"/>
  <c r="N34" i="351" s="1"/>
  <c r="O34" i="351"/>
  <c r="U34" i="351"/>
  <c r="V34" i="351"/>
  <c r="AA34" i="351"/>
  <c r="G35" i="351"/>
  <c r="K35" i="351"/>
  <c r="O35" i="351"/>
  <c r="U35" i="351"/>
  <c r="V35" i="351"/>
  <c r="M35" i="351" s="1"/>
  <c r="G36" i="351"/>
  <c r="K36" i="351"/>
  <c r="O36" i="351"/>
  <c r="U36" i="351"/>
  <c r="V36" i="351"/>
  <c r="M36" i="351" s="1"/>
  <c r="W36" i="351"/>
  <c r="X36" i="351"/>
  <c r="G37" i="351"/>
  <c r="K37" i="351"/>
  <c r="O37" i="351"/>
  <c r="U37" i="351"/>
  <c r="V37" i="351"/>
  <c r="M37" i="351" s="1"/>
  <c r="G38" i="351"/>
  <c r="K38" i="351"/>
  <c r="O38" i="351"/>
  <c r="U38" i="351"/>
  <c r="V38" i="351"/>
  <c r="M38" i="351" s="1"/>
  <c r="K39" i="351"/>
  <c r="O39" i="351"/>
  <c r="G40" i="351"/>
  <c r="K40" i="351"/>
  <c r="M40" i="351"/>
  <c r="AB40" i="351" s="1"/>
  <c r="O40" i="351"/>
  <c r="V40" i="351"/>
  <c r="AA40" i="351"/>
  <c r="G41" i="351"/>
  <c r="K41" i="351"/>
  <c r="M41" i="351"/>
  <c r="AB41" i="351" s="1"/>
  <c r="O41" i="351"/>
  <c r="U41" i="351"/>
  <c r="V41" i="351"/>
  <c r="AA41" i="351"/>
  <c r="G42" i="351"/>
  <c r="K42" i="351"/>
  <c r="M42" i="351"/>
  <c r="AB42" i="351" s="1"/>
  <c r="O42" i="351"/>
  <c r="U42" i="351"/>
  <c r="V42" i="351"/>
  <c r="G43" i="351"/>
  <c r="K43" i="351"/>
  <c r="M43" i="351"/>
  <c r="AB43" i="351" s="1"/>
  <c r="N43" i="351"/>
  <c r="P43" i="351" s="1"/>
  <c r="O43" i="351"/>
  <c r="U43" i="351"/>
  <c r="V43" i="351"/>
  <c r="AA43" i="351"/>
  <c r="G44" i="351"/>
  <c r="K44" i="351"/>
  <c r="M44" i="351"/>
  <c r="N44" i="351" s="1"/>
  <c r="O44" i="351"/>
  <c r="U44" i="351"/>
  <c r="V44" i="351"/>
  <c r="G45" i="351"/>
  <c r="K45" i="351"/>
  <c r="O45" i="351"/>
  <c r="U45" i="351"/>
  <c r="V45" i="351"/>
  <c r="M45" i="351" s="1"/>
  <c r="G46" i="351"/>
  <c r="K46" i="351"/>
  <c r="M46" i="351"/>
  <c r="N46" i="351" s="1"/>
  <c r="O46" i="351"/>
  <c r="U46" i="351"/>
  <c r="V46" i="351"/>
  <c r="AA46" i="351"/>
  <c r="K47" i="351"/>
  <c r="O47" i="351"/>
  <c r="G48" i="351"/>
  <c r="K48" i="351"/>
  <c r="M48" i="351"/>
  <c r="AB48" i="351" s="1"/>
  <c r="O48" i="351"/>
  <c r="V48" i="351"/>
  <c r="AA48" i="351"/>
  <c r="G49" i="351"/>
  <c r="K49" i="351"/>
  <c r="M49" i="351"/>
  <c r="AB49" i="351" s="1"/>
  <c r="O49" i="351"/>
  <c r="U49" i="351"/>
  <c r="V49" i="351"/>
  <c r="AA49" i="351"/>
  <c r="G50" i="351"/>
  <c r="K50" i="351"/>
  <c r="O50" i="351"/>
  <c r="U50" i="351"/>
  <c r="V50" i="351"/>
  <c r="M50" i="351" s="1"/>
  <c r="G51" i="351"/>
  <c r="K51" i="351"/>
  <c r="M51" i="351"/>
  <c r="AB51" i="351" s="1"/>
  <c r="O51" i="351"/>
  <c r="U51" i="351"/>
  <c r="V51" i="351"/>
  <c r="AA51" i="351"/>
  <c r="G52" i="351"/>
  <c r="K52" i="351"/>
  <c r="M52" i="351"/>
  <c r="AB52" i="351" s="1"/>
  <c r="O52" i="351"/>
  <c r="U52" i="351"/>
  <c r="V52" i="351"/>
  <c r="K53" i="351"/>
  <c r="O53" i="351"/>
  <c r="G54" i="351"/>
  <c r="K54" i="351"/>
  <c r="O54" i="351"/>
  <c r="V54" i="351"/>
  <c r="M54" i="351" s="1"/>
  <c r="G55" i="351"/>
  <c r="K55" i="351"/>
  <c r="O55" i="351"/>
  <c r="U55" i="351"/>
  <c r="V55" i="351"/>
  <c r="M55" i="351" s="1"/>
  <c r="G56" i="351"/>
  <c r="K56" i="351"/>
  <c r="O56" i="351"/>
  <c r="U56" i="351"/>
  <c r="V56" i="351"/>
  <c r="M56" i="351" s="1"/>
  <c r="G57" i="351"/>
  <c r="K57" i="351"/>
  <c r="O57" i="351"/>
  <c r="U57" i="351"/>
  <c r="V57" i="351"/>
  <c r="M57" i="351" s="1"/>
  <c r="G58" i="351"/>
  <c r="K58" i="351"/>
  <c r="O58" i="351"/>
  <c r="U58" i="351"/>
  <c r="V58" i="351"/>
  <c r="M58" i="351" s="1"/>
  <c r="G59" i="351"/>
  <c r="K59" i="351"/>
  <c r="M59" i="351"/>
  <c r="AB59" i="351" s="1"/>
  <c r="O59" i="351"/>
  <c r="U59" i="351"/>
  <c r="V59" i="351"/>
  <c r="AA59" i="351"/>
  <c r="K60" i="351"/>
  <c r="J13" i="350" s="1"/>
  <c r="O60" i="351"/>
  <c r="G61" i="351"/>
  <c r="K61" i="351"/>
  <c r="M61" i="351"/>
  <c r="AB61" i="351" s="1"/>
  <c r="O61" i="351"/>
  <c r="V61" i="351"/>
  <c r="W61" i="351"/>
  <c r="X61" i="351"/>
  <c r="G62" i="351"/>
  <c r="K62" i="351"/>
  <c r="M62" i="351"/>
  <c r="AB62" i="351" s="1"/>
  <c r="O62" i="351"/>
  <c r="U62" i="351"/>
  <c r="V62" i="351"/>
  <c r="G63" i="351"/>
  <c r="K63" i="351"/>
  <c r="M63" i="351"/>
  <c r="AB63" i="351" s="1"/>
  <c r="N63" i="351"/>
  <c r="P63" i="351" s="1"/>
  <c r="O63" i="351"/>
  <c r="U63" i="351"/>
  <c r="V63" i="351"/>
  <c r="AA63" i="351"/>
  <c r="G64" i="351"/>
  <c r="K64" i="351"/>
  <c r="M64" i="351"/>
  <c r="N64" i="351" s="1"/>
  <c r="O64" i="351"/>
  <c r="U64" i="351"/>
  <c r="V64" i="351"/>
  <c r="G65" i="351"/>
  <c r="K65" i="351"/>
  <c r="O65" i="351"/>
  <c r="U65" i="351"/>
  <c r="V65" i="351"/>
  <c r="M65" i="351" s="1"/>
  <c r="K66" i="351"/>
  <c r="M13" i="350" s="1"/>
  <c r="O66" i="351"/>
  <c r="C3" i="350"/>
  <c r="F3" i="350"/>
  <c r="E13" i="350"/>
  <c r="F13" i="350"/>
  <c r="G13" i="350"/>
  <c r="H13" i="350"/>
  <c r="I13" i="350"/>
  <c r="K13" i="350"/>
  <c r="L13" i="350"/>
  <c r="D16" i="350"/>
  <c r="E16" i="350"/>
  <c r="F16" i="350"/>
  <c r="G16" i="350"/>
  <c r="H16" i="350"/>
  <c r="I16" i="350"/>
  <c r="J16" i="350"/>
  <c r="K16" i="350"/>
  <c r="L16" i="350"/>
  <c r="M16" i="350"/>
  <c r="D17" i="350"/>
  <c r="E17" i="350"/>
  <c r="F17" i="350"/>
  <c r="G17" i="350"/>
  <c r="H17" i="350"/>
  <c r="I17" i="350"/>
  <c r="J17" i="350"/>
  <c r="K17" i="350"/>
  <c r="L17" i="350"/>
  <c r="M17" i="350"/>
  <c r="D18" i="350"/>
  <c r="E18" i="350"/>
  <c r="F18" i="350"/>
  <c r="G18" i="350"/>
  <c r="H18" i="350"/>
  <c r="I18" i="350"/>
  <c r="J18" i="350"/>
  <c r="K18" i="350"/>
  <c r="L18" i="350"/>
  <c r="M18" i="350"/>
  <c r="Q8" i="357" l="1"/>
  <c r="R5" i="357" s="1"/>
  <c r="P8" i="357"/>
  <c r="D2" i="357"/>
  <c r="D14" i="356"/>
  <c r="J14" i="356"/>
  <c r="J15" i="356" s="1"/>
  <c r="Q65" i="357"/>
  <c r="R59" i="357" s="1"/>
  <c r="P65" i="357"/>
  <c r="Q52" i="357"/>
  <c r="R44" i="357" s="1"/>
  <c r="P52" i="357"/>
  <c r="H14" i="356"/>
  <c r="H15" i="356" s="1"/>
  <c r="Q58" i="357"/>
  <c r="R53" i="357" s="1"/>
  <c r="P58" i="357"/>
  <c r="I14" i="356"/>
  <c r="I15" i="356" s="1"/>
  <c r="Q13" i="357"/>
  <c r="R9" i="357" s="1"/>
  <c r="P13" i="357"/>
  <c r="E14" i="356"/>
  <c r="E15" i="356" s="1"/>
  <c r="Q24" i="357"/>
  <c r="R18" i="357" s="1"/>
  <c r="P24" i="357"/>
  <c r="G14" i="356"/>
  <c r="G15" i="356" s="1"/>
  <c r="Q72" i="357"/>
  <c r="R66" i="357" s="1"/>
  <c r="P72" i="357"/>
  <c r="M14" i="356"/>
  <c r="M15" i="356" s="1"/>
  <c r="Q32" i="357"/>
  <c r="R25" i="357" s="1"/>
  <c r="P32" i="357"/>
  <c r="K14" i="356"/>
  <c r="K15" i="352"/>
  <c r="N8" i="353"/>
  <c r="AB8" i="353"/>
  <c r="AC5" i="353" s="1"/>
  <c r="AA8" i="353"/>
  <c r="P5" i="353"/>
  <c r="Q5" i="353"/>
  <c r="P55" i="353"/>
  <c r="Q55" i="353"/>
  <c r="Q45" i="353"/>
  <c r="P45" i="353"/>
  <c r="Q42" i="353"/>
  <c r="P42" i="353"/>
  <c r="Q44" i="353"/>
  <c r="R37" i="353" s="1"/>
  <c r="P44" i="353"/>
  <c r="H14" i="352"/>
  <c r="H15" i="352" s="1"/>
  <c r="P58" i="353"/>
  <c r="Q58" i="353"/>
  <c r="Q43" i="353"/>
  <c r="P43" i="353"/>
  <c r="P40" i="353"/>
  <c r="Q40" i="353"/>
  <c r="P21" i="353"/>
  <c r="Q21" i="353"/>
  <c r="Q9" i="353"/>
  <c r="P9" i="353"/>
  <c r="Q20" i="353"/>
  <c r="P20" i="353"/>
  <c r="P18" i="353"/>
  <c r="Q18" i="353"/>
  <c r="Q17" i="353"/>
  <c r="P17" i="353"/>
  <c r="Q61" i="353"/>
  <c r="P61" i="353"/>
  <c r="Q35" i="353"/>
  <c r="P35" i="353"/>
  <c r="Q11" i="353"/>
  <c r="P11" i="353"/>
  <c r="AB63" i="353"/>
  <c r="AC58" i="353" s="1"/>
  <c r="AA63" i="353"/>
  <c r="N63" i="353"/>
  <c r="AB57" i="353"/>
  <c r="AC51" i="353" s="1"/>
  <c r="AA57" i="353"/>
  <c r="N57" i="353"/>
  <c r="Q48" i="353"/>
  <c r="P48" i="353"/>
  <c r="AB50" i="353"/>
  <c r="AC45" i="353" s="1"/>
  <c r="AA50" i="353"/>
  <c r="N50" i="353"/>
  <c r="I14" i="352" s="1"/>
  <c r="I15" i="352" s="1"/>
  <c r="AA44" i="353"/>
  <c r="AB44" i="353"/>
  <c r="AC37" i="353" s="1"/>
  <c r="Q37" i="353"/>
  <c r="P37" i="353"/>
  <c r="Q13" i="353"/>
  <c r="P13" i="353"/>
  <c r="P64" i="351"/>
  <c r="Q64" i="351"/>
  <c r="N55" i="351"/>
  <c r="AA55" i="351"/>
  <c r="AB55" i="351"/>
  <c r="AA50" i="351"/>
  <c r="AB50" i="351"/>
  <c r="M53" i="351"/>
  <c r="N50" i="351"/>
  <c r="P46" i="351"/>
  <c r="Q46" i="351"/>
  <c r="N37" i="351"/>
  <c r="AA37" i="351"/>
  <c r="AB37" i="351"/>
  <c r="N35" i="351"/>
  <c r="AA35" i="351"/>
  <c r="AB35" i="351"/>
  <c r="N33" i="351"/>
  <c r="AA33" i="351"/>
  <c r="AB33" i="351"/>
  <c r="AB57" i="351"/>
  <c r="N57" i="351"/>
  <c r="AA57" i="351"/>
  <c r="P20" i="351"/>
  <c r="Q20" i="351"/>
  <c r="P9" i="351"/>
  <c r="Q9" i="351"/>
  <c r="AA6" i="351"/>
  <c r="AB6" i="351"/>
  <c r="N6" i="351"/>
  <c r="N45" i="351"/>
  <c r="AA45" i="351"/>
  <c r="AB45" i="351"/>
  <c r="P22" i="351"/>
  <c r="Q22" i="351"/>
  <c r="AB15" i="351"/>
  <c r="N15" i="351"/>
  <c r="AA15" i="351"/>
  <c r="AA24" i="351"/>
  <c r="AB24" i="351"/>
  <c r="AC18" i="351" s="1"/>
  <c r="N24" i="351"/>
  <c r="P12" i="351"/>
  <c r="Q12" i="351"/>
  <c r="N54" i="351"/>
  <c r="M60" i="351"/>
  <c r="AA54" i="351"/>
  <c r="AB54" i="351"/>
  <c r="N21" i="351"/>
  <c r="AA21" i="351"/>
  <c r="AB21" i="351"/>
  <c r="N13" i="351"/>
  <c r="AA13" i="351"/>
  <c r="AB13" i="351"/>
  <c r="AC9" i="351" s="1"/>
  <c r="AA56" i="351"/>
  <c r="AB56" i="351"/>
  <c r="N56" i="351"/>
  <c r="AA38" i="351"/>
  <c r="AB38" i="351"/>
  <c r="N38" i="351"/>
  <c r="AA36" i="351"/>
  <c r="AB36" i="351"/>
  <c r="N36" i="351"/>
  <c r="AA5" i="351"/>
  <c r="AB5" i="351"/>
  <c r="M8" i="351"/>
  <c r="N5" i="351"/>
  <c r="P31" i="351"/>
  <c r="Q31" i="351"/>
  <c r="N65" i="351"/>
  <c r="AA65" i="351"/>
  <c r="AB65" i="351"/>
  <c r="AA26" i="351"/>
  <c r="N26" i="351"/>
  <c r="AB26" i="351"/>
  <c r="N23" i="351"/>
  <c r="AA23" i="351"/>
  <c r="AB23" i="351"/>
  <c r="P32" i="351"/>
  <c r="Q32" i="351"/>
  <c r="AB14" i="351"/>
  <c r="M17" i="351"/>
  <c r="N14" i="351"/>
  <c r="AA14" i="351"/>
  <c r="AA58" i="351"/>
  <c r="N58" i="351"/>
  <c r="AB58" i="351"/>
  <c r="P34" i="351"/>
  <c r="Q34" i="351"/>
  <c r="AA16" i="351"/>
  <c r="N16" i="351"/>
  <c r="AB16" i="351"/>
  <c r="AA28" i="351"/>
  <c r="AB28" i="351"/>
  <c r="N28" i="351"/>
  <c r="N11" i="351"/>
  <c r="AA11" i="351"/>
  <c r="AB11" i="351"/>
  <c r="F2" i="351"/>
  <c r="I3" i="350"/>
  <c r="P44" i="351"/>
  <c r="Q44" i="351"/>
  <c r="AA25" i="351"/>
  <c r="M30" i="351"/>
  <c r="N25" i="351"/>
  <c r="AB25" i="351"/>
  <c r="M66" i="351"/>
  <c r="AA62" i="351"/>
  <c r="AA61" i="351"/>
  <c r="AA52" i="351"/>
  <c r="AA42" i="351"/>
  <c r="AB18" i="351"/>
  <c r="I6" i="350"/>
  <c r="AB64" i="351"/>
  <c r="M47" i="351"/>
  <c r="AB44" i="351"/>
  <c r="AB32" i="351"/>
  <c r="AB20" i="351"/>
  <c r="AB12" i="351"/>
  <c r="AB10" i="351"/>
  <c r="AA64" i="351"/>
  <c r="AA44" i="351"/>
  <c r="AA32" i="351"/>
  <c r="AA31" i="351"/>
  <c r="AA20" i="351"/>
  <c r="AA12" i="351"/>
  <c r="AA10" i="351"/>
  <c r="AA9" i="351"/>
  <c r="N59" i="351"/>
  <c r="N49" i="351"/>
  <c r="N48" i="351"/>
  <c r="AB46" i="351"/>
  <c r="M39" i="351"/>
  <c r="AB34" i="351"/>
  <c r="N27" i="351"/>
  <c r="Q63" i="351"/>
  <c r="Q43" i="351"/>
  <c r="Q19" i="351"/>
  <c r="Q18" i="351"/>
  <c r="N51" i="351"/>
  <c r="N41" i="351"/>
  <c r="N40" i="351"/>
  <c r="N29" i="351"/>
  <c r="N7" i="351"/>
  <c r="N62" i="351"/>
  <c r="N52" i="351"/>
  <c r="N42" i="351"/>
  <c r="N61" i="351"/>
  <c r="N10" i="351"/>
  <c r="G6" i="350"/>
  <c r="F6" i="350"/>
  <c r="C3" i="349"/>
  <c r="F3" i="349"/>
  <c r="I3" i="349"/>
  <c r="D14" i="349"/>
  <c r="E14" i="349"/>
  <c r="F14" i="349"/>
  <c r="G14" i="349"/>
  <c r="H14" i="349"/>
  <c r="I14" i="349"/>
  <c r="J14" i="349"/>
  <c r="K14" i="349"/>
  <c r="L14" i="349"/>
  <c r="M14" i="349"/>
  <c r="D16" i="349"/>
  <c r="E16" i="349"/>
  <c r="F16" i="349"/>
  <c r="G16" i="349"/>
  <c r="H16" i="349"/>
  <c r="I16" i="349"/>
  <c r="J16" i="349"/>
  <c r="K16" i="349"/>
  <c r="L16" i="349"/>
  <c r="M16" i="349"/>
  <c r="D17" i="349"/>
  <c r="E17" i="349"/>
  <c r="F17" i="349"/>
  <c r="G17" i="349"/>
  <c r="H17" i="349"/>
  <c r="I17" i="349"/>
  <c r="J17" i="349"/>
  <c r="K17" i="349"/>
  <c r="L17" i="349"/>
  <c r="M17" i="349"/>
  <c r="D18" i="349"/>
  <c r="E18" i="349"/>
  <c r="F18" i="349"/>
  <c r="G18" i="349"/>
  <c r="H18" i="349"/>
  <c r="I18" i="349"/>
  <c r="J18" i="349"/>
  <c r="K18" i="349"/>
  <c r="L18" i="349"/>
  <c r="M18" i="349"/>
  <c r="D1" i="348"/>
  <c r="G5" i="348"/>
  <c r="F1" i="348" s="1"/>
  <c r="F2" i="348" s="1"/>
  <c r="K5" i="348"/>
  <c r="M5" i="348"/>
  <c r="O5" i="348"/>
  <c r="V5" i="348"/>
  <c r="G6" i="348"/>
  <c r="K6" i="348"/>
  <c r="M6" i="348"/>
  <c r="AA6" i="348" s="1"/>
  <c r="O6" i="348"/>
  <c r="U6" i="348"/>
  <c r="V6" i="348"/>
  <c r="G7" i="348"/>
  <c r="K7" i="348"/>
  <c r="M7" i="348"/>
  <c r="AA7" i="348" s="1"/>
  <c r="O7" i="348"/>
  <c r="U7" i="348"/>
  <c r="V7" i="348"/>
  <c r="M8" i="348"/>
  <c r="O8" i="348"/>
  <c r="G9" i="348"/>
  <c r="K9" i="348"/>
  <c r="O9" i="348"/>
  <c r="V9" i="348"/>
  <c r="M9" i="348" s="1"/>
  <c r="W9" i="348"/>
  <c r="X9" i="348"/>
  <c r="G10" i="348"/>
  <c r="AA10" i="348"/>
  <c r="M10" i="348"/>
  <c r="O10" i="348"/>
  <c r="U10" i="348"/>
  <c r="V10" i="348"/>
  <c r="G11" i="348"/>
  <c r="AA11" i="348"/>
  <c r="M11" i="348"/>
  <c r="N11" i="348" s="1"/>
  <c r="O11" i="348"/>
  <c r="U11" i="348"/>
  <c r="V11" i="348"/>
  <c r="W11" i="348"/>
  <c r="X11" i="348"/>
  <c r="G12" i="348"/>
  <c r="AA12" i="348"/>
  <c r="M12" i="348"/>
  <c r="N12" i="348"/>
  <c r="O12" i="348"/>
  <c r="U12" i="348"/>
  <c r="V12" i="348"/>
  <c r="AB12" i="348"/>
  <c r="O13" i="348"/>
  <c r="G14" i="348"/>
  <c r="AB14" i="348"/>
  <c r="M14" i="348"/>
  <c r="N14" i="348"/>
  <c r="O14" i="348"/>
  <c r="V14" i="348"/>
  <c r="G15" i="348"/>
  <c r="AA15" i="348"/>
  <c r="M15" i="348"/>
  <c r="O15" i="348"/>
  <c r="U15" i="348"/>
  <c r="V15" i="348"/>
  <c r="G16" i="348"/>
  <c r="AA16" i="348"/>
  <c r="M16" i="348"/>
  <c r="O16" i="348"/>
  <c r="U16" i="348"/>
  <c r="V16" i="348"/>
  <c r="O17" i="348"/>
  <c r="G18" i="348"/>
  <c r="K18" i="348"/>
  <c r="M18" i="348"/>
  <c r="N18" i="348"/>
  <c r="P18" i="348" s="1"/>
  <c r="O18" i="348"/>
  <c r="V18" i="348"/>
  <c r="G19" i="348"/>
  <c r="K19" i="348"/>
  <c r="M19" i="348"/>
  <c r="AA19" i="348" s="1"/>
  <c r="O19" i="348"/>
  <c r="U19" i="348"/>
  <c r="V19" i="348"/>
  <c r="G20" i="348"/>
  <c r="K20" i="348"/>
  <c r="M20" i="348"/>
  <c r="O20" i="348"/>
  <c r="U20" i="348"/>
  <c r="V20" i="348"/>
  <c r="G21" i="348"/>
  <c r="K21" i="348"/>
  <c r="M21" i="348"/>
  <c r="AA21" i="348" s="1"/>
  <c r="O21" i="348"/>
  <c r="U21" i="348"/>
  <c r="V21" i="348"/>
  <c r="G22" i="348"/>
  <c r="K22" i="348"/>
  <c r="M22" i="348"/>
  <c r="O22" i="348"/>
  <c r="U22" i="348"/>
  <c r="V22" i="348"/>
  <c r="G23" i="348"/>
  <c r="K23" i="348"/>
  <c r="M23" i="348"/>
  <c r="O23" i="348"/>
  <c r="U23" i="348"/>
  <c r="V23" i="348"/>
  <c r="K24" i="348"/>
  <c r="G13" i="349" s="1"/>
  <c r="O24" i="348"/>
  <c r="G25" i="348"/>
  <c r="K25" i="348"/>
  <c r="M25" i="348"/>
  <c r="O25" i="348"/>
  <c r="V25" i="348"/>
  <c r="W25" i="348"/>
  <c r="X25" i="348"/>
  <c r="G26" i="348"/>
  <c r="K26" i="348"/>
  <c r="M26" i="348"/>
  <c r="AA26" i="348" s="1"/>
  <c r="O26" i="348"/>
  <c r="U26" i="348"/>
  <c r="V26" i="348"/>
  <c r="G27" i="348"/>
  <c r="K27" i="348"/>
  <c r="M27" i="348"/>
  <c r="O27" i="348"/>
  <c r="U27" i="348"/>
  <c r="V27" i="348"/>
  <c r="G28" i="348"/>
  <c r="K28" i="348"/>
  <c r="M28" i="348"/>
  <c r="O28" i="348"/>
  <c r="U28" i="348"/>
  <c r="V28" i="348"/>
  <c r="G29" i="348"/>
  <c r="K29" i="348"/>
  <c r="M29" i="348"/>
  <c r="O29" i="348"/>
  <c r="U29" i="348"/>
  <c r="V29" i="348"/>
  <c r="W29" i="348"/>
  <c r="X29" i="348"/>
  <c r="G30" i="348"/>
  <c r="AA30" i="348"/>
  <c r="M30" i="348"/>
  <c r="N30" i="348" s="1"/>
  <c r="O30" i="348"/>
  <c r="U30" i="348"/>
  <c r="V30" i="348"/>
  <c r="G31" i="348"/>
  <c r="AB31" i="348"/>
  <c r="M31" i="348"/>
  <c r="N31" i="348" s="1"/>
  <c r="O31" i="348"/>
  <c r="U31" i="348"/>
  <c r="V31" i="348"/>
  <c r="O32" i="348"/>
  <c r="G33" i="348"/>
  <c r="K33" i="348"/>
  <c r="M33" i="348"/>
  <c r="AA33" i="348" s="1"/>
  <c r="N33" i="348"/>
  <c r="O33" i="348"/>
  <c r="V33" i="348"/>
  <c r="W33" i="348"/>
  <c r="X33" i="348"/>
  <c r="G34" i="348"/>
  <c r="AB34" i="348"/>
  <c r="M34" i="348"/>
  <c r="N34" i="348" s="1"/>
  <c r="O34" i="348"/>
  <c r="U34" i="348"/>
  <c r="V34" i="348"/>
  <c r="G35" i="348"/>
  <c r="AB35" i="348"/>
  <c r="M35" i="348"/>
  <c r="N35" i="348" s="1"/>
  <c r="O35" i="348"/>
  <c r="U35" i="348"/>
  <c r="V35" i="348"/>
  <c r="G36" i="348"/>
  <c r="K36" i="348"/>
  <c r="M36" i="348"/>
  <c r="N36" i="348" s="1"/>
  <c r="O36" i="348"/>
  <c r="U36" i="348"/>
  <c r="V36" i="348"/>
  <c r="G37" i="348"/>
  <c r="AB37" i="348"/>
  <c r="M37" i="348"/>
  <c r="N37" i="348" s="1"/>
  <c r="O37" i="348"/>
  <c r="U37" i="348"/>
  <c r="V37" i="348"/>
  <c r="G38" i="348"/>
  <c r="AB38" i="348"/>
  <c r="M38" i="348"/>
  <c r="N38" i="348" s="1"/>
  <c r="O38" i="348"/>
  <c r="U38" i="348"/>
  <c r="V38" i="348"/>
  <c r="W38" i="348"/>
  <c r="X38" i="348"/>
  <c r="G39" i="348"/>
  <c r="K39" i="348"/>
  <c r="O39" i="348"/>
  <c r="U39" i="348"/>
  <c r="V39" i="348"/>
  <c r="M39" i="348" s="1"/>
  <c r="G40" i="348"/>
  <c r="K40" i="348"/>
  <c r="O40" i="348"/>
  <c r="U40" i="348"/>
  <c r="V40" i="348"/>
  <c r="M40" i="348" s="1"/>
  <c r="G41" i="348"/>
  <c r="K41" i="348"/>
  <c r="O41" i="348"/>
  <c r="U41" i="348"/>
  <c r="V41" i="348"/>
  <c r="M41" i="348" s="1"/>
  <c r="G42" i="348"/>
  <c r="K42" i="348"/>
  <c r="O42" i="348"/>
  <c r="U42" i="348"/>
  <c r="V42" i="348"/>
  <c r="M42" i="348" s="1"/>
  <c r="O43" i="348"/>
  <c r="G44" i="348"/>
  <c r="K44" i="348"/>
  <c r="O44" i="348"/>
  <c r="V44" i="348"/>
  <c r="M44" i="348" s="1"/>
  <c r="G45" i="348"/>
  <c r="AB45" i="348"/>
  <c r="M45" i="348"/>
  <c r="N45" i="348" s="1"/>
  <c r="O45" i="348"/>
  <c r="U45" i="348"/>
  <c r="V45" i="348"/>
  <c r="G46" i="348"/>
  <c r="K46" i="348"/>
  <c r="M46" i="348"/>
  <c r="N46" i="348" s="1"/>
  <c r="O46" i="348"/>
  <c r="U46" i="348"/>
  <c r="V46" i="348"/>
  <c r="G47" i="348"/>
  <c r="AB47" i="348"/>
  <c r="M47" i="348"/>
  <c r="N47" i="348" s="1"/>
  <c r="O47" i="348"/>
  <c r="U47" i="348"/>
  <c r="V47" i="348"/>
  <c r="G48" i="348"/>
  <c r="AA48" i="348"/>
  <c r="M48" i="348"/>
  <c r="N48" i="348" s="1"/>
  <c r="O48" i="348"/>
  <c r="U48" i="348"/>
  <c r="V48" i="348"/>
  <c r="G49" i="348"/>
  <c r="AB49" i="348"/>
  <c r="M49" i="348"/>
  <c r="N49" i="348" s="1"/>
  <c r="O49" i="348"/>
  <c r="U49" i="348"/>
  <c r="V49" i="348"/>
  <c r="G50" i="348"/>
  <c r="AB50" i="348"/>
  <c r="M50" i="348"/>
  <c r="N50" i="348" s="1"/>
  <c r="O50" i="348"/>
  <c r="U50" i="348"/>
  <c r="V50" i="348"/>
  <c r="O51" i="348"/>
  <c r="G52" i="348"/>
  <c r="K57" i="348"/>
  <c r="I13" i="349" s="1"/>
  <c r="M52" i="348"/>
  <c r="N52" i="348"/>
  <c r="O52" i="348"/>
  <c r="V52" i="348"/>
  <c r="G53" i="348"/>
  <c r="K53" i="348"/>
  <c r="M53" i="348"/>
  <c r="O53" i="348"/>
  <c r="U53" i="348"/>
  <c r="V53" i="348"/>
  <c r="G54" i="348"/>
  <c r="K54" i="348"/>
  <c r="M54" i="348"/>
  <c r="O54" i="348"/>
  <c r="U54" i="348"/>
  <c r="V54" i="348"/>
  <c r="G55" i="348"/>
  <c r="K55" i="348"/>
  <c r="M55" i="348"/>
  <c r="O55" i="348"/>
  <c r="U55" i="348"/>
  <c r="V55" i="348"/>
  <c r="G56" i="348"/>
  <c r="K56" i="348"/>
  <c r="M56" i="348"/>
  <c r="AA56" i="348" s="1"/>
  <c r="O56" i="348"/>
  <c r="U56" i="348"/>
  <c r="V56" i="348"/>
  <c r="O57" i="348"/>
  <c r="G58" i="348"/>
  <c r="M58" i="348"/>
  <c r="AB58" i="348" s="1"/>
  <c r="N58" i="348"/>
  <c r="O58" i="348"/>
  <c r="V58" i="348"/>
  <c r="G59" i="348"/>
  <c r="K59" i="348"/>
  <c r="M59" i="348"/>
  <c r="AB59" i="348" s="1"/>
  <c r="N59" i="348"/>
  <c r="O59" i="348"/>
  <c r="U59" i="348"/>
  <c r="V59" i="348"/>
  <c r="G60" i="348"/>
  <c r="K60" i="348"/>
  <c r="M60" i="348"/>
  <c r="N60" i="348"/>
  <c r="O60" i="348"/>
  <c r="U60" i="348"/>
  <c r="V60" i="348"/>
  <c r="G61" i="348"/>
  <c r="K61" i="348"/>
  <c r="M61" i="348"/>
  <c r="N61" i="348"/>
  <c r="O61" i="348"/>
  <c r="U61" i="348"/>
  <c r="V61" i="348"/>
  <c r="G62" i="348"/>
  <c r="K62" i="348"/>
  <c r="M62" i="348"/>
  <c r="N62" i="348"/>
  <c r="O62" i="348"/>
  <c r="U62" i="348"/>
  <c r="V62" i="348"/>
  <c r="G63" i="348"/>
  <c r="K63" i="348"/>
  <c r="M63" i="348"/>
  <c r="N63" i="348"/>
  <c r="O63" i="348"/>
  <c r="U63" i="348"/>
  <c r="V63" i="348"/>
  <c r="O64" i="348"/>
  <c r="G65" i="348"/>
  <c r="K65" i="348"/>
  <c r="M65" i="348"/>
  <c r="N65" i="348"/>
  <c r="O65" i="348"/>
  <c r="V65" i="348"/>
  <c r="W65" i="348"/>
  <c r="X65" i="348"/>
  <c r="G66" i="348"/>
  <c r="K66" i="348"/>
  <c r="M66" i="348"/>
  <c r="AB66" i="348" s="1"/>
  <c r="N66" i="348"/>
  <c r="O66" i="348"/>
  <c r="U66" i="348"/>
  <c r="V66" i="348"/>
  <c r="G67" i="348"/>
  <c r="K67" i="348"/>
  <c r="M67" i="348"/>
  <c r="N67" i="348"/>
  <c r="O67" i="348"/>
  <c r="U67" i="348"/>
  <c r="V67" i="348"/>
  <c r="G68" i="348"/>
  <c r="K68" i="348"/>
  <c r="M68" i="348"/>
  <c r="N68" i="348"/>
  <c r="O68" i="348"/>
  <c r="U68" i="348"/>
  <c r="V68" i="348"/>
  <c r="G69" i="348"/>
  <c r="K69" i="348"/>
  <c r="M69" i="348"/>
  <c r="AA69" i="348" s="1"/>
  <c r="N69" i="348"/>
  <c r="O69" i="348"/>
  <c r="U69" i="348"/>
  <c r="V69" i="348"/>
  <c r="W69" i="348"/>
  <c r="X69" i="348"/>
  <c r="G70" i="348"/>
  <c r="K70" i="348"/>
  <c r="M70" i="348"/>
  <c r="O70" i="348"/>
  <c r="U70" i="348"/>
  <c r="V70" i="348"/>
  <c r="O71" i="348"/>
  <c r="D15" i="356" l="1"/>
  <c r="G7" i="356"/>
  <c r="F7" i="356"/>
  <c r="E7" i="356"/>
  <c r="K15" i="356"/>
  <c r="I8" i="356" s="1"/>
  <c r="I7" i="356"/>
  <c r="J14" i="352"/>
  <c r="J15" i="352" s="1"/>
  <c r="Q57" i="353"/>
  <c r="R51" i="353" s="1"/>
  <c r="P57" i="353"/>
  <c r="D14" i="352"/>
  <c r="Q8" i="353"/>
  <c r="R5" i="353" s="1"/>
  <c r="P8" i="353"/>
  <c r="D2" i="353"/>
  <c r="Q50" i="353"/>
  <c r="R45" i="353" s="1"/>
  <c r="P50" i="353"/>
  <c r="Q63" i="353"/>
  <c r="R58" i="353" s="1"/>
  <c r="P63" i="353"/>
  <c r="M14" i="352"/>
  <c r="P62" i="351"/>
  <c r="Q62" i="351"/>
  <c r="P37" i="351"/>
  <c r="Q37" i="351"/>
  <c r="P7" i="351"/>
  <c r="Q7" i="351"/>
  <c r="Q11" i="351"/>
  <c r="P11" i="351"/>
  <c r="P38" i="351"/>
  <c r="Q38" i="351"/>
  <c r="P29" i="351"/>
  <c r="Q29" i="351"/>
  <c r="P48" i="351"/>
  <c r="Q48" i="351"/>
  <c r="N66" i="351"/>
  <c r="AB66" i="351"/>
  <c r="AC61" i="351" s="1"/>
  <c r="AA66" i="351"/>
  <c r="P28" i="351"/>
  <c r="Q28" i="351"/>
  <c r="P14" i="351"/>
  <c r="Q14" i="351"/>
  <c r="P57" i="351"/>
  <c r="Q57" i="351"/>
  <c r="P40" i="351"/>
  <c r="Q40" i="351"/>
  <c r="P49" i="351"/>
  <c r="Q49" i="351"/>
  <c r="AB17" i="351"/>
  <c r="AC14" i="351" s="1"/>
  <c r="N17" i="351"/>
  <c r="AA17" i="351"/>
  <c r="Q65" i="351"/>
  <c r="P65" i="351"/>
  <c r="N60" i="351"/>
  <c r="AA60" i="351"/>
  <c r="AB60" i="351"/>
  <c r="AC54" i="351" s="1"/>
  <c r="P50" i="351"/>
  <c r="Q50" i="351"/>
  <c r="P41" i="351"/>
  <c r="Q41" i="351"/>
  <c r="P59" i="351"/>
  <c r="Q59" i="351"/>
  <c r="P25" i="351"/>
  <c r="Q25" i="351"/>
  <c r="P56" i="351"/>
  <c r="Q56" i="351"/>
  <c r="P54" i="351"/>
  <c r="Q54" i="351"/>
  <c r="N53" i="351"/>
  <c r="AA53" i="351"/>
  <c r="AB53" i="351"/>
  <c r="AC48" i="351" s="1"/>
  <c r="Q21" i="351"/>
  <c r="P21" i="351"/>
  <c r="P51" i="351"/>
  <c r="Q51" i="351"/>
  <c r="AA30" i="351"/>
  <c r="AB30" i="351"/>
  <c r="AC25" i="351" s="1"/>
  <c r="N30" i="351"/>
  <c r="Q45" i="351"/>
  <c r="P45" i="351"/>
  <c r="AA47" i="351"/>
  <c r="AB47" i="351"/>
  <c r="AC40" i="351" s="1"/>
  <c r="N47" i="351"/>
  <c r="Q16" i="351"/>
  <c r="P16" i="351"/>
  <c r="P5" i="351"/>
  <c r="Q5" i="351"/>
  <c r="P6" i="351"/>
  <c r="Q6" i="351"/>
  <c r="Q33" i="351"/>
  <c r="P33" i="351"/>
  <c r="AA39" i="351"/>
  <c r="AB39" i="351"/>
  <c r="AC31" i="351" s="1"/>
  <c r="N39" i="351"/>
  <c r="AA8" i="351"/>
  <c r="AB8" i="351"/>
  <c r="AC5" i="351" s="1"/>
  <c r="N8" i="351"/>
  <c r="P24" i="351"/>
  <c r="Q24" i="351"/>
  <c r="R18" i="351" s="1"/>
  <c r="G14" i="350"/>
  <c r="G15" i="350" s="1"/>
  <c r="P10" i="351"/>
  <c r="Q10" i="351"/>
  <c r="P61" i="351"/>
  <c r="Q61" i="351"/>
  <c r="P23" i="351"/>
  <c r="Q23" i="351"/>
  <c r="P13" i="351"/>
  <c r="E14" i="350"/>
  <c r="E15" i="350" s="1"/>
  <c r="Q13" i="351"/>
  <c r="R9" i="351" s="1"/>
  <c r="P35" i="351"/>
  <c r="Q35" i="351"/>
  <c r="P55" i="351"/>
  <c r="Q55" i="351"/>
  <c r="P42" i="351"/>
  <c r="Q42" i="351"/>
  <c r="P27" i="351"/>
  <c r="Q27" i="351"/>
  <c r="P36" i="351"/>
  <c r="Q36" i="351"/>
  <c r="P52" i="351"/>
  <c r="Q52" i="351"/>
  <c r="Q58" i="351"/>
  <c r="P58" i="351"/>
  <c r="Q26" i="351"/>
  <c r="P26" i="351"/>
  <c r="P15" i="351"/>
  <c r="Q15" i="351"/>
  <c r="P66" i="348"/>
  <c r="P69" i="348"/>
  <c r="AA20" i="348"/>
  <c r="AA5" i="348"/>
  <c r="P61" i="348"/>
  <c r="AA65" i="348"/>
  <c r="AB61" i="348"/>
  <c r="K64" i="348"/>
  <c r="J13" i="349" s="1"/>
  <c r="J15" i="349" s="1"/>
  <c r="AA55" i="348"/>
  <c r="AA18" i="348"/>
  <c r="AA23" i="348"/>
  <c r="AB15" i="348"/>
  <c r="P68" i="348"/>
  <c r="P33" i="348"/>
  <c r="AA29" i="348"/>
  <c r="AA27" i="348"/>
  <c r="I15" i="349"/>
  <c r="AB68" i="348"/>
  <c r="AB62" i="348"/>
  <c r="K43" i="348"/>
  <c r="L13" i="349" s="1"/>
  <c r="L15" i="349" s="1"/>
  <c r="AA25" i="348"/>
  <c r="P62" i="348"/>
  <c r="P59" i="348"/>
  <c r="AA8" i="348"/>
  <c r="AA53" i="348"/>
  <c r="P67" i="348"/>
  <c r="AA70" i="348"/>
  <c r="AB67" i="348"/>
  <c r="P63" i="348"/>
  <c r="P60" i="348"/>
  <c r="AA54" i="348"/>
  <c r="AB16" i="348"/>
  <c r="AA14" i="348"/>
  <c r="K8" i="348"/>
  <c r="D13" i="349" s="1"/>
  <c r="D15" i="349" s="1"/>
  <c r="AB63" i="348"/>
  <c r="AB60" i="348"/>
  <c r="AA52" i="348"/>
  <c r="AB29" i="348"/>
  <c r="AA28" i="348"/>
  <c r="AA22" i="348"/>
  <c r="K14" i="348"/>
  <c r="Q14" i="348" s="1"/>
  <c r="AB11" i="348"/>
  <c r="AB10" i="348"/>
  <c r="G15" i="349"/>
  <c r="E7" i="349"/>
  <c r="G7" i="349"/>
  <c r="I7" i="349"/>
  <c r="F7" i="349"/>
  <c r="AB42" i="348"/>
  <c r="AA42" i="348"/>
  <c r="N42" i="348"/>
  <c r="Q36" i="348"/>
  <c r="P36" i="348"/>
  <c r="Q45" i="348"/>
  <c r="AB39" i="348"/>
  <c r="AA39" i="348"/>
  <c r="N39" i="348"/>
  <c r="AB41" i="348"/>
  <c r="AA41" i="348"/>
  <c r="N41" i="348"/>
  <c r="AB40" i="348"/>
  <c r="AA40" i="348"/>
  <c r="N40" i="348"/>
  <c r="Q46" i="348"/>
  <c r="P46" i="348"/>
  <c r="AA44" i="348"/>
  <c r="M51" i="348"/>
  <c r="N44" i="348"/>
  <c r="AB44" i="348"/>
  <c r="P65" i="348"/>
  <c r="Q65" i="348"/>
  <c r="Q37" i="348"/>
  <c r="AA9" i="348"/>
  <c r="AB9" i="348"/>
  <c r="N9" i="348"/>
  <c r="M13" i="348"/>
  <c r="AA68" i="348"/>
  <c r="AA67" i="348"/>
  <c r="AA66" i="348"/>
  <c r="AB65" i="348"/>
  <c r="AA63" i="348"/>
  <c r="AA61" i="348"/>
  <c r="AA59" i="348"/>
  <c r="AA58" i="348"/>
  <c r="AB46" i="348"/>
  <c r="AB36" i="348"/>
  <c r="AA62" i="348"/>
  <c r="AA60" i="348"/>
  <c r="M43" i="348"/>
  <c r="Q33" i="348"/>
  <c r="Q18" i="348"/>
  <c r="N16" i="348"/>
  <c r="N15" i="348"/>
  <c r="K12" i="348"/>
  <c r="P12" i="348" s="1"/>
  <c r="N10" i="348"/>
  <c r="N7" i="348"/>
  <c r="N6" i="348"/>
  <c r="K52" i="348"/>
  <c r="P52" i="348" s="1"/>
  <c r="AB30" i="348"/>
  <c r="AA49" i="348"/>
  <c r="AA47" i="348"/>
  <c r="AA45" i="348"/>
  <c r="AA37" i="348"/>
  <c r="AA36" i="348"/>
  <c r="AA35" i="348"/>
  <c r="AA34" i="348"/>
  <c r="Q59" i="348"/>
  <c r="N8" i="348"/>
  <c r="N5" i="348"/>
  <c r="AB48" i="348"/>
  <c r="K71" i="348"/>
  <c r="M13" i="349" s="1"/>
  <c r="M15" i="349" s="1"/>
  <c r="AA50" i="348"/>
  <c r="AA46" i="348"/>
  <c r="AB33" i="348"/>
  <c r="AB70" i="348"/>
  <c r="AB69" i="348"/>
  <c r="Q69" i="348"/>
  <c r="Q68" i="348"/>
  <c r="Q67" i="348"/>
  <c r="Q66" i="348"/>
  <c r="Q63" i="348"/>
  <c r="Q62" i="348"/>
  <c r="Q61" i="348"/>
  <c r="Q60" i="348"/>
  <c r="N70" i="348"/>
  <c r="N56" i="348"/>
  <c r="N55" i="348"/>
  <c r="N54" i="348"/>
  <c r="N53" i="348"/>
  <c r="K50" i="348"/>
  <c r="Q50" i="348" s="1"/>
  <c r="K49" i="348"/>
  <c r="Q49" i="348" s="1"/>
  <c r="K48" i="348"/>
  <c r="Q48" i="348" s="1"/>
  <c r="K47" i="348"/>
  <c r="Q47" i="348" s="1"/>
  <c r="K45" i="348"/>
  <c r="P45" i="348" s="1"/>
  <c r="K38" i="348"/>
  <c r="P38" i="348" s="1"/>
  <c r="K37" i="348"/>
  <c r="P37" i="348" s="1"/>
  <c r="K35" i="348"/>
  <c r="P35" i="348" s="1"/>
  <c r="K34" i="348"/>
  <c r="Q34" i="348" s="1"/>
  <c r="M32" i="348"/>
  <c r="K31" i="348"/>
  <c r="Q31" i="348" s="1"/>
  <c r="K30" i="348"/>
  <c r="Q30" i="348" s="1"/>
  <c r="N29" i="348"/>
  <c r="N28" i="348"/>
  <c r="N27" i="348"/>
  <c r="N26" i="348"/>
  <c r="N23" i="348"/>
  <c r="N22" i="348"/>
  <c r="N21" i="348"/>
  <c r="N20" i="348"/>
  <c r="N19" i="348"/>
  <c r="M17" i="348"/>
  <c r="K16" i="348"/>
  <c r="K15" i="348"/>
  <c r="K13" i="348"/>
  <c r="E13" i="349" s="1"/>
  <c r="E15" i="349" s="1"/>
  <c r="K11" i="348"/>
  <c r="Q11" i="348" s="1"/>
  <c r="K10" i="348"/>
  <c r="M57" i="348"/>
  <c r="K51" i="348"/>
  <c r="H13" i="349" s="1"/>
  <c r="H15" i="349" s="1"/>
  <c r="AA38" i="348"/>
  <c r="K32" i="348"/>
  <c r="K13" i="349" s="1"/>
  <c r="M24" i="348"/>
  <c r="K17" i="348"/>
  <c r="F13" i="349" s="1"/>
  <c r="F15" i="349" s="1"/>
  <c r="N25" i="348"/>
  <c r="AB7" i="348"/>
  <c r="AB6" i="348"/>
  <c r="AA31" i="348"/>
  <c r="AB5" i="348"/>
  <c r="M71" i="348"/>
  <c r="K58" i="348"/>
  <c r="P58" i="348" s="1"/>
  <c r="AB56" i="348"/>
  <c r="AB55" i="348"/>
  <c r="AB54" i="348"/>
  <c r="AB53" i="348"/>
  <c r="AB28" i="348"/>
  <c r="AB27" i="348"/>
  <c r="AB26" i="348"/>
  <c r="AB23" i="348"/>
  <c r="AB22" i="348"/>
  <c r="AB21" i="348"/>
  <c r="AB20" i="348"/>
  <c r="AB19" i="348"/>
  <c r="M64" i="348"/>
  <c r="AB18" i="348"/>
  <c r="AB8" i="348"/>
  <c r="AC5" i="348" s="1"/>
  <c r="AB52" i="348"/>
  <c r="AB25" i="348"/>
  <c r="G8" i="356" l="1"/>
  <c r="F8" i="356"/>
  <c r="E8" i="356"/>
  <c r="D15" i="352"/>
  <c r="E7" i="352"/>
  <c r="G7" i="352"/>
  <c r="F7" i="352"/>
  <c r="M15" i="352"/>
  <c r="I8" i="352" s="1"/>
  <c r="I7" i="352"/>
  <c r="K14" i="350"/>
  <c r="K15" i="350" s="1"/>
  <c r="P30" i="351"/>
  <c r="Q30" i="351"/>
  <c r="R25" i="351" s="1"/>
  <c r="J14" i="350"/>
  <c r="J15" i="350" s="1"/>
  <c r="P60" i="351"/>
  <c r="Q60" i="351"/>
  <c r="R54" i="351" s="1"/>
  <c r="P17" i="351"/>
  <c r="F14" i="350"/>
  <c r="F15" i="350" s="1"/>
  <c r="Q17" i="351"/>
  <c r="R14" i="351" s="1"/>
  <c r="D2" i="351"/>
  <c r="P8" i="351"/>
  <c r="Q8" i="351"/>
  <c r="R5" i="351" s="1"/>
  <c r="D14" i="350"/>
  <c r="I14" i="350"/>
  <c r="I15" i="350" s="1"/>
  <c r="P53" i="351"/>
  <c r="Q53" i="351"/>
  <c r="R48" i="351" s="1"/>
  <c r="P66" i="351"/>
  <c r="Q66" i="351"/>
  <c r="R61" i="351" s="1"/>
  <c r="M14" i="350"/>
  <c r="P47" i="351"/>
  <c r="Q47" i="351"/>
  <c r="R40" i="351" s="1"/>
  <c r="H14" i="350"/>
  <c r="H15" i="350" s="1"/>
  <c r="Q39" i="351"/>
  <c r="R31" i="351" s="1"/>
  <c r="L14" i="350"/>
  <c r="L15" i="350" s="1"/>
  <c r="P39" i="351"/>
  <c r="P47" i="348"/>
  <c r="G8" i="349"/>
  <c r="F8" i="349"/>
  <c r="F6" i="349"/>
  <c r="Q35" i="348"/>
  <c r="P49" i="348"/>
  <c r="G6" i="349"/>
  <c r="Q38" i="348"/>
  <c r="P48" i="348"/>
  <c r="E6" i="349"/>
  <c r="P14" i="348"/>
  <c r="I6" i="349"/>
  <c r="K15" i="349"/>
  <c r="I8" i="349" s="1"/>
  <c r="P29" i="348"/>
  <c r="Q29" i="348"/>
  <c r="P40" i="348"/>
  <c r="Q40" i="348"/>
  <c r="P53" i="348"/>
  <c r="Q53" i="348"/>
  <c r="Q15" i="348"/>
  <c r="P15" i="348"/>
  <c r="P30" i="348"/>
  <c r="P54" i="348"/>
  <c r="Q54" i="348"/>
  <c r="Q16" i="348"/>
  <c r="P16" i="348"/>
  <c r="P25" i="348"/>
  <c r="Q25" i="348"/>
  <c r="AA17" i="348"/>
  <c r="AB17" i="348"/>
  <c r="AC14" i="348" s="1"/>
  <c r="N17" i="348"/>
  <c r="AA32" i="348"/>
  <c r="AB32" i="348"/>
  <c r="AC25" i="348" s="1"/>
  <c r="N32" i="348"/>
  <c r="P55" i="348"/>
  <c r="Q55" i="348"/>
  <c r="P31" i="348"/>
  <c r="P19" i="348"/>
  <c r="Q19" i="348"/>
  <c r="P56" i="348"/>
  <c r="Q56" i="348"/>
  <c r="N24" i="348"/>
  <c r="AA24" i="348"/>
  <c r="AB24" i="348"/>
  <c r="AC18" i="348" s="1"/>
  <c r="P20" i="348"/>
  <c r="Q20" i="348"/>
  <c r="P70" i="348"/>
  <c r="Q70" i="348"/>
  <c r="AA43" i="348"/>
  <c r="AB43" i="348"/>
  <c r="AC33" i="348" s="1"/>
  <c r="N43" i="348"/>
  <c r="P41" i="348"/>
  <c r="Q41" i="348"/>
  <c r="P42" i="348"/>
  <c r="Q42" i="348"/>
  <c r="P21" i="348"/>
  <c r="Q21" i="348"/>
  <c r="Q52" i="348"/>
  <c r="Q44" i="348"/>
  <c r="P44" i="348"/>
  <c r="AA64" i="348"/>
  <c r="N64" i="348"/>
  <c r="AB64" i="348"/>
  <c r="AC58" i="348" s="1"/>
  <c r="P22" i="348"/>
  <c r="Q22" i="348"/>
  <c r="AA13" i="348"/>
  <c r="AB13" i="348"/>
  <c r="AC9" i="348" s="1"/>
  <c r="N13" i="348"/>
  <c r="AA51" i="348"/>
  <c r="AB51" i="348"/>
  <c r="AC44" i="348" s="1"/>
  <c r="N51" i="348"/>
  <c r="P34" i="348"/>
  <c r="Q12" i="348"/>
  <c r="P23" i="348"/>
  <c r="Q23" i="348"/>
  <c r="P9" i="348"/>
  <c r="Q9" i="348"/>
  <c r="Q58" i="348"/>
  <c r="P50" i="348"/>
  <c r="N57" i="348"/>
  <c r="AA57" i="348"/>
  <c r="AB57" i="348"/>
  <c r="AC52" i="348" s="1"/>
  <c r="P26" i="348"/>
  <c r="Q26" i="348"/>
  <c r="P5" i="348"/>
  <c r="Q5" i="348"/>
  <c r="Q6" i="348"/>
  <c r="P6" i="348"/>
  <c r="N71" i="348"/>
  <c r="AA71" i="348"/>
  <c r="AB71" i="348"/>
  <c r="AC65" i="348" s="1"/>
  <c r="P27" i="348"/>
  <c r="Q27" i="348"/>
  <c r="D2" i="348"/>
  <c r="Q8" i="348"/>
  <c r="R5" i="348" s="1"/>
  <c r="P8" i="348"/>
  <c r="Q7" i="348"/>
  <c r="P7" i="348"/>
  <c r="P39" i="348"/>
  <c r="Q39" i="348"/>
  <c r="P11" i="348"/>
  <c r="P28" i="348"/>
  <c r="Q28" i="348"/>
  <c r="Q10" i="348"/>
  <c r="P10" i="348"/>
  <c r="G8" i="352" l="1"/>
  <c r="F8" i="352"/>
  <c r="E8" i="352"/>
  <c r="E7" i="350"/>
  <c r="D15" i="350"/>
  <c r="G7" i="350"/>
  <c r="F7" i="350"/>
  <c r="I7" i="350"/>
  <c r="M15" i="350"/>
  <c r="I8" i="350" s="1"/>
  <c r="E8" i="349"/>
  <c r="P51" i="348"/>
  <c r="Q51" i="348"/>
  <c r="R44" i="348" s="1"/>
  <c r="P13" i="348"/>
  <c r="Q13" i="348"/>
  <c r="R9" i="348" s="1"/>
  <c r="P32" i="348"/>
  <c r="Q32" i="348"/>
  <c r="R25" i="348" s="1"/>
  <c r="P24" i="348"/>
  <c r="Q24" i="348"/>
  <c r="R18" i="348" s="1"/>
  <c r="P17" i="348"/>
  <c r="Q17" i="348"/>
  <c r="R14" i="348" s="1"/>
  <c r="P57" i="348"/>
  <c r="Q57" i="348"/>
  <c r="R52" i="348" s="1"/>
  <c r="P71" i="348"/>
  <c r="Q71" i="348"/>
  <c r="R65" i="348" s="1"/>
  <c r="P43" i="348"/>
  <c r="Q43" i="348"/>
  <c r="R33" i="348" s="1"/>
  <c r="P64" i="348"/>
  <c r="Q64" i="348"/>
  <c r="R58" i="348" s="1"/>
  <c r="F8" i="350" l="1"/>
  <c r="E8" i="350"/>
  <c r="G8" i="350"/>
  <c r="O70" i="347"/>
  <c r="K70" i="347"/>
  <c r="V69" i="347"/>
  <c r="M69" i="347" s="1"/>
  <c r="U69" i="347"/>
  <c r="O69" i="347"/>
  <c r="K69" i="347"/>
  <c r="G69" i="347"/>
  <c r="AB68" i="347"/>
  <c r="X68" i="347"/>
  <c r="W68" i="347"/>
  <c r="V68" i="347"/>
  <c r="U68" i="347"/>
  <c r="O68" i="347"/>
  <c r="M68" i="347"/>
  <c r="AA68" i="347" s="1"/>
  <c r="K68" i="347"/>
  <c r="G68" i="347"/>
  <c r="V67" i="347"/>
  <c r="M67" i="347" s="1"/>
  <c r="U67" i="347"/>
  <c r="O67" i="347"/>
  <c r="K67" i="347"/>
  <c r="G67" i="347"/>
  <c r="V66" i="347"/>
  <c r="M66" i="347" s="1"/>
  <c r="U66" i="347"/>
  <c r="O66" i="347"/>
  <c r="K66" i="347"/>
  <c r="G66" i="347"/>
  <c r="V65" i="347"/>
  <c r="M65" i="347" s="1"/>
  <c r="U65" i="347"/>
  <c r="O65" i="347"/>
  <c r="K65" i="347"/>
  <c r="G65" i="347"/>
  <c r="X64" i="347"/>
  <c r="W64" i="347"/>
  <c r="V64" i="347"/>
  <c r="M64" i="347" s="1"/>
  <c r="O64" i="347"/>
  <c r="K64" i="347"/>
  <c r="G64" i="347"/>
  <c r="O63" i="347"/>
  <c r="K63" i="347"/>
  <c r="V62" i="347"/>
  <c r="M62" i="347" s="1"/>
  <c r="U62" i="347"/>
  <c r="O62" i="347"/>
  <c r="K62" i="347"/>
  <c r="G62" i="347"/>
  <c r="AA61" i="347"/>
  <c r="V61" i="347"/>
  <c r="U61" i="347"/>
  <c r="O61" i="347"/>
  <c r="M61" i="347"/>
  <c r="N61" i="347" s="1"/>
  <c r="K61" i="347"/>
  <c r="G61" i="347"/>
  <c r="V60" i="347"/>
  <c r="M60" i="347" s="1"/>
  <c r="U60" i="347"/>
  <c r="O60" i="347"/>
  <c r="K60" i="347"/>
  <c r="G60" i="347"/>
  <c r="V59" i="347"/>
  <c r="U59" i="347"/>
  <c r="O59" i="347"/>
  <c r="M59" i="347"/>
  <c r="AB59" i="347" s="1"/>
  <c r="K59" i="347"/>
  <c r="G59" i="347"/>
  <c r="V58" i="347"/>
  <c r="U58" i="347"/>
  <c r="O58" i="347"/>
  <c r="M58" i="347"/>
  <c r="AB58" i="347" s="1"/>
  <c r="K58" i="347"/>
  <c r="G58" i="347"/>
  <c r="V57" i="347"/>
  <c r="M57" i="347" s="1"/>
  <c r="O57" i="347"/>
  <c r="K57" i="347"/>
  <c r="G57" i="347"/>
  <c r="O56" i="347"/>
  <c r="K56" i="347"/>
  <c r="V55" i="347"/>
  <c r="U55" i="347"/>
  <c r="O55" i="347"/>
  <c r="M55" i="347"/>
  <c r="AB55" i="347" s="1"/>
  <c r="K55" i="347"/>
  <c r="G55" i="347"/>
  <c r="V54" i="347"/>
  <c r="M54" i="347" s="1"/>
  <c r="U54" i="347"/>
  <c r="O54" i="347"/>
  <c r="K54" i="347"/>
  <c r="G54" i="347"/>
  <c r="V53" i="347"/>
  <c r="M53" i="347" s="1"/>
  <c r="U53" i="347"/>
  <c r="O53" i="347"/>
  <c r="K53" i="347"/>
  <c r="G53" i="347"/>
  <c r="V52" i="347"/>
  <c r="M52" i="347" s="1"/>
  <c r="U52" i="347"/>
  <c r="O52" i="347"/>
  <c r="K52" i="347"/>
  <c r="G52" i="347"/>
  <c r="V51" i="347"/>
  <c r="M51" i="347" s="1"/>
  <c r="O51" i="347"/>
  <c r="K51" i="347"/>
  <c r="G51" i="347"/>
  <c r="O50" i="347"/>
  <c r="K50" i="347"/>
  <c r="AB49" i="347"/>
  <c r="V49" i="347"/>
  <c r="U49" i="347"/>
  <c r="O49" i="347"/>
  <c r="M49" i="347"/>
  <c r="AA49" i="347" s="1"/>
  <c r="K49" i="347"/>
  <c r="G49" i="347"/>
  <c r="V48" i="347"/>
  <c r="M48" i="347" s="1"/>
  <c r="U48" i="347"/>
  <c r="O48" i="347"/>
  <c r="K48" i="347"/>
  <c r="G48" i="347"/>
  <c r="V47" i="347"/>
  <c r="M47" i="347" s="1"/>
  <c r="U47" i="347"/>
  <c r="O47" i="347"/>
  <c r="K47" i="347"/>
  <c r="G47" i="347"/>
  <c r="AB46" i="347"/>
  <c r="V46" i="347"/>
  <c r="U46" i="347"/>
  <c r="O46" i="347"/>
  <c r="N46" i="347"/>
  <c r="Q46" i="347" s="1"/>
  <c r="M46" i="347"/>
  <c r="AA46" i="347" s="1"/>
  <c r="K46" i="347"/>
  <c r="G46" i="347"/>
  <c r="AB45" i="347"/>
  <c r="V45" i="347"/>
  <c r="U45" i="347"/>
  <c r="O45" i="347"/>
  <c r="M45" i="347"/>
  <c r="AA45" i="347" s="1"/>
  <c r="K45" i="347"/>
  <c r="G45" i="347"/>
  <c r="V44" i="347"/>
  <c r="U44" i="347"/>
  <c r="O44" i="347"/>
  <c r="M44" i="347"/>
  <c r="AB44" i="347" s="1"/>
  <c r="K44" i="347"/>
  <c r="G44" i="347"/>
  <c r="V43" i="347"/>
  <c r="M43" i="347" s="1"/>
  <c r="O43" i="347"/>
  <c r="K43" i="347"/>
  <c r="G43" i="347"/>
  <c r="O42" i="347"/>
  <c r="K42" i="347"/>
  <c r="V41" i="347"/>
  <c r="M41" i="347" s="1"/>
  <c r="U41" i="347"/>
  <c r="O41" i="347"/>
  <c r="K41" i="347"/>
  <c r="G41" i="347"/>
  <c r="V40" i="347"/>
  <c r="M40" i="347" s="1"/>
  <c r="U40" i="347"/>
  <c r="O40" i="347"/>
  <c r="K40" i="347"/>
  <c r="G40" i="347"/>
  <c r="V39" i="347"/>
  <c r="M39" i="347" s="1"/>
  <c r="U39" i="347"/>
  <c r="O39" i="347"/>
  <c r="K39" i="347"/>
  <c r="G39" i="347"/>
  <c r="X38" i="347"/>
  <c r="W38" i="347"/>
  <c r="V38" i="347"/>
  <c r="M38" i="347" s="1"/>
  <c r="U38" i="347"/>
  <c r="O38" i="347"/>
  <c r="K38" i="347"/>
  <c r="G38" i="347"/>
  <c r="V37" i="347"/>
  <c r="U37" i="347"/>
  <c r="O37" i="347"/>
  <c r="M37" i="347"/>
  <c r="N37" i="347" s="1"/>
  <c r="K37" i="347"/>
  <c r="G37" i="347"/>
  <c r="V36" i="347"/>
  <c r="M36" i="347" s="1"/>
  <c r="U36" i="347"/>
  <c r="O36" i="347"/>
  <c r="K36" i="347"/>
  <c r="G36" i="347"/>
  <c r="V35" i="347"/>
  <c r="U35" i="347"/>
  <c r="Q35" i="347"/>
  <c r="O35" i="347"/>
  <c r="N35" i="347"/>
  <c r="M35" i="347"/>
  <c r="AB35" i="347" s="1"/>
  <c r="K35" i="347"/>
  <c r="P35" i="347" s="1"/>
  <c r="G35" i="347"/>
  <c r="V34" i="347"/>
  <c r="U34" i="347"/>
  <c r="O34" i="347"/>
  <c r="M34" i="347"/>
  <c r="AB34" i="347" s="1"/>
  <c r="K34" i="347"/>
  <c r="G34" i="347"/>
  <c r="AA33" i="347"/>
  <c r="X33" i="347"/>
  <c r="W33" i="347"/>
  <c r="V33" i="347"/>
  <c r="O33" i="347"/>
  <c r="M33" i="347"/>
  <c r="AB33" i="347" s="1"/>
  <c r="K33" i="347"/>
  <c r="G33" i="347"/>
  <c r="O32" i="347"/>
  <c r="K32" i="347"/>
  <c r="V31" i="347"/>
  <c r="M31" i="347" s="1"/>
  <c r="U31" i="347"/>
  <c r="O31" i="347"/>
  <c r="K31" i="347"/>
  <c r="G31" i="347"/>
  <c r="V30" i="347"/>
  <c r="M30" i="347" s="1"/>
  <c r="U30" i="347"/>
  <c r="O30" i="347"/>
  <c r="K30" i="347"/>
  <c r="G30" i="347"/>
  <c r="X29" i="347"/>
  <c r="W29" i="347"/>
  <c r="V29" i="347"/>
  <c r="M29" i="347" s="1"/>
  <c r="U29" i="347"/>
  <c r="O29" i="347"/>
  <c r="K29" i="347"/>
  <c r="G29" i="347"/>
  <c r="AB28" i="347"/>
  <c r="V28" i="347"/>
  <c r="U28" i="347"/>
  <c r="O28" i="347"/>
  <c r="N28" i="347"/>
  <c r="Q28" i="347" s="1"/>
  <c r="M28" i="347"/>
  <c r="AA28" i="347" s="1"/>
  <c r="K28" i="347"/>
  <c r="G28" i="347"/>
  <c r="AB27" i="347"/>
  <c r="V27" i="347"/>
  <c r="U27" i="347"/>
  <c r="O27" i="347"/>
  <c r="M27" i="347"/>
  <c r="AA27" i="347" s="1"/>
  <c r="K27" i="347"/>
  <c r="G27" i="347"/>
  <c r="V26" i="347"/>
  <c r="U26" i="347"/>
  <c r="O26" i="347"/>
  <c r="M26" i="347"/>
  <c r="AB26" i="347" s="1"/>
  <c r="K26" i="347"/>
  <c r="G26" i="347"/>
  <c r="X25" i="347"/>
  <c r="W25" i="347"/>
  <c r="V25" i="347"/>
  <c r="M25" i="347" s="1"/>
  <c r="O25" i="347"/>
  <c r="K25" i="347"/>
  <c r="G25" i="347"/>
  <c r="O24" i="347"/>
  <c r="K24" i="347"/>
  <c r="V23" i="347"/>
  <c r="M23" i="347" s="1"/>
  <c r="U23" i="347"/>
  <c r="O23" i="347"/>
  <c r="K23" i="347"/>
  <c r="G23" i="347"/>
  <c r="AA22" i="347"/>
  <c r="V22" i="347"/>
  <c r="U22" i="347"/>
  <c r="O22" i="347"/>
  <c r="M22" i="347"/>
  <c r="AB22" i="347" s="1"/>
  <c r="K22" i="347"/>
  <c r="G22" i="347"/>
  <c r="V21" i="347"/>
  <c r="U21" i="347"/>
  <c r="O21" i="347"/>
  <c r="M21" i="347"/>
  <c r="N21" i="347" s="1"/>
  <c r="K21" i="347"/>
  <c r="G21" i="347"/>
  <c r="V20" i="347"/>
  <c r="M20" i="347" s="1"/>
  <c r="U20" i="347"/>
  <c r="O20" i="347"/>
  <c r="K20" i="347"/>
  <c r="G20" i="347"/>
  <c r="V19" i="347"/>
  <c r="U19" i="347"/>
  <c r="O19" i="347"/>
  <c r="M19" i="347"/>
  <c r="N19" i="347" s="1"/>
  <c r="K19" i="347"/>
  <c r="G19" i="347"/>
  <c r="AB18" i="347"/>
  <c r="V18" i="347"/>
  <c r="O18" i="347"/>
  <c r="M18" i="347"/>
  <c r="AA18" i="347" s="1"/>
  <c r="K18" i="347"/>
  <c r="G18" i="347"/>
  <c r="O17" i="347"/>
  <c r="K17" i="347"/>
  <c r="V16" i="347"/>
  <c r="M16" i="347" s="1"/>
  <c r="U16" i="347"/>
  <c r="O16" i="347"/>
  <c r="K16" i="347"/>
  <c r="G16" i="347"/>
  <c r="V15" i="347"/>
  <c r="U15" i="347"/>
  <c r="Q15" i="347"/>
  <c r="O15" i="347"/>
  <c r="N15" i="347"/>
  <c r="M15" i="347"/>
  <c r="AB15" i="347" s="1"/>
  <c r="K15" i="347"/>
  <c r="P15" i="347" s="1"/>
  <c r="G15" i="347"/>
  <c r="F1" i="347" s="1"/>
  <c r="V14" i="347"/>
  <c r="M14" i="347" s="1"/>
  <c r="O14" i="347"/>
  <c r="K14" i="347"/>
  <c r="G14" i="347"/>
  <c r="O13" i="347"/>
  <c r="K13" i="347"/>
  <c r="V12" i="347"/>
  <c r="U12" i="347"/>
  <c r="O12" i="347"/>
  <c r="M12" i="347"/>
  <c r="AB12" i="347" s="1"/>
  <c r="K12" i="347"/>
  <c r="G12" i="347"/>
  <c r="X11" i="347"/>
  <c r="W11" i="347"/>
  <c r="V11" i="347"/>
  <c r="M11" i="347" s="1"/>
  <c r="U11" i="347"/>
  <c r="O11" i="347"/>
  <c r="K11" i="347"/>
  <c r="G11" i="347"/>
  <c r="AB10" i="347"/>
  <c r="AA10" i="347"/>
  <c r="V10" i="347"/>
  <c r="U10" i="347"/>
  <c r="O10" i="347"/>
  <c r="M10" i="347"/>
  <c r="N10" i="347" s="1"/>
  <c r="K10" i="347"/>
  <c r="G10" i="347"/>
  <c r="X9" i="347"/>
  <c r="W9" i="347"/>
  <c r="V9" i="347"/>
  <c r="M9" i="347" s="1"/>
  <c r="O9" i="347"/>
  <c r="K9" i="347"/>
  <c r="G9" i="347"/>
  <c r="O8" i="347"/>
  <c r="K8" i="347"/>
  <c r="V7" i="347"/>
  <c r="M7" i="347" s="1"/>
  <c r="U7" i="347"/>
  <c r="O7" i="347"/>
  <c r="K7" i="347"/>
  <c r="G7" i="347"/>
  <c r="AB6" i="347"/>
  <c r="V6" i="347"/>
  <c r="U6" i="347"/>
  <c r="O6" i="347"/>
  <c r="N6" i="347"/>
  <c r="Q6" i="347" s="1"/>
  <c r="M6" i="347"/>
  <c r="AA6" i="347" s="1"/>
  <c r="K6" i="347"/>
  <c r="G6" i="347"/>
  <c r="V5" i="347"/>
  <c r="O5" i="347"/>
  <c r="M5" i="347"/>
  <c r="AB5" i="347" s="1"/>
  <c r="K5" i="347"/>
  <c r="G5" i="347"/>
  <c r="H2" i="347"/>
  <c r="H1" i="347"/>
  <c r="D1" i="347"/>
  <c r="M18" i="346"/>
  <c r="L18" i="346"/>
  <c r="K18" i="346"/>
  <c r="J18" i="346"/>
  <c r="I18" i="346"/>
  <c r="H18" i="346"/>
  <c r="G18" i="346"/>
  <c r="F18" i="346"/>
  <c r="E18" i="346"/>
  <c r="D18" i="346"/>
  <c r="M17" i="346"/>
  <c r="L17" i="346"/>
  <c r="K17" i="346"/>
  <c r="J17" i="346"/>
  <c r="I17" i="346"/>
  <c r="H17" i="346"/>
  <c r="G17" i="346"/>
  <c r="F17" i="346"/>
  <c r="E17" i="346"/>
  <c r="D17" i="346"/>
  <c r="M16" i="346"/>
  <c r="L16" i="346"/>
  <c r="K16" i="346"/>
  <c r="J16" i="346"/>
  <c r="I16" i="346"/>
  <c r="H16" i="346"/>
  <c r="G16" i="346"/>
  <c r="F16" i="346"/>
  <c r="E16" i="346"/>
  <c r="D16" i="346"/>
  <c r="M13" i="346"/>
  <c r="L13" i="346"/>
  <c r="K13" i="346"/>
  <c r="I6" i="346" s="1"/>
  <c r="J13" i="346"/>
  <c r="I13" i="346"/>
  <c r="H13" i="346"/>
  <c r="G13" i="346"/>
  <c r="F13" i="346"/>
  <c r="E13" i="346"/>
  <c r="D13" i="346"/>
  <c r="F6" i="346" s="1"/>
  <c r="F3" i="346"/>
  <c r="C3" i="346"/>
  <c r="AB67" i="347" l="1"/>
  <c r="AA67" i="347"/>
  <c r="N67" i="347"/>
  <c r="AB62" i="347"/>
  <c r="AA62" i="347"/>
  <c r="N62" i="347"/>
  <c r="N39" i="347"/>
  <c r="AB39" i="347"/>
  <c r="AA39" i="347"/>
  <c r="Q37" i="347"/>
  <c r="P37" i="347"/>
  <c r="AB40" i="347"/>
  <c r="AA40" i="347"/>
  <c r="N40" i="347"/>
  <c r="N52" i="347"/>
  <c r="AB52" i="347"/>
  <c r="AA52" i="347"/>
  <c r="N23" i="347"/>
  <c r="AB23" i="347"/>
  <c r="AA23" i="347"/>
  <c r="N48" i="347"/>
  <c r="AB48" i="347"/>
  <c r="AA48" i="347"/>
  <c r="AB57" i="347"/>
  <c r="AA57" i="347"/>
  <c r="M63" i="347"/>
  <c r="N57" i="347"/>
  <c r="Q61" i="347"/>
  <c r="P61" i="347"/>
  <c r="N30" i="347"/>
  <c r="AB30" i="347"/>
  <c r="AA30" i="347"/>
  <c r="AB66" i="347"/>
  <c r="AA66" i="347"/>
  <c r="N66" i="347"/>
  <c r="F2" i="347"/>
  <c r="I3" i="346"/>
  <c r="M56" i="347"/>
  <c r="AB51" i="347"/>
  <c r="AA51" i="347"/>
  <c r="N51" i="347"/>
  <c r="AB36" i="347"/>
  <c r="M42" i="347"/>
  <c r="AA36" i="347"/>
  <c r="N36" i="347"/>
  <c r="AB47" i="347"/>
  <c r="AA47" i="347"/>
  <c r="N47" i="347"/>
  <c r="AB60" i="347"/>
  <c r="AA60" i="347"/>
  <c r="N60" i="347"/>
  <c r="AB20" i="347"/>
  <c r="AA20" i="347"/>
  <c r="N20" i="347"/>
  <c r="N65" i="347"/>
  <c r="AB65" i="347"/>
  <c r="AA65" i="347"/>
  <c r="N43" i="347"/>
  <c r="M50" i="347"/>
  <c r="AB43" i="347"/>
  <c r="AA43" i="347"/>
  <c r="M17" i="347"/>
  <c r="AB14" i="347"/>
  <c r="N14" i="347"/>
  <c r="AA14" i="347"/>
  <c r="Q19" i="347"/>
  <c r="P19" i="347"/>
  <c r="AB29" i="347"/>
  <c r="AA29" i="347"/>
  <c r="N29" i="347"/>
  <c r="M8" i="347"/>
  <c r="AB7" i="347"/>
  <c r="AA7" i="347"/>
  <c r="N7" i="347"/>
  <c r="M70" i="347"/>
  <c r="AB64" i="347"/>
  <c r="AA64" i="347"/>
  <c r="N64" i="347"/>
  <c r="AB11" i="347"/>
  <c r="AA11" i="347"/>
  <c r="N11" i="347"/>
  <c r="AB9" i="347"/>
  <c r="AA9" i="347"/>
  <c r="M13" i="347"/>
  <c r="N9" i="347"/>
  <c r="AB16" i="347"/>
  <c r="AA16" i="347"/>
  <c r="N16" i="347"/>
  <c r="AB41" i="347"/>
  <c r="AA41" i="347"/>
  <c r="N41" i="347"/>
  <c r="AB53" i="347"/>
  <c r="AA53" i="347"/>
  <c r="N53" i="347"/>
  <c r="Q21" i="347"/>
  <c r="P21" i="347"/>
  <c r="P10" i="347"/>
  <c r="Q10" i="347"/>
  <c r="M32" i="347"/>
  <c r="N25" i="347"/>
  <c r="AB25" i="347"/>
  <c r="AA25" i="347"/>
  <c r="AB31" i="347"/>
  <c r="AA31" i="347"/>
  <c r="N31" i="347"/>
  <c r="AB38" i="347"/>
  <c r="AA38" i="347"/>
  <c r="N38" i="347"/>
  <c r="AB69" i="347"/>
  <c r="AA69" i="347"/>
  <c r="N69" i="347"/>
  <c r="N54" i="347"/>
  <c r="AB54" i="347"/>
  <c r="AA54" i="347"/>
  <c r="N5" i="347"/>
  <c r="N12" i="347"/>
  <c r="AB19" i="347"/>
  <c r="N34" i="347"/>
  <c r="AB37" i="347"/>
  <c r="N58" i="347"/>
  <c r="AB61" i="347"/>
  <c r="G6" i="346"/>
  <c r="N18" i="347"/>
  <c r="AA21" i="347"/>
  <c r="N27" i="347"/>
  <c r="N45" i="347"/>
  <c r="E6" i="346"/>
  <c r="AB21" i="347"/>
  <c r="N49" i="347"/>
  <c r="AA19" i="347"/>
  <c r="AA37" i="347"/>
  <c r="AA5" i="347"/>
  <c r="AA12" i="347"/>
  <c r="N22" i="347"/>
  <c r="M24" i="347"/>
  <c r="N33" i="347"/>
  <c r="AA34" i="347"/>
  <c r="AA58" i="347"/>
  <c r="N55" i="347"/>
  <c r="N26" i="347"/>
  <c r="N44" i="347"/>
  <c r="N68" i="347"/>
  <c r="N59" i="347"/>
  <c r="P6" i="347"/>
  <c r="P28" i="347"/>
  <c r="P46" i="347"/>
  <c r="AA55" i="347"/>
  <c r="AA26" i="347"/>
  <c r="AA44" i="347"/>
  <c r="AA15" i="347"/>
  <c r="AA35" i="347"/>
  <c r="AA59" i="347"/>
  <c r="O70" i="345"/>
  <c r="K70" i="345"/>
  <c r="V69" i="345"/>
  <c r="U69" i="345"/>
  <c r="O69" i="345"/>
  <c r="M69" i="345"/>
  <c r="AA69" i="345" s="1"/>
  <c r="K69" i="345"/>
  <c r="G69" i="345"/>
  <c r="X68" i="345"/>
  <c r="W68" i="345"/>
  <c r="V68" i="345"/>
  <c r="U68" i="345"/>
  <c r="O68" i="345"/>
  <c r="M68" i="345"/>
  <c r="AA68" i="345" s="1"/>
  <c r="K68" i="345"/>
  <c r="G68" i="345"/>
  <c r="V67" i="345"/>
  <c r="M67" i="345" s="1"/>
  <c r="N67" i="345" s="1"/>
  <c r="U67" i="345"/>
  <c r="O67" i="345"/>
  <c r="K67" i="345"/>
  <c r="G67" i="345"/>
  <c r="V66" i="345"/>
  <c r="M66" i="345" s="1"/>
  <c r="AB66" i="345" s="1"/>
  <c r="U66" i="345"/>
  <c r="O66" i="345"/>
  <c r="N66" i="345"/>
  <c r="Q66" i="345" s="1"/>
  <c r="K66" i="345"/>
  <c r="G66" i="345"/>
  <c r="AA65" i="345"/>
  <c r="V65" i="345"/>
  <c r="M65" i="345" s="1"/>
  <c r="U65" i="345"/>
  <c r="O65" i="345"/>
  <c r="K65" i="345"/>
  <c r="G65" i="345"/>
  <c r="X64" i="345"/>
  <c r="W64" i="345"/>
  <c r="V64" i="345"/>
  <c r="O64" i="345"/>
  <c r="M64" i="345"/>
  <c r="AA64" i="345" s="1"/>
  <c r="K64" i="345"/>
  <c r="G64" i="345"/>
  <c r="O63" i="345"/>
  <c r="K63" i="345"/>
  <c r="V62" i="345"/>
  <c r="M62" i="345" s="1"/>
  <c r="U62" i="345"/>
  <c r="O62" i="345"/>
  <c r="K62" i="345"/>
  <c r="G62" i="345"/>
  <c r="V61" i="345"/>
  <c r="U61" i="345"/>
  <c r="O61" i="345"/>
  <c r="M61" i="345"/>
  <c r="N61" i="345" s="1"/>
  <c r="K61" i="345"/>
  <c r="G61" i="345"/>
  <c r="AB60" i="345"/>
  <c r="AA60" i="345"/>
  <c r="V60" i="345"/>
  <c r="U60" i="345"/>
  <c r="O60" i="345"/>
  <c r="M60" i="345"/>
  <c r="N60" i="345" s="1"/>
  <c r="K60" i="345"/>
  <c r="G60" i="345"/>
  <c r="V59" i="345"/>
  <c r="U59" i="345"/>
  <c r="O59" i="345"/>
  <c r="M59" i="345"/>
  <c r="K59" i="345"/>
  <c r="G59" i="345"/>
  <c r="V58" i="345"/>
  <c r="U58" i="345"/>
  <c r="O58" i="345"/>
  <c r="N58" i="345"/>
  <c r="Q58" i="345" s="1"/>
  <c r="M58" i="345"/>
  <c r="K58" i="345"/>
  <c r="G58" i="345"/>
  <c r="V57" i="345"/>
  <c r="M57" i="345" s="1"/>
  <c r="O57" i="345"/>
  <c r="N57" i="345"/>
  <c r="Q57" i="345" s="1"/>
  <c r="K57" i="345"/>
  <c r="G57" i="345"/>
  <c r="O56" i="345"/>
  <c r="K56" i="345"/>
  <c r="V55" i="345"/>
  <c r="M55" i="345" s="1"/>
  <c r="U55" i="345"/>
  <c r="O55" i="345"/>
  <c r="K55" i="345"/>
  <c r="G55" i="345"/>
  <c r="V54" i="345"/>
  <c r="M54" i="345" s="1"/>
  <c r="U54" i="345"/>
  <c r="O54" i="345"/>
  <c r="K54" i="345"/>
  <c r="G54" i="345"/>
  <c r="V53" i="345"/>
  <c r="M53" i="345" s="1"/>
  <c r="U53" i="345"/>
  <c r="O53" i="345"/>
  <c r="K53" i="345"/>
  <c r="G53" i="345"/>
  <c r="V52" i="345"/>
  <c r="M52" i="345" s="1"/>
  <c r="N52" i="345" s="1"/>
  <c r="Q52" i="345" s="1"/>
  <c r="U52" i="345"/>
  <c r="O52" i="345"/>
  <c r="K52" i="345"/>
  <c r="G52" i="345"/>
  <c r="V51" i="345"/>
  <c r="O51" i="345"/>
  <c r="M51" i="345"/>
  <c r="K51" i="345"/>
  <c r="G51" i="345"/>
  <c r="O50" i="345"/>
  <c r="K50" i="345"/>
  <c r="AB49" i="345"/>
  <c r="AA49" i="345"/>
  <c r="V49" i="345"/>
  <c r="M49" i="345" s="1"/>
  <c r="N49" i="345" s="1"/>
  <c r="U49" i="345"/>
  <c r="O49" i="345"/>
  <c r="K49" i="345"/>
  <c r="Q49" i="345" s="1"/>
  <c r="G49" i="345"/>
  <c r="V48" i="345"/>
  <c r="U48" i="345"/>
  <c r="O48" i="345"/>
  <c r="M48" i="345"/>
  <c r="AA48" i="345" s="1"/>
  <c r="K48" i="345"/>
  <c r="G48" i="345"/>
  <c r="V47" i="345"/>
  <c r="M47" i="345" s="1"/>
  <c r="U47" i="345"/>
  <c r="O47" i="345"/>
  <c r="K47" i="345"/>
  <c r="G47" i="345"/>
  <c r="V46" i="345"/>
  <c r="U46" i="345"/>
  <c r="O46" i="345"/>
  <c r="M46" i="345"/>
  <c r="AA46" i="345" s="1"/>
  <c r="K46" i="345"/>
  <c r="G46" i="345"/>
  <c r="AB45" i="345"/>
  <c r="V45" i="345"/>
  <c r="U45" i="345"/>
  <c r="O45" i="345"/>
  <c r="M45" i="345"/>
  <c r="AA45" i="345" s="1"/>
  <c r="K45" i="345"/>
  <c r="G45" i="345"/>
  <c r="V44" i="345"/>
  <c r="U44" i="345"/>
  <c r="O44" i="345"/>
  <c r="M44" i="345"/>
  <c r="K44" i="345"/>
  <c r="G44" i="345"/>
  <c r="V43" i="345"/>
  <c r="M43" i="345" s="1"/>
  <c r="O43" i="345"/>
  <c r="K43" i="345"/>
  <c r="G43" i="345"/>
  <c r="O42" i="345"/>
  <c r="K42" i="345"/>
  <c r="V41" i="345"/>
  <c r="M41" i="345" s="1"/>
  <c r="U41" i="345"/>
  <c r="O41" i="345"/>
  <c r="N41" i="345"/>
  <c r="Q41" i="345" s="1"/>
  <c r="K41" i="345"/>
  <c r="G41" i="345"/>
  <c r="V40" i="345"/>
  <c r="M40" i="345" s="1"/>
  <c r="AB40" i="345" s="1"/>
  <c r="U40" i="345"/>
  <c r="Q40" i="345"/>
  <c r="P40" i="345"/>
  <c r="O40" i="345"/>
  <c r="N40" i="345"/>
  <c r="K40" i="345"/>
  <c r="G40" i="345"/>
  <c r="V39" i="345"/>
  <c r="M39" i="345" s="1"/>
  <c r="AA39" i="345" s="1"/>
  <c r="U39" i="345"/>
  <c r="O39" i="345"/>
  <c r="K39" i="345"/>
  <c r="G39" i="345"/>
  <c r="AB38" i="345"/>
  <c r="AA38" i="345"/>
  <c r="X38" i="345"/>
  <c r="W38" i="345"/>
  <c r="V38" i="345"/>
  <c r="U38" i="345"/>
  <c r="O38" i="345"/>
  <c r="M38" i="345"/>
  <c r="N38" i="345" s="1"/>
  <c r="K38" i="345"/>
  <c r="G38" i="345"/>
  <c r="V37" i="345"/>
  <c r="U37" i="345"/>
  <c r="O37" i="345"/>
  <c r="M37" i="345"/>
  <c r="AA37" i="345" s="1"/>
  <c r="K37" i="345"/>
  <c r="G37" i="345"/>
  <c r="AB36" i="345"/>
  <c r="AA36" i="345"/>
  <c r="V36" i="345"/>
  <c r="U36" i="345"/>
  <c r="O36" i="345"/>
  <c r="M36" i="345"/>
  <c r="N36" i="345" s="1"/>
  <c r="K36" i="345"/>
  <c r="G36" i="345"/>
  <c r="V35" i="345"/>
  <c r="U35" i="345"/>
  <c r="O35" i="345"/>
  <c r="M35" i="345"/>
  <c r="K35" i="345"/>
  <c r="G35" i="345"/>
  <c r="V34" i="345"/>
  <c r="U34" i="345"/>
  <c r="O34" i="345"/>
  <c r="N34" i="345"/>
  <c r="Q34" i="345" s="1"/>
  <c r="M34" i="345"/>
  <c r="K34" i="345"/>
  <c r="G34" i="345"/>
  <c r="AA33" i="345"/>
  <c r="X33" i="345"/>
  <c r="W33" i="345"/>
  <c r="V33" i="345"/>
  <c r="M33" i="345" s="1"/>
  <c r="O33" i="345"/>
  <c r="K33" i="345"/>
  <c r="G33" i="345"/>
  <c r="O32" i="345"/>
  <c r="K32" i="345"/>
  <c r="AB31" i="345"/>
  <c r="V31" i="345"/>
  <c r="M31" i="345" s="1"/>
  <c r="N31" i="345" s="1"/>
  <c r="U31" i="345"/>
  <c r="Q31" i="345"/>
  <c r="P31" i="345"/>
  <c r="O31" i="345"/>
  <c r="K31" i="345"/>
  <c r="G31" i="345"/>
  <c r="V30" i="345"/>
  <c r="M30" i="345" s="1"/>
  <c r="N30" i="345" s="1"/>
  <c r="U30" i="345"/>
  <c r="O30" i="345"/>
  <c r="K30" i="345"/>
  <c r="Q30" i="345" s="1"/>
  <c r="G30" i="345"/>
  <c r="AB29" i="345"/>
  <c r="AA29" i="345"/>
  <c r="X29" i="345"/>
  <c r="W29" i="345"/>
  <c r="V29" i="345"/>
  <c r="U29" i="345"/>
  <c r="O29" i="345"/>
  <c r="M29" i="345"/>
  <c r="N29" i="345" s="1"/>
  <c r="K29" i="345"/>
  <c r="G29" i="345"/>
  <c r="V28" i="345"/>
  <c r="U28" i="345"/>
  <c r="O28" i="345"/>
  <c r="M28" i="345"/>
  <c r="AA28" i="345" s="1"/>
  <c r="K28" i="345"/>
  <c r="G28" i="345"/>
  <c r="AB27" i="345"/>
  <c r="V27" i="345"/>
  <c r="U27" i="345"/>
  <c r="O27" i="345"/>
  <c r="M27" i="345"/>
  <c r="AA27" i="345" s="1"/>
  <c r="K27" i="345"/>
  <c r="G27" i="345"/>
  <c r="V26" i="345"/>
  <c r="U26" i="345"/>
  <c r="O26" i="345"/>
  <c r="M26" i="345"/>
  <c r="K26" i="345"/>
  <c r="G26" i="345"/>
  <c r="X25" i="345"/>
  <c r="W25" i="345"/>
  <c r="V25" i="345"/>
  <c r="M25" i="345" s="1"/>
  <c r="O25" i="345"/>
  <c r="K25" i="345"/>
  <c r="G25" i="345"/>
  <c r="O24" i="345"/>
  <c r="K24" i="345"/>
  <c r="V23" i="345"/>
  <c r="M23" i="345" s="1"/>
  <c r="N23" i="345" s="1"/>
  <c r="U23" i="345"/>
  <c r="Q23" i="345"/>
  <c r="P23" i="345"/>
  <c r="O23" i="345"/>
  <c r="K23" i="345"/>
  <c r="G23" i="345"/>
  <c r="V22" i="345"/>
  <c r="M22" i="345" s="1"/>
  <c r="N22" i="345" s="1"/>
  <c r="Q22" i="345" s="1"/>
  <c r="U22" i="345"/>
  <c r="O22" i="345"/>
  <c r="K22" i="345"/>
  <c r="G22" i="345"/>
  <c r="V21" i="345"/>
  <c r="U21" i="345"/>
  <c r="O21" i="345"/>
  <c r="M21" i="345"/>
  <c r="N21" i="345" s="1"/>
  <c r="K21" i="345"/>
  <c r="G21" i="345"/>
  <c r="V20" i="345"/>
  <c r="M20" i="345" s="1"/>
  <c r="U20" i="345"/>
  <c r="O20" i="345"/>
  <c r="K20" i="345"/>
  <c r="G20" i="345"/>
  <c r="V19" i="345"/>
  <c r="U19" i="345"/>
  <c r="O19" i="345"/>
  <c r="M19" i="345"/>
  <c r="AB19" i="345" s="1"/>
  <c r="K19" i="345"/>
  <c r="G19" i="345"/>
  <c r="V18" i="345"/>
  <c r="O18" i="345"/>
  <c r="M18" i="345"/>
  <c r="K18" i="345"/>
  <c r="G18" i="345"/>
  <c r="O17" i="345"/>
  <c r="K17" i="345"/>
  <c r="V16" i="345"/>
  <c r="U16" i="345"/>
  <c r="O16" i="345"/>
  <c r="M16" i="345"/>
  <c r="M17" i="345" s="1"/>
  <c r="K16" i="345"/>
  <c r="G16" i="345"/>
  <c r="V15" i="345"/>
  <c r="U15" i="345"/>
  <c r="O15" i="345"/>
  <c r="M15" i="345"/>
  <c r="N15" i="345" s="1"/>
  <c r="K15" i="345"/>
  <c r="G15" i="345"/>
  <c r="V14" i="345"/>
  <c r="M14" i="345" s="1"/>
  <c r="O14" i="345"/>
  <c r="N14" i="345"/>
  <c r="Q14" i="345" s="1"/>
  <c r="K14" i="345"/>
  <c r="G14" i="345"/>
  <c r="O13" i="345"/>
  <c r="M13" i="345"/>
  <c r="AB13" i="345" s="1"/>
  <c r="AC9" i="345" s="1"/>
  <c r="K13" i="345"/>
  <c r="V12" i="345"/>
  <c r="U12" i="345"/>
  <c r="Q12" i="345"/>
  <c r="P12" i="345"/>
  <c r="O12" i="345"/>
  <c r="N12" i="345"/>
  <c r="M12" i="345"/>
  <c r="K12" i="345"/>
  <c r="G12" i="345"/>
  <c r="X11" i="345"/>
  <c r="W11" i="345"/>
  <c r="V11" i="345"/>
  <c r="M11" i="345" s="1"/>
  <c r="U11" i="345"/>
  <c r="O11" i="345"/>
  <c r="K11" i="345"/>
  <c r="G11" i="345"/>
  <c r="AB10" i="345"/>
  <c r="AA10" i="345"/>
  <c r="V10" i="345"/>
  <c r="M10" i="345" s="1"/>
  <c r="N10" i="345" s="1"/>
  <c r="U10" i="345"/>
  <c r="O10" i="345"/>
  <c r="K10" i="345"/>
  <c r="Q10" i="345" s="1"/>
  <c r="G10" i="345"/>
  <c r="X9" i="345"/>
  <c r="W9" i="345"/>
  <c r="V9" i="345"/>
  <c r="O9" i="345"/>
  <c r="M9" i="345"/>
  <c r="AB9" i="345" s="1"/>
  <c r="K9" i="345"/>
  <c r="G9" i="345"/>
  <c r="F1" i="345" s="1"/>
  <c r="O8" i="345"/>
  <c r="K8" i="345"/>
  <c r="V7" i="345"/>
  <c r="U7" i="345"/>
  <c r="O7" i="345"/>
  <c r="M7" i="345"/>
  <c r="N7" i="345" s="1"/>
  <c r="K7" i="345"/>
  <c r="G7" i="345"/>
  <c r="V6" i="345"/>
  <c r="U6" i="345"/>
  <c r="O6" i="345"/>
  <c r="M6" i="345"/>
  <c r="AA6" i="345" s="1"/>
  <c r="K6" i="345"/>
  <c r="G6" i="345"/>
  <c r="V5" i="345"/>
  <c r="O5" i="345"/>
  <c r="M5" i="345"/>
  <c r="M8" i="345" s="1"/>
  <c r="K5" i="345"/>
  <c r="G5" i="345"/>
  <c r="H2" i="345"/>
  <c r="H1" i="345"/>
  <c r="D1" i="345"/>
  <c r="F3" i="344" s="1"/>
  <c r="M18" i="344"/>
  <c r="L18" i="344"/>
  <c r="K18" i="344"/>
  <c r="J18" i="344"/>
  <c r="I18" i="344"/>
  <c r="H18" i="344"/>
  <c r="G18" i="344"/>
  <c r="F18" i="344"/>
  <c r="E18" i="344"/>
  <c r="D18" i="344"/>
  <c r="M17" i="344"/>
  <c r="L17" i="344"/>
  <c r="K17" i="344"/>
  <c r="J17" i="344"/>
  <c r="I17" i="344"/>
  <c r="H17" i="344"/>
  <c r="G17" i="344"/>
  <c r="F17" i="344"/>
  <c r="E17" i="344"/>
  <c r="D17" i="344"/>
  <c r="M16" i="344"/>
  <c r="L16" i="344"/>
  <c r="K16" i="344"/>
  <c r="J16" i="344"/>
  <c r="I16" i="344"/>
  <c r="H16" i="344"/>
  <c r="G16" i="344"/>
  <c r="F16" i="344"/>
  <c r="E16" i="344"/>
  <c r="D16" i="344"/>
  <c r="M13" i="344"/>
  <c r="L13" i="344"/>
  <c r="K13" i="344"/>
  <c r="J13" i="344"/>
  <c r="I13" i="344"/>
  <c r="H13" i="344"/>
  <c r="G13" i="344"/>
  <c r="F13" i="344"/>
  <c r="E13" i="344"/>
  <c r="D13" i="344"/>
  <c r="F6" i="344" s="1"/>
  <c r="I6" i="344"/>
  <c r="G6" i="344"/>
  <c r="C3" i="344"/>
  <c r="Q64" i="347" l="1"/>
  <c r="P64" i="347"/>
  <c r="Q58" i="347"/>
  <c r="P58" i="347"/>
  <c r="N56" i="347"/>
  <c r="AB56" i="347"/>
  <c r="AC51" i="347" s="1"/>
  <c r="AA56" i="347"/>
  <c r="Q12" i="347"/>
  <c r="P12" i="347"/>
  <c r="AB70" i="347"/>
  <c r="AC64" i="347" s="1"/>
  <c r="AA70" i="347"/>
  <c r="N70" i="347"/>
  <c r="Q40" i="347"/>
  <c r="P40" i="347"/>
  <c r="Q54" i="347"/>
  <c r="P54" i="347"/>
  <c r="AB8" i="347"/>
  <c r="AC5" i="347" s="1"/>
  <c r="AA8" i="347"/>
  <c r="N8" i="347"/>
  <c r="P30" i="347"/>
  <c r="Q30" i="347"/>
  <c r="Q49" i="347"/>
  <c r="P49" i="347"/>
  <c r="P39" i="347"/>
  <c r="Q39" i="347"/>
  <c r="Q45" i="347"/>
  <c r="P45" i="347"/>
  <c r="AA63" i="347"/>
  <c r="N63" i="347"/>
  <c r="AB63" i="347"/>
  <c r="AC57" i="347" s="1"/>
  <c r="Q62" i="347"/>
  <c r="P62" i="347"/>
  <c r="N50" i="347"/>
  <c r="AA50" i="347"/>
  <c r="AB50" i="347"/>
  <c r="AC43" i="347" s="1"/>
  <c r="Q43" i="347"/>
  <c r="P43" i="347"/>
  <c r="Q5" i="347"/>
  <c r="P5" i="347"/>
  <c r="Q41" i="347"/>
  <c r="P41" i="347"/>
  <c r="Q16" i="347"/>
  <c r="P16" i="347"/>
  <c r="Q57" i="347"/>
  <c r="P57" i="347"/>
  <c r="Q27" i="347"/>
  <c r="P27" i="347"/>
  <c r="Q31" i="347"/>
  <c r="P31" i="347"/>
  <c r="Q9" i="347"/>
  <c r="P9" i="347"/>
  <c r="Q36" i="347"/>
  <c r="P36" i="347"/>
  <c r="N32" i="347"/>
  <c r="AB32" i="347"/>
  <c r="AC25" i="347" s="1"/>
  <c r="AA32" i="347"/>
  <c r="P52" i="347"/>
  <c r="Q52" i="347"/>
  <c r="Q7" i="347"/>
  <c r="P7" i="347"/>
  <c r="Q60" i="347"/>
  <c r="P60" i="347"/>
  <c r="Q29" i="347"/>
  <c r="P29" i="347"/>
  <c r="Q38" i="347"/>
  <c r="P38" i="347"/>
  <c r="Q47" i="347"/>
  <c r="P47" i="347"/>
  <c r="Q59" i="347"/>
  <c r="P59" i="347"/>
  <c r="Q18" i="347"/>
  <c r="P18" i="347"/>
  <c r="AB42" i="347"/>
  <c r="AC33" i="347" s="1"/>
  <c r="AA42" i="347"/>
  <c r="N42" i="347"/>
  <c r="Q67" i="347"/>
  <c r="P67" i="347"/>
  <c r="Q26" i="347"/>
  <c r="P26" i="347"/>
  <c r="Q55" i="347"/>
  <c r="P55" i="347"/>
  <c r="Q34" i="347"/>
  <c r="P34" i="347"/>
  <c r="P23" i="347"/>
  <c r="Q23" i="347"/>
  <c r="AB24" i="347"/>
  <c r="AC18" i="347" s="1"/>
  <c r="AA24" i="347"/>
  <c r="N24" i="347"/>
  <c r="P65" i="347"/>
  <c r="Q65" i="347"/>
  <c r="Q22" i="347"/>
  <c r="P22" i="347"/>
  <c r="Q20" i="347"/>
  <c r="P20" i="347"/>
  <c r="Q69" i="347"/>
  <c r="P69" i="347"/>
  <c r="AB13" i="347"/>
  <c r="AC9" i="347" s="1"/>
  <c r="AA13" i="347"/>
  <c r="N13" i="347"/>
  <c r="Q14" i="347"/>
  <c r="P14" i="347"/>
  <c r="Q68" i="347"/>
  <c r="P68" i="347"/>
  <c r="AB17" i="347"/>
  <c r="AC14" i="347" s="1"/>
  <c r="AA17" i="347"/>
  <c r="N17" i="347"/>
  <c r="P25" i="347"/>
  <c r="Q25" i="347"/>
  <c r="Q33" i="347"/>
  <c r="P33" i="347"/>
  <c r="Q66" i="347"/>
  <c r="P66" i="347"/>
  <c r="Q53" i="347"/>
  <c r="P53" i="347"/>
  <c r="Q44" i="347"/>
  <c r="P44" i="347"/>
  <c r="Q11" i="347"/>
  <c r="P11" i="347"/>
  <c r="Q51" i="347"/>
  <c r="P51" i="347"/>
  <c r="Q48" i="347"/>
  <c r="P48" i="347"/>
  <c r="N62" i="345"/>
  <c r="AB62" i="345"/>
  <c r="AA62" i="345"/>
  <c r="AB47" i="345"/>
  <c r="AA47" i="345"/>
  <c r="N47" i="345"/>
  <c r="Q60" i="345"/>
  <c r="P60" i="345"/>
  <c r="Q7" i="345"/>
  <c r="P7" i="345"/>
  <c r="Q29" i="345"/>
  <c r="P29" i="345"/>
  <c r="Q67" i="345"/>
  <c r="P67" i="345"/>
  <c r="F2" i="345"/>
  <c r="I3" i="344"/>
  <c r="P15" i="345"/>
  <c r="Q15" i="345"/>
  <c r="Q36" i="345"/>
  <c r="P36" i="345"/>
  <c r="AB8" i="345"/>
  <c r="AC5" i="345" s="1"/>
  <c r="AA8" i="345"/>
  <c r="N8" i="345"/>
  <c r="AB17" i="345"/>
  <c r="AC14" i="345" s="1"/>
  <c r="AA17" i="345"/>
  <c r="N17" i="345"/>
  <c r="AB20" i="345"/>
  <c r="AA20" i="345"/>
  <c r="N20" i="345"/>
  <c r="AB55" i="345"/>
  <c r="AA55" i="345"/>
  <c r="N55" i="345"/>
  <c r="AA18" i="345"/>
  <c r="M24" i="345"/>
  <c r="N18" i="345"/>
  <c r="AA22" i="345"/>
  <c r="N5" i="345"/>
  <c r="AB12" i="345"/>
  <c r="AA12" i="345"/>
  <c r="AB16" i="345"/>
  <c r="AA21" i="345"/>
  <c r="AB28" i="345"/>
  <c r="AB37" i="345"/>
  <c r="N54" i="345"/>
  <c r="AB54" i="345"/>
  <c r="AA54" i="345"/>
  <c r="P57" i="345"/>
  <c r="AB64" i="345"/>
  <c r="N69" i="345"/>
  <c r="AB14" i="345"/>
  <c r="AA14" i="345"/>
  <c r="AB21" i="345"/>
  <c r="AB33" i="345"/>
  <c r="N33" i="345"/>
  <c r="P49" i="345"/>
  <c r="N6" i="345"/>
  <c r="AB22" i="345"/>
  <c r="P34" i="345"/>
  <c r="N43" i="345"/>
  <c r="AB43" i="345"/>
  <c r="AA43" i="345"/>
  <c r="N48" i="345"/>
  <c r="P58" i="345"/>
  <c r="N13" i="345"/>
  <c r="N68" i="345"/>
  <c r="M32" i="345"/>
  <c r="N25" i="345"/>
  <c r="AB25" i="345"/>
  <c r="AA25" i="345"/>
  <c r="M56" i="345"/>
  <c r="N51" i="345"/>
  <c r="AB26" i="345"/>
  <c r="AA26" i="345"/>
  <c r="AB35" i="345"/>
  <c r="AA35" i="345"/>
  <c r="AB51" i="345"/>
  <c r="AB59" i="345"/>
  <c r="AA59" i="345"/>
  <c r="AB68" i="345"/>
  <c r="N28" i="345"/>
  <c r="AA9" i="345"/>
  <c r="P14" i="345"/>
  <c r="AA23" i="345"/>
  <c r="AB61" i="345"/>
  <c r="N19" i="345"/>
  <c r="AA7" i="345"/>
  <c r="AA19" i="345"/>
  <c r="Q38" i="345"/>
  <c r="P38" i="345"/>
  <c r="N45" i="345"/>
  <c r="P52" i="345"/>
  <c r="AB57" i="345"/>
  <c r="M63" i="345"/>
  <c r="P22" i="345"/>
  <c r="M50" i="345"/>
  <c r="AB52" i="345"/>
  <c r="AB67" i="345"/>
  <c r="AA67" i="345"/>
  <c r="AB69" i="345"/>
  <c r="AB6" i="345"/>
  <c r="AB11" i="345"/>
  <c r="AA11" i="345"/>
  <c r="N11" i="345"/>
  <c r="N37" i="345"/>
  <c r="AB41" i="345"/>
  <c r="AA41" i="345"/>
  <c r="AB48" i="345"/>
  <c r="AA51" i="345"/>
  <c r="Q21" i="345"/>
  <c r="P21" i="345"/>
  <c r="AB7" i="345"/>
  <c r="P10" i="345"/>
  <c r="N27" i="345"/>
  <c r="N9" i="345"/>
  <c r="P41" i="345"/>
  <c r="N46" i="345"/>
  <c r="AA53" i="345"/>
  <c r="N53" i="345"/>
  <c r="AA13" i="345"/>
  <c r="AB44" i="345"/>
  <c r="AA44" i="345"/>
  <c r="AB53" i="345"/>
  <c r="Q61" i="345"/>
  <c r="P61" i="345"/>
  <c r="M70" i="345"/>
  <c r="P66" i="345"/>
  <c r="N16" i="345"/>
  <c r="AB18" i="345"/>
  <c r="N44" i="345"/>
  <c r="N64" i="345"/>
  <c r="N26" i="345"/>
  <c r="P30" i="345"/>
  <c r="N35" i="345"/>
  <c r="N39" i="345"/>
  <c r="AB39" i="345"/>
  <c r="M42" i="345"/>
  <c r="AB46" i="345"/>
  <c r="N59" i="345"/>
  <c r="AA61" i="345"/>
  <c r="AA66" i="345"/>
  <c r="AA30" i="345"/>
  <c r="AB5" i="345"/>
  <c r="AA5" i="345"/>
  <c r="AA16" i="345"/>
  <c r="AB23" i="345"/>
  <c r="AB30" i="345"/>
  <c r="AB15" i="345"/>
  <c r="AA15" i="345"/>
  <c r="AA52" i="345"/>
  <c r="AA57" i="345"/>
  <c r="E6" i="344"/>
  <c r="AA31" i="345"/>
  <c r="AB34" i="345"/>
  <c r="AA34" i="345"/>
  <c r="AA40" i="345"/>
  <c r="AB58" i="345"/>
  <c r="AA58" i="345"/>
  <c r="N65" i="345"/>
  <c r="AB65" i="345"/>
  <c r="O73" i="341"/>
  <c r="K73" i="341"/>
  <c r="M13" i="340" s="1"/>
  <c r="V72" i="341"/>
  <c r="U72" i="341"/>
  <c r="O72" i="341"/>
  <c r="M72" i="341"/>
  <c r="AB72" i="341" s="1"/>
  <c r="K72" i="341"/>
  <c r="G72" i="341"/>
  <c r="AB71" i="341"/>
  <c r="V71" i="341"/>
  <c r="U71" i="341"/>
  <c r="O71" i="341"/>
  <c r="M71" i="341"/>
  <c r="AA71" i="341" s="1"/>
  <c r="K71" i="341"/>
  <c r="G71" i="341"/>
  <c r="X70" i="341"/>
  <c r="W70" i="341"/>
  <c r="V70" i="341"/>
  <c r="M70" i="341" s="1"/>
  <c r="U70" i="341"/>
  <c r="O70" i="341"/>
  <c r="K70" i="341"/>
  <c r="G70" i="341"/>
  <c r="V69" i="341"/>
  <c r="U69" i="341"/>
  <c r="Q69" i="341"/>
  <c r="O69" i="341"/>
  <c r="N69" i="341"/>
  <c r="P69" i="341" s="1"/>
  <c r="M69" i="341"/>
  <c r="AA69" i="341" s="1"/>
  <c r="K69" i="341"/>
  <c r="G69" i="341"/>
  <c r="V68" i="341"/>
  <c r="M68" i="341" s="1"/>
  <c r="U68" i="341"/>
  <c r="O68" i="341"/>
  <c r="K68" i="341"/>
  <c r="G68" i="341"/>
  <c r="V67" i="341"/>
  <c r="M67" i="341" s="1"/>
  <c r="U67" i="341"/>
  <c r="O67" i="341"/>
  <c r="K67" i="341"/>
  <c r="G67" i="341"/>
  <c r="V66" i="341"/>
  <c r="M66" i="341" s="1"/>
  <c r="U66" i="341"/>
  <c r="O66" i="341"/>
  <c r="K66" i="341"/>
  <c r="G66" i="341"/>
  <c r="X65" i="341"/>
  <c r="W65" i="341"/>
  <c r="V65" i="341"/>
  <c r="O65" i="341"/>
  <c r="M65" i="341"/>
  <c r="K65" i="341"/>
  <c r="G65" i="341"/>
  <c r="O64" i="341"/>
  <c r="K64" i="341"/>
  <c r="V63" i="341"/>
  <c r="U63" i="341"/>
  <c r="O63" i="341"/>
  <c r="M63" i="341"/>
  <c r="AB63" i="341" s="1"/>
  <c r="K63" i="341"/>
  <c r="G63" i="341"/>
  <c r="AA62" i="341"/>
  <c r="V62" i="341"/>
  <c r="U62" i="341"/>
  <c r="O62" i="341"/>
  <c r="N62" i="341"/>
  <c r="Q62" i="341" s="1"/>
  <c r="M62" i="341"/>
  <c r="AB62" i="341" s="1"/>
  <c r="K62" i="341"/>
  <c r="G62" i="341"/>
  <c r="V61" i="341"/>
  <c r="U61" i="341"/>
  <c r="O61" i="341"/>
  <c r="M61" i="341"/>
  <c r="AB61" i="341" s="1"/>
  <c r="K61" i="341"/>
  <c r="G61" i="341"/>
  <c r="V60" i="341"/>
  <c r="U60" i="341"/>
  <c r="O60" i="341"/>
  <c r="M60" i="341"/>
  <c r="AB60" i="341" s="1"/>
  <c r="K60" i="341"/>
  <c r="G60" i="341"/>
  <c r="V59" i="341"/>
  <c r="M59" i="341" s="1"/>
  <c r="U59" i="341"/>
  <c r="O59" i="341"/>
  <c r="K59" i="341"/>
  <c r="G59" i="341"/>
  <c r="V58" i="341"/>
  <c r="M58" i="341" s="1"/>
  <c r="O58" i="341"/>
  <c r="K58" i="341"/>
  <c r="G58" i="341"/>
  <c r="O57" i="341"/>
  <c r="K57" i="341"/>
  <c r="V56" i="341"/>
  <c r="U56" i="341"/>
  <c r="O56" i="341"/>
  <c r="N56" i="341"/>
  <c r="Q56" i="341" s="1"/>
  <c r="M56" i="341"/>
  <c r="AB56" i="341" s="1"/>
  <c r="K56" i="341"/>
  <c r="G56" i="341"/>
  <c r="V55" i="341"/>
  <c r="M55" i="341" s="1"/>
  <c r="U55" i="341"/>
  <c r="O55" i="341"/>
  <c r="K55" i="341"/>
  <c r="G55" i="341"/>
  <c r="AA54" i="341"/>
  <c r="V54" i="341"/>
  <c r="U54" i="341"/>
  <c r="O54" i="341"/>
  <c r="M54" i="341"/>
  <c r="AB54" i="341" s="1"/>
  <c r="K54" i="341"/>
  <c r="G54" i="341"/>
  <c r="V53" i="341"/>
  <c r="M53" i="341" s="1"/>
  <c r="U53" i="341"/>
  <c r="O53" i="341"/>
  <c r="K53" i="341"/>
  <c r="G53" i="341"/>
  <c r="V52" i="341"/>
  <c r="O52" i="341"/>
  <c r="M52" i="341"/>
  <c r="K52" i="341"/>
  <c r="G52" i="341"/>
  <c r="O51" i="341"/>
  <c r="K51" i="341"/>
  <c r="V50" i="341"/>
  <c r="U50" i="341"/>
  <c r="O50" i="341"/>
  <c r="N50" i="341"/>
  <c r="Q50" i="341" s="1"/>
  <c r="M50" i="341"/>
  <c r="AB50" i="341" s="1"/>
  <c r="K50" i="341"/>
  <c r="G50" i="341"/>
  <c r="AB49" i="341"/>
  <c r="V49" i="341"/>
  <c r="U49" i="341"/>
  <c r="O49" i="341"/>
  <c r="M49" i="341"/>
  <c r="AA49" i="341" s="1"/>
  <c r="K49" i="341"/>
  <c r="G49" i="341"/>
  <c r="V48" i="341"/>
  <c r="U48" i="341"/>
  <c r="O48" i="341"/>
  <c r="M48" i="341"/>
  <c r="AB48" i="341" s="1"/>
  <c r="K48" i="341"/>
  <c r="G48" i="341"/>
  <c r="AB47" i="341"/>
  <c r="V47" i="341"/>
  <c r="U47" i="341"/>
  <c r="O47" i="341"/>
  <c r="M47" i="341"/>
  <c r="AA47" i="341" s="1"/>
  <c r="K47" i="341"/>
  <c r="G47" i="341"/>
  <c r="V46" i="341"/>
  <c r="M46" i="341" s="1"/>
  <c r="U46" i="341"/>
  <c r="O46" i="341"/>
  <c r="K46" i="341"/>
  <c r="G46" i="341"/>
  <c r="V45" i="341"/>
  <c r="U45" i="341"/>
  <c r="Q45" i="341"/>
  <c r="O45" i="341"/>
  <c r="N45" i="341"/>
  <c r="P45" i="341" s="1"/>
  <c r="M45" i="341"/>
  <c r="AA45" i="341" s="1"/>
  <c r="K45" i="341"/>
  <c r="G45" i="341"/>
  <c r="V44" i="341"/>
  <c r="M44" i="341" s="1"/>
  <c r="O44" i="341"/>
  <c r="K44" i="341"/>
  <c r="G44" i="341"/>
  <c r="O43" i="341"/>
  <c r="K43" i="341"/>
  <c r="V42" i="341"/>
  <c r="M42" i="341" s="1"/>
  <c r="U42" i="341"/>
  <c r="O42" i="341"/>
  <c r="K42" i="341"/>
  <c r="G42" i="341"/>
  <c r="V41" i="341"/>
  <c r="M41" i="341" s="1"/>
  <c r="U41" i="341"/>
  <c r="O41" i="341"/>
  <c r="K41" i="341"/>
  <c r="G41" i="341"/>
  <c r="V40" i="341"/>
  <c r="M40" i="341" s="1"/>
  <c r="U40" i="341"/>
  <c r="O40" i="341"/>
  <c r="K40" i="341"/>
  <c r="G40" i="341"/>
  <c r="X39" i="341"/>
  <c r="W39" i="341"/>
  <c r="V39" i="341"/>
  <c r="U39" i="341"/>
  <c r="O39" i="341"/>
  <c r="M39" i="341"/>
  <c r="AB39" i="341" s="1"/>
  <c r="K39" i="341"/>
  <c r="G39" i="341"/>
  <c r="AA38" i="341"/>
  <c r="V38" i="341"/>
  <c r="U38" i="341"/>
  <c r="O38" i="341"/>
  <c r="N38" i="341"/>
  <c r="Q38" i="341" s="1"/>
  <c r="M38" i="341"/>
  <c r="AB38" i="341" s="1"/>
  <c r="K38" i="341"/>
  <c r="G38" i="341"/>
  <c r="V37" i="341"/>
  <c r="U37" i="341"/>
  <c r="O37" i="341"/>
  <c r="M37" i="341"/>
  <c r="AB37" i="341" s="1"/>
  <c r="K37" i="341"/>
  <c r="G37" i="341"/>
  <c r="V36" i="341"/>
  <c r="U36" i="341"/>
  <c r="O36" i="341"/>
  <c r="M36" i="341"/>
  <c r="AB36" i="341" s="1"/>
  <c r="K36" i="341"/>
  <c r="G36" i="341"/>
  <c r="V35" i="341"/>
  <c r="M35" i="341" s="1"/>
  <c r="U35" i="341"/>
  <c r="O35" i="341"/>
  <c r="K35" i="341"/>
  <c r="G35" i="341"/>
  <c r="X34" i="341"/>
  <c r="W34" i="341"/>
  <c r="V34" i="341"/>
  <c r="O34" i="341"/>
  <c r="M34" i="341"/>
  <c r="AB34" i="341" s="1"/>
  <c r="K34" i="341"/>
  <c r="G34" i="341"/>
  <c r="O33" i="341"/>
  <c r="K33" i="341"/>
  <c r="AA32" i="341"/>
  <c r="V32" i="341"/>
  <c r="U32" i="341"/>
  <c r="O32" i="341"/>
  <c r="M32" i="341"/>
  <c r="AB32" i="341" s="1"/>
  <c r="K32" i="341"/>
  <c r="G32" i="341"/>
  <c r="V31" i="341"/>
  <c r="M31" i="341" s="1"/>
  <c r="U31" i="341"/>
  <c r="O31" i="341"/>
  <c r="K31" i="341"/>
  <c r="G31" i="341"/>
  <c r="X30" i="341"/>
  <c r="W30" i="341"/>
  <c r="V30" i="341"/>
  <c r="U30" i="341"/>
  <c r="O30" i="341"/>
  <c r="N30" i="341"/>
  <c r="Q30" i="341" s="1"/>
  <c r="M30" i="341"/>
  <c r="AB30" i="341" s="1"/>
  <c r="K30" i="341"/>
  <c r="G30" i="341"/>
  <c r="AB29" i="341"/>
  <c r="V29" i="341"/>
  <c r="U29" i="341"/>
  <c r="O29" i="341"/>
  <c r="M29" i="341"/>
  <c r="AA29" i="341" s="1"/>
  <c r="K29" i="341"/>
  <c r="G29" i="341"/>
  <c r="V28" i="341"/>
  <c r="M28" i="341" s="1"/>
  <c r="U28" i="341"/>
  <c r="O28" i="341"/>
  <c r="K28" i="341"/>
  <c r="G28" i="341"/>
  <c r="V27" i="341"/>
  <c r="U27" i="341"/>
  <c r="O27" i="341"/>
  <c r="M27" i="341"/>
  <c r="AA27" i="341" s="1"/>
  <c r="K27" i="341"/>
  <c r="G27" i="341"/>
  <c r="X26" i="341"/>
  <c r="W26" i="341"/>
  <c r="V26" i="341"/>
  <c r="M26" i="341" s="1"/>
  <c r="O26" i="341"/>
  <c r="K26" i="341"/>
  <c r="G26" i="341"/>
  <c r="O25" i="341"/>
  <c r="K25" i="341"/>
  <c r="V24" i="341"/>
  <c r="M24" i="341" s="1"/>
  <c r="U24" i="341"/>
  <c r="O24" i="341"/>
  <c r="K24" i="341"/>
  <c r="G24" i="341"/>
  <c r="AB23" i="341"/>
  <c r="V23" i="341"/>
  <c r="U23" i="341"/>
  <c r="O23" i="341"/>
  <c r="M23" i="341"/>
  <c r="AA23" i="341" s="1"/>
  <c r="K23" i="341"/>
  <c r="G23" i="341"/>
  <c r="AB22" i="341"/>
  <c r="AA22" i="341"/>
  <c r="V22" i="341"/>
  <c r="U22" i="341"/>
  <c r="O22" i="341"/>
  <c r="M22" i="341"/>
  <c r="N22" i="341" s="1"/>
  <c r="K22" i="341"/>
  <c r="G22" i="341"/>
  <c r="V21" i="341"/>
  <c r="U21" i="341"/>
  <c r="O21" i="341"/>
  <c r="M21" i="341"/>
  <c r="AB21" i="341" s="1"/>
  <c r="K21" i="341"/>
  <c r="G21" i="341"/>
  <c r="AA20" i="341"/>
  <c r="V20" i="341"/>
  <c r="U20" i="341"/>
  <c r="O20" i="341"/>
  <c r="N20" i="341"/>
  <c r="Q20" i="341" s="1"/>
  <c r="M20" i="341"/>
  <c r="AB20" i="341" s="1"/>
  <c r="K20" i="341"/>
  <c r="G20" i="341"/>
  <c r="V19" i="341"/>
  <c r="M19" i="341" s="1"/>
  <c r="O19" i="341"/>
  <c r="K19" i="341"/>
  <c r="G19" i="341"/>
  <c r="O18" i="341"/>
  <c r="K18" i="341"/>
  <c r="V17" i="341"/>
  <c r="U17" i="341"/>
  <c r="O17" i="341"/>
  <c r="M17" i="341"/>
  <c r="AB17" i="341" s="1"/>
  <c r="K17" i="341"/>
  <c r="G17" i="341"/>
  <c r="V16" i="341"/>
  <c r="U16" i="341"/>
  <c r="O16" i="341"/>
  <c r="M16" i="341"/>
  <c r="AB16" i="341" s="1"/>
  <c r="K16" i="341"/>
  <c r="G16" i="341"/>
  <c r="V15" i="341"/>
  <c r="M15" i="341" s="1"/>
  <c r="O15" i="341"/>
  <c r="K15" i="341"/>
  <c r="G15" i="341"/>
  <c r="O14" i="341"/>
  <c r="K14" i="341"/>
  <c r="V13" i="341"/>
  <c r="M13" i="341" s="1"/>
  <c r="U13" i="341"/>
  <c r="O13" i="341"/>
  <c r="K13" i="341"/>
  <c r="G13" i="341"/>
  <c r="V12" i="341"/>
  <c r="M12" i="341" s="1"/>
  <c r="U12" i="341"/>
  <c r="O12" i="341"/>
  <c r="K12" i="341"/>
  <c r="G12" i="341"/>
  <c r="X11" i="341"/>
  <c r="W11" i="341"/>
  <c r="V11" i="341"/>
  <c r="M11" i="341" s="1"/>
  <c r="U11" i="341"/>
  <c r="O11" i="341"/>
  <c r="K11" i="341"/>
  <c r="G11" i="341"/>
  <c r="V10" i="341"/>
  <c r="U10" i="341"/>
  <c r="O10" i="341"/>
  <c r="N10" i="341"/>
  <c r="Q10" i="341" s="1"/>
  <c r="M10" i="341"/>
  <c r="AB10" i="341" s="1"/>
  <c r="K10" i="341"/>
  <c r="G10" i="341"/>
  <c r="X9" i="341"/>
  <c r="W9" i="341"/>
  <c r="V9" i="341"/>
  <c r="O9" i="341"/>
  <c r="M9" i="341"/>
  <c r="AB9" i="341" s="1"/>
  <c r="K9" i="341"/>
  <c r="G9" i="341"/>
  <c r="O8" i="341"/>
  <c r="K8" i="341"/>
  <c r="AB7" i="341"/>
  <c r="V7" i="341"/>
  <c r="U7" i="341"/>
  <c r="O7" i="341"/>
  <c r="M7" i="341"/>
  <c r="AA7" i="341" s="1"/>
  <c r="K7" i="341"/>
  <c r="G7" i="341"/>
  <c r="V6" i="341"/>
  <c r="M6" i="341" s="1"/>
  <c r="U6" i="341"/>
  <c r="O6" i="341"/>
  <c r="K6" i="341"/>
  <c r="G6" i="341"/>
  <c r="V5" i="341"/>
  <c r="M5" i="341" s="1"/>
  <c r="O5" i="341"/>
  <c r="K5" i="341"/>
  <c r="G5" i="341"/>
  <c r="H2" i="341"/>
  <c r="H1" i="341"/>
  <c r="F1" i="341"/>
  <c r="I3" i="340" s="1"/>
  <c r="D1" i="341"/>
  <c r="M18" i="340"/>
  <c r="L18" i="340"/>
  <c r="K18" i="340"/>
  <c r="J18" i="340"/>
  <c r="I18" i="340"/>
  <c r="H18" i="340"/>
  <c r="G18" i="340"/>
  <c r="F18" i="340"/>
  <c r="E18" i="340"/>
  <c r="D18" i="340"/>
  <c r="M17" i="340"/>
  <c r="L17" i="340"/>
  <c r="K17" i="340"/>
  <c r="J17" i="340"/>
  <c r="I17" i="340"/>
  <c r="H17" i="340"/>
  <c r="G17" i="340"/>
  <c r="F17" i="340"/>
  <c r="E17" i="340"/>
  <c r="D17" i="340"/>
  <c r="M16" i="340"/>
  <c r="L16" i="340"/>
  <c r="K16" i="340"/>
  <c r="J16" i="340"/>
  <c r="I16" i="340"/>
  <c r="H16" i="340"/>
  <c r="G16" i="340"/>
  <c r="F16" i="340"/>
  <c r="E16" i="340"/>
  <c r="D16" i="340"/>
  <c r="L13" i="340"/>
  <c r="K13" i="340"/>
  <c r="J13" i="340"/>
  <c r="I13" i="340"/>
  <c r="H13" i="340"/>
  <c r="G13" i="340"/>
  <c r="F13" i="340"/>
  <c r="E13" i="340"/>
  <c r="D13" i="340"/>
  <c r="F3" i="340"/>
  <c r="C3" i="340"/>
  <c r="Q50" i="347" l="1"/>
  <c r="R43" i="347" s="1"/>
  <c r="P50" i="347"/>
  <c r="H14" i="346"/>
  <c r="H15" i="346" s="1"/>
  <c r="I14" i="346"/>
  <c r="I15" i="346" s="1"/>
  <c r="Q56" i="347"/>
  <c r="R51" i="347" s="1"/>
  <c r="P56" i="347"/>
  <c r="Q8" i="347"/>
  <c r="R5" i="347" s="1"/>
  <c r="P8" i="347"/>
  <c r="D2" i="347"/>
  <c r="D14" i="346"/>
  <c r="Q42" i="347"/>
  <c r="R33" i="347" s="1"/>
  <c r="P42" i="347"/>
  <c r="L14" i="346"/>
  <c r="L15" i="346" s="1"/>
  <c r="Q24" i="347"/>
  <c r="R18" i="347" s="1"/>
  <c r="P24" i="347"/>
  <c r="G14" i="346"/>
  <c r="G15" i="346" s="1"/>
  <c r="Q17" i="347"/>
  <c r="R14" i="347" s="1"/>
  <c r="P17" i="347"/>
  <c r="F14" i="346"/>
  <c r="F15" i="346" s="1"/>
  <c r="K14" i="346"/>
  <c r="P32" i="347"/>
  <c r="Q32" i="347"/>
  <c r="R25" i="347" s="1"/>
  <c r="Q63" i="347"/>
  <c r="R57" i="347" s="1"/>
  <c r="P63" i="347"/>
  <c r="J14" i="346"/>
  <c r="J15" i="346" s="1"/>
  <c r="Q13" i="347"/>
  <c r="R9" i="347" s="1"/>
  <c r="P13" i="347"/>
  <c r="E14" i="346"/>
  <c r="E15" i="346" s="1"/>
  <c r="Q70" i="347"/>
  <c r="R64" i="347" s="1"/>
  <c r="P70" i="347"/>
  <c r="M14" i="346"/>
  <c r="M15" i="346" s="1"/>
  <c r="Q6" i="345"/>
  <c r="P6" i="345"/>
  <c r="Q62" i="345"/>
  <c r="P62" i="345"/>
  <c r="Q28" i="345"/>
  <c r="P28" i="345"/>
  <c r="P65" i="345"/>
  <c r="Q65" i="345"/>
  <c r="AB42" i="345"/>
  <c r="AC33" i="345" s="1"/>
  <c r="N42" i="345"/>
  <c r="AA42" i="345"/>
  <c r="Q46" i="345"/>
  <c r="P46" i="345"/>
  <c r="N50" i="345"/>
  <c r="D2" i="345" s="1"/>
  <c r="AA50" i="345"/>
  <c r="AB50" i="345"/>
  <c r="AC43" i="345" s="1"/>
  <c r="Q18" i="345"/>
  <c r="P18" i="345"/>
  <c r="N24" i="345"/>
  <c r="AA24" i="345"/>
  <c r="AB24" i="345"/>
  <c r="AC18" i="345" s="1"/>
  <c r="P35" i="345"/>
  <c r="Q35" i="345"/>
  <c r="Q27" i="345"/>
  <c r="P27" i="345"/>
  <c r="Q55" i="345"/>
  <c r="P55" i="345"/>
  <c r="P26" i="345"/>
  <c r="Q26" i="345"/>
  <c r="Q51" i="345"/>
  <c r="P51" i="345"/>
  <c r="Q64" i="345"/>
  <c r="P64" i="345"/>
  <c r="Q45" i="345"/>
  <c r="P45" i="345"/>
  <c r="P43" i="345"/>
  <c r="Q43" i="345"/>
  <c r="P59" i="345"/>
  <c r="Q59" i="345"/>
  <c r="Q53" i="345"/>
  <c r="P53" i="345"/>
  <c r="Q5" i="345"/>
  <c r="P5" i="345"/>
  <c r="P39" i="345"/>
  <c r="Q39" i="345"/>
  <c r="Q9" i="345"/>
  <c r="P9" i="345"/>
  <c r="Q33" i="345"/>
  <c r="P33" i="345"/>
  <c r="AA63" i="345"/>
  <c r="AB63" i="345"/>
  <c r="AC57" i="345" s="1"/>
  <c r="N63" i="345"/>
  <c r="AB56" i="345"/>
  <c r="AC51" i="345" s="1"/>
  <c r="AA56" i="345"/>
  <c r="N56" i="345"/>
  <c r="Q44" i="345"/>
  <c r="P44" i="345"/>
  <c r="Q69" i="345"/>
  <c r="P69" i="345"/>
  <c r="Q20" i="345"/>
  <c r="P20" i="345"/>
  <c r="Q16" i="345"/>
  <c r="P16" i="345"/>
  <c r="P25" i="345"/>
  <c r="Q25" i="345"/>
  <c r="N32" i="345"/>
  <c r="AB32" i="345"/>
  <c r="AC25" i="345" s="1"/>
  <c r="AA32" i="345"/>
  <c r="Q17" i="345"/>
  <c r="R14" i="345" s="1"/>
  <c r="F14" i="344"/>
  <c r="F15" i="344" s="1"/>
  <c r="P17" i="345"/>
  <c r="Q47" i="345"/>
  <c r="P47" i="345"/>
  <c r="AB70" i="345"/>
  <c r="AC64" i="345" s="1"/>
  <c r="AA70" i="345"/>
  <c r="N70" i="345"/>
  <c r="Q19" i="345"/>
  <c r="P19" i="345"/>
  <c r="Q68" i="345"/>
  <c r="P68" i="345"/>
  <c r="Q37" i="345"/>
  <c r="P37" i="345"/>
  <c r="Q13" i="345"/>
  <c r="R9" i="345" s="1"/>
  <c r="E14" i="344"/>
  <c r="E15" i="344" s="1"/>
  <c r="P13" i="345"/>
  <c r="P54" i="345"/>
  <c r="Q54" i="345"/>
  <c r="Q11" i="345"/>
  <c r="P11" i="345"/>
  <c r="Q8" i="345"/>
  <c r="R5" i="345" s="1"/>
  <c r="P8" i="345"/>
  <c r="D14" i="344"/>
  <c r="Q48" i="345"/>
  <c r="P48" i="345"/>
  <c r="F6" i="340"/>
  <c r="N55" i="341"/>
  <c r="AB55" i="341"/>
  <c r="AA55" i="341"/>
  <c r="M57" i="341"/>
  <c r="AB5" i="341"/>
  <c r="AA5" i="341"/>
  <c r="N5" i="341"/>
  <c r="M8" i="341"/>
  <c r="AB12" i="341"/>
  <c r="AA12" i="341"/>
  <c r="N12" i="341"/>
  <c r="I6" i="340"/>
  <c r="AB28" i="341"/>
  <c r="AA28" i="341"/>
  <c r="N28" i="341"/>
  <c r="N24" i="341"/>
  <c r="AB24" i="341"/>
  <c r="AA24" i="341"/>
  <c r="N31" i="341"/>
  <c r="AB31" i="341"/>
  <c r="AA31" i="341"/>
  <c r="N40" i="341"/>
  <c r="AB40" i="341"/>
  <c r="AA40" i="341"/>
  <c r="AB70" i="341"/>
  <c r="AA70" i="341"/>
  <c r="N70" i="341"/>
  <c r="AB67" i="341"/>
  <c r="AA67" i="341"/>
  <c r="N67" i="341"/>
  <c r="AB41" i="341"/>
  <c r="AA41" i="341"/>
  <c r="N41" i="341"/>
  <c r="N35" i="341"/>
  <c r="AB35" i="341"/>
  <c r="AA35" i="341"/>
  <c r="AB6" i="341"/>
  <c r="AA6" i="341"/>
  <c r="N6" i="341"/>
  <c r="N13" i="341"/>
  <c r="AB13" i="341"/>
  <c r="AA13" i="341"/>
  <c r="N53" i="341"/>
  <c r="AB53" i="341"/>
  <c r="AA53" i="341"/>
  <c r="N68" i="341"/>
  <c r="AB68" i="341"/>
  <c r="AA68" i="341"/>
  <c r="Q22" i="341"/>
  <c r="P22" i="341"/>
  <c r="AB46" i="341"/>
  <c r="AA46" i="341"/>
  <c r="N46" i="341"/>
  <c r="M73" i="341"/>
  <c r="N42" i="341"/>
  <c r="AB42" i="341"/>
  <c r="AA42" i="341"/>
  <c r="AB19" i="341"/>
  <c r="AA19" i="341"/>
  <c r="M25" i="341"/>
  <c r="N19" i="341"/>
  <c r="M33" i="341"/>
  <c r="N26" i="341"/>
  <c r="AB26" i="341"/>
  <c r="AA26" i="341"/>
  <c r="M64" i="341"/>
  <c r="AB58" i="341"/>
  <c r="AA58" i="341"/>
  <c r="N58" i="341"/>
  <c r="N15" i="341"/>
  <c r="M18" i="341"/>
  <c r="AB15" i="341"/>
  <c r="AA15" i="341"/>
  <c r="N11" i="341"/>
  <c r="AB11" i="341"/>
  <c r="AA11" i="341"/>
  <c r="N44" i="341"/>
  <c r="M51" i="341"/>
  <c r="AB44" i="341"/>
  <c r="AA44" i="341"/>
  <c r="N59" i="341"/>
  <c r="AB59" i="341"/>
  <c r="AA59" i="341"/>
  <c r="N66" i="341"/>
  <c r="AB66" i="341"/>
  <c r="AA66" i="341"/>
  <c r="N17" i="341"/>
  <c r="N37" i="341"/>
  <c r="N61" i="341"/>
  <c r="N48" i="341"/>
  <c r="N65" i="341"/>
  <c r="F2" i="341"/>
  <c r="N21" i="341"/>
  <c r="N39" i="341"/>
  <c r="N52" i="341"/>
  <c r="N63" i="341"/>
  <c r="P30" i="341"/>
  <c r="N72" i="341"/>
  <c r="N23" i="341"/>
  <c r="N34" i="341"/>
  <c r="P10" i="341"/>
  <c r="N32" i="341"/>
  <c r="P50" i="341"/>
  <c r="N54" i="341"/>
  <c r="AA17" i="341"/>
  <c r="AA37" i="341"/>
  <c r="M43" i="341"/>
  <c r="AA61" i="341"/>
  <c r="M14" i="341"/>
  <c r="AA48" i="341"/>
  <c r="AA52" i="341"/>
  <c r="AA63" i="341"/>
  <c r="E6" i="340"/>
  <c r="G6" i="340"/>
  <c r="AA21" i="341"/>
  <c r="N27" i="341"/>
  <c r="N9" i="341"/>
  <c r="AA10" i="341"/>
  <c r="N16" i="341"/>
  <c r="AA30" i="341"/>
  <c r="N36" i="341"/>
  <c r="AA50" i="341"/>
  <c r="AB52" i="341"/>
  <c r="P56" i="341"/>
  <c r="N60" i="341"/>
  <c r="AA65" i="341"/>
  <c r="AA72" i="341"/>
  <c r="N7" i="341"/>
  <c r="N29" i="341"/>
  <c r="AA39" i="341"/>
  <c r="N47" i="341"/>
  <c r="AB65" i="341"/>
  <c r="AA34" i="341"/>
  <c r="N49" i="341"/>
  <c r="N71" i="341"/>
  <c r="P20" i="341"/>
  <c r="P38" i="341"/>
  <c r="AA56" i="341"/>
  <c r="P62" i="341"/>
  <c r="AA16" i="341"/>
  <c r="AB27" i="341"/>
  <c r="AA36" i="341"/>
  <c r="AB45" i="341"/>
  <c r="AA60" i="341"/>
  <c r="AB69" i="341"/>
  <c r="AA9" i="341"/>
  <c r="D15" i="346" l="1"/>
  <c r="G7" i="346"/>
  <c r="F7" i="346"/>
  <c r="E7" i="346"/>
  <c r="I7" i="346"/>
  <c r="K15" i="346"/>
  <c r="I8" i="346" s="1"/>
  <c r="Q24" i="345"/>
  <c r="R18" i="345" s="1"/>
  <c r="P24" i="345"/>
  <c r="G14" i="344"/>
  <c r="G15" i="344" s="1"/>
  <c r="Q42" i="345"/>
  <c r="R33" i="345" s="1"/>
  <c r="P42" i="345"/>
  <c r="L14" i="344"/>
  <c r="L15" i="344" s="1"/>
  <c r="I14" i="344"/>
  <c r="I15" i="344" s="1"/>
  <c r="Q56" i="345"/>
  <c r="R51" i="345" s="1"/>
  <c r="P56" i="345"/>
  <c r="D15" i="344"/>
  <c r="Q63" i="345"/>
  <c r="R57" i="345" s="1"/>
  <c r="P63" i="345"/>
  <c r="J14" i="344"/>
  <c r="J15" i="344" s="1"/>
  <c r="Q32" i="345"/>
  <c r="R25" i="345" s="1"/>
  <c r="P32" i="345"/>
  <c r="K14" i="344"/>
  <c r="Q70" i="345"/>
  <c r="R64" i="345" s="1"/>
  <c r="P70" i="345"/>
  <c r="M14" i="344"/>
  <c r="M15" i="344" s="1"/>
  <c r="Q50" i="345"/>
  <c r="R43" i="345" s="1"/>
  <c r="P50" i="345"/>
  <c r="H14" i="344"/>
  <c r="H15" i="344" s="1"/>
  <c r="P16" i="341"/>
  <c r="Q16" i="341"/>
  <c r="Q21" i="341"/>
  <c r="P21" i="341"/>
  <c r="Q13" i="341"/>
  <c r="P13" i="341"/>
  <c r="AB51" i="341"/>
  <c r="AC44" i="341" s="1"/>
  <c r="AA51" i="341"/>
  <c r="N51" i="341"/>
  <c r="P44" i="341"/>
  <c r="Q44" i="341"/>
  <c r="Q24" i="341"/>
  <c r="P24" i="341"/>
  <c r="Q34" i="341"/>
  <c r="P34" i="341"/>
  <c r="P9" i="341"/>
  <c r="Q9" i="341"/>
  <c r="Q63" i="341"/>
  <c r="P63" i="341"/>
  <c r="Q11" i="341"/>
  <c r="P11" i="341"/>
  <c r="Q6" i="341"/>
  <c r="P6" i="341"/>
  <c r="AB73" i="341"/>
  <c r="AC65" i="341" s="1"/>
  <c r="AA73" i="341"/>
  <c r="N73" i="341"/>
  <c r="Q12" i="341"/>
  <c r="P12" i="341"/>
  <c r="Q15" i="341"/>
  <c r="P15" i="341"/>
  <c r="Q58" i="341"/>
  <c r="P58" i="341"/>
  <c r="Q48" i="341"/>
  <c r="P48" i="341"/>
  <c r="AB14" i="341"/>
  <c r="AC9" i="341" s="1"/>
  <c r="AA14" i="341"/>
  <c r="N14" i="341"/>
  <c r="Q7" i="341"/>
  <c r="P7" i="341"/>
  <c r="Q5" i="341"/>
  <c r="P5" i="341"/>
  <c r="Q54" i="341"/>
  <c r="P54" i="341"/>
  <c r="Q66" i="341"/>
  <c r="P66" i="341"/>
  <c r="N57" i="341"/>
  <c r="AB57" i="341"/>
  <c r="AC52" i="341" s="1"/>
  <c r="AA57" i="341"/>
  <c r="Q31" i="341"/>
  <c r="P31" i="341"/>
  <c r="Q72" i="341"/>
  <c r="P72" i="341"/>
  <c r="Q27" i="341"/>
  <c r="P27" i="341"/>
  <c r="Q42" i="341"/>
  <c r="P42" i="341"/>
  <c r="Q41" i="341"/>
  <c r="P41" i="341"/>
  <c r="Q47" i="341"/>
  <c r="P47" i="341"/>
  <c r="AA18" i="341"/>
  <c r="AB18" i="341"/>
  <c r="AC15" i="341" s="1"/>
  <c r="N18" i="341"/>
  <c r="AA43" i="341"/>
  <c r="AB43" i="341"/>
  <c r="AC34" i="341" s="1"/>
  <c r="N43" i="341"/>
  <c r="Q70" i="341"/>
  <c r="P70" i="341"/>
  <c r="Q68" i="341"/>
  <c r="P68" i="341"/>
  <c r="P60" i="341"/>
  <c r="Q60" i="341"/>
  <c r="AB25" i="341"/>
  <c r="AC19" i="341" s="1"/>
  <c r="AA25" i="341"/>
  <c r="N25" i="341"/>
  <c r="Q23" i="341"/>
  <c r="P23" i="341"/>
  <c r="P71" i="341"/>
  <c r="Q71" i="341"/>
  <c r="Q52" i="341"/>
  <c r="P52" i="341"/>
  <c r="Q28" i="341"/>
  <c r="P28" i="341"/>
  <c r="P49" i="341"/>
  <c r="Q49" i="341"/>
  <c r="Q39" i="341"/>
  <c r="P39" i="341"/>
  <c r="Q35" i="341"/>
  <c r="P35" i="341"/>
  <c r="Q46" i="341"/>
  <c r="P46" i="341"/>
  <c r="Q65" i="341"/>
  <c r="P65" i="341"/>
  <c r="Q67" i="341"/>
  <c r="P67" i="341"/>
  <c r="Q29" i="341"/>
  <c r="P29" i="341"/>
  <c r="Q61" i="341"/>
  <c r="P61" i="341"/>
  <c r="Q37" i="341"/>
  <c r="P37" i="341"/>
  <c r="AB8" i="341"/>
  <c r="AC5" i="341" s="1"/>
  <c r="AA8" i="341"/>
  <c r="N8" i="341"/>
  <c r="Q17" i="341"/>
  <c r="P17" i="341"/>
  <c r="AB64" i="341"/>
  <c r="AC58" i="341" s="1"/>
  <c r="AA64" i="341"/>
  <c r="N64" i="341"/>
  <c r="Q26" i="341"/>
  <c r="P26" i="341"/>
  <c r="Q53" i="341"/>
  <c r="P53" i="341"/>
  <c r="Q32" i="341"/>
  <c r="P32" i="341"/>
  <c r="N33" i="341"/>
  <c r="AB33" i="341"/>
  <c r="AC26" i="341" s="1"/>
  <c r="AA33" i="341"/>
  <c r="Q40" i="341"/>
  <c r="P40" i="341"/>
  <c r="P36" i="341"/>
  <c r="Q36" i="341"/>
  <c r="Q59" i="341"/>
  <c r="P59" i="341"/>
  <c r="Q19" i="341"/>
  <c r="P19" i="341"/>
  <c r="P55" i="341"/>
  <c r="Q55" i="341"/>
  <c r="G8" i="346" l="1"/>
  <c r="F8" i="346"/>
  <c r="E8" i="346"/>
  <c r="I7" i="344"/>
  <c r="K15" i="344"/>
  <c r="I8" i="344" s="1"/>
  <c r="F7" i="344"/>
  <c r="E8" i="344"/>
  <c r="G8" i="344"/>
  <c r="F8" i="344"/>
  <c r="E7" i="344"/>
  <c r="G7" i="344"/>
  <c r="P64" i="341"/>
  <c r="J14" i="340"/>
  <c r="J15" i="340" s="1"/>
  <c r="Q64" i="341"/>
  <c r="R58" i="341" s="1"/>
  <c r="L14" i="340"/>
  <c r="L15" i="340" s="1"/>
  <c r="Q43" i="341"/>
  <c r="R34" i="341" s="1"/>
  <c r="P43" i="341"/>
  <c r="I14" i="340"/>
  <c r="I15" i="340" s="1"/>
  <c r="Q57" i="341"/>
  <c r="R52" i="341" s="1"/>
  <c r="P57" i="341"/>
  <c r="D14" i="340"/>
  <c r="Q8" i="341"/>
  <c r="R5" i="341" s="1"/>
  <c r="P8" i="341"/>
  <c r="D2" i="341"/>
  <c r="Q33" i="341"/>
  <c r="R26" i="341" s="1"/>
  <c r="P33" i="341"/>
  <c r="K14" i="340"/>
  <c r="Q18" i="341"/>
  <c r="R15" i="341" s="1"/>
  <c r="P18" i="341"/>
  <c r="F14" i="340"/>
  <c r="F15" i="340" s="1"/>
  <c r="M14" i="340"/>
  <c r="M15" i="340" s="1"/>
  <c r="Q73" i="341"/>
  <c r="R65" i="341" s="1"/>
  <c r="P73" i="341"/>
  <c r="Q14" i="341"/>
  <c r="R9" i="341" s="1"/>
  <c r="P14" i="341"/>
  <c r="E14" i="340"/>
  <c r="E15" i="340" s="1"/>
  <c r="G14" i="340"/>
  <c r="G15" i="340" s="1"/>
  <c r="Q25" i="341"/>
  <c r="R19" i="341" s="1"/>
  <c r="P25" i="341"/>
  <c r="Q51" i="341"/>
  <c r="R44" i="341" s="1"/>
  <c r="P51" i="341"/>
  <c r="H14" i="340"/>
  <c r="H15" i="340" s="1"/>
  <c r="F7" i="340" l="1"/>
  <c r="G7" i="340"/>
  <c r="D15" i="340"/>
  <c r="E7" i="340"/>
  <c r="I7" i="340"/>
  <c r="K15" i="340"/>
  <c r="I8" i="340" s="1"/>
  <c r="G8" i="340" l="1"/>
  <c r="F8" i="340"/>
  <c r="E8" i="340"/>
  <c r="O75" i="339" l="1"/>
  <c r="K75" i="339"/>
  <c r="V74" i="339"/>
  <c r="U74" i="339"/>
  <c r="O74" i="339"/>
  <c r="N74" i="339"/>
  <c r="Q74" i="339" s="1"/>
  <c r="M74" i="339"/>
  <c r="K74" i="339"/>
  <c r="G74" i="339"/>
  <c r="AB73" i="339"/>
  <c r="V73" i="339"/>
  <c r="U73" i="339"/>
  <c r="O73" i="339"/>
  <c r="M73" i="339"/>
  <c r="AA73" i="339" s="1"/>
  <c r="K73" i="339"/>
  <c r="G73" i="339"/>
  <c r="AA72" i="339"/>
  <c r="X72" i="339"/>
  <c r="W72" i="339"/>
  <c r="V72" i="339"/>
  <c r="M72" i="339" s="1"/>
  <c r="AB72" i="339" s="1"/>
  <c r="U72" i="339"/>
  <c r="Q72" i="339"/>
  <c r="P72" i="339"/>
  <c r="O72" i="339"/>
  <c r="N72" i="339"/>
  <c r="K72" i="339"/>
  <c r="G72" i="339"/>
  <c r="V71" i="339"/>
  <c r="U71" i="339"/>
  <c r="O71" i="339"/>
  <c r="M71" i="339"/>
  <c r="K71" i="339"/>
  <c r="G71" i="339"/>
  <c r="AB70" i="339"/>
  <c r="AA70" i="339"/>
  <c r="V70" i="339"/>
  <c r="M70" i="339" s="1"/>
  <c r="N70" i="339" s="1"/>
  <c r="U70" i="339"/>
  <c r="Q70" i="339"/>
  <c r="P70" i="339"/>
  <c r="O70" i="339"/>
  <c r="K70" i="339"/>
  <c r="G70" i="339"/>
  <c r="V69" i="339"/>
  <c r="U69" i="339"/>
  <c r="O69" i="339"/>
  <c r="N69" i="339"/>
  <c r="M69" i="339"/>
  <c r="K69" i="339"/>
  <c r="G69" i="339"/>
  <c r="AB68" i="339"/>
  <c r="AA68" i="339"/>
  <c r="V68" i="339"/>
  <c r="M68" i="339" s="1"/>
  <c r="N68" i="339" s="1"/>
  <c r="U68" i="339"/>
  <c r="O68" i="339"/>
  <c r="K68" i="339"/>
  <c r="G68" i="339"/>
  <c r="X67" i="339"/>
  <c r="W67" i="339"/>
  <c r="V67" i="339"/>
  <c r="O67" i="339"/>
  <c r="N67" i="339"/>
  <c r="Q67" i="339" s="1"/>
  <c r="M67" i="339"/>
  <c r="K67" i="339"/>
  <c r="G67" i="339"/>
  <c r="O66" i="339"/>
  <c r="K66" i="339"/>
  <c r="V65" i="339"/>
  <c r="U65" i="339"/>
  <c r="O65" i="339"/>
  <c r="N65" i="339"/>
  <c r="Q65" i="339" s="1"/>
  <c r="M65" i="339"/>
  <c r="K65" i="339"/>
  <c r="G65" i="339"/>
  <c r="V64" i="339"/>
  <c r="U64" i="339"/>
  <c r="O64" i="339"/>
  <c r="M64" i="339"/>
  <c r="AB64" i="339" s="1"/>
  <c r="K64" i="339"/>
  <c r="G64" i="339"/>
  <c r="AB63" i="339"/>
  <c r="AA63" i="339"/>
  <c r="V63" i="339"/>
  <c r="U63" i="339"/>
  <c r="O63" i="339"/>
  <c r="N63" i="339"/>
  <c r="Q63" i="339" s="1"/>
  <c r="M63" i="339"/>
  <c r="K63" i="339"/>
  <c r="G63" i="339"/>
  <c r="V62" i="339"/>
  <c r="U62" i="339"/>
  <c r="O62" i="339"/>
  <c r="M62" i="339"/>
  <c r="AB62" i="339" s="1"/>
  <c r="K62" i="339"/>
  <c r="G62" i="339"/>
  <c r="AB61" i="339"/>
  <c r="AA61" i="339"/>
  <c r="V61" i="339"/>
  <c r="M61" i="339" s="1"/>
  <c r="N61" i="339" s="1"/>
  <c r="U61" i="339"/>
  <c r="Q61" i="339"/>
  <c r="P61" i="339"/>
  <c r="O61" i="339"/>
  <c r="K61" i="339"/>
  <c r="G61" i="339"/>
  <c r="V60" i="339"/>
  <c r="U60" i="339"/>
  <c r="O60" i="339"/>
  <c r="N60" i="339"/>
  <c r="M60" i="339"/>
  <c r="K60" i="339"/>
  <c r="G60" i="339"/>
  <c r="AB59" i="339"/>
  <c r="AA59" i="339"/>
  <c r="V59" i="339"/>
  <c r="M59" i="339" s="1"/>
  <c r="O59" i="339"/>
  <c r="K59" i="339"/>
  <c r="G59" i="339"/>
  <c r="O58" i="339"/>
  <c r="M58" i="339"/>
  <c r="N58" i="339" s="1"/>
  <c r="K58" i="339"/>
  <c r="AB57" i="339"/>
  <c r="AA57" i="339"/>
  <c r="V57" i="339"/>
  <c r="M57" i="339" s="1"/>
  <c r="N57" i="339" s="1"/>
  <c r="P57" i="339" s="1"/>
  <c r="U57" i="339"/>
  <c r="Q57" i="339"/>
  <c r="O57" i="339"/>
  <c r="K57" i="339"/>
  <c r="G57" i="339"/>
  <c r="V56" i="339"/>
  <c r="U56" i="339"/>
  <c r="O56" i="339"/>
  <c r="N56" i="339"/>
  <c r="Q56" i="339" s="1"/>
  <c r="M56" i="339"/>
  <c r="K56" i="339"/>
  <c r="G56" i="339"/>
  <c r="AB55" i="339"/>
  <c r="AA55" i="339"/>
  <c r="V55" i="339"/>
  <c r="M55" i="339" s="1"/>
  <c r="N55" i="339" s="1"/>
  <c r="U55" i="339"/>
  <c r="O55" i="339"/>
  <c r="K55" i="339"/>
  <c r="G55" i="339"/>
  <c r="V54" i="339"/>
  <c r="U54" i="339"/>
  <c r="Q54" i="339"/>
  <c r="P54" i="339"/>
  <c r="O54" i="339"/>
  <c r="N54" i="339"/>
  <c r="M54" i="339"/>
  <c r="K54" i="339"/>
  <c r="G54" i="339"/>
  <c r="V53" i="339"/>
  <c r="O53" i="339"/>
  <c r="M53" i="339"/>
  <c r="AB53" i="339" s="1"/>
  <c r="K53" i="339"/>
  <c r="G53" i="339"/>
  <c r="O52" i="339"/>
  <c r="M52" i="339"/>
  <c r="AA52" i="339" s="1"/>
  <c r="K52" i="339"/>
  <c r="AB51" i="339"/>
  <c r="V51" i="339"/>
  <c r="U51" i="339"/>
  <c r="O51" i="339"/>
  <c r="M51" i="339"/>
  <c r="AA51" i="339" s="1"/>
  <c r="K51" i="339"/>
  <c r="G51" i="339"/>
  <c r="AA50" i="339"/>
  <c r="X50" i="339"/>
  <c r="W50" i="339"/>
  <c r="V50" i="339"/>
  <c r="M50" i="339" s="1"/>
  <c r="AB50" i="339" s="1"/>
  <c r="U50" i="339"/>
  <c r="Q50" i="339"/>
  <c r="P50" i="339"/>
  <c r="O50" i="339"/>
  <c r="N50" i="339"/>
  <c r="K50" i="339"/>
  <c r="G50" i="339"/>
  <c r="V49" i="339"/>
  <c r="U49" i="339"/>
  <c r="O49" i="339"/>
  <c r="M49" i="339"/>
  <c r="K49" i="339"/>
  <c r="G49" i="339"/>
  <c r="AB48" i="339"/>
  <c r="AA48" i="339"/>
  <c r="V48" i="339"/>
  <c r="M48" i="339" s="1"/>
  <c r="N48" i="339" s="1"/>
  <c r="U48" i="339"/>
  <c r="Q48" i="339"/>
  <c r="P48" i="339"/>
  <c r="O48" i="339"/>
  <c r="K48" i="339"/>
  <c r="G48" i="339"/>
  <c r="V47" i="339"/>
  <c r="U47" i="339"/>
  <c r="O47" i="339"/>
  <c r="N47" i="339"/>
  <c r="M47" i="339"/>
  <c r="K47" i="339"/>
  <c r="G47" i="339"/>
  <c r="AB46" i="339"/>
  <c r="AA46" i="339"/>
  <c r="V46" i="339"/>
  <c r="M46" i="339" s="1"/>
  <c r="N46" i="339" s="1"/>
  <c r="U46" i="339"/>
  <c r="O46" i="339"/>
  <c r="K46" i="339"/>
  <c r="G46" i="339"/>
  <c r="V45" i="339"/>
  <c r="U45" i="339"/>
  <c r="O45" i="339"/>
  <c r="N45" i="339"/>
  <c r="P45" i="339" s="1"/>
  <c r="M45" i="339"/>
  <c r="K45" i="339"/>
  <c r="G45" i="339"/>
  <c r="AB44" i="339"/>
  <c r="V44" i="339"/>
  <c r="O44" i="339"/>
  <c r="M44" i="339"/>
  <c r="AA44" i="339" s="1"/>
  <c r="K44" i="339"/>
  <c r="G44" i="339"/>
  <c r="O43" i="339"/>
  <c r="K43" i="339"/>
  <c r="AB42" i="339"/>
  <c r="AA42" i="339"/>
  <c r="V42" i="339"/>
  <c r="U42" i="339"/>
  <c r="O42" i="339"/>
  <c r="N42" i="339"/>
  <c r="Q42" i="339" s="1"/>
  <c r="M42" i="339"/>
  <c r="K42" i="339"/>
  <c r="G42" i="339"/>
  <c r="V41" i="339"/>
  <c r="U41" i="339"/>
  <c r="O41" i="339"/>
  <c r="N41" i="339"/>
  <c r="P41" i="339" s="1"/>
  <c r="M41" i="339"/>
  <c r="K41" i="339"/>
  <c r="G41" i="339"/>
  <c r="V40" i="339"/>
  <c r="U40" i="339"/>
  <c r="O40" i="339"/>
  <c r="M40" i="339"/>
  <c r="AB40" i="339" s="1"/>
  <c r="K40" i="339"/>
  <c r="G40" i="339"/>
  <c r="AB39" i="339"/>
  <c r="AA39" i="339"/>
  <c r="X39" i="339"/>
  <c r="W39" i="339"/>
  <c r="V39" i="339"/>
  <c r="M39" i="339" s="1"/>
  <c r="N39" i="339" s="1"/>
  <c r="U39" i="339"/>
  <c r="Q39" i="339"/>
  <c r="P39" i="339"/>
  <c r="O39" i="339"/>
  <c r="K39" i="339"/>
  <c r="G39" i="339"/>
  <c r="V38" i="339"/>
  <c r="U38" i="339"/>
  <c r="O38" i="339"/>
  <c r="N38" i="339"/>
  <c r="M38" i="339"/>
  <c r="K38" i="339"/>
  <c r="G38" i="339"/>
  <c r="AB37" i="339"/>
  <c r="AA37" i="339"/>
  <c r="V37" i="339"/>
  <c r="M37" i="339" s="1"/>
  <c r="N37" i="339" s="1"/>
  <c r="P37" i="339" s="1"/>
  <c r="U37" i="339"/>
  <c r="Q37" i="339"/>
  <c r="O37" i="339"/>
  <c r="K37" i="339"/>
  <c r="G37" i="339"/>
  <c r="V36" i="339"/>
  <c r="U36" i="339"/>
  <c r="Q36" i="339"/>
  <c r="P36" i="339"/>
  <c r="O36" i="339"/>
  <c r="N36" i="339"/>
  <c r="M36" i="339"/>
  <c r="K36" i="339"/>
  <c r="G36" i="339"/>
  <c r="AB35" i="339"/>
  <c r="AA35" i="339"/>
  <c r="V35" i="339"/>
  <c r="M35" i="339" s="1"/>
  <c r="N35" i="339" s="1"/>
  <c r="U35" i="339"/>
  <c r="O35" i="339"/>
  <c r="K35" i="339"/>
  <c r="G35" i="339"/>
  <c r="X34" i="339"/>
  <c r="W34" i="339"/>
  <c r="V34" i="339"/>
  <c r="O34" i="339"/>
  <c r="M34" i="339"/>
  <c r="N34" i="339" s="1"/>
  <c r="K34" i="339"/>
  <c r="G34" i="339"/>
  <c r="O33" i="339"/>
  <c r="K33" i="339"/>
  <c r="AA32" i="339"/>
  <c r="V32" i="339"/>
  <c r="U32" i="339"/>
  <c r="O32" i="339"/>
  <c r="N32" i="339"/>
  <c r="P32" i="339" s="1"/>
  <c r="M32" i="339"/>
  <c r="AB32" i="339" s="1"/>
  <c r="K32" i="339"/>
  <c r="G32" i="339"/>
  <c r="V31" i="339"/>
  <c r="U31" i="339"/>
  <c r="O31" i="339"/>
  <c r="M31" i="339"/>
  <c r="AB31" i="339" s="1"/>
  <c r="K31" i="339"/>
  <c r="G31" i="339"/>
  <c r="AB30" i="339"/>
  <c r="AA30" i="339"/>
  <c r="X30" i="339"/>
  <c r="W30" i="339"/>
  <c r="V30" i="339"/>
  <c r="M30" i="339" s="1"/>
  <c r="N30" i="339" s="1"/>
  <c r="U30" i="339"/>
  <c r="Q30" i="339"/>
  <c r="P30" i="339"/>
  <c r="O30" i="339"/>
  <c r="K30" i="339"/>
  <c r="G30" i="339"/>
  <c r="V29" i="339"/>
  <c r="U29" i="339"/>
  <c r="O29" i="339"/>
  <c r="N29" i="339"/>
  <c r="Q29" i="339" s="1"/>
  <c r="M29" i="339"/>
  <c r="K29" i="339"/>
  <c r="G29" i="339"/>
  <c r="AB28" i="339"/>
  <c r="AA28" i="339"/>
  <c r="V28" i="339"/>
  <c r="M28" i="339" s="1"/>
  <c r="N28" i="339" s="1"/>
  <c r="U28" i="339"/>
  <c r="O28" i="339"/>
  <c r="K28" i="339"/>
  <c r="G28" i="339"/>
  <c r="V27" i="339"/>
  <c r="U27" i="339"/>
  <c r="O27" i="339"/>
  <c r="N27" i="339"/>
  <c r="Q27" i="339" s="1"/>
  <c r="M27" i="339"/>
  <c r="K27" i="339"/>
  <c r="G27" i="339"/>
  <c r="AB26" i="339"/>
  <c r="X26" i="339"/>
  <c r="W26" i="339"/>
  <c r="V26" i="339"/>
  <c r="O26" i="339"/>
  <c r="M26" i="339"/>
  <c r="AA26" i="339" s="1"/>
  <c r="K26" i="339"/>
  <c r="G26" i="339"/>
  <c r="O25" i="339"/>
  <c r="M25" i="339"/>
  <c r="AA25" i="339" s="1"/>
  <c r="K25" i="339"/>
  <c r="V24" i="339"/>
  <c r="U24" i="339"/>
  <c r="O24" i="339"/>
  <c r="M24" i="339"/>
  <c r="AB24" i="339" s="1"/>
  <c r="K24" i="339"/>
  <c r="G24" i="339"/>
  <c r="AB23" i="339"/>
  <c r="AA23" i="339"/>
  <c r="V23" i="339"/>
  <c r="U23" i="339"/>
  <c r="O23" i="339"/>
  <c r="N23" i="339"/>
  <c r="Q23" i="339" s="1"/>
  <c r="M23" i="339"/>
  <c r="K23" i="339"/>
  <c r="G23" i="339"/>
  <c r="V22" i="339"/>
  <c r="U22" i="339"/>
  <c r="O22" i="339"/>
  <c r="M22" i="339"/>
  <c r="K22" i="339"/>
  <c r="G22" i="339"/>
  <c r="AB21" i="339"/>
  <c r="AA21" i="339"/>
  <c r="V21" i="339"/>
  <c r="M21" i="339" s="1"/>
  <c r="N21" i="339" s="1"/>
  <c r="U21" i="339"/>
  <c r="Q21" i="339"/>
  <c r="P21" i="339"/>
  <c r="O21" i="339"/>
  <c r="K21" i="339"/>
  <c r="G21" i="339"/>
  <c r="V20" i="339"/>
  <c r="U20" i="339"/>
  <c r="O20" i="339"/>
  <c r="N20" i="339"/>
  <c r="M20" i="339"/>
  <c r="K20" i="339"/>
  <c r="G20" i="339"/>
  <c r="AB19" i="339"/>
  <c r="AA19" i="339"/>
  <c r="V19" i="339"/>
  <c r="M19" i="339" s="1"/>
  <c r="N19" i="339" s="1"/>
  <c r="O19" i="339"/>
  <c r="K19" i="339"/>
  <c r="G19" i="339"/>
  <c r="P18" i="339"/>
  <c r="O18" i="339"/>
  <c r="N18" i="339"/>
  <c r="Q18" i="339" s="1"/>
  <c r="R15" i="339" s="1"/>
  <c r="M18" i="339"/>
  <c r="K18" i="339"/>
  <c r="AB17" i="339"/>
  <c r="AA17" i="339"/>
  <c r="V17" i="339"/>
  <c r="M17" i="339" s="1"/>
  <c r="N17" i="339" s="1"/>
  <c r="P17" i="339" s="1"/>
  <c r="U17" i="339"/>
  <c r="Q17" i="339"/>
  <c r="O17" i="339"/>
  <c r="K17" i="339"/>
  <c r="G17" i="339"/>
  <c r="V16" i="339"/>
  <c r="U16" i="339"/>
  <c r="Q16" i="339"/>
  <c r="P16" i="339"/>
  <c r="O16" i="339"/>
  <c r="N16" i="339"/>
  <c r="M16" i="339"/>
  <c r="K16" i="339"/>
  <c r="G16" i="339"/>
  <c r="AB15" i="339"/>
  <c r="AA15" i="339"/>
  <c r="V15" i="339"/>
  <c r="O15" i="339"/>
  <c r="N15" i="339"/>
  <c r="Q15" i="339" s="1"/>
  <c r="M15" i="339"/>
  <c r="K15" i="339"/>
  <c r="G15" i="339"/>
  <c r="AA14" i="339"/>
  <c r="O14" i="339"/>
  <c r="N14" i="339"/>
  <c r="E14" i="338" s="1"/>
  <c r="M14" i="339"/>
  <c r="AB14" i="339" s="1"/>
  <c r="AC9" i="339" s="1"/>
  <c r="K14" i="339"/>
  <c r="AB13" i="339"/>
  <c r="AA13" i="339"/>
  <c r="V13" i="339"/>
  <c r="M13" i="339" s="1"/>
  <c r="N13" i="339" s="1"/>
  <c r="U13" i="339"/>
  <c r="O13" i="339"/>
  <c r="K13" i="339"/>
  <c r="G13" i="339"/>
  <c r="V12" i="339"/>
  <c r="U12" i="339"/>
  <c r="O12" i="339"/>
  <c r="N12" i="339"/>
  <c r="Q12" i="339" s="1"/>
  <c r="M12" i="339"/>
  <c r="K12" i="339"/>
  <c r="G12" i="339"/>
  <c r="AB11" i="339"/>
  <c r="X11" i="339"/>
  <c r="W11" i="339"/>
  <c r="V11" i="339"/>
  <c r="U11" i="339"/>
  <c r="O11" i="339"/>
  <c r="M11" i="339"/>
  <c r="AA11" i="339" s="1"/>
  <c r="K11" i="339"/>
  <c r="G11" i="339"/>
  <c r="AB10" i="339"/>
  <c r="AA10" i="339"/>
  <c r="V10" i="339"/>
  <c r="M10" i="339" s="1"/>
  <c r="U10" i="339"/>
  <c r="Q10" i="339"/>
  <c r="P10" i="339"/>
  <c r="O10" i="339"/>
  <c r="N10" i="339"/>
  <c r="K10" i="339"/>
  <c r="G10" i="339"/>
  <c r="X9" i="339"/>
  <c r="W9" i="339"/>
  <c r="V9" i="339"/>
  <c r="Q9" i="339"/>
  <c r="P9" i="339"/>
  <c r="O9" i="339"/>
  <c r="N9" i="339"/>
  <c r="M9" i="339"/>
  <c r="K9" i="339"/>
  <c r="G9" i="339"/>
  <c r="O8" i="339"/>
  <c r="K8" i="339"/>
  <c r="V7" i="339"/>
  <c r="U7" i="339"/>
  <c r="O7" i="339"/>
  <c r="N7" i="339"/>
  <c r="Q7" i="339" s="1"/>
  <c r="M7" i="339"/>
  <c r="K7" i="339"/>
  <c r="G7" i="339"/>
  <c r="AB6" i="339"/>
  <c r="AA6" i="339"/>
  <c r="V6" i="339"/>
  <c r="M6" i="339" s="1"/>
  <c r="N6" i="339" s="1"/>
  <c r="U6" i="339"/>
  <c r="O6" i="339"/>
  <c r="K6" i="339"/>
  <c r="G6" i="339"/>
  <c r="V5" i="339"/>
  <c r="O5" i="339"/>
  <c r="N5" i="339"/>
  <c r="P5" i="339" s="1"/>
  <c r="M5" i="339"/>
  <c r="K5" i="339"/>
  <c r="G5" i="339"/>
  <c r="F1" i="339" s="1"/>
  <c r="F2" i="339" s="1"/>
  <c r="H2" i="339"/>
  <c r="H1" i="339"/>
  <c r="D1" i="339"/>
  <c r="M18" i="338"/>
  <c r="L18" i="338"/>
  <c r="K18" i="338"/>
  <c r="J18" i="338"/>
  <c r="I18" i="338"/>
  <c r="H18" i="338"/>
  <c r="G18" i="338"/>
  <c r="F18" i="338"/>
  <c r="E18" i="338"/>
  <c r="D18" i="338"/>
  <c r="M17" i="338"/>
  <c r="L17" i="338"/>
  <c r="K17" i="338"/>
  <c r="J17" i="338"/>
  <c r="I17" i="338"/>
  <c r="H17" i="338"/>
  <c r="G17" i="338"/>
  <c r="F17" i="338"/>
  <c r="E17" i="338"/>
  <c r="D17" i="338"/>
  <c r="M16" i="338"/>
  <c r="L16" i="338"/>
  <c r="K16" i="338"/>
  <c r="J16" i="338"/>
  <c r="I16" i="338"/>
  <c r="H16" i="338"/>
  <c r="G16" i="338"/>
  <c r="F16" i="338"/>
  <c r="E16" i="338"/>
  <c r="D16" i="338"/>
  <c r="F14" i="338"/>
  <c r="F15" i="338" s="1"/>
  <c r="M13" i="338"/>
  <c r="I6" i="338" s="1"/>
  <c r="L13" i="338"/>
  <c r="K13" i="338"/>
  <c r="J13" i="338"/>
  <c r="I13" i="338"/>
  <c r="H13" i="338"/>
  <c r="G13" i="338"/>
  <c r="F13" i="338"/>
  <c r="E13" i="338"/>
  <c r="D13" i="338"/>
  <c r="E6" i="338" s="1"/>
  <c r="G6" i="338"/>
  <c r="F6" i="338"/>
  <c r="I3" i="338"/>
  <c r="F3" i="338"/>
  <c r="C3" i="338"/>
  <c r="E15" i="338" l="1"/>
  <c r="Q34" i="339"/>
  <c r="P34" i="339"/>
  <c r="Q41" i="339"/>
  <c r="P12" i="339"/>
  <c r="Q32" i="339"/>
  <c r="AB52" i="339"/>
  <c r="AC44" i="339" s="1"/>
  <c r="Q5" i="339"/>
  <c r="AB25" i="339"/>
  <c r="AC19" i="339" s="1"/>
  <c r="Q45" i="339"/>
  <c r="P23" i="339"/>
  <c r="M43" i="339"/>
  <c r="P74" i="339"/>
  <c r="P29" i="339"/>
  <c r="P14" i="339"/>
  <c r="N52" i="339"/>
  <c r="P65" i="339"/>
  <c r="Q14" i="339"/>
  <c r="R9" i="339" s="1"/>
  <c r="P7" i="339"/>
  <c r="N25" i="339"/>
  <c r="P27" i="339"/>
  <c r="P63" i="339"/>
  <c r="P67" i="339"/>
  <c r="P56" i="339"/>
  <c r="M8" i="339"/>
  <c r="AB5" i="339"/>
  <c r="AA5" i="339"/>
  <c r="Q6" i="339"/>
  <c r="P6" i="339"/>
  <c r="AB7" i="339"/>
  <c r="AA7" i="339"/>
  <c r="AB9" i="339"/>
  <c r="AA9" i="339"/>
  <c r="AB12" i="339"/>
  <c r="AA12" i="339"/>
  <c r="Q13" i="339"/>
  <c r="P13" i="339"/>
  <c r="AB16" i="339"/>
  <c r="AA16" i="339"/>
  <c r="AA18" i="339"/>
  <c r="AB18" i="339"/>
  <c r="AC15" i="339" s="1"/>
  <c r="Q19" i="339"/>
  <c r="P19" i="339"/>
  <c r="AB20" i="339"/>
  <c r="AA20" i="339"/>
  <c r="Q20" i="339"/>
  <c r="P20" i="339"/>
  <c r="AB22" i="339"/>
  <c r="AA22" i="339"/>
  <c r="N22" i="339"/>
  <c r="AB27" i="339"/>
  <c r="AA27" i="339"/>
  <c r="Q28" i="339"/>
  <c r="P28" i="339"/>
  <c r="AB29" i="339"/>
  <c r="AA29" i="339"/>
  <c r="AB34" i="339"/>
  <c r="AA34" i="339"/>
  <c r="Q35" i="339"/>
  <c r="P35" i="339"/>
  <c r="AB36" i="339"/>
  <c r="AA36" i="339"/>
  <c r="AB38" i="339"/>
  <c r="AA38" i="339"/>
  <c r="Q38" i="339"/>
  <c r="P38" i="339"/>
  <c r="AB41" i="339"/>
  <c r="AA41" i="339"/>
  <c r="AA45" i="339"/>
  <c r="AB45" i="339"/>
  <c r="Q46" i="339"/>
  <c r="P46" i="339"/>
  <c r="AB47" i="339"/>
  <c r="AA47" i="339"/>
  <c r="Q47" i="339"/>
  <c r="P47" i="339"/>
  <c r="AB49" i="339"/>
  <c r="AA49" i="339"/>
  <c r="N49" i="339"/>
  <c r="AB54" i="339"/>
  <c r="AA54" i="339"/>
  <c r="Q55" i="339"/>
  <c r="P55" i="339"/>
  <c r="AB56" i="339"/>
  <c r="AA56" i="339"/>
  <c r="AA58" i="339"/>
  <c r="AB58" i="339"/>
  <c r="AC53" i="339" s="1"/>
  <c r="Q58" i="339"/>
  <c r="R53" i="339" s="1"/>
  <c r="P58" i="339"/>
  <c r="I14" i="338"/>
  <c r="I15" i="338" s="1"/>
  <c r="N59" i="339"/>
  <c r="M66" i="339"/>
  <c r="AB60" i="339"/>
  <c r="AA60" i="339"/>
  <c r="Q60" i="339"/>
  <c r="P60" i="339"/>
  <c r="AB65" i="339"/>
  <c r="AA65" i="339"/>
  <c r="M75" i="339"/>
  <c r="AB67" i="339"/>
  <c r="AA67" i="339"/>
  <c r="Q68" i="339"/>
  <c r="P68" i="339"/>
  <c r="AB69" i="339"/>
  <c r="AA69" i="339"/>
  <c r="Q69" i="339"/>
  <c r="P69" i="339"/>
  <c r="AB71" i="339"/>
  <c r="AA71" i="339"/>
  <c r="N71" i="339"/>
  <c r="AB74" i="339"/>
  <c r="AA74" i="339"/>
  <c r="N40" i="339"/>
  <c r="N53" i="339"/>
  <c r="N62" i="339"/>
  <c r="N11" i="339"/>
  <c r="N26" i="339"/>
  <c r="N31" i="339"/>
  <c r="M33" i="339"/>
  <c r="N24" i="339"/>
  <c r="N64" i="339"/>
  <c r="N44" i="339"/>
  <c r="N51" i="339"/>
  <c r="N73" i="339"/>
  <c r="P15" i="339"/>
  <c r="P42" i="339"/>
  <c r="AA62" i="339"/>
  <c r="AA31" i="339"/>
  <c r="AA24" i="339"/>
  <c r="AA40" i="339"/>
  <c r="AA53" i="339"/>
  <c r="AA64" i="339"/>
  <c r="O65" i="337"/>
  <c r="K65" i="337"/>
  <c r="AA64" i="337"/>
  <c r="V64" i="337"/>
  <c r="U64" i="337"/>
  <c r="O64" i="337"/>
  <c r="M64" i="337"/>
  <c r="K64" i="337"/>
  <c r="G64" i="337"/>
  <c r="AB63" i="337"/>
  <c r="V63" i="337"/>
  <c r="U63" i="337"/>
  <c r="O63" i="337"/>
  <c r="N63" i="337"/>
  <c r="Q63" i="337" s="1"/>
  <c r="M63" i="337"/>
  <c r="AA63" i="337" s="1"/>
  <c r="K63" i="337"/>
  <c r="G63" i="337"/>
  <c r="AB62" i="337"/>
  <c r="V62" i="337"/>
  <c r="U62" i="337"/>
  <c r="O62" i="337"/>
  <c r="N62" i="337"/>
  <c r="M62" i="337"/>
  <c r="AA62" i="337" s="1"/>
  <c r="K62" i="337"/>
  <c r="G62" i="337"/>
  <c r="V61" i="337"/>
  <c r="U61" i="337"/>
  <c r="O61" i="337"/>
  <c r="M61" i="337"/>
  <c r="K61" i="337"/>
  <c r="G61" i="337"/>
  <c r="V60" i="337"/>
  <c r="M60" i="337" s="1"/>
  <c r="U60" i="337"/>
  <c r="Q60" i="337"/>
  <c r="P60" i="337"/>
  <c r="O60" i="337"/>
  <c r="N60" i="337"/>
  <c r="K60" i="337"/>
  <c r="G60" i="337"/>
  <c r="X59" i="337"/>
  <c r="W59" i="337"/>
  <c r="V59" i="337"/>
  <c r="M59" i="337" s="1"/>
  <c r="O59" i="337"/>
  <c r="K59" i="337"/>
  <c r="G59" i="337"/>
  <c r="O58" i="337"/>
  <c r="K58" i="337"/>
  <c r="AB57" i="337"/>
  <c r="V57" i="337"/>
  <c r="U57" i="337"/>
  <c r="O57" i="337"/>
  <c r="M57" i="337"/>
  <c r="AA57" i="337" s="1"/>
  <c r="K57" i="337"/>
  <c r="G57" i="337"/>
  <c r="AB56" i="337"/>
  <c r="AA56" i="337"/>
  <c r="V56" i="337"/>
  <c r="M56" i="337" s="1"/>
  <c r="N56" i="337" s="1"/>
  <c r="U56" i="337"/>
  <c r="O56" i="337"/>
  <c r="K56" i="337"/>
  <c r="G56" i="337"/>
  <c r="V55" i="337"/>
  <c r="M55" i="337" s="1"/>
  <c r="U55" i="337"/>
  <c r="O55" i="337"/>
  <c r="K55" i="337"/>
  <c r="G55" i="337"/>
  <c r="AB54" i="337"/>
  <c r="AA54" i="337"/>
  <c r="V54" i="337"/>
  <c r="U54" i="337"/>
  <c r="O54" i="337"/>
  <c r="N54" i="337"/>
  <c r="Q54" i="337" s="1"/>
  <c r="M54" i="337"/>
  <c r="K54" i="337"/>
  <c r="G54" i="337"/>
  <c r="AB53" i="337"/>
  <c r="AA53" i="337"/>
  <c r="V53" i="337"/>
  <c r="U53" i="337"/>
  <c r="O53" i="337"/>
  <c r="N53" i="337"/>
  <c r="M53" i="337"/>
  <c r="K53" i="337"/>
  <c r="G53" i="337"/>
  <c r="V52" i="337"/>
  <c r="U52" i="337"/>
  <c r="O52" i="337"/>
  <c r="M52" i="337"/>
  <c r="AB52" i="337" s="1"/>
  <c r="K52" i="337"/>
  <c r="G52" i="337"/>
  <c r="V51" i="337"/>
  <c r="M51" i="337" s="1"/>
  <c r="Q51" i="337"/>
  <c r="P51" i="337"/>
  <c r="O51" i="337"/>
  <c r="N51" i="337"/>
  <c r="K51" i="337"/>
  <c r="G51" i="337"/>
  <c r="O50" i="337"/>
  <c r="M50" i="337"/>
  <c r="K50" i="337"/>
  <c r="V49" i="337"/>
  <c r="U49" i="337"/>
  <c r="O49" i="337"/>
  <c r="N49" i="337"/>
  <c r="Q49" i="337" s="1"/>
  <c r="M49" i="337"/>
  <c r="K49" i="337"/>
  <c r="G49" i="337"/>
  <c r="V48" i="337"/>
  <c r="U48" i="337"/>
  <c r="O48" i="337"/>
  <c r="N48" i="337"/>
  <c r="M48" i="337"/>
  <c r="K48" i="337"/>
  <c r="G48" i="337"/>
  <c r="V47" i="337"/>
  <c r="M47" i="337" s="1"/>
  <c r="U47" i="337"/>
  <c r="O47" i="337"/>
  <c r="K47" i="337"/>
  <c r="G47" i="337"/>
  <c r="V46" i="337"/>
  <c r="M46" i="337" s="1"/>
  <c r="U46" i="337"/>
  <c r="O46" i="337"/>
  <c r="K46" i="337"/>
  <c r="G46" i="337"/>
  <c r="AB45" i="337"/>
  <c r="AA45" i="337"/>
  <c r="V45" i="337"/>
  <c r="M45" i="337" s="1"/>
  <c r="N45" i="337" s="1"/>
  <c r="O45" i="337"/>
  <c r="K45" i="337"/>
  <c r="G45" i="337"/>
  <c r="O44" i="337"/>
  <c r="K44" i="337"/>
  <c r="AB43" i="337"/>
  <c r="AA43" i="337"/>
  <c r="V43" i="337"/>
  <c r="M43" i="337" s="1"/>
  <c r="N43" i="337" s="1"/>
  <c r="P43" i="337" s="1"/>
  <c r="U43" i="337"/>
  <c r="Q43" i="337"/>
  <c r="O43" i="337"/>
  <c r="K43" i="337"/>
  <c r="G43" i="337"/>
  <c r="V42" i="337"/>
  <c r="M42" i="337" s="1"/>
  <c r="U42" i="337"/>
  <c r="O42" i="337"/>
  <c r="K42" i="337"/>
  <c r="G42" i="337"/>
  <c r="AB41" i="337"/>
  <c r="AA41" i="337"/>
  <c r="V41" i="337"/>
  <c r="M41" i="337" s="1"/>
  <c r="N41" i="337" s="1"/>
  <c r="U41" i="337"/>
  <c r="O41" i="337"/>
  <c r="K41" i="337"/>
  <c r="G41" i="337"/>
  <c r="AA40" i="337"/>
  <c r="V40" i="337"/>
  <c r="U40" i="337"/>
  <c r="O40" i="337"/>
  <c r="N40" i="337"/>
  <c r="M40" i="337"/>
  <c r="AB40" i="337" s="1"/>
  <c r="K40" i="337"/>
  <c r="G40" i="337"/>
  <c r="AB39" i="337"/>
  <c r="V39" i="337"/>
  <c r="U39" i="337"/>
  <c r="O39" i="337"/>
  <c r="M39" i="337"/>
  <c r="AA39" i="337" s="1"/>
  <c r="K39" i="337"/>
  <c r="G39" i="337"/>
  <c r="AB38" i="337"/>
  <c r="V38" i="337"/>
  <c r="U38" i="337"/>
  <c r="O38" i="337"/>
  <c r="N38" i="337"/>
  <c r="Q38" i="337" s="1"/>
  <c r="M38" i="337"/>
  <c r="AA38" i="337" s="1"/>
  <c r="K38" i="337"/>
  <c r="G38" i="337"/>
  <c r="V37" i="337"/>
  <c r="O37" i="337"/>
  <c r="N37" i="337"/>
  <c r="M37" i="337"/>
  <c r="K37" i="337"/>
  <c r="G37" i="337"/>
  <c r="O36" i="337"/>
  <c r="M36" i="337"/>
  <c r="N36" i="337" s="1"/>
  <c r="K36" i="337"/>
  <c r="V35" i="337"/>
  <c r="U35" i="337"/>
  <c r="O35" i="337"/>
  <c r="M35" i="337"/>
  <c r="K35" i="337"/>
  <c r="G35" i="337"/>
  <c r="V34" i="337"/>
  <c r="M34" i="337" s="1"/>
  <c r="U34" i="337"/>
  <c r="Q34" i="337"/>
  <c r="P34" i="337"/>
  <c r="O34" i="337"/>
  <c r="N34" i="337"/>
  <c r="K34" i="337"/>
  <c r="G34" i="337"/>
  <c r="V33" i="337"/>
  <c r="M33" i="337" s="1"/>
  <c r="U33" i="337"/>
  <c r="O33" i="337"/>
  <c r="N33" i="337"/>
  <c r="K33" i="337"/>
  <c r="G33" i="337"/>
  <c r="AA32" i="337"/>
  <c r="V32" i="337"/>
  <c r="M32" i="337" s="1"/>
  <c r="U32" i="337"/>
  <c r="O32" i="337"/>
  <c r="K32" i="337"/>
  <c r="G32" i="337"/>
  <c r="AB31" i="337"/>
  <c r="V31" i="337"/>
  <c r="U31" i="337"/>
  <c r="O31" i="337"/>
  <c r="M31" i="337"/>
  <c r="AA31" i="337" s="1"/>
  <c r="K31" i="337"/>
  <c r="G31" i="337"/>
  <c r="AB30" i="337"/>
  <c r="AA30" i="337"/>
  <c r="X30" i="337"/>
  <c r="W30" i="337"/>
  <c r="V30" i="337"/>
  <c r="O30" i="337"/>
  <c r="M30" i="337"/>
  <c r="N30" i="337" s="1"/>
  <c r="K30" i="337"/>
  <c r="G30" i="337"/>
  <c r="AB29" i="337"/>
  <c r="AC24" i="337" s="1"/>
  <c r="O29" i="337"/>
  <c r="N29" i="337"/>
  <c r="M29" i="337"/>
  <c r="AA29" i="337" s="1"/>
  <c r="K29" i="337"/>
  <c r="AB28" i="337"/>
  <c r="AA28" i="337"/>
  <c r="V28" i="337"/>
  <c r="U28" i="337"/>
  <c r="O28" i="337"/>
  <c r="N28" i="337"/>
  <c r="Q28" i="337" s="1"/>
  <c r="M28" i="337"/>
  <c r="K28" i="337"/>
  <c r="G28" i="337"/>
  <c r="AB27" i="337"/>
  <c r="AA27" i="337"/>
  <c r="V27" i="337"/>
  <c r="U27" i="337"/>
  <c r="O27" i="337"/>
  <c r="N27" i="337"/>
  <c r="M27" i="337"/>
  <c r="K27" i="337"/>
  <c r="G27" i="337"/>
  <c r="V26" i="337"/>
  <c r="U26" i="337"/>
  <c r="O26" i="337"/>
  <c r="M26" i="337"/>
  <c r="AB26" i="337" s="1"/>
  <c r="K26" i="337"/>
  <c r="G26" i="337"/>
  <c r="V25" i="337"/>
  <c r="U25" i="337"/>
  <c r="O25" i="337"/>
  <c r="N25" i="337"/>
  <c r="P25" i="337" s="1"/>
  <c r="M25" i="337"/>
  <c r="K25" i="337"/>
  <c r="G25" i="337"/>
  <c r="X24" i="337"/>
  <c r="W24" i="337"/>
  <c r="V24" i="337"/>
  <c r="O24" i="337"/>
  <c r="M24" i="337"/>
  <c r="AB24" i="337" s="1"/>
  <c r="K24" i="337"/>
  <c r="G24" i="337"/>
  <c r="O23" i="337"/>
  <c r="K23" i="337"/>
  <c r="V22" i="337"/>
  <c r="M22" i="337" s="1"/>
  <c r="U22" i="337"/>
  <c r="O22" i="337"/>
  <c r="K22" i="337"/>
  <c r="G22" i="337"/>
  <c r="AB21" i="337"/>
  <c r="AA21" i="337"/>
  <c r="V21" i="337"/>
  <c r="M21" i="337" s="1"/>
  <c r="N21" i="337" s="1"/>
  <c r="P21" i="337" s="1"/>
  <c r="U21" i="337"/>
  <c r="Q21" i="337"/>
  <c r="O21" i="337"/>
  <c r="K21" i="337"/>
  <c r="G21" i="337"/>
  <c r="V20" i="337"/>
  <c r="M20" i="337" s="1"/>
  <c r="U20" i="337"/>
  <c r="O20" i="337"/>
  <c r="K20" i="337"/>
  <c r="G20" i="337"/>
  <c r="AB19" i="337"/>
  <c r="AA19" i="337"/>
  <c r="V19" i="337"/>
  <c r="M19" i="337" s="1"/>
  <c r="N19" i="337" s="1"/>
  <c r="U19" i="337"/>
  <c r="O19" i="337"/>
  <c r="K19" i="337"/>
  <c r="G19" i="337"/>
  <c r="AA18" i="337"/>
  <c r="V18" i="337"/>
  <c r="U18" i="337"/>
  <c r="O18" i="337"/>
  <c r="N18" i="337"/>
  <c r="M18" i="337"/>
  <c r="AB18" i="337" s="1"/>
  <c r="K18" i="337"/>
  <c r="G18" i="337"/>
  <c r="V17" i="337"/>
  <c r="O17" i="337"/>
  <c r="M17" i="337"/>
  <c r="AB17" i="337" s="1"/>
  <c r="K17" i="337"/>
  <c r="G17" i="337"/>
  <c r="O16" i="337"/>
  <c r="M16" i="337"/>
  <c r="N16" i="337" s="1"/>
  <c r="K16" i="337"/>
  <c r="AB15" i="337"/>
  <c r="V15" i="337"/>
  <c r="U15" i="337"/>
  <c r="O15" i="337"/>
  <c r="M15" i="337"/>
  <c r="AA15" i="337" s="1"/>
  <c r="K15" i="337"/>
  <c r="G15" i="337"/>
  <c r="AB14" i="337"/>
  <c r="V14" i="337"/>
  <c r="U14" i="337"/>
  <c r="P14" i="337"/>
  <c r="O14" i="337"/>
  <c r="N14" i="337"/>
  <c r="Q14" i="337" s="1"/>
  <c r="M14" i="337"/>
  <c r="AA14" i="337" s="1"/>
  <c r="K14" i="337"/>
  <c r="G14" i="337"/>
  <c r="V13" i="337"/>
  <c r="O13" i="337"/>
  <c r="N13" i="337"/>
  <c r="M13" i="337"/>
  <c r="K13" i="337"/>
  <c r="G13" i="337"/>
  <c r="O12" i="337"/>
  <c r="N12" i="337"/>
  <c r="E14" i="336" s="1"/>
  <c r="E15" i="336" s="1"/>
  <c r="M12" i="337"/>
  <c r="K12" i="337"/>
  <c r="V11" i="337"/>
  <c r="U11" i="337"/>
  <c r="O11" i="337"/>
  <c r="M11" i="337"/>
  <c r="K11" i="337"/>
  <c r="G11" i="337"/>
  <c r="V10" i="337"/>
  <c r="M10" i="337" s="1"/>
  <c r="U10" i="337"/>
  <c r="Q10" i="337"/>
  <c r="P10" i="337"/>
  <c r="O10" i="337"/>
  <c r="N10" i="337"/>
  <c r="K10" i="337"/>
  <c r="G10" i="337"/>
  <c r="X9" i="337"/>
  <c r="W9" i="337"/>
  <c r="V9" i="337"/>
  <c r="M9" i="337" s="1"/>
  <c r="O9" i="337"/>
  <c r="K9" i="337"/>
  <c r="G9" i="337"/>
  <c r="O8" i="337"/>
  <c r="K8" i="337"/>
  <c r="AB7" i="337"/>
  <c r="V7" i="337"/>
  <c r="U7" i="337"/>
  <c r="O7" i="337"/>
  <c r="M7" i="337"/>
  <c r="AA7" i="337" s="1"/>
  <c r="K7" i="337"/>
  <c r="G7" i="337"/>
  <c r="AB6" i="337"/>
  <c r="AA6" i="337"/>
  <c r="V6" i="337"/>
  <c r="M6" i="337" s="1"/>
  <c r="N6" i="337" s="1"/>
  <c r="U6" i="337"/>
  <c r="O6" i="337"/>
  <c r="K6" i="337"/>
  <c r="G6" i="337"/>
  <c r="V5" i="337"/>
  <c r="O5" i="337"/>
  <c r="M5" i="337"/>
  <c r="AA5" i="337" s="1"/>
  <c r="K5" i="337"/>
  <c r="G5" i="337"/>
  <c r="F1" i="337" s="1"/>
  <c r="F2" i="337" s="1"/>
  <c r="H2" i="337"/>
  <c r="H1" i="337"/>
  <c r="D1" i="337"/>
  <c r="M18" i="336"/>
  <c r="L18" i="336"/>
  <c r="K18" i="336"/>
  <c r="J18" i="336"/>
  <c r="I18" i="336"/>
  <c r="H18" i="336"/>
  <c r="G18" i="336"/>
  <c r="F18" i="336"/>
  <c r="E18" i="336"/>
  <c r="D18" i="336"/>
  <c r="M17" i="336"/>
  <c r="L17" i="336"/>
  <c r="K17" i="336"/>
  <c r="J17" i="336"/>
  <c r="I17" i="336"/>
  <c r="H17" i="336"/>
  <c r="G17" i="336"/>
  <c r="F17" i="336"/>
  <c r="E17" i="336"/>
  <c r="D17" i="336"/>
  <c r="M16" i="336"/>
  <c r="L16" i="336"/>
  <c r="K16" i="336"/>
  <c r="J16" i="336"/>
  <c r="I16" i="336"/>
  <c r="H16" i="336"/>
  <c r="G16" i="336"/>
  <c r="F16" i="336"/>
  <c r="E16" i="336"/>
  <c r="D16" i="336"/>
  <c r="M13" i="336"/>
  <c r="L13" i="336"/>
  <c r="K13" i="336"/>
  <c r="I6" i="336" s="1"/>
  <c r="J13" i="336"/>
  <c r="I13" i="336"/>
  <c r="H13" i="336"/>
  <c r="G13" i="336"/>
  <c r="F13" i="336"/>
  <c r="E13" i="336"/>
  <c r="D13" i="336"/>
  <c r="F6" i="336" s="1"/>
  <c r="I3" i="336"/>
  <c r="F3" i="336"/>
  <c r="C3" i="336"/>
  <c r="E6" i="336" l="1"/>
  <c r="G6" i="336"/>
  <c r="Q25" i="339"/>
  <c r="R19" i="339" s="1"/>
  <c r="P25" i="339"/>
  <c r="G14" i="338"/>
  <c r="G15" i="338" s="1"/>
  <c r="Q52" i="339"/>
  <c r="R44" i="339" s="1"/>
  <c r="P52" i="339"/>
  <c r="H14" i="338"/>
  <c r="H15" i="338" s="1"/>
  <c r="AB43" i="339"/>
  <c r="AC34" i="339" s="1"/>
  <c r="AA43" i="339"/>
  <c r="N43" i="339"/>
  <c r="N8" i="339"/>
  <c r="AB8" i="339"/>
  <c r="AC5" i="339" s="1"/>
  <c r="AA8" i="339"/>
  <c r="Q73" i="339"/>
  <c r="P73" i="339"/>
  <c r="Q51" i="339"/>
  <c r="P51" i="339"/>
  <c r="Q44" i="339"/>
  <c r="P44" i="339"/>
  <c r="Q64" i="339"/>
  <c r="P64" i="339"/>
  <c r="Q24" i="339"/>
  <c r="P24" i="339"/>
  <c r="AB33" i="339"/>
  <c r="AC26" i="339" s="1"/>
  <c r="AA33" i="339"/>
  <c r="N33" i="339"/>
  <c r="Q31" i="339"/>
  <c r="P31" i="339"/>
  <c r="Q26" i="339"/>
  <c r="P26" i="339"/>
  <c r="Q11" i="339"/>
  <c r="P11" i="339"/>
  <c r="Q62" i="339"/>
  <c r="P62" i="339"/>
  <c r="Q53" i="339"/>
  <c r="P53" i="339"/>
  <c r="Q40" i="339"/>
  <c r="P40" i="339"/>
  <c r="Q71" i="339"/>
  <c r="P71" i="339"/>
  <c r="AB75" i="339"/>
  <c r="AC67" i="339" s="1"/>
  <c r="AA75" i="339"/>
  <c r="N75" i="339"/>
  <c r="M14" i="338" s="1"/>
  <c r="M15" i="338" s="1"/>
  <c r="AB66" i="339"/>
  <c r="AC59" i="339" s="1"/>
  <c r="AA66" i="339"/>
  <c r="N66" i="339"/>
  <c r="Q59" i="339"/>
  <c r="P59" i="339"/>
  <c r="P49" i="339"/>
  <c r="Q49" i="339"/>
  <c r="Q22" i="339"/>
  <c r="P22" i="339"/>
  <c r="P8" i="339"/>
  <c r="D2" i="339"/>
  <c r="L14" i="336"/>
  <c r="L15" i="336" s="1"/>
  <c r="Q36" i="337"/>
  <c r="R30" i="337" s="1"/>
  <c r="P36" i="337"/>
  <c r="P12" i="337"/>
  <c r="Q12" i="337"/>
  <c r="R9" i="337" s="1"/>
  <c r="P38" i="337"/>
  <c r="N5" i="337"/>
  <c r="Q25" i="337"/>
  <c r="P49" i="337"/>
  <c r="M8" i="337"/>
  <c r="AB5" i="337"/>
  <c r="Q5" i="337"/>
  <c r="P5" i="337"/>
  <c r="Q6" i="337"/>
  <c r="P6" i="337"/>
  <c r="AB9" i="337"/>
  <c r="AA9" i="337"/>
  <c r="N9" i="337"/>
  <c r="AB10" i="337"/>
  <c r="AA10" i="337"/>
  <c r="AB11" i="337"/>
  <c r="AA11" i="337"/>
  <c r="N11" i="337"/>
  <c r="AB12" i="337"/>
  <c r="AC9" i="337" s="1"/>
  <c r="AA12" i="337"/>
  <c r="AB13" i="337"/>
  <c r="AA13" i="337"/>
  <c r="Q13" i="337"/>
  <c r="P13" i="337"/>
  <c r="AB16" i="337"/>
  <c r="AC13" i="337" s="1"/>
  <c r="AA16" i="337"/>
  <c r="F14" i="336"/>
  <c r="F15" i="336" s="1"/>
  <c r="Q16" i="337"/>
  <c r="R13" i="337" s="1"/>
  <c r="P16" i="337"/>
  <c r="Q18" i="337"/>
  <c r="P18" i="337"/>
  <c r="Q19" i="337"/>
  <c r="P19" i="337"/>
  <c r="AB20" i="337"/>
  <c r="AA20" i="337"/>
  <c r="N20" i="337"/>
  <c r="AB22" i="337"/>
  <c r="AA22" i="337"/>
  <c r="N22" i="337"/>
  <c r="AB25" i="337"/>
  <c r="AA25" i="337"/>
  <c r="Q27" i="337"/>
  <c r="P27" i="337"/>
  <c r="K14" i="336"/>
  <c r="Q29" i="337"/>
  <c r="R24" i="337" s="1"/>
  <c r="P29" i="337"/>
  <c r="Q30" i="337"/>
  <c r="P30" i="337"/>
  <c r="N32" i="337"/>
  <c r="AB32" i="337"/>
  <c r="Q33" i="337"/>
  <c r="P33" i="337"/>
  <c r="AB33" i="337"/>
  <c r="AA33" i="337"/>
  <c r="AB34" i="337"/>
  <c r="AA34" i="337"/>
  <c r="AB35" i="337"/>
  <c r="AA35" i="337"/>
  <c r="N35" i="337"/>
  <c r="AB36" i="337"/>
  <c r="AC30" i="337" s="1"/>
  <c r="AA36" i="337"/>
  <c r="AB37" i="337"/>
  <c r="AA37" i="337"/>
  <c r="M44" i="337"/>
  <c r="Q37" i="337"/>
  <c r="P37" i="337"/>
  <c r="Q40" i="337"/>
  <c r="P40" i="337"/>
  <c r="Q41" i="337"/>
  <c r="P41" i="337"/>
  <c r="AB42" i="337"/>
  <c r="AA42" i="337"/>
  <c r="N42" i="337"/>
  <c r="Q45" i="337"/>
  <c r="P45" i="337"/>
  <c r="AB46" i="337"/>
  <c r="AA46" i="337"/>
  <c r="N46" i="337"/>
  <c r="N47" i="337"/>
  <c r="AB47" i="337"/>
  <c r="AA47" i="337"/>
  <c r="AB48" i="337"/>
  <c r="AA48" i="337"/>
  <c r="Q48" i="337"/>
  <c r="P48" i="337"/>
  <c r="AB49" i="337"/>
  <c r="AA49" i="337"/>
  <c r="AB50" i="337"/>
  <c r="AC45" i="337" s="1"/>
  <c r="AA50" i="337"/>
  <c r="N50" i="337"/>
  <c r="I14" i="336" s="1"/>
  <c r="I15" i="336" s="1"/>
  <c r="M58" i="337"/>
  <c r="AB51" i="337"/>
  <c r="AA51" i="337"/>
  <c r="Q53" i="337"/>
  <c r="P53" i="337"/>
  <c r="AA55" i="337"/>
  <c r="AB55" i="337"/>
  <c r="N55" i="337"/>
  <c r="Q56" i="337"/>
  <c r="P56" i="337"/>
  <c r="AB59" i="337"/>
  <c r="AA59" i="337"/>
  <c r="M65" i="337"/>
  <c r="N59" i="337"/>
  <c r="AB60" i="337"/>
  <c r="AA60" i="337"/>
  <c r="AB61" i="337"/>
  <c r="AA61" i="337"/>
  <c r="N61" i="337"/>
  <c r="Q62" i="337"/>
  <c r="P62" i="337"/>
  <c r="AB64" i="337"/>
  <c r="N64" i="337"/>
  <c r="N7" i="337"/>
  <c r="N24" i="337"/>
  <c r="N31" i="337"/>
  <c r="N57" i="337"/>
  <c r="N17" i="337"/>
  <c r="N26" i="337"/>
  <c r="N52" i="337"/>
  <c r="N15" i="337"/>
  <c r="N39" i="337"/>
  <c r="AA24" i="337"/>
  <c r="P63" i="337"/>
  <c r="P28" i="337"/>
  <c r="P54" i="337"/>
  <c r="M23" i="337"/>
  <c r="AA17" i="337"/>
  <c r="AA26" i="337"/>
  <c r="AA52" i="337"/>
  <c r="C3" i="333"/>
  <c r="F3" i="333"/>
  <c r="I3" i="333"/>
  <c r="D14" i="333"/>
  <c r="E14" i="333"/>
  <c r="F14" i="333"/>
  <c r="G14" i="333"/>
  <c r="H14" i="333"/>
  <c r="I14" i="333"/>
  <c r="J14" i="333"/>
  <c r="K14" i="333"/>
  <c r="L14" i="333"/>
  <c r="M14" i="333"/>
  <c r="D16" i="333"/>
  <c r="E16" i="333"/>
  <c r="F16" i="333"/>
  <c r="G16" i="333"/>
  <c r="H16" i="333"/>
  <c r="I16" i="333"/>
  <c r="J16" i="333"/>
  <c r="K16" i="333"/>
  <c r="L16" i="333"/>
  <c r="M16" i="333"/>
  <c r="D17" i="333"/>
  <c r="E17" i="333"/>
  <c r="F17" i="333"/>
  <c r="G17" i="333"/>
  <c r="H17" i="333"/>
  <c r="I17" i="333"/>
  <c r="J17" i="333"/>
  <c r="K17" i="333"/>
  <c r="L17" i="333"/>
  <c r="M17" i="333"/>
  <c r="D18" i="333"/>
  <c r="E18" i="333"/>
  <c r="F18" i="333"/>
  <c r="G18" i="333"/>
  <c r="H18" i="333"/>
  <c r="I18" i="333"/>
  <c r="J18" i="333"/>
  <c r="K18" i="333"/>
  <c r="L18" i="333"/>
  <c r="M18" i="333"/>
  <c r="D1" i="332"/>
  <c r="G5" i="332"/>
  <c r="K5" i="332"/>
  <c r="P5" i="332" s="1"/>
  <c r="M5" i="332"/>
  <c r="N5" i="332"/>
  <c r="O5" i="332"/>
  <c r="V5" i="332"/>
  <c r="G6" i="332"/>
  <c r="M6" i="332"/>
  <c r="N6" i="332"/>
  <c r="O6" i="332"/>
  <c r="U6" i="332"/>
  <c r="V6" i="332"/>
  <c r="G7" i="332"/>
  <c r="K7" i="332"/>
  <c r="M7" i="332"/>
  <c r="M8" i="332" s="1"/>
  <c r="O7" i="332"/>
  <c r="U7" i="332"/>
  <c r="V7" i="332"/>
  <c r="O8" i="332"/>
  <c r="G9" i="332"/>
  <c r="K9" i="332"/>
  <c r="O9" i="332"/>
  <c r="V9" i="332"/>
  <c r="M9" i="332" s="1"/>
  <c r="W9" i="332"/>
  <c r="X9" i="332"/>
  <c r="G10" i="332"/>
  <c r="M10" i="332"/>
  <c r="N10" i="332"/>
  <c r="O10" i="332"/>
  <c r="U10" i="332"/>
  <c r="V10" i="332"/>
  <c r="G11" i="332"/>
  <c r="K11" i="332"/>
  <c r="M11" i="332"/>
  <c r="N11" i="332"/>
  <c r="O11" i="332"/>
  <c r="U11" i="332"/>
  <c r="V11" i="332"/>
  <c r="O12" i="332"/>
  <c r="G13" i="332"/>
  <c r="K13" i="332"/>
  <c r="O13" i="332"/>
  <c r="V13" i="332"/>
  <c r="M13" i="332" s="1"/>
  <c r="G14" i="332"/>
  <c r="M14" i="332"/>
  <c r="N14" i="332"/>
  <c r="O14" i="332"/>
  <c r="U14" i="332"/>
  <c r="V14" i="332"/>
  <c r="G15" i="332"/>
  <c r="K15" i="332"/>
  <c r="Q15" i="332" s="1"/>
  <c r="M15" i="332"/>
  <c r="N15" i="332"/>
  <c r="O15" i="332"/>
  <c r="P15" i="332"/>
  <c r="U15" i="332"/>
  <c r="V15" i="332"/>
  <c r="O16" i="332"/>
  <c r="G17" i="332"/>
  <c r="K17" i="332"/>
  <c r="O17" i="332"/>
  <c r="V17" i="332"/>
  <c r="M17" i="332" s="1"/>
  <c r="G18" i="332"/>
  <c r="K18" i="332"/>
  <c r="O18" i="332"/>
  <c r="U18" i="332"/>
  <c r="V18" i="332"/>
  <c r="M18" i="332" s="1"/>
  <c r="AA18" i="332" s="1"/>
  <c r="G19" i="332"/>
  <c r="AA19" i="332"/>
  <c r="O19" i="332"/>
  <c r="U19" i="332"/>
  <c r="V19" i="332"/>
  <c r="M19" i="332" s="1"/>
  <c r="G20" i="332"/>
  <c r="AA20" i="332"/>
  <c r="K20" i="332"/>
  <c r="O20" i="332"/>
  <c r="U20" i="332"/>
  <c r="V20" i="332"/>
  <c r="M20" i="332" s="1"/>
  <c r="G21" i="332"/>
  <c r="K21" i="332"/>
  <c r="O21" i="332"/>
  <c r="U21" i="332"/>
  <c r="V21" i="332"/>
  <c r="M21" i="332" s="1"/>
  <c r="AA21" i="332"/>
  <c r="G22" i="332"/>
  <c r="K22" i="332"/>
  <c r="O22" i="332"/>
  <c r="U22" i="332"/>
  <c r="V22" i="332"/>
  <c r="M22" i="332" s="1"/>
  <c r="O23" i="332"/>
  <c r="G24" i="332"/>
  <c r="AA24" i="332"/>
  <c r="O24" i="332"/>
  <c r="V24" i="332"/>
  <c r="M24" i="332" s="1"/>
  <c r="W24" i="332"/>
  <c r="X24" i="332"/>
  <c r="G25" i="332"/>
  <c r="K25" i="332"/>
  <c r="O25" i="332"/>
  <c r="U25" i="332"/>
  <c r="V25" i="332"/>
  <c r="M25" i="332" s="1"/>
  <c r="AA25" i="332"/>
  <c r="G26" i="332"/>
  <c r="K26" i="332"/>
  <c r="O26" i="332"/>
  <c r="U26" i="332"/>
  <c r="V26" i="332"/>
  <c r="M26" i="332" s="1"/>
  <c r="G27" i="332"/>
  <c r="K27" i="332"/>
  <c r="O27" i="332"/>
  <c r="U27" i="332"/>
  <c r="V27" i="332"/>
  <c r="M27" i="332" s="1"/>
  <c r="G28" i="332"/>
  <c r="K28" i="332"/>
  <c r="O28" i="332"/>
  <c r="U28" i="332"/>
  <c r="V28" i="332"/>
  <c r="M28" i="332" s="1"/>
  <c r="O29" i="332"/>
  <c r="G30" i="332"/>
  <c r="AA30" i="332"/>
  <c r="O30" i="332"/>
  <c r="V30" i="332"/>
  <c r="M30" i="332" s="1"/>
  <c r="W30" i="332"/>
  <c r="X30" i="332"/>
  <c r="G31" i="332"/>
  <c r="K31" i="332"/>
  <c r="O31" i="332"/>
  <c r="U31" i="332"/>
  <c r="V31" i="332"/>
  <c r="M31" i="332" s="1"/>
  <c r="G32" i="332"/>
  <c r="K32" i="332"/>
  <c r="O32" i="332"/>
  <c r="U32" i="332"/>
  <c r="V32" i="332"/>
  <c r="M32" i="332" s="1"/>
  <c r="G33" i="332"/>
  <c r="K33" i="332"/>
  <c r="O33" i="332"/>
  <c r="U33" i="332"/>
  <c r="V33" i="332"/>
  <c r="M33" i="332" s="1"/>
  <c r="G34" i="332"/>
  <c r="K34" i="332"/>
  <c r="O34" i="332"/>
  <c r="U34" i="332"/>
  <c r="V34" i="332"/>
  <c r="M34" i="332" s="1"/>
  <c r="G35" i="332"/>
  <c r="K35" i="332"/>
  <c r="O35" i="332"/>
  <c r="U35" i="332"/>
  <c r="V35" i="332"/>
  <c r="M35" i="332" s="1"/>
  <c r="O36" i="332"/>
  <c r="G37" i="332"/>
  <c r="K37" i="332"/>
  <c r="N37" i="332"/>
  <c r="O37" i="332"/>
  <c r="V37" i="332"/>
  <c r="M37" i="332" s="1"/>
  <c r="G38" i="332"/>
  <c r="K38" i="332"/>
  <c r="Q38" i="332" s="1"/>
  <c r="M38" i="332"/>
  <c r="N38" i="332" s="1"/>
  <c r="O38" i="332"/>
  <c r="U38" i="332"/>
  <c r="V38" i="332"/>
  <c r="G39" i="332"/>
  <c r="K39" i="332"/>
  <c r="O39" i="332"/>
  <c r="U39" i="332"/>
  <c r="V39" i="332"/>
  <c r="M39" i="332" s="1"/>
  <c r="G40" i="332"/>
  <c r="K40" i="332"/>
  <c r="O40" i="332"/>
  <c r="U40" i="332"/>
  <c r="V40" i="332"/>
  <c r="M40" i="332" s="1"/>
  <c r="G41" i="332"/>
  <c r="K41" i="332"/>
  <c r="O41" i="332"/>
  <c r="U41" i="332"/>
  <c r="V41" i="332"/>
  <c r="M41" i="332" s="1"/>
  <c r="G42" i="332"/>
  <c r="K42" i="332"/>
  <c r="M42" i="332"/>
  <c r="N42" i="332" s="1"/>
  <c r="O42" i="332"/>
  <c r="U42" i="332"/>
  <c r="V42" i="332"/>
  <c r="G43" i="332"/>
  <c r="K43" i="332"/>
  <c r="O43" i="332"/>
  <c r="U43" i="332"/>
  <c r="V43" i="332"/>
  <c r="M43" i="332" s="1"/>
  <c r="O44" i="332"/>
  <c r="G45" i="332"/>
  <c r="M45" i="332"/>
  <c r="O45" i="332"/>
  <c r="V45" i="332"/>
  <c r="G46" i="332"/>
  <c r="K46" i="332"/>
  <c r="M46" i="332"/>
  <c r="N46" i="332" s="1"/>
  <c r="O46" i="332"/>
  <c r="U46" i="332"/>
  <c r="V46" i="332"/>
  <c r="G47" i="332"/>
  <c r="K47" i="332"/>
  <c r="O47" i="332"/>
  <c r="U47" i="332"/>
  <c r="V47" i="332"/>
  <c r="M47" i="332" s="1"/>
  <c r="G48" i="332"/>
  <c r="K48" i="332"/>
  <c r="O48" i="332"/>
  <c r="U48" i="332"/>
  <c r="V48" i="332"/>
  <c r="M48" i="332" s="1"/>
  <c r="G49" i="332"/>
  <c r="K49" i="332"/>
  <c r="O49" i="332"/>
  <c r="U49" i="332"/>
  <c r="V49" i="332"/>
  <c r="M49" i="332" s="1"/>
  <c r="O50" i="332"/>
  <c r="G51" i="332"/>
  <c r="K51" i="332"/>
  <c r="P51" i="332" s="1"/>
  <c r="M51" i="332"/>
  <c r="N51" i="332"/>
  <c r="O51" i="332"/>
  <c r="V51" i="332"/>
  <c r="G52" i="332"/>
  <c r="K52" i="332"/>
  <c r="Q52" i="332" s="1"/>
  <c r="M52" i="332"/>
  <c r="N52" i="332"/>
  <c r="O52" i="332"/>
  <c r="U52" i="332"/>
  <c r="V52" i="332"/>
  <c r="G53" i="332"/>
  <c r="K53" i="332"/>
  <c r="M53" i="332"/>
  <c r="O53" i="332"/>
  <c r="U53" i="332"/>
  <c r="V53" i="332"/>
  <c r="G54" i="332"/>
  <c r="K54" i="332"/>
  <c r="M54" i="332"/>
  <c r="N54" i="332"/>
  <c r="O54" i="332"/>
  <c r="U54" i="332"/>
  <c r="V54" i="332"/>
  <c r="G55" i="332"/>
  <c r="K55" i="332"/>
  <c r="Q55" i="332" s="1"/>
  <c r="M55" i="332"/>
  <c r="N55" i="332"/>
  <c r="O55" i="332"/>
  <c r="U55" i="332"/>
  <c r="V55" i="332"/>
  <c r="G56" i="332"/>
  <c r="K56" i="332"/>
  <c r="Q56" i="332" s="1"/>
  <c r="M56" i="332"/>
  <c r="N56" i="332"/>
  <c r="O56" i="332"/>
  <c r="U56" i="332"/>
  <c r="V56" i="332"/>
  <c r="G57" i="332"/>
  <c r="K57" i="332"/>
  <c r="Q57" i="332" s="1"/>
  <c r="M57" i="332"/>
  <c r="N57" i="332"/>
  <c r="O57" i="332"/>
  <c r="U57" i="332"/>
  <c r="V57" i="332"/>
  <c r="AB57" i="332"/>
  <c r="O58" i="332"/>
  <c r="G59" i="332"/>
  <c r="K59" i="332"/>
  <c r="M59" i="332"/>
  <c r="N59" i="332"/>
  <c r="O59" i="332"/>
  <c r="V59" i="332"/>
  <c r="W59" i="332"/>
  <c r="X59" i="332"/>
  <c r="G60" i="332"/>
  <c r="K60" i="332"/>
  <c r="M60" i="332"/>
  <c r="AA60" i="332" s="1"/>
  <c r="N60" i="332"/>
  <c r="O60" i="332"/>
  <c r="U60" i="332"/>
  <c r="V60" i="332"/>
  <c r="G61" i="332"/>
  <c r="K61" i="332"/>
  <c r="Q61" i="332" s="1"/>
  <c r="M61" i="332"/>
  <c r="N61" i="332"/>
  <c r="O61" i="332"/>
  <c r="U61" i="332"/>
  <c r="V61" i="332"/>
  <c r="G62" i="332"/>
  <c r="K62" i="332"/>
  <c r="Q62" i="332" s="1"/>
  <c r="M62" i="332"/>
  <c r="N62" i="332"/>
  <c r="O62" i="332"/>
  <c r="U62" i="332"/>
  <c r="V62" i="332"/>
  <c r="G63" i="332"/>
  <c r="K63" i="332"/>
  <c r="Q63" i="332" s="1"/>
  <c r="M63" i="332"/>
  <c r="N63" i="332"/>
  <c r="O63" i="332"/>
  <c r="U63" i="332"/>
  <c r="V63" i="332"/>
  <c r="G64" i="332"/>
  <c r="K64" i="332"/>
  <c r="Q64" i="332" s="1"/>
  <c r="M64" i="332"/>
  <c r="N64" i="332"/>
  <c r="O64" i="332"/>
  <c r="U64" i="332"/>
  <c r="V64" i="332"/>
  <c r="AB64" i="332"/>
  <c r="M65" i="332"/>
  <c r="O65" i="332"/>
  <c r="G7" i="333" l="1"/>
  <c r="D14" i="338"/>
  <c r="Q8" i="339"/>
  <c r="R5" i="339" s="1"/>
  <c r="L14" i="338"/>
  <c r="L15" i="338" s="1"/>
  <c r="Q43" i="339"/>
  <c r="R34" i="339" s="1"/>
  <c r="P43" i="339"/>
  <c r="Q66" i="339"/>
  <c r="R59" i="339" s="1"/>
  <c r="P66" i="339"/>
  <c r="J14" i="338"/>
  <c r="J15" i="338" s="1"/>
  <c r="Q75" i="339"/>
  <c r="R67" i="339" s="1"/>
  <c r="P75" i="339"/>
  <c r="Q33" i="339"/>
  <c r="R26" i="339" s="1"/>
  <c r="P33" i="339"/>
  <c r="K14" i="338"/>
  <c r="P60" i="332"/>
  <c r="AA54" i="332"/>
  <c r="AA31" i="332"/>
  <c r="AB24" i="332"/>
  <c r="P62" i="332"/>
  <c r="AA33" i="332"/>
  <c r="K19" i="332"/>
  <c r="P54" i="332"/>
  <c r="AB62" i="332"/>
  <c r="AA62" i="332"/>
  <c r="Q32" i="337"/>
  <c r="P32" i="337"/>
  <c r="K15" i="336"/>
  <c r="N58" i="337"/>
  <c r="Q58" i="337" s="1"/>
  <c r="R51" i="337" s="1"/>
  <c r="AB58" i="337"/>
  <c r="AC51" i="337" s="1"/>
  <c r="AA58" i="337"/>
  <c r="Q47" i="337"/>
  <c r="P47" i="337"/>
  <c r="Q22" i="337"/>
  <c r="P22" i="337"/>
  <c r="Q46" i="337"/>
  <c r="P46" i="337"/>
  <c r="N8" i="337"/>
  <c r="Q8" i="337" s="1"/>
  <c r="R5" i="337" s="1"/>
  <c r="AA8" i="337"/>
  <c r="AB8" i="337"/>
  <c r="AC5" i="337" s="1"/>
  <c r="P59" i="337"/>
  <c r="Q59" i="337"/>
  <c r="Q57" i="337"/>
  <c r="P57" i="337"/>
  <c r="Q7" i="337"/>
  <c r="P7" i="337"/>
  <c r="P42" i="337"/>
  <c r="Q42" i="337"/>
  <c r="P9" i="337"/>
  <c r="Q9" i="337"/>
  <c r="N23" i="337"/>
  <c r="AA23" i="337"/>
  <c r="AB23" i="337"/>
  <c r="AC17" i="337" s="1"/>
  <c r="Q31" i="337"/>
  <c r="P31" i="337"/>
  <c r="P20" i="337"/>
  <c r="Q20" i="337"/>
  <c r="P24" i="337"/>
  <c r="Q24" i="337"/>
  <c r="Q39" i="337"/>
  <c r="P39" i="337"/>
  <c r="Q15" i="337"/>
  <c r="P15" i="337"/>
  <c r="Q52" i="337"/>
  <c r="P52" i="337"/>
  <c r="Q26" i="337"/>
  <c r="P26" i="337"/>
  <c r="Q17" i="337"/>
  <c r="P17" i="337"/>
  <c r="Q64" i="337"/>
  <c r="P64" i="337"/>
  <c r="Q61" i="337"/>
  <c r="P61" i="337"/>
  <c r="AB65" i="337"/>
  <c r="AC59" i="337" s="1"/>
  <c r="AA65" i="337"/>
  <c r="N65" i="337"/>
  <c r="M14" i="336" s="1"/>
  <c r="M15" i="336" s="1"/>
  <c r="Q55" i="337"/>
  <c r="P55" i="337"/>
  <c r="P58" i="337"/>
  <c r="J14" i="336"/>
  <c r="J15" i="336" s="1"/>
  <c r="Q50" i="337"/>
  <c r="R45" i="337" s="1"/>
  <c r="P50" i="337"/>
  <c r="AB44" i="337"/>
  <c r="AC37" i="337" s="1"/>
  <c r="AA44" i="337"/>
  <c r="N44" i="337"/>
  <c r="Q35" i="337"/>
  <c r="P35" i="337"/>
  <c r="Q11" i="337"/>
  <c r="P11" i="337"/>
  <c r="AA57" i="332"/>
  <c r="K65" i="332"/>
  <c r="M13" i="333" s="1"/>
  <c r="M15" i="333" s="1"/>
  <c r="Q59" i="332"/>
  <c r="AA28" i="332"/>
  <c r="AB17" i="332"/>
  <c r="AA32" i="332"/>
  <c r="AA17" i="332"/>
  <c r="AA61" i="332"/>
  <c r="P57" i="332"/>
  <c r="AB52" i="332"/>
  <c r="K50" i="332"/>
  <c r="I13" i="333" s="1"/>
  <c r="I15" i="333" s="1"/>
  <c r="K12" i="332"/>
  <c r="E13" i="333" s="1"/>
  <c r="E15" i="333" s="1"/>
  <c r="P38" i="332"/>
  <c r="Q11" i="332"/>
  <c r="AB56" i="332"/>
  <c r="Q51" i="332"/>
  <c r="K23" i="332"/>
  <c r="G13" i="333" s="1"/>
  <c r="G15" i="333" s="1"/>
  <c r="P42" i="332"/>
  <c r="Q5" i="332"/>
  <c r="K16" i="332"/>
  <c r="F13" i="333" s="1"/>
  <c r="F15" i="333" s="1"/>
  <c r="AA56" i="332"/>
  <c r="AB30" i="332"/>
  <c r="AA26" i="332"/>
  <c r="AA22" i="332"/>
  <c r="AA45" i="332"/>
  <c r="AA55" i="332"/>
  <c r="AB65" i="332"/>
  <c r="AC59" i="332" s="1"/>
  <c r="P56" i="332"/>
  <c r="AB63" i="332"/>
  <c r="I7" i="333"/>
  <c r="F7" i="333"/>
  <c r="E7" i="333"/>
  <c r="N8" i="332"/>
  <c r="N39" i="332"/>
  <c r="AB39" i="332"/>
  <c r="AA39" i="332"/>
  <c r="N40" i="332"/>
  <c r="AA40" i="332"/>
  <c r="AB40" i="332"/>
  <c r="N47" i="332"/>
  <c r="AB47" i="332"/>
  <c r="AA47" i="332"/>
  <c r="N49" i="332"/>
  <c r="AA49" i="332"/>
  <c r="AB49" i="332"/>
  <c r="N41" i="332"/>
  <c r="AA41" i="332"/>
  <c r="AB41" i="332"/>
  <c r="N48" i="332"/>
  <c r="AB48" i="332"/>
  <c r="AA48" i="332"/>
  <c r="N43" i="332"/>
  <c r="AB43" i="332"/>
  <c r="AA43" i="332"/>
  <c r="K58" i="332"/>
  <c r="J13" i="333" s="1"/>
  <c r="J15" i="333" s="1"/>
  <c r="P37" i="332"/>
  <c r="Q37" i="332"/>
  <c r="AB27" i="332"/>
  <c r="N27" i="332"/>
  <c r="N65" i="332"/>
  <c r="P59" i="332"/>
  <c r="AA53" i="332"/>
  <c r="N45" i="332"/>
  <c r="Q42" i="332"/>
  <c r="AA27" i="332"/>
  <c r="K10" i="332"/>
  <c r="P10" i="332" s="1"/>
  <c r="N7" i="332"/>
  <c r="K8" i="332"/>
  <c r="D13" i="333" s="1"/>
  <c r="D15" i="333" s="1"/>
  <c r="P46" i="332"/>
  <c r="Q46" i="332"/>
  <c r="M50" i="332"/>
  <c r="AB33" i="332"/>
  <c r="N33" i="332"/>
  <c r="AB22" i="332"/>
  <c r="N22" i="332"/>
  <c r="AB28" i="332"/>
  <c r="N28" i="332"/>
  <c r="AB25" i="332"/>
  <c r="N25" i="332"/>
  <c r="AB53" i="332"/>
  <c r="AA34" i="332"/>
  <c r="N30" i="332"/>
  <c r="M36" i="332"/>
  <c r="AA13" i="332"/>
  <c r="AB13" i="332"/>
  <c r="M16" i="332"/>
  <c r="AB45" i="332"/>
  <c r="AB34" i="332"/>
  <c r="N34" i="332"/>
  <c r="AB31" i="332"/>
  <c r="N31" i="332"/>
  <c r="AB54" i="332"/>
  <c r="AA51" i="332"/>
  <c r="AB51" i="332"/>
  <c r="AB42" i="332"/>
  <c r="AB37" i="332"/>
  <c r="AA11" i="332"/>
  <c r="AB11" i="332"/>
  <c r="N24" i="332"/>
  <c r="M29" i="332"/>
  <c r="AB19" i="332"/>
  <c r="N19" i="332"/>
  <c r="AA15" i="332"/>
  <c r="AB15" i="332"/>
  <c r="P63" i="332"/>
  <c r="AB60" i="332"/>
  <c r="P52" i="332"/>
  <c r="AB46" i="332"/>
  <c r="AA42" i="332"/>
  <c r="AB38" i="332"/>
  <c r="AA37" i="332"/>
  <c r="K30" i="332"/>
  <c r="K36" i="332"/>
  <c r="L13" i="333" s="1"/>
  <c r="L15" i="333" s="1"/>
  <c r="AB26" i="332"/>
  <c r="N26" i="332"/>
  <c r="K45" i="332"/>
  <c r="AA59" i="332"/>
  <c r="AB59" i="332"/>
  <c r="P55" i="332"/>
  <c r="AA14" i="332"/>
  <c r="AB14" i="332"/>
  <c r="AA9" i="332"/>
  <c r="AB9" i="332"/>
  <c r="AB61" i="332"/>
  <c r="M44" i="332"/>
  <c r="AA35" i="332"/>
  <c r="N9" i="332"/>
  <c r="AA6" i="332"/>
  <c r="AB6" i="332"/>
  <c r="F1" i="332"/>
  <c r="F2" i="332" s="1"/>
  <c r="AB18" i="332"/>
  <c r="N18" i="332"/>
  <c r="AA7" i="332"/>
  <c r="AB7" i="332"/>
  <c r="P61" i="332"/>
  <c r="K24" i="332"/>
  <c r="K29" i="332"/>
  <c r="K13" i="333" s="1"/>
  <c r="AB20" i="332"/>
  <c r="N20" i="332"/>
  <c r="M12" i="332"/>
  <c r="AA5" i="332"/>
  <c r="AB5" i="332"/>
  <c r="AA63" i="332"/>
  <c r="P64" i="332"/>
  <c r="AA64" i="332"/>
  <c r="AB55" i="332"/>
  <c r="AA52" i="332"/>
  <c r="AA46" i="332"/>
  <c r="K44" i="332"/>
  <c r="H13" i="333" s="1"/>
  <c r="H15" i="333" s="1"/>
  <c r="AA38" i="332"/>
  <c r="Q60" i="332"/>
  <c r="M58" i="332"/>
  <c r="Q54" i="332"/>
  <c r="N53" i="332"/>
  <c r="AB35" i="332"/>
  <c r="N35" i="332"/>
  <c r="AB32" i="332"/>
  <c r="N32" i="332"/>
  <c r="AB21" i="332"/>
  <c r="N21" i="332"/>
  <c r="M23" i="332"/>
  <c r="N17" i="332"/>
  <c r="N13" i="332"/>
  <c r="P11" i="332"/>
  <c r="AA10" i="332"/>
  <c r="AB10" i="332"/>
  <c r="K6" i="332"/>
  <c r="P6" i="332" s="1"/>
  <c r="K14" i="332"/>
  <c r="P14" i="332" s="1"/>
  <c r="C3" i="331"/>
  <c r="F3" i="331"/>
  <c r="I3" i="331"/>
  <c r="D13" i="331"/>
  <c r="D15" i="331" s="1"/>
  <c r="E13" i="331"/>
  <c r="E15" i="331" s="1"/>
  <c r="F13" i="331"/>
  <c r="G13" i="331"/>
  <c r="H13" i="331"/>
  <c r="I13" i="331"/>
  <c r="J13" i="331"/>
  <c r="K13" i="331"/>
  <c r="L13" i="331"/>
  <c r="M13" i="331"/>
  <c r="D14" i="331"/>
  <c r="E14" i="331"/>
  <c r="F14" i="331"/>
  <c r="G14" i="331"/>
  <c r="H14" i="331"/>
  <c r="H15" i="331" s="1"/>
  <c r="I14" i="331"/>
  <c r="I15" i="331" s="1"/>
  <c r="J14" i="331"/>
  <c r="J15" i="331" s="1"/>
  <c r="K14" i="331"/>
  <c r="K15" i="331" s="1"/>
  <c r="L14" i="331"/>
  <c r="M14" i="331"/>
  <c r="D16" i="331"/>
  <c r="E16" i="331"/>
  <c r="F16" i="331"/>
  <c r="G16" i="331"/>
  <c r="H16" i="331"/>
  <c r="I16" i="331"/>
  <c r="J16" i="331"/>
  <c r="K16" i="331"/>
  <c r="L16" i="331"/>
  <c r="M16" i="331"/>
  <c r="D17" i="331"/>
  <c r="E17" i="331"/>
  <c r="F17" i="331"/>
  <c r="G17" i="331"/>
  <c r="H17" i="331"/>
  <c r="I17" i="331"/>
  <c r="J17" i="331"/>
  <c r="K17" i="331"/>
  <c r="L17" i="331"/>
  <c r="M17" i="331"/>
  <c r="D18" i="331"/>
  <c r="E18" i="331"/>
  <c r="F18" i="331"/>
  <c r="G18" i="331"/>
  <c r="H18" i="331"/>
  <c r="I18" i="331"/>
  <c r="J18" i="331"/>
  <c r="K18" i="331"/>
  <c r="L18" i="331"/>
  <c r="M18" i="331"/>
  <c r="D1" i="330"/>
  <c r="G5" i="330"/>
  <c r="F1" i="330" s="1"/>
  <c r="F2" i="330" s="1"/>
  <c r="K5" i="330"/>
  <c r="M5" i="330"/>
  <c r="AA5" i="330" s="1"/>
  <c r="N5" i="330"/>
  <c r="Q5" i="330" s="1"/>
  <c r="O5" i="330"/>
  <c r="P5" i="330"/>
  <c r="V5" i="330"/>
  <c r="AB5" i="330"/>
  <c r="G6" i="330"/>
  <c r="K6" i="330"/>
  <c r="M6" i="330"/>
  <c r="AA6" i="330" s="1"/>
  <c r="N6" i="330"/>
  <c r="Q6" i="330" s="1"/>
  <c r="O6" i="330"/>
  <c r="P6" i="330"/>
  <c r="U6" i="330"/>
  <c r="V6" i="330"/>
  <c r="AB6" i="330"/>
  <c r="G7" i="330"/>
  <c r="K7" i="330"/>
  <c r="O7" i="330"/>
  <c r="U7" i="330"/>
  <c r="V7" i="330"/>
  <c r="M7" i="330" s="1"/>
  <c r="K8" i="330"/>
  <c r="O8" i="330"/>
  <c r="G9" i="330"/>
  <c r="K9" i="330"/>
  <c r="O9" i="330"/>
  <c r="V9" i="330"/>
  <c r="M9" i="330" s="1"/>
  <c r="W9" i="330"/>
  <c r="X9" i="330"/>
  <c r="G10" i="330"/>
  <c r="K10" i="330"/>
  <c r="M10" i="330"/>
  <c r="N10" i="330" s="1"/>
  <c r="O10" i="330"/>
  <c r="U10" i="330"/>
  <c r="V10" i="330"/>
  <c r="G11" i="330"/>
  <c r="K11" i="330"/>
  <c r="O11" i="330"/>
  <c r="U11" i="330"/>
  <c r="V11" i="330"/>
  <c r="M11" i="330" s="1"/>
  <c r="W11" i="330"/>
  <c r="X11" i="330"/>
  <c r="G12" i="330"/>
  <c r="K12" i="330"/>
  <c r="M12" i="330"/>
  <c r="N12" i="330" s="1"/>
  <c r="O12" i="330"/>
  <c r="U12" i="330"/>
  <c r="V12" i="330"/>
  <c r="K13" i="330"/>
  <c r="O13" i="330"/>
  <c r="G14" i="330"/>
  <c r="K14" i="330"/>
  <c r="M14" i="330"/>
  <c r="AA14" i="330" s="1"/>
  <c r="O14" i="330"/>
  <c r="V14" i="330"/>
  <c r="G15" i="330"/>
  <c r="K15" i="330"/>
  <c r="M15" i="330"/>
  <c r="AA15" i="330" s="1"/>
  <c r="O15" i="330"/>
  <c r="U15" i="330"/>
  <c r="V15" i="330"/>
  <c r="G16" i="330"/>
  <c r="K16" i="330"/>
  <c r="O16" i="330"/>
  <c r="U16" i="330"/>
  <c r="V16" i="330"/>
  <c r="M16" i="330" s="1"/>
  <c r="K17" i="330"/>
  <c r="O17" i="330"/>
  <c r="G18" i="330"/>
  <c r="K18" i="330"/>
  <c r="O18" i="330"/>
  <c r="V18" i="330"/>
  <c r="M18" i="330" s="1"/>
  <c r="G19" i="330"/>
  <c r="K19" i="330"/>
  <c r="O19" i="330"/>
  <c r="U19" i="330"/>
  <c r="V19" i="330"/>
  <c r="M19" i="330" s="1"/>
  <c r="G20" i="330"/>
  <c r="K20" i="330"/>
  <c r="M20" i="330"/>
  <c r="N20" i="330" s="1"/>
  <c r="O20" i="330"/>
  <c r="U20" i="330"/>
  <c r="V20" i="330"/>
  <c r="G21" i="330"/>
  <c r="K21" i="330"/>
  <c r="O21" i="330"/>
  <c r="U21" i="330"/>
  <c r="V21" i="330"/>
  <c r="M21" i="330" s="1"/>
  <c r="G22" i="330"/>
  <c r="K22" i="330"/>
  <c r="O22" i="330"/>
  <c r="U22" i="330"/>
  <c r="V22" i="330"/>
  <c r="M22" i="330" s="1"/>
  <c r="G23" i="330"/>
  <c r="K23" i="330"/>
  <c r="M23" i="330"/>
  <c r="N23" i="330" s="1"/>
  <c r="O23" i="330"/>
  <c r="U23" i="330"/>
  <c r="V23" i="330"/>
  <c r="K24" i="330"/>
  <c r="O24" i="330"/>
  <c r="G25" i="330"/>
  <c r="K25" i="330"/>
  <c r="M25" i="330"/>
  <c r="AA25" i="330" s="1"/>
  <c r="N25" i="330"/>
  <c r="Q25" i="330" s="1"/>
  <c r="O25" i="330"/>
  <c r="P25" i="330"/>
  <c r="V25" i="330"/>
  <c r="W25" i="330"/>
  <c r="X25" i="330"/>
  <c r="G26" i="330"/>
  <c r="K26" i="330"/>
  <c r="O26" i="330"/>
  <c r="U26" i="330"/>
  <c r="V26" i="330"/>
  <c r="M26" i="330" s="1"/>
  <c r="G27" i="330"/>
  <c r="K27" i="330"/>
  <c r="M27" i="330"/>
  <c r="AB27" i="330" s="1"/>
  <c r="O27" i="330"/>
  <c r="U27" i="330"/>
  <c r="V27" i="330"/>
  <c r="AA27" i="330"/>
  <c r="G28" i="330"/>
  <c r="K28" i="330"/>
  <c r="M28" i="330"/>
  <c r="N28" i="330"/>
  <c r="Q28" i="330" s="1"/>
  <c r="O28" i="330"/>
  <c r="P28" i="330"/>
  <c r="U28" i="330"/>
  <c r="V28" i="330"/>
  <c r="AA28" i="330"/>
  <c r="AB28" i="330"/>
  <c r="G29" i="330"/>
  <c r="K29" i="330"/>
  <c r="O29" i="330"/>
  <c r="U29" i="330"/>
  <c r="V29" i="330"/>
  <c r="M29" i="330" s="1"/>
  <c r="W29" i="330"/>
  <c r="X29" i="330"/>
  <c r="G30" i="330"/>
  <c r="K30" i="330"/>
  <c r="M30" i="330"/>
  <c r="N30" i="330"/>
  <c r="Q30" i="330" s="1"/>
  <c r="O30" i="330"/>
  <c r="P30" i="330"/>
  <c r="U30" i="330"/>
  <c r="V30" i="330"/>
  <c r="AA30" i="330"/>
  <c r="AB30" i="330"/>
  <c r="K31" i="330"/>
  <c r="O31" i="330"/>
  <c r="G32" i="330"/>
  <c r="K32" i="330"/>
  <c r="O32" i="330"/>
  <c r="V32" i="330"/>
  <c r="M32" i="330" s="1"/>
  <c r="W32" i="330"/>
  <c r="X32" i="330"/>
  <c r="G33" i="330"/>
  <c r="K33" i="330"/>
  <c r="O33" i="330"/>
  <c r="U33" i="330"/>
  <c r="V33" i="330"/>
  <c r="M33" i="330" s="1"/>
  <c r="G34" i="330"/>
  <c r="K34" i="330"/>
  <c r="M34" i="330"/>
  <c r="N34" i="330" s="1"/>
  <c r="O34" i="330"/>
  <c r="U34" i="330"/>
  <c r="V34" i="330"/>
  <c r="G35" i="330"/>
  <c r="K35" i="330"/>
  <c r="O35" i="330"/>
  <c r="U35" i="330"/>
  <c r="V35" i="330"/>
  <c r="M35" i="330" s="1"/>
  <c r="G36" i="330"/>
  <c r="K36" i="330"/>
  <c r="O36" i="330"/>
  <c r="U36" i="330"/>
  <c r="V36" i="330"/>
  <c r="M36" i="330" s="1"/>
  <c r="G37" i="330"/>
  <c r="K37" i="330"/>
  <c r="M37" i="330"/>
  <c r="N37" i="330" s="1"/>
  <c r="O37" i="330"/>
  <c r="U37" i="330"/>
  <c r="V37" i="330"/>
  <c r="W37" i="330"/>
  <c r="X37" i="330"/>
  <c r="G38" i="330"/>
  <c r="K38" i="330"/>
  <c r="O38" i="330"/>
  <c r="U38" i="330"/>
  <c r="V38" i="330"/>
  <c r="M38" i="330" s="1"/>
  <c r="G39" i="330"/>
  <c r="K39" i="330"/>
  <c r="M39" i="330"/>
  <c r="N39" i="330" s="1"/>
  <c r="O39" i="330"/>
  <c r="U39" i="330"/>
  <c r="V39" i="330"/>
  <c r="G40" i="330"/>
  <c r="K40" i="330"/>
  <c r="O40" i="330"/>
  <c r="U40" i="330"/>
  <c r="V40" i="330"/>
  <c r="M40" i="330" s="1"/>
  <c r="K41" i="330"/>
  <c r="O41" i="330"/>
  <c r="G42" i="330"/>
  <c r="K42" i="330"/>
  <c r="O42" i="330"/>
  <c r="V42" i="330"/>
  <c r="M42" i="330" s="1"/>
  <c r="G43" i="330"/>
  <c r="K43" i="330"/>
  <c r="O43" i="330"/>
  <c r="U43" i="330"/>
  <c r="V43" i="330"/>
  <c r="M43" i="330" s="1"/>
  <c r="G44" i="330"/>
  <c r="K44" i="330"/>
  <c r="M44" i="330"/>
  <c r="AB44" i="330" s="1"/>
  <c r="N44" i="330"/>
  <c r="Q44" i="330" s="1"/>
  <c r="O44" i="330"/>
  <c r="P44" i="330"/>
  <c r="U44" i="330"/>
  <c r="V44" i="330"/>
  <c r="AA44" i="330"/>
  <c r="G45" i="330"/>
  <c r="K45" i="330"/>
  <c r="O45" i="330"/>
  <c r="U45" i="330"/>
  <c r="V45" i="330"/>
  <c r="M45" i="330" s="1"/>
  <c r="G46" i="330"/>
  <c r="K46" i="330"/>
  <c r="M46" i="330"/>
  <c r="N46" i="330" s="1"/>
  <c r="O46" i="330"/>
  <c r="U46" i="330"/>
  <c r="V46" i="330"/>
  <c r="G47" i="330"/>
  <c r="K47" i="330"/>
  <c r="O47" i="330"/>
  <c r="U47" i="330"/>
  <c r="V47" i="330"/>
  <c r="M47" i="330" s="1"/>
  <c r="G48" i="330"/>
  <c r="K48" i="330"/>
  <c r="O48" i="330"/>
  <c r="U48" i="330"/>
  <c r="V48" i="330"/>
  <c r="M48" i="330" s="1"/>
  <c r="W48" i="330"/>
  <c r="X48" i="330"/>
  <c r="G49" i="330"/>
  <c r="K49" i="330"/>
  <c r="O49" i="330"/>
  <c r="U49" i="330"/>
  <c r="V49" i="330"/>
  <c r="M49" i="330" s="1"/>
  <c r="K50" i="330"/>
  <c r="O50" i="330"/>
  <c r="G51" i="330"/>
  <c r="K51" i="330"/>
  <c r="O51" i="330"/>
  <c r="V51" i="330"/>
  <c r="M51" i="330" s="1"/>
  <c r="G52" i="330"/>
  <c r="K52" i="330"/>
  <c r="O52" i="330"/>
  <c r="U52" i="330"/>
  <c r="V52" i="330"/>
  <c r="M52" i="330" s="1"/>
  <c r="G53" i="330"/>
  <c r="K53" i="330"/>
  <c r="M53" i="330"/>
  <c r="AB53" i="330" s="1"/>
  <c r="O53" i="330"/>
  <c r="U53" i="330"/>
  <c r="V53" i="330"/>
  <c r="AA53" i="330"/>
  <c r="G54" i="330"/>
  <c r="K54" i="330"/>
  <c r="O54" i="330"/>
  <c r="U54" i="330"/>
  <c r="V54" i="330"/>
  <c r="M54" i="330" s="1"/>
  <c r="G55" i="330"/>
  <c r="K55" i="330"/>
  <c r="O55" i="330"/>
  <c r="U55" i="330"/>
  <c r="V55" i="330"/>
  <c r="M55" i="330" s="1"/>
  <c r="K56" i="330"/>
  <c r="O56" i="330"/>
  <c r="G57" i="330"/>
  <c r="K57" i="330"/>
  <c r="M57" i="330"/>
  <c r="N57" i="330" s="1"/>
  <c r="O57" i="330"/>
  <c r="V57" i="330"/>
  <c r="AA57" i="330"/>
  <c r="G58" i="330"/>
  <c r="K58" i="330"/>
  <c r="M58" i="330"/>
  <c r="N58" i="330" s="1"/>
  <c r="O58" i="330"/>
  <c r="U58" i="330"/>
  <c r="V58" i="330"/>
  <c r="AA58" i="330"/>
  <c r="G59" i="330"/>
  <c r="K59" i="330"/>
  <c r="M59" i="330"/>
  <c r="N59" i="330" s="1"/>
  <c r="O59" i="330"/>
  <c r="U59" i="330"/>
  <c r="V59" i="330"/>
  <c r="G60" i="330"/>
  <c r="K60" i="330"/>
  <c r="M60" i="330"/>
  <c r="AB60" i="330" s="1"/>
  <c r="N60" i="330"/>
  <c r="P60" i="330" s="1"/>
  <c r="O60" i="330"/>
  <c r="Q60" i="330"/>
  <c r="U60" i="330"/>
  <c r="V60" i="330"/>
  <c r="AA60" i="330"/>
  <c r="G61" i="330"/>
  <c r="K61" i="330"/>
  <c r="M61" i="330"/>
  <c r="AB61" i="330" s="1"/>
  <c r="O61" i="330"/>
  <c r="U61" i="330"/>
  <c r="V61" i="330"/>
  <c r="G62" i="330"/>
  <c r="K62" i="330"/>
  <c r="O62" i="330"/>
  <c r="U62" i="330"/>
  <c r="V62" i="330"/>
  <c r="M62" i="330" s="1"/>
  <c r="G63" i="330"/>
  <c r="K63" i="330"/>
  <c r="M63" i="330"/>
  <c r="AA63" i="330" s="1"/>
  <c r="O63" i="330"/>
  <c r="U63" i="330"/>
  <c r="V63" i="330"/>
  <c r="W63" i="330"/>
  <c r="X63" i="330"/>
  <c r="G64" i="330"/>
  <c r="K64" i="330"/>
  <c r="O64" i="330"/>
  <c r="U64" i="330"/>
  <c r="V64" i="330"/>
  <c r="M64" i="330" s="1"/>
  <c r="K65" i="330"/>
  <c r="O65" i="330"/>
  <c r="W66" i="330"/>
  <c r="X66" i="330"/>
  <c r="AA66" i="330"/>
  <c r="AB66" i="330"/>
  <c r="AA67" i="330"/>
  <c r="AB67" i="330"/>
  <c r="AA68" i="330"/>
  <c r="AB68" i="330"/>
  <c r="AA69" i="330"/>
  <c r="AB69" i="330"/>
  <c r="AA70" i="330"/>
  <c r="AB70" i="330"/>
  <c r="W71" i="330"/>
  <c r="X71" i="330"/>
  <c r="AA71" i="330"/>
  <c r="AB71" i="330"/>
  <c r="AA72" i="330"/>
  <c r="AB72" i="330"/>
  <c r="K73" i="330"/>
  <c r="M73" i="330"/>
  <c r="AA73" i="330" s="1"/>
  <c r="N73" i="330"/>
  <c r="P73" i="330" s="1"/>
  <c r="O73" i="330"/>
  <c r="Q73" i="330"/>
  <c r="R66" i="330" s="1"/>
  <c r="G15" i="331" l="1"/>
  <c r="F15" i="331"/>
  <c r="L15" i="331"/>
  <c r="I7" i="338"/>
  <c r="K15" i="338"/>
  <c r="I8" i="338" s="1"/>
  <c r="F7" i="338"/>
  <c r="D15" i="338"/>
  <c r="E7" i="338"/>
  <c r="G7" i="338"/>
  <c r="AB8" i="332"/>
  <c r="AC5" i="332" s="1"/>
  <c r="AA65" i="332"/>
  <c r="D14" i="336"/>
  <c r="D2" i="337"/>
  <c r="G14" i="336"/>
  <c r="G15" i="336" s="1"/>
  <c r="Q23" i="337"/>
  <c r="R17" i="337" s="1"/>
  <c r="P23" i="337"/>
  <c r="P8" i="337"/>
  <c r="I7" i="336"/>
  <c r="I8" i="336"/>
  <c r="Q44" i="337"/>
  <c r="R37" i="337" s="1"/>
  <c r="P44" i="337"/>
  <c r="H14" i="336"/>
  <c r="H15" i="336" s="1"/>
  <c r="Q65" i="337"/>
  <c r="R59" i="337" s="1"/>
  <c r="P65" i="337"/>
  <c r="F8" i="333"/>
  <c r="G8" i="333"/>
  <c r="F6" i="333"/>
  <c r="Q10" i="332"/>
  <c r="E6" i="333"/>
  <c r="G6" i="333"/>
  <c r="I6" i="333"/>
  <c r="K15" i="333"/>
  <c r="I8" i="333" s="1"/>
  <c r="P22" i="332"/>
  <c r="Q22" i="332"/>
  <c r="N16" i="332"/>
  <c r="AA16" i="332"/>
  <c r="AB16" i="332"/>
  <c r="AC13" i="332" s="1"/>
  <c r="P47" i="332"/>
  <c r="Q47" i="332"/>
  <c r="P53" i="332"/>
  <c r="Q53" i="332"/>
  <c r="N29" i="332"/>
  <c r="AB29" i="332"/>
  <c r="AC24" i="332" s="1"/>
  <c r="AA29" i="332"/>
  <c r="AA12" i="332"/>
  <c r="AB12" i="332"/>
  <c r="AC9" i="332" s="1"/>
  <c r="N12" i="332"/>
  <c r="Q65" i="332"/>
  <c r="R59" i="332" s="1"/>
  <c r="P65" i="332"/>
  <c r="P13" i="332"/>
  <c r="Q13" i="332"/>
  <c r="P20" i="332"/>
  <c r="Q20" i="332"/>
  <c r="Q9" i="332"/>
  <c r="P9" i="332"/>
  <c r="P30" i="332"/>
  <c r="Q30" i="332"/>
  <c r="P27" i="332"/>
  <c r="Q27" i="332"/>
  <c r="P18" i="332"/>
  <c r="Q18" i="332"/>
  <c r="AB58" i="332"/>
  <c r="AC51" i="332" s="1"/>
  <c r="N58" i="332"/>
  <c r="AA58" i="332"/>
  <c r="AA50" i="332"/>
  <c r="AB50" i="332"/>
  <c r="AC45" i="332" s="1"/>
  <c r="N50" i="332"/>
  <c r="P17" i="332"/>
  <c r="Q17" i="332"/>
  <c r="Q6" i="332"/>
  <c r="P41" i="332"/>
  <c r="Q41" i="332"/>
  <c r="N23" i="332"/>
  <c r="AA23" i="332"/>
  <c r="AB23" i="332"/>
  <c r="AC17" i="332" s="1"/>
  <c r="Q26" i="332"/>
  <c r="P26" i="332"/>
  <c r="Q14" i="332"/>
  <c r="P39" i="332"/>
  <c r="Q39" i="332"/>
  <c r="P25" i="332"/>
  <c r="Q25" i="332"/>
  <c r="Q7" i="332"/>
  <c r="P7" i="332"/>
  <c r="Q8" i="332"/>
  <c r="R5" i="332" s="1"/>
  <c r="P8" i="332"/>
  <c r="Q35" i="332"/>
  <c r="P35" i="332"/>
  <c r="P24" i="332"/>
  <c r="Q24" i="332"/>
  <c r="P43" i="332"/>
  <c r="Q43" i="332"/>
  <c r="Q45" i="332"/>
  <c r="P45" i="332"/>
  <c r="P33" i="332"/>
  <c r="Q33" i="332"/>
  <c r="P48" i="332"/>
  <c r="Q48" i="332"/>
  <c r="N36" i="332"/>
  <c r="AB36" i="332"/>
  <c r="AC30" i="332" s="1"/>
  <c r="AA36" i="332"/>
  <c r="P40" i="332"/>
  <c r="Q40" i="332"/>
  <c r="Q21" i="332"/>
  <c r="P21" i="332"/>
  <c r="AB44" i="332"/>
  <c r="AC37" i="332" s="1"/>
  <c r="AA44" i="332"/>
  <c r="N44" i="332"/>
  <c r="D2" i="332" s="1"/>
  <c r="P31" i="332"/>
  <c r="Q31" i="332"/>
  <c r="P19" i="332"/>
  <c r="Q19" i="332"/>
  <c r="P32" i="332"/>
  <c r="Q32" i="332"/>
  <c r="P34" i="332"/>
  <c r="Q34" i="332"/>
  <c r="P28" i="332"/>
  <c r="Q28" i="332"/>
  <c r="P49" i="332"/>
  <c r="Q49" i="332"/>
  <c r="AA8" i="332"/>
  <c r="I7" i="331"/>
  <c r="I6" i="331"/>
  <c r="E6" i="331"/>
  <c r="E7" i="331"/>
  <c r="G8" i="331"/>
  <c r="F8" i="331"/>
  <c r="G7" i="331"/>
  <c r="M15" i="331"/>
  <c r="I8" i="331" s="1"/>
  <c r="F7" i="331"/>
  <c r="G6" i="331"/>
  <c r="F6" i="331"/>
  <c r="AA54" i="330"/>
  <c r="AB54" i="330"/>
  <c r="N54" i="330"/>
  <c r="AA52" i="330"/>
  <c r="AB52" i="330"/>
  <c r="N52" i="330"/>
  <c r="AA43" i="330"/>
  <c r="AB43" i="330"/>
  <c r="N43" i="330"/>
  <c r="P34" i="330"/>
  <c r="Q34" i="330"/>
  <c r="N22" i="330"/>
  <c r="AA22" i="330"/>
  <c r="AB22" i="330"/>
  <c r="P12" i="330"/>
  <c r="Q12" i="330"/>
  <c r="AA7" i="330"/>
  <c r="AB7" i="330"/>
  <c r="M8" i="330"/>
  <c r="N7" i="330"/>
  <c r="AA64" i="330"/>
  <c r="AB64" i="330"/>
  <c r="N64" i="330"/>
  <c r="P57" i="330"/>
  <c r="Q57" i="330"/>
  <c r="AA26" i="330"/>
  <c r="AB26" i="330"/>
  <c r="M31" i="330"/>
  <c r="N26" i="330"/>
  <c r="N36" i="330"/>
  <c r="AA36" i="330"/>
  <c r="AB36" i="330"/>
  <c r="N33" i="330"/>
  <c r="AB33" i="330"/>
  <c r="AA33" i="330"/>
  <c r="AA16" i="330"/>
  <c r="AB16" i="330"/>
  <c r="N16" i="330"/>
  <c r="AA62" i="330"/>
  <c r="N62" i="330"/>
  <c r="AB62" i="330"/>
  <c r="N35" i="330"/>
  <c r="AA35" i="330"/>
  <c r="AB35" i="330"/>
  <c r="AA29" i="330"/>
  <c r="AB29" i="330"/>
  <c r="N29" i="330"/>
  <c r="N19" i="330"/>
  <c r="AA19" i="330"/>
  <c r="AB19" i="330"/>
  <c r="Q59" i="330"/>
  <c r="P59" i="330"/>
  <c r="AA51" i="330"/>
  <c r="M56" i="330"/>
  <c r="AB51" i="330"/>
  <c r="N51" i="330"/>
  <c r="AA42" i="330"/>
  <c r="AB42" i="330"/>
  <c r="N42" i="330"/>
  <c r="M50" i="330"/>
  <c r="N21" i="330"/>
  <c r="AB21" i="330"/>
  <c r="AA21" i="330"/>
  <c r="N11" i="330"/>
  <c r="AA11" i="330"/>
  <c r="AB11" i="330"/>
  <c r="P10" i="330"/>
  <c r="Q10" i="330"/>
  <c r="N48" i="330"/>
  <c r="AA48" i="330"/>
  <c r="AB48" i="330"/>
  <c r="M13" i="330"/>
  <c r="N9" i="330"/>
  <c r="AA9" i="330"/>
  <c r="AB9" i="330"/>
  <c r="N49" i="330"/>
  <c r="AB49" i="330"/>
  <c r="AA49" i="330"/>
  <c r="AA55" i="330"/>
  <c r="AB55" i="330"/>
  <c r="N55" i="330"/>
  <c r="P46" i="330"/>
  <c r="Q46" i="330"/>
  <c r="P39" i="330"/>
  <c r="Q39" i="330"/>
  <c r="AA40" i="330"/>
  <c r="AB40" i="330"/>
  <c r="N40" i="330"/>
  <c r="P23" i="330"/>
  <c r="Q23" i="330"/>
  <c r="N18" i="330"/>
  <c r="M24" i="330"/>
  <c r="AA18" i="330"/>
  <c r="AB18" i="330"/>
  <c r="N47" i="330"/>
  <c r="AB47" i="330"/>
  <c r="AA47" i="330"/>
  <c r="P20" i="330"/>
  <c r="Q20" i="330"/>
  <c r="P58" i="330"/>
  <c r="Q58" i="330"/>
  <c r="P37" i="330"/>
  <c r="Q37" i="330"/>
  <c r="N45" i="330"/>
  <c r="AB45" i="330"/>
  <c r="AA45" i="330"/>
  <c r="N38" i="330"/>
  <c r="AA38" i="330"/>
  <c r="AB38" i="330"/>
  <c r="N32" i="330"/>
  <c r="M41" i="330"/>
  <c r="AA32" i="330"/>
  <c r="AB32" i="330"/>
  <c r="N61" i="330"/>
  <c r="AB46" i="330"/>
  <c r="AB34" i="330"/>
  <c r="AB20" i="330"/>
  <c r="N15" i="330"/>
  <c r="N14" i="330"/>
  <c r="AB12" i="330"/>
  <c r="AB10" i="330"/>
  <c r="N63" i="330"/>
  <c r="AB58" i="330"/>
  <c r="AB57" i="330"/>
  <c r="N53" i="330"/>
  <c r="AA37" i="330"/>
  <c r="N27" i="330"/>
  <c r="AA10" i="330"/>
  <c r="AB59" i="330"/>
  <c r="AB39" i="330"/>
  <c r="AB23" i="330"/>
  <c r="AA46" i="330"/>
  <c r="AA20" i="330"/>
  <c r="M65" i="330"/>
  <c r="AA59" i="330"/>
  <c r="AA39" i="330"/>
  <c r="AA23" i="330"/>
  <c r="M17" i="330"/>
  <c r="AB37" i="330"/>
  <c r="AB63" i="330"/>
  <c r="AB15" i="330"/>
  <c r="AB14" i="330"/>
  <c r="AA12" i="330"/>
  <c r="AB73" i="330"/>
  <c r="AC66" i="330" s="1"/>
  <c r="AA61" i="330"/>
  <c r="AB25" i="330"/>
  <c r="AA34" i="330"/>
  <c r="M18" i="329"/>
  <c r="L18" i="329"/>
  <c r="K18" i="329"/>
  <c r="J18" i="329"/>
  <c r="I18" i="329"/>
  <c r="H18" i="329"/>
  <c r="G18" i="329"/>
  <c r="F18" i="329"/>
  <c r="E18" i="329"/>
  <c r="D18" i="329"/>
  <c r="M17" i="329"/>
  <c r="L17" i="329"/>
  <c r="K17" i="329"/>
  <c r="J17" i="329"/>
  <c r="I17" i="329"/>
  <c r="H17" i="329"/>
  <c r="G17" i="329"/>
  <c r="F17" i="329"/>
  <c r="E17" i="329"/>
  <c r="D17" i="329"/>
  <c r="M16" i="329"/>
  <c r="L16" i="329"/>
  <c r="K16" i="329"/>
  <c r="J16" i="329"/>
  <c r="I16" i="329"/>
  <c r="H16" i="329"/>
  <c r="G16" i="329"/>
  <c r="F16" i="329"/>
  <c r="E16" i="329"/>
  <c r="D16" i="329"/>
  <c r="M13" i="329"/>
  <c r="L13" i="329"/>
  <c r="K13" i="329"/>
  <c r="J13" i="329"/>
  <c r="I13" i="329"/>
  <c r="H13" i="329"/>
  <c r="G13" i="329"/>
  <c r="F13" i="329"/>
  <c r="E13" i="329"/>
  <c r="D13" i="329"/>
  <c r="F3" i="329"/>
  <c r="C3" i="329"/>
  <c r="O74" i="328"/>
  <c r="K74" i="328"/>
  <c r="V73" i="328"/>
  <c r="U73" i="328"/>
  <c r="O73" i="328"/>
  <c r="M73" i="328"/>
  <c r="N73" i="328" s="1"/>
  <c r="K73" i="328"/>
  <c r="G73" i="328"/>
  <c r="AB72" i="328"/>
  <c r="AA72" i="328"/>
  <c r="V72" i="328"/>
  <c r="M72" i="328" s="1"/>
  <c r="N72" i="328" s="1"/>
  <c r="U72" i="328"/>
  <c r="Q72" i="328"/>
  <c r="P72" i="328"/>
  <c r="O72" i="328"/>
  <c r="K72" i="328"/>
  <c r="G72" i="328"/>
  <c r="X71" i="328"/>
  <c r="W71" i="328"/>
  <c r="V71" i="328"/>
  <c r="U71" i="328"/>
  <c r="P71" i="328"/>
  <c r="O71" i="328"/>
  <c r="N71" i="328"/>
  <c r="Q71" i="328" s="1"/>
  <c r="M71" i="328"/>
  <c r="K71" i="328"/>
  <c r="G71" i="328"/>
  <c r="AB70" i="328"/>
  <c r="AA70" i="328"/>
  <c r="V70" i="328"/>
  <c r="M70" i="328" s="1"/>
  <c r="N70" i="328" s="1"/>
  <c r="U70" i="328"/>
  <c r="O70" i="328"/>
  <c r="K70" i="328"/>
  <c r="G70" i="328"/>
  <c r="V69" i="328"/>
  <c r="U69" i="328"/>
  <c r="O69" i="328"/>
  <c r="N69" i="328"/>
  <c r="Q69" i="328" s="1"/>
  <c r="M69" i="328"/>
  <c r="K69" i="328"/>
  <c r="G69" i="328"/>
  <c r="AB68" i="328"/>
  <c r="V68" i="328"/>
  <c r="U68" i="328"/>
  <c r="O68" i="328"/>
  <c r="M68" i="328"/>
  <c r="AA68" i="328" s="1"/>
  <c r="K68" i="328"/>
  <c r="G68" i="328"/>
  <c r="AA67" i="328"/>
  <c r="V67" i="328"/>
  <c r="U67" i="328"/>
  <c r="O67" i="328"/>
  <c r="N67" i="328"/>
  <c r="Q67" i="328" s="1"/>
  <c r="M67" i="328"/>
  <c r="AB67" i="328" s="1"/>
  <c r="K67" i="328"/>
  <c r="G67" i="328"/>
  <c r="X66" i="328"/>
  <c r="W66" i="328"/>
  <c r="V66" i="328"/>
  <c r="O66" i="328"/>
  <c r="N66" i="328"/>
  <c r="M66" i="328"/>
  <c r="K66" i="328"/>
  <c r="G66" i="328"/>
  <c r="O65" i="328"/>
  <c r="K65" i="328"/>
  <c r="V64" i="328"/>
  <c r="U64" i="328"/>
  <c r="O64" i="328"/>
  <c r="N64" i="328"/>
  <c r="M64" i="328"/>
  <c r="K64" i="328"/>
  <c r="G64" i="328"/>
  <c r="AB63" i="328"/>
  <c r="AA63" i="328"/>
  <c r="X63" i="328"/>
  <c r="W63" i="328"/>
  <c r="V63" i="328"/>
  <c r="M63" i="328" s="1"/>
  <c r="N63" i="328" s="1"/>
  <c r="U63" i="328"/>
  <c r="O63" i="328"/>
  <c r="K63" i="328"/>
  <c r="G63" i="328"/>
  <c r="V62" i="328"/>
  <c r="U62" i="328"/>
  <c r="O62" i="328"/>
  <c r="N62" i="328"/>
  <c r="Q62" i="328" s="1"/>
  <c r="M62" i="328"/>
  <c r="K62" i="328"/>
  <c r="G62" i="328"/>
  <c r="AB61" i="328"/>
  <c r="AA61" i="328"/>
  <c r="V61" i="328"/>
  <c r="U61" i="328"/>
  <c r="O61" i="328"/>
  <c r="M61" i="328"/>
  <c r="N61" i="328" s="1"/>
  <c r="K61" i="328"/>
  <c r="G61" i="328"/>
  <c r="AA60" i="328"/>
  <c r="V60" i="328"/>
  <c r="U60" i="328"/>
  <c r="Q60" i="328"/>
  <c r="O60" i="328"/>
  <c r="N60" i="328"/>
  <c r="P60" i="328" s="1"/>
  <c r="M60" i="328"/>
  <c r="AB60" i="328" s="1"/>
  <c r="K60" i="328"/>
  <c r="G60" i="328"/>
  <c r="V59" i="328"/>
  <c r="U59" i="328"/>
  <c r="O59" i="328"/>
  <c r="M59" i="328"/>
  <c r="AB59" i="328" s="1"/>
  <c r="K59" i="328"/>
  <c r="G59" i="328"/>
  <c r="AB58" i="328"/>
  <c r="AA58" i="328"/>
  <c r="V58" i="328"/>
  <c r="M58" i="328" s="1"/>
  <c r="U58" i="328"/>
  <c r="Q58" i="328"/>
  <c r="P58" i="328"/>
  <c r="O58" i="328"/>
  <c r="N58" i="328"/>
  <c r="K58" i="328"/>
  <c r="G58" i="328"/>
  <c r="V57" i="328"/>
  <c r="O57" i="328"/>
  <c r="N57" i="328"/>
  <c r="M57" i="328"/>
  <c r="K57" i="328"/>
  <c r="G57" i="328"/>
  <c r="O56" i="328"/>
  <c r="K56" i="328"/>
  <c r="V55" i="328"/>
  <c r="U55" i="328"/>
  <c r="O55" i="328"/>
  <c r="M55" i="328"/>
  <c r="K55" i="328"/>
  <c r="G55" i="328"/>
  <c r="AB54" i="328"/>
  <c r="AA54" i="328"/>
  <c r="V54" i="328"/>
  <c r="M54" i="328" s="1"/>
  <c r="N54" i="328" s="1"/>
  <c r="U54" i="328"/>
  <c r="Q54" i="328"/>
  <c r="P54" i="328"/>
  <c r="O54" i="328"/>
  <c r="K54" i="328"/>
  <c r="G54" i="328"/>
  <c r="V53" i="328"/>
  <c r="U53" i="328"/>
  <c r="O53" i="328"/>
  <c r="N53" i="328"/>
  <c r="M53" i="328"/>
  <c r="K53" i="328"/>
  <c r="G53" i="328"/>
  <c r="AB52" i="328"/>
  <c r="AA52" i="328"/>
  <c r="V52" i="328"/>
  <c r="M52" i="328" s="1"/>
  <c r="N52" i="328" s="1"/>
  <c r="U52" i="328"/>
  <c r="O52" i="328"/>
  <c r="K52" i="328"/>
  <c r="G52" i="328"/>
  <c r="V51" i="328"/>
  <c r="O51" i="328"/>
  <c r="N51" i="328"/>
  <c r="Q51" i="328" s="1"/>
  <c r="M51" i="328"/>
  <c r="K51" i="328"/>
  <c r="G51" i="328"/>
  <c r="O50" i="328"/>
  <c r="K50" i="328"/>
  <c r="V49" i="328"/>
  <c r="U49" i="328"/>
  <c r="Q49" i="328"/>
  <c r="P49" i="328"/>
  <c r="O49" i="328"/>
  <c r="N49" i="328"/>
  <c r="M49" i="328"/>
  <c r="K49" i="328"/>
  <c r="G49" i="328"/>
  <c r="AB48" i="328"/>
  <c r="AA48" i="328"/>
  <c r="X48" i="328"/>
  <c r="W48" i="328"/>
  <c r="V48" i="328"/>
  <c r="U48" i="328"/>
  <c r="O48" i="328"/>
  <c r="M48" i="328"/>
  <c r="N48" i="328" s="1"/>
  <c r="K48" i="328"/>
  <c r="G48" i="328"/>
  <c r="AB47" i="328"/>
  <c r="AA47" i="328"/>
  <c r="V47" i="328"/>
  <c r="U47" i="328"/>
  <c r="Q47" i="328"/>
  <c r="P47" i="328"/>
  <c r="O47" i="328"/>
  <c r="N47" i="328"/>
  <c r="M47" i="328"/>
  <c r="K47" i="328"/>
  <c r="G47" i="328"/>
  <c r="V46" i="328"/>
  <c r="U46" i="328"/>
  <c r="O46" i="328"/>
  <c r="M46" i="328"/>
  <c r="AB46" i="328" s="1"/>
  <c r="K46" i="328"/>
  <c r="G46" i="328"/>
  <c r="AB45" i="328"/>
  <c r="AA45" i="328"/>
  <c r="V45" i="328"/>
  <c r="M45" i="328" s="1"/>
  <c r="N45" i="328" s="1"/>
  <c r="U45" i="328"/>
  <c r="Q45" i="328"/>
  <c r="P45" i="328"/>
  <c r="O45" i="328"/>
  <c r="K45" i="328"/>
  <c r="G45" i="328"/>
  <c r="V44" i="328"/>
  <c r="U44" i="328"/>
  <c r="O44" i="328"/>
  <c r="N44" i="328"/>
  <c r="M44" i="328"/>
  <c r="K44" i="328"/>
  <c r="G44" i="328"/>
  <c r="AB43" i="328"/>
  <c r="AA43" i="328"/>
  <c r="V43" i="328"/>
  <c r="M43" i="328" s="1"/>
  <c r="N43" i="328" s="1"/>
  <c r="P43" i="328" s="1"/>
  <c r="U43" i="328"/>
  <c r="Q43" i="328"/>
  <c r="O43" i="328"/>
  <c r="K43" i="328"/>
  <c r="G43" i="328"/>
  <c r="V42" i="328"/>
  <c r="O42" i="328"/>
  <c r="N42" i="328"/>
  <c r="P42" i="328" s="1"/>
  <c r="M42" i="328"/>
  <c r="K42" i="328"/>
  <c r="G42" i="328"/>
  <c r="O41" i="328"/>
  <c r="K41" i="328"/>
  <c r="V40" i="328"/>
  <c r="U40" i="328"/>
  <c r="O40" i="328"/>
  <c r="N40" i="328"/>
  <c r="Q40" i="328" s="1"/>
  <c r="M40" i="328"/>
  <c r="K40" i="328"/>
  <c r="G40" i="328"/>
  <c r="AB39" i="328"/>
  <c r="AA39" i="328"/>
  <c r="V39" i="328"/>
  <c r="M39" i="328" s="1"/>
  <c r="N39" i="328" s="1"/>
  <c r="U39" i="328"/>
  <c r="O39" i="328"/>
  <c r="K39" i="328"/>
  <c r="G39" i="328"/>
  <c r="V38" i="328"/>
  <c r="U38" i="328"/>
  <c r="O38" i="328"/>
  <c r="N38" i="328"/>
  <c r="Q38" i="328" s="1"/>
  <c r="M38" i="328"/>
  <c r="K38" i="328"/>
  <c r="G38" i="328"/>
  <c r="AB37" i="328"/>
  <c r="AA37" i="328"/>
  <c r="X37" i="328"/>
  <c r="W37" i="328"/>
  <c r="V37" i="328"/>
  <c r="U37" i="328"/>
  <c r="O37" i="328"/>
  <c r="M37" i="328"/>
  <c r="N37" i="328" s="1"/>
  <c r="K37" i="328"/>
  <c r="G37" i="328"/>
  <c r="AB36" i="328"/>
  <c r="AA36" i="328"/>
  <c r="V36" i="328"/>
  <c r="M36" i="328" s="1"/>
  <c r="U36" i="328"/>
  <c r="Q36" i="328"/>
  <c r="P36" i="328"/>
  <c r="O36" i="328"/>
  <c r="N36" i="328"/>
  <c r="K36" i="328"/>
  <c r="G36" i="328"/>
  <c r="V35" i="328"/>
  <c r="U35" i="328"/>
  <c r="O35" i="328"/>
  <c r="M35" i="328"/>
  <c r="K35" i="328"/>
  <c r="G35" i="328"/>
  <c r="AB34" i="328"/>
  <c r="AA34" i="328"/>
  <c r="V34" i="328"/>
  <c r="M34" i="328" s="1"/>
  <c r="N34" i="328" s="1"/>
  <c r="U34" i="328"/>
  <c r="Q34" i="328"/>
  <c r="P34" i="328"/>
  <c r="O34" i="328"/>
  <c r="K34" i="328"/>
  <c r="G34" i="328"/>
  <c r="V33" i="328"/>
  <c r="U33" i="328"/>
  <c r="O33" i="328"/>
  <c r="N33" i="328"/>
  <c r="M33" i="328"/>
  <c r="K33" i="328"/>
  <c r="G33" i="328"/>
  <c r="AB32" i="328"/>
  <c r="AA32" i="328"/>
  <c r="X32" i="328"/>
  <c r="W32" i="328"/>
  <c r="V32" i="328"/>
  <c r="O32" i="328"/>
  <c r="M32" i="328"/>
  <c r="N32" i="328" s="1"/>
  <c r="K32" i="328"/>
  <c r="G32" i="328"/>
  <c r="O31" i="328"/>
  <c r="M31" i="328"/>
  <c r="AB31" i="328" s="1"/>
  <c r="K31" i="328"/>
  <c r="AB30" i="328"/>
  <c r="AA30" i="328"/>
  <c r="V30" i="328"/>
  <c r="M30" i="328" s="1"/>
  <c r="N30" i="328" s="1"/>
  <c r="U30" i="328"/>
  <c r="O30" i="328"/>
  <c r="K30" i="328"/>
  <c r="G30" i="328"/>
  <c r="X29" i="328"/>
  <c r="W29" i="328"/>
  <c r="V29" i="328"/>
  <c r="U29" i="328"/>
  <c r="O29" i="328"/>
  <c r="N29" i="328"/>
  <c r="Q29" i="328" s="1"/>
  <c r="M29" i="328"/>
  <c r="K29" i="328"/>
  <c r="G29" i="328"/>
  <c r="V28" i="328"/>
  <c r="U28" i="328"/>
  <c r="O28" i="328"/>
  <c r="M28" i="328"/>
  <c r="AB28" i="328" s="1"/>
  <c r="K28" i="328"/>
  <c r="G28" i="328"/>
  <c r="AB27" i="328"/>
  <c r="AA27" i="328"/>
  <c r="V27" i="328"/>
  <c r="M27" i="328" s="1"/>
  <c r="N27" i="328" s="1"/>
  <c r="U27" i="328"/>
  <c r="Q27" i="328"/>
  <c r="P27" i="328"/>
  <c r="O27" i="328"/>
  <c r="K27" i="328"/>
  <c r="G27" i="328"/>
  <c r="V26" i="328"/>
  <c r="U26" i="328"/>
  <c r="O26" i="328"/>
  <c r="N26" i="328"/>
  <c r="M26" i="328"/>
  <c r="K26" i="328"/>
  <c r="G26" i="328"/>
  <c r="AC25" i="328"/>
  <c r="AB25" i="328"/>
  <c r="AA25" i="328"/>
  <c r="X25" i="328"/>
  <c r="W25" i="328"/>
  <c r="V25" i="328"/>
  <c r="M25" i="328" s="1"/>
  <c r="N25" i="328" s="1"/>
  <c r="O25" i="328"/>
  <c r="K25" i="328"/>
  <c r="G25" i="328"/>
  <c r="O24" i="328"/>
  <c r="K24" i="328"/>
  <c r="AB23" i="328"/>
  <c r="AA23" i="328"/>
  <c r="V23" i="328"/>
  <c r="M23" i="328" s="1"/>
  <c r="N23" i="328" s="1"/>
  <c r="U23" i="328"/>
  <c r="O23" i="328"/>
  <c r="K23" i="328"/>
  <c r="G23" i="328"/>
  <c r="V22" i="328"/>
  <c r="U22" i="328"/>
  <c r="O22" i="328"/>
  <c r="N22" i="328"/>
  <c r="Q22" i="328" s="1"/>
  <c r="M22" i="328"/>
  <c r="K22" i="328"/>
  <c r="G22" i="328"/>
  <c r="AB21" i="328"/>
  <c r="AA21" i="328"/>
  <c r="V21" i="328"/>
  <c r="U21" i="328"/>
  <c r="O21" i="328"/>
  <c r="M21" i="328"/>
  <c r="N21" i="328" s="1"/>
  <c r="K21" i="328"/>
  <c r="G21" i="328"/>
  <c r="AA20" i="328"/>
  <c r="V20" i="328"/>
  <c r="U20" i="328"/>
  <c r="O20" i="328"/>
  <c r="M20" i="328"/>
  <c r="AB20" i="328" s="1"/>
  <c r="K20" i="328"/>
  <c r="G20" i="328"/>
  <c r="V19" i="328"/>
  <c r="U19" i="328"/>
  <c r="O19" i="328"/>
  <c r="M19" i="328"/>
  <c r="AB19" i="328" s="1"/>
  <c r="K19" i="328"/>
  <c r="G19" i="328"/>
  <c r="AB18" i="328"/>
  <c r="AA18" i="328"/>
  <c r="V18" i="328"/>
  <c r="M18" i="328" s="1"/>
  <c r="N18" i="328" s="1"/>
  <c r="Q18" i="328"/>
  <c r="P18" i="328"/>
  <c r="O18" i="328"/>
  <c r="K18" i="328"/>
  <c r="G18" i="328"/>
  <c r="O17" i="328"/>
  <c r="K17" i="328"/>
  <c r="AB16" i="328"/>
  <c r="AA16" i="328"/>
  <c r="V16" i="328"/>
  <c r="M16" i="328" s="1"/>
  <c r="U16" i="328"/>
  <c r="Q16" i="328"/>
  <c r="P16" i="328"/>
  <c r="O16" i="328"/>
  <c r="N16" i="328"/>
  <c r="K16" i="328"/>
  <c r="G16" i="328"/>
  <c r="V15" i="328"/>
  <c r="U15" i="328"/>
  <c r="O15" i="328"/>
  <c r="M15" i="328"/>
  <c r="K15" i="328"/>
  <c r="G15" i="328"/>
  <c r="AB14" i="328"/>
  <c r="AA14" i="328"/>
  <c r="V14" i="328"/>
  <c r="M14" i="328" s="1"/>
  <c r="O14" i="328"/>
  <c r="K14" i="328"/>
  <c r="G14" i="328"/>
  <c r="O13" i="328"/>
  <c r="M13" i="328"/>
  <c r="N13" i="328" s="1"/>
  <c r="K13" i="328"/>
  <c r="AB12" i="328"/>
  <c r="AA12" i="328"/>
  <c r="V12" i="328"/>
  <c r="M12" i="328" s="1"/>
  <c r="N12" i="328" s="1"/>
  <c r="U12" i="328"/>
  <c r="Q12" i="328"/>
  <c r="P12" i="328"/>
  <c r="O12" i="328"/>
  <c r="K12" i="328"/>
  <c r="G12" i="328"/>
  <c r="X11" i="328"/>
  <c r="W11" i="328"/>
  <c r="V11" i="328"/>
  <c r="U11" i="328"/>
  <c r="Q11" i="328"/>
  <c r="O11" i="328"/>
  <c r="N11" i="328"/>
  <c r="P11" i="328" s="1"/>
  <c r="M11" i="328"/>
  <c r="K11" i="328"/>
  <c r="G11" i="328"/>
  <c r="AB10" i="328"/>
  <c r="AA10" i="328"/>
  <c r="V10" i="328"/>
  <c r="M10" i="328" s="1"/>
  <c r="N10" i="328" s="1"/>
  <c r="U10" i="328"/>
  <c r="O10" i="328"/>
  <c r="K10" i="328"/>
  <c r="G10" i="328"/>
  <c r="AA9" i="328"/>
  <c r="X9" i="328"/>
  <c r="W9" i="328"/>
  <c r="V9" i="328"/>
  <c r="M9" i="328" s="1"/>
  <c r="AB9" i="328" s="1"/>
  <c r="Q9" i="328"/>
  <c r="P9" i="328"/>
  <c r="O9" i="328"/>
  <c r="N9" i="328"/>
  <c r="K9" i="328"/>
  <c r="G9" i="328"/>
  <c r="O8" i="328"/>
  <c r="K8" i="328"/>
  <c r="AB7" i="328"/>
  <c r="AA7" i="328"/>
  <c r="V7" i="328"/>
  <c r="U7" i="328"/>
  <c r="O7" i="328"/>
  <c r="N7" i="328"/>
  <c r="Q7" i="328" s="1"/>
  <c r="M7" i="328"/>
  <c r="K7" i="328"/>
  <c r="G7" i="328"/>
  <c r="V6" i="328"/>
  <c r="U6" i="328"/>
  <c r="O6" i="328"/>
  <c r="M6" i="328"/>
  <c r="AB6" i="328" s="1"/>
  <c r="K6" i="328"/>
  <c r="G6" i="328"/>
  <c r="F1" i="328" s="1"/>
  <c r="F2" i="328" s="1"/>
  <c r="AB5" i="328"/>
  <c r="AA5" i="328"/>
  <c r="V5" i="328"/>
  <c r="M5" i="328" s="1"/>
  <c r="O5" i="328"/>
  <c r="K5" i="328"/>
  <c r="G5" i="328"/>
  <c r="H2" i="328"/>
  <c r="H1" i="328"/>
  <c r="D1" i="328"/>
  <c r="I6" i="329" l="1"/>
  <c r="E6" i="329"/>
  <c r="G8" i="338"/>
  <c r="F8" i="338"/>
  <c r="E8" i="338"/>
  <c r="E7" i="336"/>
  <c r="F7" i="336"/>
  <c r="D15" i="336"/>
  <c r="G7" i="336"/>
  <c r="E8" i="333"/>
  <c r="Q58" i="332"/>
  <c r="R51" i="332" s="1"/>
  <c r="P58" i="332"/>
  <c r="Q23" i="332"/>
  <c r="R17" i="332" s="1"/>
  <c r="P23" i="332"/>
  <c r="P29" i="332"/>
  <c r="Q29" i="332"/>
  <c r="R24" i="332" s="1"/>
  <c r="P16" i="332"/>
  <c r="Q16" i="332"/>
  <c r="R13" i="332" s="1"/>
  <c r="Q50" i="332"/>
  <c r="R45" i="332" s="1"/>
  <c r="P50" i="332"/>
  <c r="Q36" i="332"/>
  <c r="R30" i="332" s="1"/>
  <c r="P36" i="332"/>
  <c r="P44" i="332"/>
  <c r="Q44" i="332"/>
  <c r="R37" i="332" s="1"/>
  <c r="P12" i="332"/>
  <c r="Q12" i="332"/>
  <c r="R9" i="332" s="1"/>
  <c r="E8" i="331"/>
  <c r="N13" i="330"/>
  <c r="AA13" i="330"/>
  <c r="AB13" i="330"/>
  <c r="AC9" i="330" s="1"/>
  <c r="N50" i="330"/>
  <c r="AA50" i="330"/>
  <c r="AB50" i="330"/>
  <c r="AC42" i="330" s="1"/>
  <c r="P19" i="330"/>
  <c r="Q19" i="330"/>
  <c r="P22" i="330"/>
  <c r="Q22" i="330"/>
  <c r="P14" i="330"/>
  <c r="Q14" i="330"/>
  <c r="P38" i="330"/>
  <c r="Q38" i="330"/>
  <c r="P47" i="330"/>
  <c r="Q47" i="330"/>
  <c r="Q42" i="330"/>
  <c r="P42" i="330"/>
  <c r="Q29" i="330"/>
  <c r="P29" i="330"/>
  <c r="Q64" i="330"/>
  <c r="P64" i="330"/>
  <c r="Q55" i="330"/>
  <c r="P55" i="330"/>
  <c r="P48" i="330"/>
  <c r="Q48" i="330"/>
  <c r="P33" i="330"/>
  <c r="Q33" i="330"/>
  <c r="P43" i="330"/>
  <c r="Q43" i="330"/>
  <c r="P45" i="330"/>
  <c r="Q45" i="330"/>
  <c r="AA24" i="330"/>
  <c r="AB24" i="330"/>
  <c r="AC18" i="330" s="1"/>
  <c r="N24" i="330"/>
  <c r="Q51" i="330"/>
  <c r="P51" i="330"/>
  <c r="Q7" i="330"/>
  <c r="P7" i="330"/>
  <c r="P27" i="330"/>
  <c r="Q27" i="330"/>
  <c r="P18" i="330"/>
  <c r="Q18" i="330"/>
  <c r="AB8" i="330"/>
  <c r="AC5" i="330" s="1"/>
  <c r="N8" i="330"/>
  <c r="AA8" i="330"/>
  <c r="AB17" i="330"/>
  <c r="AC14" i="330" s="1"/>
  <c r="N17" i="330"/>
  <c r="AA17" i="330"/>
  <c r="P61" i="330"/>
  <c r="Q61" i="330"/>
  <c r="N56" i="330"/>
  <c r="AB56" i="330"/>
  <c r="AC51" i="330" s="1"/>
  <c r="AA56" i="330"/>
  <c r="P35" i="330"/>
  <c r="Q35" i="330"/>
  <c r="P36" i="330"/>
  <c r="Q36" i="330"/>
  <c r="Q52" i="330"/>
  <c r="P52" i="330"/>
  <c r="P15" i="330"/>
  <c r="Q15" i="330"/>
  <c r="Q53" i="330"/>
  <c r="P53" i="330"/>
  <c r="Q26" i="330"/>
  <c r="P26" i="330"/>
  <c r="P40" i="330"/>
  <c r="Q40" i="330"/>
  <c r="P49" i="330"/>
  <c r="Q49" i="330"/>
  <c r="P11" i="330"/>
  <c r="Q11" i="330"/>
  <c r="Q62" i="330"/>
  <c r="P62" i="330"/>
  <c r="N31" i="330"/>
  <c r="AA31" i="330"/>
  <c r="AB31" i="330"/>
  <c r="AC25" i="330" s="1"/>
  <c r="P54" i="330"/>
  <c r="Q54" i="330"/>
  <c r="AB65" i="330"/>
  <c r="AC57" i="330" s="1"/>
  <c r="N65" i="330"/>
  <c r="AA65" i="330"/>
  <c r="P63" i="330"/>
  <c r="Q63" i="330"/>
  <c r="P32" i="330"/>
  <c r="Q32" i="330"/>
  <c r="Q16" i="330"/>
  <c r="P16" i="330"/>
  <c r="AB41" i="330"/>
  <c r="AC32" i="330" s="1"/>
  <c r="AA41" i="330"/>
  <c r="N41" i="330"/>
  <c r="P9" i="330"/>
  <c r="Q9" i="330"/>
  <c r="P21" i="330"/>
  <c r="Q21" i="330"/>
  <c r="P7" i="328"/>
  <c r="P40" i="328"/>
  <c r="N31" i="328"/>
  <c r="P51" i="328"/>
  <c r="P69" i="328"/>
  <c r="P38" i="328"/>
  <c r="M24" i="328"/>
  <c r="N24" i="328" s="1"/>
  <c r="AA31" i="328"/>
  <c r="P67" i="328"/>
  <c r="P29" i="328"/>
  <c r="P62" i="328"/>
  <c r="I3" i="329"/>
  <c r="Q42" i="328"/>
  <c r="N20" i="328"/>
  <c r="P22" i="328"/>
  <c r="N5" i="328"/>
  <c r="M8" i="328"/>
  <c r="Q10" i="328"/>
  <c r="P10" i="328"/>
  <c r="AB11" i="328"/>
  <c r="AA11" i="328"/>
  <c r="AA13" i="328"/>
  <c r="AB13" i="328"/>
  <c r="AC9" i="328" s="1"/>
  <c r="Q13" i="328"/>
  <c r="R9" i="328" s="1"/>
  <c r="P13" i="328"/>
  <c r="E14" i="329"/>
  <c r="E15" i="329" s="1"/>
  <c r="N14" i="328"/>
  <c r="M17" i="328"/>
  <c r="AA15" i="328"/>
  <c r="AB15" i="328"/>
  <c r="N15" i="328"/>
  <c r="P21" i="328"/>
  <c r="Q21" i="328"/>
  <c r="AB22" i="328"/>
  <c r="AA22" i="328"/>
  <c r="Q23" i="328"/>
  <c r="P23" i="328"/>
  <c r="AB24" i="328"/>
  <c r="AC18" i="328" s="1"/>
  <c r="AA24" i="328"/>
  <c r="Q25" i="328"/>
  <c r="P25" i="328"/>
  <c r="AB26" i="328"/>
  <c r="AA26" i="328"/>
  <c r="Q26" i="328"/>
  <c r="P26" i="328"/>
  <c r="AB29" i="328"/>
  <c r="AA29" i="328"/>
  <c r="Q30" i="328"/>
  <c r="P30" i="328"/>
  <c r="P32" i="328"/>
  <c r="Q32" i="328"/>
  <c r="M41" i="328"/>
  <c r="AB33" i="328"/>
  <c r="AA33" i="328"/>
  <c r="Q33" i="328"/>
  <c r="P33" i="328"/>
  <c r="AA35" i="328"/>
  <c r="AB35" i="328"/>
  <c r="N35" i="328"/>
  <c r="Q37" i="328"/>
  <c r="P37" i="328"/>
  <c r="AB38" i="328"/>
  <c r="AA38" i="328"/>
  <c r="Q39" i="328"/>
  <c r="P39" i="328"/>
  <c r="AA40" i="328"/>
  <c r="AB40" i="328"/>
  <c r="AA42" i="328"/>
  <c r="M50" i="328"/>
  <c r="AB50" i="328" s="1"/>
  <c r="AC42" i="328" s="1"/>
  <c r="AB42" i="328"/>
  <c r="AB44" i="328"/>
  <c r="AA44" i="328"/>
  <c r="Q44" i="328"/>
  <c r="P44" i="328"/>
  <c r="Q48" i="328"/>
  <c r="P48" i="328"/>
  <c r="AA49" i="328"/>
  <c r="AB49" i="328"/>
  <c r="M56" i="328"/>
  <c r="AB51" i="328"/>
  <c r="AA51" i="328"/>
  <c r="Q52" i="328"/>
  <c r="P52" i="328"/>
  <c r="AB53" i="328"/>
  <c r="AA53" i="328"/>
  <c r="Q53" i="328"/>
  <c r="P53" i="328"/>
  <c r="AB55" i="328"/>
  <c r="AA55" i="328"/>
  <c r="N55" i="328"/>
  <c r="M65" i="328"/>
  <c r="AB57" i="328"/>
  <c r="AA57" i="328"/>
  <c r="Q57" i="328"/>
  <c r="P57" i="328"/>
  <c r="P61" i="328"/>
  <c r="Q61" i="328"/>
  <c r="AA62" i="328"/>
  <c r="AB62" i="328"/>
  <c r="Q63" i="328"/>
  <c r="P63" i="328"/>
  <c r="AB64" i="328"/>
  <c r="AA64" i="328"/>
  <c r="P64" i="328"/>
  <c r="Q64" i="328"/>
  <c r="M74" i="328"/>
  <c r="AB66" i="328"/>
  <c r="AA66" i="328"/>
  <c r="Q66" i="328"/>
  <c r="P66" i="328"/>
  <c r="AB69" i="328"/>
  <c r="AA69" i="328"/>
  <c r="Q70" i="328"/>
  <c r="P70" i="328"/>
  <c r="AB71" i="328"/>
  <c r="AA71" i="328"/>
  <c r="Q73" i="328"/>
  <c r="P73" i="328"/>
  <c r="G6" i="329"/>
  <c r="F6" i="329"/>
  <c r="N59" i="328"/>
  <c r="N28" i="328"/>
  <c r="N46" i="328"/>
  <c r="N68" i="328"/>
  <c r="AA73" i="328"/>
  <c r="N6" i="328"/>
  <c r="AA6" i="328"/>
  <c r="AA28" i="328"/>
  <c r="AA46" i="328"/>
  <c r="AB73" i="328"/>
  <c r="AA59" i="328"/>
  <c r="N19" i="328"/>
  <c r="AA19" i="328"/>
  <c r="M18" i="325"/>
  <c r="L18" i="325"/>
  <c r="K18" i="325"/>
  <c r="J18" i="325"/>
  <c r="I18" i="325"/>
  <c r="H18" i="325"/>
  <c r="G18" i="325"/>
  <c r="F18" i="325"/>
  <c r="E18" i="325"/>
  <c r="D18" i="325"/>
  <c r="M17" i="325"/>
  <c r="L17" i="325"/>
  <c r="K17" i="325"/>
  <c r="J17" i="325"/>
  <c r="I17" i="325"/>
  <c r="H17" i="325"/>
  <c r="G17" i="325"/>
  <c r="F17" i="325"/>
  <c r="E17" i="325"/>
  <c r="D17" i="325"/>
  <c r="M16" i="325"/>
  <c r="L16" i="325"/>
  <c r="K16" i="325"/>
  <c r="J16" i="325"/>
  <c r="I16" i="325"/>
  <c r="H16" i="325"/>
  <c r="G16" i="325"/>
  <c r="F16" i="325"/>
  <c r="E16" i="325"/>
  <c r="D16" i="325"/>
  <c r="M13" i="325"/>
  <c r="K13" i="325"/>
  <c r="J13" i="325"/>
  <c r="I13" i="325"/>
  <c r="H13" i="325"/>
  <c r="G13" i="325"/>
  <c r="F13" i="325"/>
  <c r="E13" i="325"/>
  <c r="D13" i="325"/>
  <c r="F3" i="325"/>
  <c r="C3" i="325"/>
  <c r="O75" i="324"/>
  <c r="K75" i="324"/>
  <c r="V74" i="324"/>
  <c r="U74" i="324"/>
  <c r="O74" i="324"/>
  <c r="M74" i="324"/>
  <c r="K74" i="324"/>
  <c r="G74" i="324"/>
  <c r="V73" i="324"/>
  <c r="M73" i="324" s="1"/>
  <c r="N73" i="324" s="1"/>
  <c r="U73" i="324"/>
  <c r="Q73" i="324"/>
  <c r="P73" i="324"/>
  <c r="O73" i="324"/>
  <c r="K73" i="324"/>
  <c r="G73" i="324"/>
  <c r="X72" i="324"/>
  <c r="W72" i="324"/>
  <c r="V72" i="324"/>
  <c r="U72" i="324"/>
  <c r="O72" i="324"/>
  <c r="M72" i="324"/>
  <c r="K72" i="324"/>
  <c r="G72" i="324"/>
  <c r="AB71" i="324"/>
  <c r="AA71" i="324"/>
  <c r="V71" i="324"/>
  <c r="U71" i="324"/>
  <c r="O71" i="324"/>
  <c r="M71" i="324"/>
  <c r="N71" i="324" s="1"/>
  <c r="K71" i="324"/>
  <c r="G71" i="324"/>
  <c r="V70" i="324"/>
  <c r="M70" i="324" s="1"/>
  <c r="U70" i="324"/>
  <c r="O70" i="324"/>
  <c r="K70" i="324"/>
  <c r="G70" i="324"/>
  <c r="V69" i="324"/>
  <c r="U69" i="324"/>
  <c r="O69" i="324"/>
  <c r="M69" i="324"/>
  <c r="AB69" i="324" s="1"/>
  <c r="K69" i="324"/>
  <c r="G69" i="324"/>
  <c r="V68" i="324"/>
  <c r="M68" i="324" s="1"/>
  <c r="U68" i="324"/>
  <c r="O68" i="324"/>
  <c r="K68" i="324"/>
  <c r="G68" i="324"/>
  <c r="X67" i="324"/>
  <c r="W67" i="324"/>
  <c r="V67" i="324"/>
  <c r="O67" i="324"/>
  <c r="N67" i="324"/>
  <c r="P67" i="324" s="1"/>
  <c r="M67" i="324"/>
  <c r="K67" i="324"/>
  <c r="G67" i="324"/>
  <c r="O66" i="324"/>
  <c r="K66" i="324"/>
  <c r="V65" i="324"/>
  <c r="U65" i="324"/>
  <c r="O65" i="324"/>
  <c r="M65" i="324"/>
  <c r="K65" i="324"/>
  <c r="G65" i="324"/>
  <c r="X64" i="324"/>
  <c r="W64" i="324"/>
  <c r="V64" i="324"/>
  <c r="M64" i="324" s="1"/>
  <c r="N64" i="324" s="1"/>
  <c r="U64" i="324"/>
  <c r="O64" i="324"/>
  <c r="K64" i="324"/>
  <c r="G64" i="324"/>
  <c r="V63" i="324"/>
  <c r="M63" i="324" s="1"/>
  <c r="U63" i="324"/>
  <c r="O63" i="324"/>
  <c r="K63" i="324"/>
  <c r="G63" i="324"/>
  <c r="AB62" i="324"/>
  <c r="V62" i="324"/>
  <c r="U62" i="324"/>
  <c r="O62" i="324"/>
  <c r="M62" i="324"/>
  <c r="AA62" i="324" s="1"/>
  <c r="K62" i="324"/>
  <c r="G62" i="324"/>
  <c r="V61" i="324"/>
  <c r="U61" i="324"/>
  <c r="O61" i="324"/>
  <c r="M61" i="324"/>
  <c r="N61" i="324" s="1"/>
  <c r="K61" i="324"/>
  <c r="G61" i="324"/>
  <c r="V60" i="324"/>
  <c r="U60" i="324"/>
  <c r="O60" i="324"/>
  <c r="M60" i="324"/>
  <c r="AB60" i="324" s="1"/>
  <c r="K60" i="324"/>
  <c r="G60" i="324"/>
  <c r="AB59" i="324"/>
  <c r="AA59" i="324"/>
  <c r="V59" i="324"/>
  <c r="M59" i="324" s="1"/>
  <c r="U59" i="324"/>
  <c r="O59" i="324"/>
  <c r="N59" i="324"/>
  <c r="Q59" i="324" s="1"/>
  <c r="K59" i="324"/>
  <c r="G59" i="324"/>
  <c r="V58" i="324"/>
  <c r="O58" i="324"/>
  <c r="N58" i="324"/>
  <c r="M58" i="324"/>
  <c r="K58" i="324"/>
  <c r="G58" i="324"/>
  <c r="O57" i="324"/>
  <c r="K57" i="324"/>
  <c r="V56" i="324"/>
  <c r="U56" i="324"/>
  <c r="O56" i="324"/>
  <c r="M56" i="324"/>
  <c r="N56" i="324" s="1"/>
  <c r="K56" i="324"/>
  <c r="G56" i="324"/>
  <c r="V55" i="324"/>
  <c r="M55" i="324" s="1"/>
  <c r="N55" i="324" s="1"/>
  <c r="Q55" i="324" s="1"/>
  <c r="U55" i="324"/>
  <c r="O55" i="324"/>
  <c r="K55" i="324"/>
  <c r="G55" i="324"/>
  <c r="V54" i="324"/>
  <c r="U54" i="324"/>
  <c r="O54" i="324"/>
  <c r="M54" i="324"/>
  <c r="N54" i="324" s="1"/>
  <c r="K54" i="324"/>
  <c r="G54" i="324"/>
  <c r="V53" i="324"/>
  <c r="M53" i="324" s="1"/>
  <c r="N53" i="324" s="1"/>
  <c r="U53" i="324"/>
  <c r="O53" i="324"/>
  <c r="K53" i="324"/>
  <c r="G53" i="324"/>
  <c r="V52" i="324"/>
  <c r="O52" i="324"/>
  <c r="N52" i="324"/>
  <c r="P52" i="324" s="1"/>
  <c r="M52" i="324"/>
  <c r="K52" i="324"/>
  <c r="Q52" i="324" s="1"/>
  <c r="G52" i="324"/>
  <c r="O51" i="324"/>
  <c r="K51" i="324"/>
  <c r="V50" i="324"/>
  <c r="U50" i="324"/>
  <c r="O50" i="324"/>
  <c r="M50" i="324"/>
  <c r="K50" i="324"/>
  <c r="G50" i="324"/>
  <c r="AB49" i="324"/>
  <c r="AA49" i="324"/>
  <c r="V49" i="324"/>
  <c r="U49" i="324"/>
  <c r="O49" i="324"/>
  <c r="M49" i="324"/>
  <c r="N49" i="324" s="1"/>
  <c r="K49" i="324"/>
  <c r="G49" i="324"/>
  <c r="X48" i="324"/>
  <c r="W48" i="324"/>
  <c r="V48" i="324"/>
  <c r="U48" i="324"/>
  <c r="O48" i="324"/>
  <c r="M48" i="324"/>
  <c r="AB48" i="324" s="1"/>
  <c r="K48" i="324"/>
  <c r="G48" i="324"/>
  <c r="V47" i="324"/>
  <c r="U47" i="324"/>
  <c r="O47" i="324"/>
  <c r="M47" i="324"/>
  <c r="K47" i="324"/>
  <c r="G47" i="324"/>
  <c r="AB46" i="324"/>
  <c r="AA46" i="324"/>
  <c r="V46" i="324"/>
  <c r="M46" i="324" s="1"/>
  <c r="N46" i="324" s="1"/>
  <c r="U46" i="324"/>
  <c r="Q46" i="324"/>
  <c r="P46" i="324"/>
  <c r="O46" i="324"/>
  <c r="K46" i="324"/>
  <c r="G46" i="324"/>
  <c r="V45" i="324"/>
  <c r="U45" i="324"/>
  <c r="O45" i="324"/>
  <c r="N45" i="324"/>
  <c r="M45" i="324"/>
  <c r="K45" i="324"/>
  <c r="G45" i="324"/>
  <c r="V44" i="324"/>
  <c r="M44" i="324" s="1"/>
  <c r="N44" i="324" s="1"/>
  <c r="P44" i="324" s="1"/>
  <c r="U44" i="324"/>
  <c r="Q44" i="324"/>
  <c r="O44" i="324"/>
  <c r="K44" i="324"/>
  <c r="G44" i="324"/>
  <c r="V43" i="324"/>
  <c r="U43" i="324"/>
  <c r="O43" i="324"/>
  <c r="M43" i="324"/>
  <c r="K43" i="324"/>
  <c r="G43" i="324"/>
  <c r="AB42" i="324"/>
  <c r="AA42" i="324"/>
  <c r="V42" i="324"/>
  <c r="O42" i="324"/>
  <c r="M42" i="324"/>
  <c r="K42" i="324"/>
  <c r="G42" i="324"/>
  <c r="O41" i="324"/>
  <c r="K41" i="324"/>
  <c r="L13" i="325" s="1"/>
  <c r="V40" i="324"/>
  <c r="M40" i="324" s="1"/>
  <c r="N40" i="324" s="1"/>
  <c r="U40" i="324"/>
  <c r="O40" i="324"/>
  <c r="K40" i="324"/>
  <c r="G40" i="324"/>
  <c r="V39" i="324"/>
  <c r="U39" i="324"/>
  <c r="O39" i="324"/>
  <c r="M39" i="324"/>
  <c r="K39" i="324"/>
  <c r="G39" i="324"/>
  <c r="AB38" i="324"/>
  <c r="V38" i="324"/>
  <c r="U38" i="324"/>
  <c r="O38" i="324"/>
  <c r="M38" i="324"/>
  <c r="AA38" i="324" s="1"/>
  <c r="K38" i="324"/>
  <c r="G38" i="324"/>
  <c r="AB37" i="324"/>
  <c r="AA37" i="324"/>
  <c r="X37" i="324"/>
  <c r="W37" i="324"/>
  <c r="V37" i="324"/>
  <c r="M37" i="324" s="1"/>
  <c r="U37" i="324"/>
  <c r="O37" i="324"/>
  <c r="N37" i="324"/>
  <c r="Q37" i="324" s="1"/>
  <c r="K37" i="324"/>
  <c r="G37" i="324"/>
  <c r="V36" i="324"/>
  <c r="U36" i="324"/>
  <c r="O36" i="324"/>
  <c r="M36" i="324"/>
  <c r="K36" i="324"/>
  <c r="G36" i="324"/>
  <c r="V35" i="324"/>
  <c r="M35" i="324" s="1"/>
  <c r="N35" i="324" s="1"/>
  <c r="Q35" i="324" s="1"/>
  <c r="U35" i="324"/>
  <c r="O35" i="324"/>
  <c r="K35" i="324"/>
  <c r="G35" i="324"/>
  <c r="V34" i="324"/>
  <c r="U34" i="324"/>
  <c r="O34" i="324"/>
  <c r="M34" i="324"/>
  <c r="K34" i="324"/>
  <c r="G34" i="324"/>
  <c r="V33" i="324"/>
  <c r="M33" i="324" s="1"/>
  <c r="N33" i="324" s="1"/>
  <c r="U33" i="324"/>
  <c r="O33" i="324"/>
  <c r="K33" i="324"/>
  <c r="G33" i="324"/>
  <c r="X32" i="324"/>
  <c r="W32" i="324"/>
  <c r="V32" i="324"/>
  <c r="O32" i="324"/>
  <c r="N32" i="324"/>
  <c r="Q32" i="324" s="1"/>
  <c r="M32" i="324"/>
  <c r="K32" i="324"/>
  <c r="G32" i="324"/>
  <c r="O31" i="324"/>
  <c r="K31" i="324"/>
  <c r="V30" i="324"/>
  <c r="M30" i="324" s="1"/>
  <c r="U30" i="324"/>
  <c r="O30" i="324"/>
  <c r="K30" i="324"/>
  <c r="G30" i="324"/>
  <c r="X29" i="324"/>
  <c r="W29" i="324"/>
  <c r="V29" i="324"/>
  <c r="U29" i="324"/>
  <c r="O29" i="324"/>
  <c r="M29" i="324"/>
  <c r="K29" i="324"/>
  <c r="G29" i="324"/>
  <c r="V28" i="324"/>
  <c r="M28" i="324" s="1"/>
  <c r="N28" i="324" s="1"/>
  <c r="U28" i="324"/>
  <c r="Q28" i="324"/>
  <c r="P28" i="324"/>
  <c r="O28" i="324"/>
  <c r="K28" i="324"/>
  <c r="G28" i="324"/>
  <c r="V27" i="324"/>
  <c r="U27" i="324"/>
  <c r="O27" i="324"/>
  <c r="M27" i="324"/>
  <c r="K27" i="324"/>
  <c r="G27" i="324"/>
  <c r="V26" i="324"/>
  <c r="M26" i="324" s="1"/>
  <c r="N26" i="324" s="1"/>
  <c r="P26" i="324" s="1"/>
  <c r="U26" i="324"/>
  <c r="Q26" i="324"/>
  <c r="O26" i="324"/>
  <c r="K26" i="324"/>
  <c r="G26" i="324"/>
  <c r="X25" i="324"/>
  <c r="W25" i="324"/>
  <c r="V25" i="324"/>
  <c r="M25" i="324" s="1"/>
  <c r="O25" i="324"/>
  <c r="K25" i="324"/>
  <c r="G25" i="324"/>
  <c r="O24" i="324"/>
  <c r="K24" i="324"/>
  <c r="V23" i="324"/>
  <c r="U23" i="324"/>
  <c r="O23" i="324"/>
  <c r="M23" i="324"/>
  <c r="K23" i="324"/>
  <c r="G23" i="324"/>
  <c r="AB22" i="324"/>
  <c r="V22" i="324"/>
  <c r="U22" i="324"/>
  <c r="O22" i="324"/>
  <c r="M22" i="324"/>
  <c r="AA22" i="324" s="1"/>
  <c r="K22" i="324"/>
  <c r="G22" i="324"/>
  <c r="V21" i="324"/>
  <c r="U21" i="324"/>
  <c r="O21" i="324"/>
  <c r="M21" i="324"/>
  <c r="N21" i="324" s="1"/>
  <c r="K21" i="324"/>
  <c r="G21" i="324"/>
  <c r="V20" i="324"/>
  <c r="U20" i="324"/>
  <c r="O20" i="324"/>
  <c r="M20" i="324"/>
  <c r="AB20" i="324" s="1"/>
  <c r="K20" i="324"/>
  <c r="G20" i="324"/>
  <c r="AB19" i="324"/>
  <c r="V19" i="324"/>
  <c r="M19" i="324" s="1"/>
  <c r="AA19" i="324" s="1"/>
  <c r="U19" i="324"/>
  <c r="P19" i="324"/>
  <c r="O19" i="324"/>
  <c r="N19" i="324"/>
  <c r="Q19" i="324" s="1"/>
  <c r="K19" i="324"/>
  <c r="G19" i="324"/>
  <c r="V18" i="324"/>
  <c r="O18" i="324"/>
  <c r="M18" i="324"/>
  <c r="K18" i="324"/>
  <c r="G18" i="324"/>
  <c r="O17" i="324"/>
  <c r="K17" i="324"/>
  <c r="V16" i="324"/>
  <c r="U16" i="324"/>
  <c r="O16" i="324"/>
  <c r="M16" i="324"/>
  <c r="K16" i="324"/>
  <c r="G16" i="324"/>
  <c r="V15" i="324"/>
  <c r="M15" i="324" s="1"/>
  <c r="N15" i="324" s="1"/>
  <c r="U15" i="324"/>
  <c r="Q15" i="324"/>
  <c r="P15" i="324"/>
  <c r="O15" i="324"/>
  <c r="K15" i="324"/>
  <c r="G15" i="324"/>
  <c r="V14" i="324"/>
  <c r="O14" i="324"/>
  <c r="M14" i="324"/>
  <c r="K14" i="324"/>
  <c r="G14" i="324"/>
  <c r="O13" i="324"/>
  <c r="K13" i="324"/>
  <c r="V12" i="324"/>
  <c r="U12" i="324"/>
  <c r="O12" i="324"/>
  <c r="M12" i="324"/>
  <c r="K12" i="324"/>
  <c r="G12" i="324"/>
  <c r="AB11" i="324"/>
  <c r="AA11" i="324"/>
  <c r="X11" i="324"/>
  <c r="W11" i="324"/>
  <c r="V11" i="324"/>
  <c r="U11" i="324"/>
  <c r="O11" i="324"/>
  <c r="M11" i="324"/>
  <c r="N11" i="324" s="1"/>
  <c r="K11" i="324"/>
  <c r="G11" i="324"/>
  <c r="V10" i="324"/>
  <c r="U10" i="324"/>
  <c r="O10" i="324"/>
  <c r="M10" i="324"/>
  <c r="AB10" i="324" s="1"/>
  <c r="K10" i="324"/>
  <c r="G10" i="324"/>
  <c r="X9" i="324"/>
  <c r="W9" i="324"/>
  <c r="V9" i="324"/>
  <c r="O9" i="324"/>
  <c r="M9" i="324"/>
  <c r="N9" i="324" s="1"/>
  <c r="K9" i="324"/>
  <c r="G9" i="324"/>
  <c r="O8" i="324"/>
  <c r="K8" i="324"/>
  <c r="V7" i="324"/>
  <c r="U7" i="324"/>
  <c r="O7" i="324"/>
  <c r="M7" i="324"/>
  <c r="K7" i="324"/>
  <c r="G7" i="324"/>
  <c r="AA6" i="324"/>
  <c r="V6" i="324"/>
  <c r="M6" i="324" s="1"/>
  <c r="N6" i="324" s="1"/>
  <c r="U6" i="324"/>
  <c r="Q6" i="324"/>
  <c r="P6" i="324"/>
  <c r="O6" i="324"/>
  <c r="K6" i="324"/>
  <c r="G6" i="324"/>
  <c r="V5" i="324"/>
  <c r="O5" i="324"/>
  <c r="M5" i="324"/>
  <c r="K5" i="324"/>
  <c r="G5" i="324"/>
  <c r="H2" i="324"/>
  <c r="H1" i="324"/>
  <c r="D1" i="324"/>
  <c r="F6" i="325" l="1"/>
  <c r="E8" i="336"/>
  <c r="G8" i="336"/>
  <c r="F8" i="336"/>
  <c r="P17" i="330"/>
  <c r="Q17" i="330"/>
  <c r="R14" i="330" s="1"/>
  <c r="P24" i="330"/>
  <c r="Q24" i="330"/>
  <c r="R18" i="330" s="1"/>
  <c r="P65" i="330"/>
  <c r="Q65" i="330"/>
  <c r="R57" i="330" s="1"/>
  <c r="D2" i="330"/>
  <c r="P8" i="330"/>
  <c r="Q8" i="330"/>
  <c r="R5" i="330" s="1"/>
  <c r="Q41" i="330"/>
  <c r="R32" i="330" s="1"/>
  <c r="P41" i="330"/>
  <c r="P56" i="330"/>
  <c r="Q56" i="330"/>
  <c r="R51" i="330" s="1"/>
  <c r="P50" i="330"/>
  <c r="Q50" i="330"/>
  <c r="R42" i="330" s="1"/>
  <c r="P31" i="330"/>
  <c r="Q31" i="330"/>
  <c r="R25" i="330" s="1"/>
  <c r="P13" i="330"/>
  <c r="Q13" i="330"/>
  <c r="R9" i="330" s="1"/>
  <c r="Q5" i="328"/>
  <c r="P5" i="328"/>
  <c r="P20" i="328"/>
  <c r="Q20" i="328"/>
  <c r="N41" i="328"/>
  <c r="Q41" i="328" s="1"/>
  <c r="R32" i="328" s="1"/>
  <c r="AB41" i="328"/>
  <c r="AC32" i="328" s="1"/>
  <c r="AA41" i="328"/>
  <c r="N65" i="328"/>
  <c r="AB65" i="328"/>
  <c r="AC57" i="328" s="1"/>
  <c r="AA65" i="328"/>
  <c r="N56" i="328"/>
  <c r="AB56" i="328"/>
  <c r="AC51" i="328" s="1"/>
  <c r="AA56" i="328"/>
  <c r="P14" i="328"/>
  <c r="Q14" i="328"/>
  <c r="G14" i="329"/>
  <c r="G15" i="329" s="1"/>
  <c r="Q24" i="328"/>
  <c r="R18" i="328" s="1"/>
  <c r="P24" i="328"/>
  <c r="N74" i="328"/>
  <c r="AB74" i="328"/>
  <c r="AC66" i="328" s="1"/>
  <c r="AA74" i="328"/>
  <c r="K14" i="329"/>
  <c r="Q31" i="328"/>
  <c r="R25" i="328" s="1"/>
  <c r="P31" i="328"/>
  <c r="Q19" i="328"/>
  <c r="P19" i="328"/>
  <c r="P6" i="328"/>
  <c r="Q6" i="328"/>
  <c r="Q68" i="328"/>
  <c r="P68" i="328"/>
  <c r="P46" i="328"/>
  <c r="Q46" i="328"/>
  <c r="Q28" i="328"/>
  <c r="P28" i="328"/>
  <c r="Q59" i="328"/>
  <c r="P59" i="328"/>
  <c r="Q55" i="328"/>
  <c r="P55" i="328"/>
  <c r="AA50" i="328"/>
  <c r="N50" i="328"/>
  <c r="P35" i="328"/>
  <c r="Q35" i="328"/>
  <c r="P41" i="328"/>
  <c r="P15" i="328"/>
  <c r="Q15" i="328"/>
  <c r="AB17" i="328"/>
  <c r="AC14" i="328" s="1"/>
  <c r="AA17" i="328"/>
  <c r="N17" i="328"/>
  <c r="AA8" i="328"/>
  <c r="N8" i="328"/>
  <c r="AB8" i="328"/>
  <c r="AC5" i="328" s="1"/>
  <c r="Q9" i="324"/>
  <c r="P9" i="324"/>
  <c r="AB70" i="324"/>
  <c r="N70" i="324"/>
  <c r="AA70" i="324"/>
  <c r="AB30" i="324"/>
  <c r="N30" i="324"/>
  <c r="AA30" i="324"/>
  <c r="P61" i="324"/>
  <c r="Q61" i="324"/>
  <c r="Q56" i="324"/>
  <c r="P56" i="324"/>
  <c r="AB63" i="324"/>
  <c r="AA63" i="324"/>
  <c r="N63" i="324"/>
  <c r="N68" i="324"/>
  <c r="AA68" i="324"/>
  <c r="AB68" i="324"/>
  <c r="Q54" i="324"/>
  <c r="P54" i="324"/>
  <c r="P21" i="324"/>
  <c r="Q21" i="324"/>
  <c r="AA25" i="324"/>
  <c r="M31" i="324"/>
  <c r="AB25" i="324"/>
  <c r="N25" i="324"/>
  <c r="AB12" i="324"/>
  <c r="AA12" i="324"/>
  <c r="M8" i="324"/>
  <c r="AA5" i="324"/>
  <c r="AB5" i="324"/>
  <c r="Q11" i="324"/>
  <c r="P11" i="324"/>
  <c r="AA26" i="324"/>
  <c r="AB29" i="324"/>
  <c r="AA29" i="324"/>
  <c r="N29" i="324"/>
  <c r="AA32" i="324"/>
  <c r="AB32" i="324"/>
  <c r="AA48" i="324"/>
  <c r="Q64" i="324"/>
  <c r="P64" i="324"/>
  <c r="M75" i="324"/>
  <c r="AB67" i="324"/>
  <c r="AA67" i="324"/>
  <c r="AA73" i="324"/>
  <c r="G6" i="325"/>
  <c r="AA10" i="324"/>
  <c r="AB15" i="324"/>
  <c r="AB34" i="324"/>
  <c r="AA34" i="324"/>
  <c r="AA61" i="324"/>
  <c r="N34" i="324"/>
  <c r="AA54" i="324"/>
  <c r="AB54" i="324"/>
  <c r="AB61" i="324"/>
  <c r="AB16" i="324"/>
  <c r="AA16" i="324"/>
  <c r="AA39" i="324"/>
  <c r="AB39" i="324"/>
  <c r="N39" i="324"/>
  <c r="AA21" i="324"/>
  <c r="P32" i="324"/>
  <c r="Q49" i="324"/>
  <c r="P49" i="324"/>
  <c r="M57" i="324"/>
  <c r="AB52" i="324"/>
  <c r="AA52" i="324"/>
  <c r="AA64" i="324"/>
  <c r="AB18" i="324"/>
  <c r="AA18" i="324"/>
  <c r="M24" i="324"/>
  <c r="AA23" i="324"/>
  <c r="AB23" i="324"/>
  <c r="N18" i="324"/>
  <c r="N23" i="324"/>
  <c r="AB36" i="324"/>
  <c r="AA36" i="324"/>
  <c r="AA53" i="324"/>
  <c r="M17" i="324"/>
  <c r="AB14" i="324"/>
  <c r="AA14" i="324"/>
  <c r="AB21" i="324"/>
  <c r="N10" i="324"/>
  <c r="AA28" i="324"/>
  <c r="N36" i="324"/>
  <c r="M41" i="324"/>
  <c r="AB56" i="324"/>
  <c r="AA56" i="324"/>
  <c r="Q71" i="324"/>
  <c r="P71" i="324"/>
  <c r="AA15" i="324"/>
  <c r="AB28" i="324"/>
  <c r="P59" i="324"/>
  <c r="AB27" i="324"/>
  <c r="AA27" i="324"/>
  <c r="P37" i="324"/>
  <c r="M51" i="324"/>
  <c r="AB64" i="324"/>
  <c r="AB72" i="324"/>
  <c r="AA72" i="324"/>
  <c r="AB74" i="324"/>
  <c r="AA74" i="324"/>
  <c r="AB6" i="324"/>
  <c r="N14" i="324"/>
  <c r="N27" i="324"/>
  <c r="AA44" i="324"/>
  <c r="AB47" i="324"/>
  <c r="AA47" i="324"/>
  <c r="N47" i="324"/>
  <c r="N72" i="324"/>
  <c r="N74" i="324"/>
  <c r="AB44" i="324"/>
  <c r="I6" i="325"/>
  <c r="Q58" i="324"/>
  <c r="P58" i="324"/>
  <c r="P45" i="324"/>
  <c r="Q45" i="324"/>
  <c r="N12" i="324"/>
  <c r="AA35" i="324"/>
  <c r="AB50" i="324"/>
  <c r="AA50" i="324"/>
  <c r="N5" i="324"/>
  <c r="AB35" i="324"/>
  <c r="Q40" i="324"/>
  <c r="P40" i="324"/>
  <c r="AB43" i="324"/>
  <c r="AA43" i="324"/>
  <c r="N48" i="324"/>
  <c r="N50" i="324"/>
  <c r="AA55" i="324"/>
  <c r="Q33" i="324"/>
  <c r="P33" i="324"/>
  <c r="AA40" i="324"/>
  <c r="N43" i="324"/>
  <c r="AB55" i="324"/>
  <c r="AA33" i="324"/>
  <c r="AB40" i="324"/>
  <c r="Q53" i="324"/>
  <c r="P53" i="324"/>
  <c r="AB33" i="324"/>
  <c r="AB53" i="324"/>
  <c r="E6" i="325"/>
  <c r="AB26" i="324"/>
  <c r="Q67" i="324"/>
  <c r="AB73" i="324"/>
  <c r="AB9" i="324"/>
  <c r="AA9" i="324"/>
  <c r="M13" i="324"/>
  <c r="N16" i="324"/>
  <c r="P35" i="324"/>
  <c r="AB65" i="324"/>
  <c r="AA65" i="324"/>
  <c r="AB7" i="324"/>
  <c r="AA7" i="324"/>
  <c r="P55" i="324"/>
  <c r="N65" i="324"/>
  <c r="F1" i="324"/>
  <c r="N7" i="324"/>
  <c r="AB45" i="324"/>
  <c r="AA45" i="324"/>
  <c r="M66" i="324"/>
  <c r="AB58" i="324"/>
  <c r="AA58" i="324"/>
  <c r="N62" i="324"/>
  <c r="N42" i="324"/>
  <c r="N60" i="324"/>
  <c r="N69" i="324"/>
  <c r="AA20" i="324"/>
  <c r="AA60" i="324"/>
  <c r="N20" i="324"/>
  <c r="N22" i="324"/>
  <c r="N38" i="324"/>
  <c r="AA69" i="324"/>
  <c r="M14" i="329" l="1"/>
  <c r="M15" i="329" s="1"/>
  <c r="Q74" i="328"/>
  <c r="R66" i="328" s="1"/>
  <c r="P74" i="328"/>
  <c r="K15" i="329"/>
  <c r="I14" i="329"/>
  <c r="I15" i="329" s="1"/>
  <c r="Q56" i="328"/>
  <c r="R51" i="328" s="1"/>
  <c r="P56" i="328"/>
  <c r="J14" i="329"/>
  <c r="J15" i="329" s="1"/>
  <c r="Q65" i="328"/>
  <c r="R57" i="328" s="1"/>
  <c r="P65" i="328"/>
  <c r="L14" i="329"/>
  <c r="L15" i="329" s="1"/>
  <c r="Q8" i="328"/>
  <c r="R5" i="328" s="1"/>
  <c r="P8" i="328"/>
  <c r="D2" i="328"/>
  <c r="D14" i="329"/>
  <c r="D15" i="329" s="1"/>
  <c r="F14" i="329"/>
  <c r="F15" i="329" s="1"/>
  <c r="P17" i="328"/>
  <c r="Q17" i="328"/>
  <c r="R14" i="328" s="1"/>
  <c r="Q50" i="328"/>
  <c r="R42" i="328" s="1"/>
  <c r="P50" i="328"/>
  <c r="H14" i="329"/>
  <c r="H15" i="329" s="1"/>
  <c r="Q68" i="324"/>
  <c r="P68" i="324"/>
  <c r="Q22" i="324"/>
  <c r="P22" i="324"/>
  <c r="Q72" i="324"/>
  <c r="P72" i="324"/>
  <c r="Q47" i="324"/>
  <c r="P47" i="324"/>
  <c r="P48" i="324"/>
  <c r="Q48" i="324"/>
  <c r="Q60" i="324"/>
  <c r="P60" i="324"/>
  <c r="AB41" i="324"/>
  <c r="AC32" i="324" s="1"/>
  <c r="AA41" i="324"/>
  <c r="N41" i="324"/>
  <c r="N57" i="324"/>
  <c r="AB57" i="324"/>
  <c r="AC52" i="324" s="1"/>
  <c r="AA57" i="324"/>
  <c r="Q25" i="324"/>
  <c r="P25" i="324"/>
  <c r="Q62" i="324"/>
  <c r="P62" i="324"/>
  <c r="Q14" i="324"/>
  <c r="P14" i="324"/>
  <c r="P12" i="324"/>
  <c r="Q12" i="324"/>
  <c r="Q63" i="324"/>
  <c r="P63" i="324"/>
  <c r="P74" i="324"/>
  <c r="Q74" i="324"/>
  <c r="AB24" i="324"/>
  <c r="AC18" i="324" s="1"/>
  <c r="AA24" i="324"/>
  <c r="N24" i="324"/>
  <c r="Q36" i="324"/>
  <c r="P36" i="324"/>
  <c r="Q10" i="324"/>
  <c r="P10" i="324"/>
  <c r="AB31" i="324"/>
  <c r="AC25" i="324" s="1"/>
  <c r="N31" i="324"/>
  <c r="AA31" i="324"/>
  <c r="P70" i="324"/>
  <c r="Q70" i="324"/>
  <c r="F2" i="324"/>
  <c r="I3" i="325"/>
  <c r="P23" i="324"/>
  <c r="Q23" i="324"/>
  <c r="Q34" i="324"/>
  <c r="P34" i="324"/>
  <c r="P20" i="324"/>
  <c r="Q20" i="324"/>
  <c r="AA51" i="324"/>
  <c r="N51" i="324"/>
  <c r="AB51" i="324"/>
  <c r="AC42" i="324" s="1"/>
  <c r="Q65" i="324"/>
  <c r="P65" i="324"/>
  <c r="P18" i="324"/>
  <c r="Q18" i="324"/>
  <c r="P16" i="324"/>
  <c r="Q16" i="324"/>
  <c r="AA8" i="324"/>
  <c r="N8" i="324"/>
  <c r="AB8" i="324"/>
  <c r="AC5" i="324" s="1"/>
  <c r="Q42" i="324"/>
  <c r="P42" i="324"/>
  <c r="N75" i="324"/>
  <c r="AB75" i="324"/>
  <c r="AC67" i="324" s="1"/>
  <c r="AA75" i="324"/>
  <c r="N66" i="324"/>
  <c r="AB66" i="324"/>
  <c r="AC58" i="324" s="1"/>
  <c r="AA66" i="324"/>
  <c r="N17" i="324"/>
  <c r="AB17" i="324"/>
  <c r="AC14" i="324" s="1"/>
  <c r="AA17" i="324"/>
  <c r="P7" i="324"/>
  <c r="Q7" i="324"/>
  <c r="P29" i="324"/>
  <c r="Q29" i="324"/>
  <c r="Q43" i="324"/>
  <c r="P43" i="324"/>
  <c r="Q38" i="324"/>
  <c r="P38" i="324"/>
  <c r="Q50" i="324"/>
  <c r="P50" i="324"/>
  <c r="N13" i="324"/>
  <c r="AB13" i="324"/>
  <c r="AC9" i="324" s="1"/>
  <c r="AA13" i="324"/>
  <c r="Q69" i="324"/>
  <c r="P69" i="324"/>
  <c r="Q30" i="324"/>
  <c r="P30" i="324"/>
  <c r="Q27" i="324"/>
  <c r="P27" i="324"/>
  <c r="Q5" i="324"/>
  <c r="P5" i="324"/>
  <c r="Q39" i="324"/>
  <c r="P39" i="324"/>
  <c r="G8" i="329" l="1"/>
  <c r="F8" i="329"/>
  <c r="E8" i="329"/>
  <c r="I8" i="329"/>
  <c r="I7" i="329"/>
  <c r="G7" i="329"/>
  <c r="E7" i="329"/>
  <c r="F7" i="329"/>
  <c r="Q24" i="324"/>
  <c r="R18" i="324" s="1"/>
  <c r="G14" i="325"/>
  <c r="G15" i="325" s="1"/>
  <c r="P24" i="324"/>
  <c r="P13" i="324"/>
  <c r="E14" i="325"/>
  <c r="E15" i="325" s="1"/>
  <c r="Q13" i="324"/>
  <c r="R9" i="324" s="1"/>
  <c r="K14" i="325"/>
  <c r="Q31" i="324"/>
  <c r="R25" i="324" s="1"/>
  <c r="P31" i="324"/>
  <c r="J14" i="325"/>
  <c r="J15" i="325" s="1"/>
  <c r="P66" i="324"/>
  <c r="Q66" i="324"/>
  <c r="R58" i="324" s="1"/>
  <c r="I14" i="325"/>
  <c r="I15" i="325" s="1"/>
  <c r="Q57" i="324"/>
  <c r="R52" i="324" s="1"/>
  <c r="P57" i="324"/>
  <c r="Q51" i="324"/>
  <c r="R42" i="324" s="1"/>
  <c r="P51" i="324"/>
  <c r="H14" i="325"/>
  <c r="H15" i="325" s="1"/>
  <c r="L14" i="325"/>
  <c r="L15" i="325" s="1"/>
  <c r="P41" i="324"/>
  <c r="Q41" i="324"/>
  <c r="R32" i="324" s="1"/>
  <c r="F14" i="325"/>
  <c r="F15" i="325" s="1"/>
  <c r="Q17" i="324"/>
  <c r="R14" i="324" s="1"/>
  <c r="P17" i="324"/>
  <c r="M14" i="325"/>
  <c r="M15" i="325" s="1"/>
  <c r="Q75" i="324"/>
  <c r="R67" i="324" s="1"/>
  <c r="P75" i="324"/>
  <c r="D14" i="325"/>
  <c r="P8" i="324"/>
  <c r="D2" i="324"/>
  <c r="Q8" i="324"/>
  <c r="R5" i="324" s="1"/>
  <c r="I7" i="325" l="1"/>
  <c r="K15" i="325"/>
  <c r="I8" i="325" s="1"/>
  <c r="E7" i="325"/>
  <c r="G7" i="325"/>
  <c r="F7" i="325"/>
  <c r="D15" i="325"/>
  <c r="G8" i="325" l="1"/>
  <c r="F8" i="325"/>
  <c r="E8" i="325"/>
  <c r="M18" i="323" l="1"/>
  <c r="L18" i="323"/>
  <c r="K18" i="323"/>
  <c r="J18" i="323"/>
  <c r="I18" i="323"/>
  <c r="H18" i="323"/>
  <c r="G18" i="323"/>
  <c r="F18" i="323"/>
  <c r="E18" i="323"/>
  <c r="D18" i="323"/>
  <c r="M17" i="323"/>
  <c r="L17" i="323"/>
  <c r="K17" i="323"/>
  <c r="J17" i="323"/>
  <c r="I17" i="323"/>
  <c r="H17" i="323"/>
  <c r="G17" i="323"/>
  <c r="F17" i="323"/>
  <c r="E17" i="323"/>
  <c r="D17" i="323"/>
  <c r="M16" i="323"/>
  <c r="L16" i="323"/>
  <c r="K16" i="323"/>
  <c r="J16" i="323"/>
  <c r="I16" i="323"/>
  <c r="H16" i="323"/>
  <c r="G16" i="323"/>
  <c r="F16" i="323"/>
  <c r="E16" i="323"/>
  <c r="D16" i="323"/>
  <c r="M13" i="323"/>
  <c r="L13" i="323"/>
  <c r="K13" i="323"/>
  <c r="I6" i="323" s="1"/>
  <c r="J13" i="323"/>
  <c r="I13" i="323"/>
  <c r="H13" i="323"/>
  <c r="G13" i="323"/>
  <c r="F13" i="323"/>
  <c r="E13" i="323"/>
  <c r="D13" i="323"/>
  <c r="E6" i="323" s="1"/>
  <c r="F3" i="323"/>
  <c r="C3" i="323"/>
  <c r="O68" i="322"/>
  <c r="K68" i="322"/>
  <c r="V67" i="322"/>
  <c r="U67" i="322"/>
  <c r="O67" i="322"/>
  <c r="M67" i="322"/>
  <c r="K67" i="322"/>
  <c r="G67" i="322"/>
  <c r="V66" i="322"/>
  <c r="M66" i="322" s="1"/>
  <c r="N66" i="322" s="1"/>
  <c r="U66" i="322"/>
  <c r="Q66" i="322"/>
  <c r="P66" i="322"/>
  <c r="O66" i="322"/>
  <c r="K66" i="322"/>
  <c r="G66" i="322"/>
  <c r="X65" i="322"/>
  <c r="W65" i="322"/>
  <c r="V65" i="322"/>
  <c r="U65" i="322"/>
  <c r="Q65" i="322"/>
  <c r="P65" i="322"/>
  <c r="O65" i="322"/>
  <c r="N65" i="322"/>
  <c r="M65" i="322"/>
  <c r="K65" i="322"/>
  <c r="G65" i="322"/>
  <c r="AB64" i="322"/>
  <c r="AA64" i="322"/>
  <c r="V64" i="322"/>
  <c r="U64" i="322"/>
  <c r="O64" i="322"/>
  <c r="M64" i="322"/>
  <c r="N64" i="322" s="1"/>
  <c r="K64" i="322"/>
  <c r="G64" i="322"/>
  <c r="V63" i="322"/>
  <c r="U63" i="322"/>
  <c r="O63" i="322"/>
  <c r="M63" i="322"/>
  <c r="K63" i="322"/>
  <c r="G63" i="322"/>
  <c r="V62" i="322"/>
  <c r="U62" i="322"/>
  <c r="O62" i="322"/>
  <c r="M62" i="322"/>
  <c r="AB62" i="322" s="1"/>
  <c r="K62" i="322"/>
  <c r="G62" i="322"/>
  <c r="V61" i="322"/>
  <c r="U61" i="322"/>
  <c r="O61" i="322"/>
  <c r="M61" i="322"/>
  <c r="N61" i="322" s="1"/>
  <c r="K61" i="322"/>
  <c r="G61" i="322"/>
  <c r="X60" i="322"/>
  <c r="W60" i="322"/>
  <c r="V60" i="322"/>
  <c r="O60" i="322"/>
  <c r="N60" i="322"/>
  <c r="M60" i="322"/>
  <c r="K60" i="322"/>
  <c r="G60" i="322"/>
  <c r="O59" i="322"/>
  <c r="K59" i="322"/>
  <c r="V58" i="322"/>
  <c r="U58" i="322"/>
  <c r="O58" i="322"/>
  <c r="M58" i="322"/>
  <c r="N58" i="322" s="1"/>
  <c r="K58" i="322"/>
  <c r="G58" i="322"/>
  <c r="AA57" i="322"/>
  <c r="V57" i="322"/>
  <c r="M57" i="322" s="1"/>
  <c r="N57" i="322" s="1"/>
  <c r="P57" i="322" s="1"/>
  <c r="U57" i="322"/>
  <c r="Q57" i="322"/>
  <c r="O57" i="322"/>
  <c r="K57" i="322"/>
  <c r="G57" i="322"/>
  <c r="V56" i="322"/>
  <c r="U56" i="322"/>
  <c r="O56" i="322"/>
  <c r="M56" i="322"/>
  <c r="N56" i="322" s="1"/>
  <c r="K56" i="322"/>
  <c r="G56" i="322"/>
  <c r="V55" i="322"/>
  <c r="M55" i="322" s="1"/>
  <c r="N55" i="322" s="1"/>
  <c r="U55" i="322"/>
  <c r="O55" i="322"/>
  <c r="K55" i="322"/>
  <c r="G55" i="322"/>
  <c r="V54" i="322"/>
  <c r="U54" i="322"/>
  <c r="O54" i="322"/>
  <c r="M54" i="322"/>
  <c r="K54" i="322"/>
  <c r="G54" i="322"/>
  <c r="V53" i="322"/>
  <c r="O53" i="322"/>
  <c r="M53" i="322"/>
  <c r="AB53" i="322" s="1"/>
  <c r="K53" i="322"/>
  <c r="G53" i="322"/>
  <c r="O52" i="322"/>
  <c r="K52" i="322"/>
  <c r="AB51" i="322"/>
  <c r="V51" i="322"/>
  <c r="U51" i="322"/>
  <c r="O51" i="322"/>
  <c r="M51" i="322"/>
  <c r="AA51" i="322" s="1"/>
  <c r="K51" i="322"/>
  <c r="G51" i="322"/>
  <c r="V50" i="322"/>
  <c r="M50" i="322" s="1"/>
  <c r="U50" i="322"/>
  <c r="O50" i="322"/>
  <c r="K50" i="322"/>
  <c r="G50" i="322"/>
  <c r="V49" i="322"/>
  <c r="U49" i="322"/>
  <c r="O49" i="322"/>
  <c r="M49" i="322"/>
  <c r="AA49" i="322" s="1"/>
  <c r="K49" i="322"/>
  <c r="G49" i="322"/>
  <c r="V48" i="322"/>
  <c r="M48" i="322" s="1"/>
  <c r="M52" i="322" s="1"/>
  <c r="U48" i="322"/>
  <c r="O48" i="322"/>
  <c r="N48" i="322"/>
  <c r="Q48" i="322" s="1"/>
  <c r="K48" i="322"/>
  <c r="G48" i="322"/>
  <c r="V47" i="322"/>
  <c r="O47" i="322"/>
  <c r="N47" i="322"/>
  <c r="M47" i="322"/>
  <c r="K47" i="322"/>
  <c r="G47" i="322"/>
  <c r="O46" i="322"/>
  <c r="K46" i="322"/>
  <c r="V45" i="322"/>
  <c r="U45" i="322"/>
  <c r="O45" i="322"/>
  <c r="M45" i="322"/>
  <c r="K45" i="322"/>
  <c r="G45" i="322"/>
  <c r="AB44" i="322"/>
  <c r="AA44" i="322"/>
  <c r="X44" i="322"/>
  <c r="W44" i="322"/>
  <c r="V44" i="322"/>
  <c r="M44" i="322" s="1"/>
  <c r="N44" i="322" s="1"/>
  <c r="U44" i="322"/>
  <c r="O44" i="322"/>
  <c r="K44" i="322"/>
  <c r="G44" i="322"/>
  <c r="V43" i="322"/>
  <c r="U43" i="322"/>
  <c r="O43" i="322"/>
  <c r="M43" i="322"/>
  <c r="K43" i="322"/>
  <c r="G43" i="322"/>
  <c r="AB42" i="322"/>
  <c r="AA42" i="322"/>
  <c r="V42" i="322"/>
  <c r="U42" i="322"/>
  <c r="O42" i="322"/>
  <c r="M42" i="322"/>
  <c r="N42" i="322" s="1"/>
  <c r="K42" i="322"/>
  <c r="G42" i="322"/>
  <c r="V41" i="322"/>
  <c r="U41" i="322"/>
  <c r="O41" i="322"/>
  <c r="M41" i="322"/>
  <c r="K41" i="322"/>
  <c r="G41" i="322"/>
  <c r="V40" i="322"/>
  <c r="U40" i="322"/>
  <c r="O40" i="322"/>
  <c r="M40" i="322"/>
  <c r="AB40" i="322" s="1"/>
  <c r="K40" i="322"/>
  <c r="G40" i="322"/>
  <c r="AB39" i="322"/>
  <c r="V39" i="322"/>
  <c r="M39" i="322" s="1"/>
  <c r="N39" i="322" s="1"/>
  <c r="O39" i="322"/>
  <c r="K39" i="322"/>
  <c r="G39" i="322"/>
  <c r="O38" i="322"/>
  <c r="K38" i="322"/>
  <c r="V37" i="322"/>
  <c r="U37" i="322"/>
  <c r="O37" i="322"/>
  <c r="M37" i="322"/>
  <c r="AB37" i="322" s="1"/>
  <c r="K37" i="322"/>
  <c r="G37" i="322"/>
  <c r="X36" i="322"/>
  <c r="W36" i="322"/>
  <c r="V36" i="322"/>
  <c r="U36" i="322"/>
  <c r="O36" i="322"/>
  <c r="M36" i="322"/>
  <c r="K36" i="322"/>
  <c r="G36" i="322"/>
  <c r="V35" i="322"/>
  <c r="M35" i="322" s="1"/>
  <c r="N35" i="322" s="1"/>
  <c r="P35" i="322" s="1"/>
  <c r="U35" i="322"/>
  <c r="Q35" i="322"/>
  <c r="O35" i="322"/>
  <c r="K35" i="322"/>
  <c r="G35" i="322"/>
  <c r="V34" i="322"/>
  <c r="U34" i="322"/>
  <c r="O34" i="322"/>
  <c r="N34" i="322"/>
  <c r="Q34" i="322" s="1"/>
  <c r="M34" i="322"/>
  <c r="K34" i="322"/>
  <c r="G34" i="322"/>
  <c r="V33" i="322"/>
  <c r="M33" i="322" s="1"/>
  <c r="N33" i="322" s="1"/>
  <c r="U33" i="322"/>
  <c r="O33" i="322"/>
  <c r="K33" i="322"/>
  <c r="G33" i="322"/>
  <c r="X32" i="322"/>
  <c r="W32" i="322"/>
  <c r="V32" i="322"/>
  <c r="M32" i="322" s="1"/>
  <c r="O32" i="322"/>
  <c r="K32" i="322"/>
  <c r="G32" i="322"/>
  <c r="O31" i="322"/>
  <c r="K31" i="322"/>
  <c r="V30" i="322"/>
  <c r="U30" i="322"/>
  <c r="O30" i="322"/>
  <c r="M30" i="322"/>
  <c r="AB30" i="322" s="1"/>
  <c r="K30" i="322"/>
  <c r="G30" i="322"/>
  <c r="X29" i="322"/>
  <c r="W29" i="322"/>
  <c r="V29" i="322"/>
  <c r="U29" i="322"/>
  <c r="O29" i="322"/>
  <c r="M29" i="322"/>
  <c r="K29" i="322"/>
  <c r="G29" i="322"/>
  <c r="V28" i="322"/>
  <c r="M28" i="322" s="1"/>
  <c r="N28" i="322" s="1"/>
  <c r="U28" i="322"/>
  <c r="Q28" i="322"/>
  <c r="P28" i="322"/>
  <c r="O28" i="322"/>
  <c r="K28" i="322"/>
  <c r="G28" i="322"/>
  <c r="V27" i="322"/>
  <c r="U27" i="322"/>
  <c r="O27" i="322"/>
  <c r="M27" i="322"/>
  <c r="K27" i="322"/>
  <c r="G27" i="322"/>
  <c r="V26" i="322"/>
  <c r="M26" i="322" s="1"/>
  <c r="N26" i="322" s="1"/>
  <c r="U26" i="322"/>
  <c r="O26" i="322"/>
  <c r="K26" i="322"/>
  <c r="G26" i="322"/>
  <c r="X25" i="322"/>
  <c r="W25" i="322"/>
  <c r="V25" i="322"/>
  <c r="O25" i="322"/>
  <c r="M25" i="322"/>
  <c r="K25" i="322"/>
  <c r="G25" i="322"/>
  <c r="O24" i="322"/>
  <c r="K24" i="322"/>
  <c r="V23" i="322"/>
  <c r="M23" i="322" s="1"/>
  <c r="U23" i="322"/>
  <c r="O23" i="322"/>
  <c r="K23" i="322"/>
  <c r="G23" i="322"/>
  <c r="V22" i="322"/>
  <c r="U22" i="322"/>
  <c r="O22" i="322"/>
  <c r="M22" i="322"/>
  <c r="AB22" i="322" s="1"/>
  <c r="K22" i="322"/>
  <c r="G22" i="322"/>
  <c r="V21" i="322"/>
  <c r="M21" i="322" s="1"/>
  <c r="U21" i="322"/>
  <c r="O21" i="322"/>
  <c r="K21" i="322"/>
  <c r="G21" i="322"/>
  <c r="V20" i="322"/>
  <c r="U20" i="322"/>
  <c r="O20" i="322"/>
  <c r="M20" i="322"/>
  <c r="AB20" i="322" s="1"/>
  <c r="K20" i="322"/>
  <c r="G20" i="322"/>
  <c r="V19" i="322"/>
  <c r="M19" i="322" s="1"/>
  <c r="N19" i="322" s="1"/>
  <c r="U19" i="322"/>
  <c r="Q19" i="322"/>
  <c r="P19" i="322"/>
  <c r="O19" i="322"/>
  <c r="K19" i="322"/>
  <c r="G19" i="322"/>
  <c r="V18" i="322"/>
  <c r="O18" i="322"/>
  <c r="N18" i="322"/>
  <c r="M18" i="322"/>
  <c r="K18" i="322"/>
  <c r="G18" i="322"/>
  <c r="O17" i="322"/>
  <c r="K17" i="322"/>
  <c r="V16" i="322"/>
  <c r="U16" i="322"/>
  <c r="O16" i="322"/>
  <c r="M16" i="322"/>
  <c r="K16" i="322"/>
  <c r="G16" i="322"/>
  <c r="V15" i="322"/>
  <c r="M15" i="322" s="1"/>
  <c r="N15" i="322" s="1"/>
  <c r="P15" i="322" s="1"/>
  <c r="U15" i="322"/>
  <c r="O15" i="322"/>
  <c r="K15" i="322"/>
  <c r="G15" i="322"/>
  <c r="V14" i="322"/>
  <c r="O14" i="322"/>
  <c r="M14" i="322"/>
  <c r="K14" i="322"/>
  <c r="G14" i="322"/>
  <c r="O13" i="322"/>
  <c r="K13" i="322"/>
  <c r="V12" i="322"/>
  <c r="U12" i="322"/>
  <c r="O12" i="322"/>
  <c r="M12" i="322"/>
  <c r="N12" i="322" s="1"/>
  <c r="K12" i="322"/>
  <c r="G12" i="322"/>
  <c r="AB11" i="322"/>
  <c r="AA11" i="322"/>
  <c r="X11" i="322"/>
  <c r="W11" i="322"/>
  <c r="V11" i="322"/>
  <c r="U11" i="322"/>
  <c r="O11" i="322"/>
  <c r="M11" i="322"/>
  <c r="N11" i="322" s="1"/>
  <c r="K11" i="322"/>
  <c r="G11" i="322"/>
  <c r="V10" i="322"/>
  <c r="U10" i="322"/>
  <c r="O10" i="322"/>
  <c r="M10" i="322"/>
  <c r="AB10" i="322" s="1"/>
  <c r="K10" i="322"/>
  <c r="G10" i="322"/>
  <c r="X9" i="322"/>
  <c r="W9" i="322"/>
  <c r="V9" i="322"/>
  <c r="O9" i="322"/>
  <c r="M9" i="322"/>
  <c r="K9" i="322"/>
  <c r="G9" i="322"/>
  <c r="O8" i="322"/>
  <c r="K8" i="322"/>
  <c r="V7" i="322"/>
  <c r="U7" i="322"/>
  <c r="O7" i="322"/>
  <c r="M7" i="322"/>
  <c r="N7" i="322" s="1"/>
  <c r="K7" i="322"/>
  <c r="G7" i="322"/>
  <c r="V6" i="322"/>
  <c r="M6" i="322" s="1"/>
  <c r="N6" i="322" s="1"/>
  <c r="U6" i="322"/>
  <c r="Q6" i="322"/>
  <c r="P6" i="322"/>
  <c r="O6" i="322"/>
  <c r="K6" i="322"/>
  <c r="G6" i="322"/>
  <c r="V5" i="322"/>
  <c r="O5" i="322"/>
  <c r="M5" i="322"/>
  <c r="K5" i="322"/>
  <c r="G5" i="322"/>
  <c r="H2" i="322"/>
  <c r="H1" i="322"/>
  <c r="D1" i="322"/>
  <c r="AA32" i="322" l="1"/>
  <c r="M38" i="322"/>
  <c r="AB32" i="322"/>
  <c r="N32" i="322"/>
  <c r="N21" i="322"/>
  <c r="AB21" i="322"/>
  <c r="AA21" i="322"/>
  <c r="Q58" i="322"/>
  <c r="P58" i="322"/>
  <c r="N52" i="322"/>
  <c r="AA52" i="322"/>
  <c r="AB52" i="322"/>
  <c r="AC47" i="322" s="1"/>
  <c r="P61" i="322"/>
  <c r="Q61" i="322"/>
  <c r="AB50" i="322"/>
  <c r="AA50" i="322"/>
  <c r="N50" i="322"/>
  <c r="Q39" i="322"/>
  <c r="P39" i="322"/>
  <c r="P7" i="322"/>
  <c r="Q7" i="322"/>
  <c r="AA23" i="322"/>
  <c r="AB23" i="322"/>
  <c r="N23" i="322"/>
  <c r="Q12" i="322"/>
  <c r="P12" i="322"/>
  <c r="Q56" i="322"/>
  <c r="P56" i="322"/>
  <c r="AA63" i="322"/>
  <c r="AB63" i="322"/>
  <c r="AA27" i="322"/>
  <c r="AB27" i="322"/>
  <c r="N63" i="322"/>
  <c r="AB25" i="322"/>
  <c r="M31" i="322"/>
  <c r="AA25" i="322"/>
  <c r="AB55" i="322"/>
  <c r="AB6" i="322"/>
  <c r="AA35" i="322"/>
  <c r="AA37" i="322"/>
  <c r="AA43" i="322"/>
  <c r="AB43" i="322"/>
  <c r="P33" i="322"/>
  <c r="Q33" i="322"/>
  <c r="AB54" i="322"/>
  <c r="AA54" i="322"/>
  <c r="AA61" i="322"/>
  <c r="F1" i="322"/>
  <c r="AA33" i="322"/>
  <c r="AB36" i="322"/>
  <c r="AA36" i="322"/>
  <c r="N54" i="322"/>
  <c r="AB61" i="322"/>
  <c r="AA48" i="322"/>
  <c r="Q64" i="322"/>
  <c r="P64" i="322"/>
  <c r="AA41" i="322"/>
  <c r="AB41" i="322"/>
  <c r="AB48" i="322"/>
  <c r="N41" i="322"/>
  <c r="M8" i="322"/>
  <c r="AB5" i="322"/>
  <c r="AA5" i="322"/>
  <c r="AA28" i="322"/>
  <c r="AA66" i="322"/>
  <c r="AB16" i="322"/>
  <c r="AA16" i="322"/>
  <c r="N37" i="322"/>
  <c r="Q55" i="322"/>
  <c r="P55" i="322"/>
  <c r="P11" i="322"/>
  <c r="Q11" i="322"/>
  <c r="N16" i="322"/>
  <c r="N27" i="322"/>
  <c r="AA55" i="322"/>
  <c r="AB58" i="322"/>
  <c r="AA58" i="322"/>
  <c r="AB9" i="322"/>
  <c r="M13" i="322"/>
  <c r="AA9" i="322"/>
  <c r="N5" i="322"/>
  <c r="Q15" i="322"/>
  <c r="AA18" i="322"/>
  <c r="M24" i="322"/>
  <c r="AB18" i="322"/>
  <c r="AB28" i="322"/>
  <c r="AB66" i="322"/>
  <c r="AA14" i="322"/>
  <c r="M17" i="322"/>
  <c r="AB14" i="322"/>
  <c r="AA19" i="322"/>
  <c r="AA45" i="322"/>
  <c r="N45" i="322"/>
  <c r="AB45" i="322"/>
  <c r="P48" i="322"/>
  <c r="F6" i="323"/>
  <c r="G6" i="323"/>
  <c r="N10" i="322"/>
  <c r="AB12" i="322"/>
  <c r="AA12" i="322"/>
  <c r="AA30" i="322"/>
  <c r="AB33" i="322"/>
  <c r="N36" i="322"/>
  <c r="P18" i="322"/>
  <c r="Q18" i="322"/>
  <c r="AB34" i="322"/>
  <c r="AA34" i="322"/>
  <c r="M68" i="322"/>
  <c r="AA60" i="322"/>
  <c r="AB60" i="322"/>
  <c r="AA6" i="322"/>
  <c r="N14" i="322"/>
  <c r="AB19" i="322"/>
  <c r="N30" i="322"/>
  <c r="AB56" i="322"/>
  <c r="AA56" i="322"/>
  <c r="AA15" i="322"/>
  <c r="AA26" i="322"/>
  <c r="AA29" i="322"/>
  <c r="AB29" i="322"/>
  <c r="N29" i="322"/>
  <c r="AB47" i="322"/>
  <c r="AA47" i="322"/>
  <c r="AA65" i="322"/>
  <c r="AB65" i="322"/>
  <c r="AA67" i="322"/>
  <c r="N67" i="322"/>
  <c r="AB67" i="322"/>
  <c r="N9" i="322"/>
  <c r="N25" i="322"/>
  <c r="AB35" i="322"/>
  <c r="N43" i="322"/>
  <c r="AA7" i="322"/>
  <c r="AB7" i="322"/>
  <c r="Q26" i="322"/>
  <c r="P26" i="322"/>
  <c r="Q60" i="322"/>
  <c r="P60" i="322"/>
  <c r="AA10" i="322"/>
  <c r="AB15" i="322"/>
  <c r="AB26" i="322"/>
  <c r="P34" i="322"/>
  <c r="M46" i="322"/>
  <c r="Q44" i="322"/>
  <c r="P44" i="322"/>
  <c r="Q47" i="322"/>
  <c r="P47" i="322"/>
  <c r="AA39" i="322"/>
  <c r="Q42" i="322"/>
  <c r="P42" i="322"/>
  <c r="AB57" i="322"/>
  <c r="AA20" i="322"/>
  <c r="N22" i="322"/>
  <c r="N40" i="322"/>
  <c r="N53" i="322"/>
  <c r="N62" i="322"/>
  <c r="M59" i="322"/>
  <c r="N20" i="322"/>
  <c r="N49" i="322"/>
  <c r="AA22" i="322"/>
  <c r="AA40" i="322"/>
  <c r="AB49" i="322"/>
  <c r="AA53" i="322"/>
  <c r="AA62" i="322"/>
  <c r="N51" i="322"/>
  <c r="M18" i="321"/>
  <c r="L18" i="321"/>
  <c r="K18" i="321"/>
  <c r="J18" i="321"/>
  <c r="I18" i="321"/>
  <c r="H18" i="321"/>
  <c r="G18" i="321"/>
  <c r="F18" i="321"/>
  <c r="E18" i="321"/>
  <c r="D18" i="321"/>
  <c r="M17" i="321"/>
  <c r="L17" i="321"/>
  <c r="K17" i="321"/>
  <c r="J17" i="321"/>
  <c r="I17" i="321"/>
  <c r="H17" i="321"/>
  <c r="G17" i="321"/>
  <c r="F17" i="321"/>
  <c r="E17" i="321"/>
  <c r="D17" i="321"/>
  <c r="M16" i="321"/>
  <c r="L16" i="321"/>
  <c r="K16" i="321"/>
  <c r="J16" i="321"/>
  <c r="I16" i="321"/>
  <c r="H16" i="321"/>
  <c r="G16" i="321"/>
  <c r="F16" i="321"/>
  <c r="E16" i="321"/>
  <c r="D16" i="321"/>
  <c r="M13" i="321"/>
  <c r="L13" i="321"/>
  <c r="K13" i="321"/>
  <c r="I6" i="321" s="1"/>
  <c r="J13" i="321"/>
  <c r="H13" i="321"/>
  <c r="G13" i="321"/>
  <c r="F13" i="321"/>
  <c r="E13" i="321"/>
  <c r="D13" i="321"/>
  <c r="G6" i="321" s="1"/>
  <c r="F3" i="321"/>
  <c r="C3" i="321"/>
  <c r="O68" i="320"/>
  <c r="K68" i="320"/>
  <c r="V67" i="320"/>
  <c r="U67" i="320"/>
  <c r="O67" i="320"/>
  <c r="M67" i="320"/>
  <c r="N67" i="320" s="1"/>
  <c r="K67" i="320"/>
  <c r="G67" i="320"/>
  <c r="V66" i="320"/>
  <c r="M66" i="320" s="1"/>
  <c r="U66" i="320"/>
  <c r="O66" i="320"/>
  <c r="K66" i="320"/>
  <c r="G66" i="320"/>
  <c r="X65" i="320"/>
  <c r="W65" i="320"/>
  <c r="V65" i="320"/>
  <c r="U65" i="320"/>
  <c r="O65" i="320"/>
  <c r="M65" i="320"/>
  <c r="AB65" i="320" s="1"/>
  <c r="K65" i="320"/>
  <c r="G65" i="320"/>
  <c r="AB64" i="320"/>
  <c r="AA64" i="320"/>
  <c r="V64" i="320"/>
  <c r="U64" i="320"/>
  <c r="O64" i="320"/>
  <c r="M64" i="320"/>
  <c r="N64" i="320" s="1"/>
  <c r="K64" i="320"/>
  <c r="G64" i="320"/>
  <c r="V63" i="320"/>
  <c r="U63" i="320"/>
  <c r="O63" i="320"/>
  <c r="M63" i="320"/>
  <c r="AB63" i="320" s="1"/>
  <c r="K63" i="320"/>
  <c r="G63" i="320"/>
  <c r="V62" i="320"/>
  <c r="U62" i="320"/>
  <c r="O62" i="320"/>
  <c r="M62" i="320"/>
  <c r="AB62" i="320" s="1"/>
  <c r="K62" i="320"/>
  <c r="G62" i="320"/>
  <c r="V61" i="320"/>
  <c r="U61" i="320"/>
  <c r="O61" i="320"/>
  <c r="M61" i="320"/>
  <c r="AA61" i="320" s="1"/>
  <c r="K61" i="320"/>
  <c r="G61" i="320"/>
  <c r="X60" i="320"/>
  <c r="W60" i="320"/>
  <c r="V60" i="320"/>
  <c r="O60" i="320"/>
  <c r="M60" i="320"/>
  <c r="M68" i="320" s="1"/>
  <c r="K60" i="320"/>
  <c r="G60" i="320"/>
  <c r="O59" i="320"/>
  <c r="K59" i="320"/>
  <c r="V58" i="320"/>
  <c r="U58" i="320"/>
  <c r="O58" i="320"/>
  <c r="M58" i="320"/>
  <c r="AA58" i="320" s="1"/>
  <c r="K58" i="320"/>
  <c r="G58" i="320"/>
  <c r="V57" i="320"/>
  <c r="M57" i="320" s="1"/>
  <c r="U57" i="320"/>
  <c r="O57" i="320"/>
  <c r="K57" i="320"/>
  <c r="G57" i="320"/>
  <c r="V56" i="320"/>
  <c r="U56" i="320"/>
  <c r="O56" i="320"/>
  <c r="M56" i="320"/>
  <c r="AA56" i="320" s="1"/>
  <c r="K56" i="320"/>
  <c r="G56" i="320"/>
  <c r="V55" i="320"/>
  <c r="M55" i="320" s="1"/>
  <c r="U55" i="320"/>
  <c r="O55" i="320"/>
  <c r="K55" i="320"/>
  <c r="G55" i="320"/>
  <c r="V54" i="320"/>
  <c r="U54" i="320"/>
  <c r="O54" i="320"/>
  <c r="M54" i="320"/>
  <c r="AA54" i="320" s="1"/>
  <c r="K54" i="320"/>
  <c r="G54" i="320"/>
  <c r="V53" i="320"/>
  <c r="O53" i="320"/>
  <c r="M53" i="320"/>
  <c r="AB53" i="320" s="1"/>
  <c r="K53" i="320"/>
  <c r="G53" i="320"/>
  <c r="O52" i="320"/>
  <c r="K52" i="320"/>
  <c r="I13" i="321" s="1"/>
  <c r="AB51" i="320"/>
  <c r="V51" i="320"/>
  <c r="U51" i="320"/>
  <c r="O51" i="320"/>
  <c r="M51" i="320"/>
  <c r="AA51" i="320" s="1"/>
  <c r="K51" i="320"/>
  <c r="G51" i="320"/>
  <c r="V50" i="320"/>
  <c r="U50" i="320"/>
  <c r="O50" i="320"/>
  <c r="M50" i="320"/>
  <c r="AB50" i="320" s="1"/>
  <c r="K50" i="320"/>
  <c r="G50" i="320"/>
  <c r="V49" i="320"/>
  <c r="U49" i="320"/>
  <c r="O49" i="320"/>
  <c r="M49" i="320"/>
  <c r="AA49" i="320" s="1"/>
  <c r="K49" i="320"/>
  <c r="G49" i="320"/>
  <c r="V48" i="320"/>
  <c r="M48" i="320" s="1"/>
  <c r="U48" i="320"/>
  <c r="O48" i="320"/>
  <c r="K48" i="320"/>
  <c r="G48" i="320"/>
  <c r="V47" i="320"/>
  <c r="O47" i="320"/>
  <c r="M47" i="320"/>
  <c r="AA47" i="320" s="1"/>
  <c r="K47" i="320"/>
  <c r="G47" i="320"/>
  <c r="O46" i="320"/>
  <c r="K46" i="320"/>
  <c r="V45" i="320"/>
  <c r="U45" i="320"/>
  <c r="O45" i="320"/>
  <c r="M45" i="320"/>
  <c r="N45" i="320" s="1"/>
  <c r="K45" i="320"/>
  <c r="G45" i="320"/>
  <c r="X44" i="320"/>
  <c r="W44" i="320"/>
  <c r="V44" i="320"/>
  <c r="M44" i="320" s="1"/>
  <c r="U44" i="320"/>
  <c r="O44" i="320"/>
  <c r="K44" i="320"/>
  <c r="G44" i="320"/>
  <c r="V43" i="320"/>
  <c r="U43" i="320"/>
  <c r="O43" i="320"/>
  <c r="M43" i="320"/>
  <c r="AB43" i="320" s="1"/>
  <c r="K43" i="320"/>
  <c r="G43" i="320"/>
  <c r="AB42" i="320"/>
  <c r="AA42" i="320"/>
  <c r="V42" i="320"/>
  <c r="U42" i="320"/>
  <c r="O42" i="320"/>
  <c r="M42" i="320"/>
  <c r="N42" i="320" s="1"/>
  <c r="K42" i="320"/>
  <c r="G42" i="320"/>
  <c r="V41" i="320"/>
  <c r="U41" i="320"/>
  <c r="O41" i="320"/>
  <c r="M41" i="320"/>
  <c r="AB41" i="320" s="1"/>
  <c r="K41" i="320"/>
  <c r="G41" i="320"/>
  <c r="V40" i="320"/>
  <c r="U40" i="320"/>
  <c r="O40" i="320"/>
  <c r="M40" i="320"/>
  <c r="AB40" i="320" s="1"/>
  <c r="K40" i="320"/>
  <c r="G40" i="320"/>
  <c r="V39" i="320"/>
  <c r="M39" i="320" s="1"/>
  <c r="O39" i="320"/>
  <c r="K39" i="320"/>
  <c r="G39" i="320"/>
  <c r="O38" i="320"/>
  <c r="K38" i="320"/>
  <c r="V37" i="320"/>
  <c r="U37" i="320"/>
  <c r="O37" i="320"/>
  <c r="M37" i="320"/>
  <c r="AA37" i="320" s="1"/>
  <c r="K37" i="320"/>
  <c r="G37" i="320"/>
  <c r="X36" i="320"/>
  <c r="W36" i="320"/>
  <c r="V36" i="320"/>
  <c r="U36" i="320"/>
  <c r="O36" i="320"/>
  <c r="M36" i="320"/>
  <c r="AB36" i="320" s="1"/>
  <c r="K36" i="320"/>
  <c r="G36" i="320"/>
  <c r="V35" i="320"/>
  <c r="M35" i="320" s="1"/>
  <c r="U35" i="320"/>
  <c r="O35" i="320"/>
  <c r="K35" i="320"/>
  <c r="G35" i="320"/>
  <c r="V34" i="320"/>
  <c r="U34" i="320"/>
  <c r="O34" i="320"/>
  <c r="M34" i="320"/>
  <c r="AA34" i="320" s="1"/>
  <c r="K34" i="320"/>
  <c r="G34" i="320"/>
  <c r="V33" i="320"/>
  <c r="M33" i="320" s="1"/>
  <c r="U33" i="320"/>
  <c r="O33" i="320"/>
  <c r="K33" i="320"/>
  <c r="G33" i="320"/>
  <c r="X32" i="320"/>
  <c r="W32" i="320"/>
  <c r="V32" i="320"/>
  <c r="O32" i="320"/>
  <c r="M32" i="320"/>
  <c r="M38" i="320" s="1"/>
  <c r="K32" i="320"/>
  <c r="G32" i="320"/>
  <c r="O31" i="320"/>
  <c r="K31" i="320"/>
  <c r="V30" i="320"/>
  <c r="U30" i="320"/>
  <c r="O30" i="320"/>
  <c r="M30" i="320"/>
  <c r="AB30" i="320" s="1"/>
  <c r="K30" i="320"/>
  <c r="G30" i="320"/>
  <c r="X29" i="320"/>
  <c r="W29" i="320"/>
  <c r="V29" i="320"/>
  <c r="U29" i="320"/>
  <c r="O29" i="320"/>
  <c r="M29" i="320"/>
  <c r="AA29" i="320" s="1"/>
  <c r="K29" i="320"/>
  <c r="G29" i="320"/>
  <c r="V28" i="320"/>
  <c r="M28" i="320" s="1"/>
  <c r="U28" i="320"/>
  <c r="O28" i="320"/>
  <c r="K28" i="320"/>
  <c r="G28" i="320"/>
  <c r="V27" i="320"/>
  <c r="U27" i="320"/>
  <c r="O27" i="320"/>
  <c r="M27" i="320"/>
  <c r="AB27" i="320" s="1"/>
  <c r="K27" i="320"/>
  <c r="G27" i="320"/>
  <c r="V26" i="320"/>
  <c r="M26" i="320" s="1"/>
  <c r="U26" i="320"/>
  <c r="O26" i="320"/>
  <c r="K26" i="320"/>
  <c r="G26" i="320"/>
  <c r="X25" i="320"/>
  <c r="W25" i="320"/>
  <c r="V25" i="320"/>
  <c r="O25" i="320"/>
  <c r="M25" i="320"/>
  <c r="AA25" i="320" s="1"/>
  <c r="K25" i="320"/>
  <c r="G25" i="320"/>
  <c r="O24" i="320"/>
  <c r="K24" i="320"/>
  <c r="V23" i="320"/>
  <c r="U23" i="320"/>
  <c r="O23" i="320"/>
  <c r="M23" i="320"/>
  <c r="AB23" i="320" s="1"/>
  <c r="K23" i="320"/>
  <c r="G23" i="320"/>
  <c r="V22" i="320"/>
  <c r="U22" i="320"/>
  <c r="O22" i="320"/>
  <c r="M22" i="320"/>
  <c r="AB22" i="320" s="1"/>
  <c r="K22" i="320"/>
  <c r="G22" i="320"/>
  <c r="V21" i="320"/>
  <c r="U21" i="320"/>
  <c r="O21" i="320"/>
  <c r="M21" i="320"/>
  <c r="AA21" i="320" s="1"/>
  <c r="K21" i="320"/>
  <c r="G21" i="320"/>
  <c r="V20" i="320"/>
  <c r="U20" i="320"/>
  <c r="O20" i="320"/>
  <c r="M20" i="320"/>
  <c r="AB20" i="320" s="1"/>
  <c r="K20" i="320"/>
  <c r="G20" i="320"/>
  <c r="V19" i="320"/>
  <c r="M19" i="320" s="1"/>
  <c r="U19" i="320"/>
  <c r="O19" i="320"/>
  <c r="K19" i="320"/>
  <c r="G19" i="320"/>
  <c r="V18" i="320"/>
  <c r="O18" i="320"/>
  <c r="M18" i="320"/>
  <c r="AB18" i="320" s="1"/>
  <c r="K18" i="320"/>
  <c r="G18" i="320"/>
  <c r="O17" i="320"/>
  <c r="K17" i="320"/>
  <c r="V16" i="320"/>
  <c r="U16" i="320"/>
  <c r="O16" i="320"/>
  <c r="M16" i="320"/>
  <c r="AA16" i="320" s="1"/>
  <c r="K16" i="320"/>
  <c r="G16" i="320"/>
  <c r="V15" i="320"/>
  <c r="M15" i="320" s="1"/>
  <c r="U15" i="320"/>
  <c r="O15" i="320"/>
  <c r="K15" i="320"/>
  <c r="G15" i="320"/>
  <c r="V14" i="320"/>
  <c r="O14" i="320"/>
  <c r="M14" i="320"/>
  <c r="M17" i="320" s="1"/>
  <c r="K14" i="320"/>
  <c r="G14" i="320"/>
  <c r="O13" i="320"/>
  <c r="K13" i="320"/>
  <c r="V12" i="320"/>
  <c r="U12" i="320"/>
  <c r="O12" i="320"/>
  <c r="M12" i="320"/>
  <c r="AB12" i="320" s="1"/>
  <c r="K12" i="320"/>
  <c r="G12" i="320"/>
  <c r="AB11" i="320"/>
  <c r="AA11" i="320"/>
  <c r="X11" i="320"/>
  <c r="W11" i="320"/>
  <c r="V11" i="320"/>
  <c r="U11" i="320"/>
  <c r="O11" i="320"/>
  <c r="M11" i="320"/>
  <c r="N11" i="320" s="1"/>
  <c r="K11" i="320"/>
  <c r="G11" i="320"/>
  <c r="V10" i="320"/>
  <c r="U10" i="320"/>
  <c r="O10" i="320"/>
  <c r="M10" i="320"/>
  <c r="AB10" i="320" s="1"/>
  <c r="K10" i="320"/>
  <c r="G10" i="320"/>
  <c r="X9" i="320"/>
  <c r="W9" i="320"/>
  <c r="V9" i="320"/>
  <c r="O9" i="320"/>
  <c r="M9" i="320"/>
  <c r="AB9" i="320" s="1"/>
  <c r="K9" i="320"/>
  <c r="G9" i="320"/>
  <c r="O8" i="320"/>
  <c r="K8" i="320"/>
  <c r="V7" i="320"/>
  <c r="U7" i="320"/>
  <c r="O7" i="320"/>
  <c r="M7" i="320"/>
  <c r="AB7" i="320" s="1"/>
  <c r="K7" i="320"/>
  <c r="G7" i="320"/>
  <c r="V6" i="320"/>
  <c r="M6" i="320" s="1"/>
  <c r="U6" i="320"/>
  <c r="O6" i="320"/>
  <c r="K6" i="320"/>
  <c r="G6" i="320"/>
  <c r="V5" i="320"/>
  <c r="O5" i="320"/>
  <c r="M5" i="320"/>
  <c r="M8" i="320" s="1"/>
  <c r="K5" i="320"/>
  <c r="G5" i="320"/>
  <c r="F1" i="320" s="1"/>
  <c r="H2" i="320"/>
  <c r="H1" i="320"/>
  <c r="D1" i="320"/>
  <c r="Q30" i="322" l="1"/>
  <c r="P30" i="322"/>
  <c r="Q62" i="322"/>
  <c r="P62" i="322"/>
  <c r="Q54" i="322"/>
  <c r="P54" i="322"/>
  <c r="Q37" i="322"/>
  <c r="P37" i="322"/>
  <c r="I3" i="323"/>
  <c r="F2" i="322"/>
  <c r="P67" i="322"/>
  <c r="Q67" i="322"/>
  <c r="Q22" i="322"/>
  <c r="P22" i="322"/>
  <c r="Q14" i="322"/>
  <c r="P14" i="322"/>
  <c r="Q20" i="322"/>
  <c r="P20" i="322"/>
  <c r="Q16" i="322"/>
  <c r="P16" i="322"/>
  <c r="I14" i="323"/>
  <c r="I15" i="323" s="1"/>
  <c r="Q52" i="322"/>
  <c r="R47" i="322" s="1"/>
  <c r="P52" i="322"/>
  <c r="Q9" i="322"/>
  <c r="P9" i="322"/>
  <c r="P51" i="322"/>
  <c r="Q51" i="322"/>
  <c r="Q21" i="322"/>
  <c r="P21" i="322"/>
  <c r="Q23" i="322"/>
  <c r="P23" i="322"/>
  <c r="P32" i="322"/>
  <c r="Q32" i="322"/>
  <c r="P49" i="322"/>
  <c r="Q49" i="322"/>
  <c r="N59" i="322"/>
  <c r="AB59" i="322"/>
  <c r="AC53" i="322" s="1"/>
  <c r="AA59" i="322"/>
  <c r="P45" i="322"/>
  <c r="Q45" i="322"/>
  <c r="P25" i="322"/>
  <c r="Q25" i="322"/>
  <c r="N17" i="322"/>
  <c r="AA17" i="322"/>
  <c r="AB17" i="322"/>
  <c r="AC14" i="322" s="1"/>
  <c r="N68" i="322"/>
  <c r="AB68" i="322"/>
  <c r="AC60" i="322" s="1"/>
  <c r="AA68" i="322"/>
  <c r="N46" i="322"/>
  <c r="AB46" i="322"/>
  <c r="AC39" i="322" s="1"/>
  <c r="AA46" i="322"/>
  <c r="Q36" i="322"/>
  <c r="P36" i="322"/>
  <c r="N13" i="322"/>
  <c r="AB13" i="322"/>
  <c r="AC9" i="322" s="1"/>
  <c r="AA13" i="322"/>
  <c r="AB31" i="322"/>
  <c r="AC25" i="322" s="1"/>
  <c r="AA31" i="322"/>
  <c r="N31" i="322"/>
  <c r="Q40" i="322"/>
  <c r="P40" i="322"/>
  <c r="P27" i="322"/>
  <c r="Q27" i="322"/>
  <c r="Q63" i="322"/>
  <c r="P63" i="322"/>
  <c r="AA38" i="322"/>
  <c r="N38" i="322"/>
  <c r="AB38" i="322"/>
  <c r="AC32" i="322" s="1"/>
  <c r="Q41" i="322"/>
  <c r="P41" i="322"/>
  <c r="Q10" i="322"/>
  <c r="P10" i="322"/>
  <c r="P50" i="322"/>
  <c r="Q50" i="322"/>
  <c r="Q53" i="322"/>
  <c r="P53" i="322"/>
  <c r="Q43" i="322"/>
  <c r="P43" i="322"/>
  <c r="N24" i="322"/>
  <c r="AB24" i="322"/>
  <c r="AC18" i="322" s="1"/>
  <c r="AA24" i="322"/>
  <c r="P29" i="322"/>
  <c r="Q29" i="322"/>
  <c r="P5" i="322"/>
  <c r="Q5" i="322"/>
  <c r="N8" i="322"/>
  <c r="AA8" i="322"/>
  <c r="AB8" i="322"/>
  <c r="AC5" i="322" s="1"/>
  <c r="I3" i="321"/>
  <c r="F2" i="320"/>
  <c r="N8" i="320"/>
  <c r="AB8" i="320"/>
  <c r="AC5" i="320" s="1"/>
  <c r="AA8" i="320"/>
  <c r="N6" i="320"/>
  <c r="AA6" i="320"/>
  <c r="AB6" i="320"/>
  <c r="Q11" i="320"/>
  <c r="P11" i="320"/>
  <c r="N17" i="320"/>
  <c r="AB17" i="320"/>
  <c r="AC14" i="320" s="1"/>
  <c r="AA17" i="320"/>
  <c r="N15" i="320"/>
  <c r="AA15" i="320"/>
  <c r="AB15" i="320"/>
  <c r="N19" i="320"/>
  <c r="AB19" i="320"/>
  <c r="AA19" i="320"/>
  <c r="N26" i="320"/>
  <c r="AB26" i="320"/>
  <c r="AA26" i="320"/>
  <c r="N28" i="320"/>
  <c r="AA28" i="320"/>
  <c r="AB28" i="320"/>
  <c r="AB38" i="320"/>
  <c r="AC32" i="320" s="1"/>
  <c r="AA38" i="320"/>
  <c r="N38" i="320"/>
  <c r="N33" i="320"/>
  <c r="AB33" i="320"/>
  <c r="AA33" i="320"/>
  <c r="N35" i="320"/>
  <c r="AA35" i="320"/>
  <c r="AB35" i="320"/>
  <c r="M46" i="320"/>
  <c r="AB39" i="320"/>
  <c r="AA39" i="320"/>
  <c r="N39" i="320"/>
  <c r="Q42" i="320"/>
  <c r="P42" i="320"/>
  <c r="N44" i="320"/>
  <c r="AA44" i="320"/>
  <c r="AB44" i="320"/>
  <c r="Q45" i="320"/>
  <c r="P45" i="320"/>
  <c r="AB48" i="320"/>
  <c r="AA48" i="320"/>
  <c r="M52" i="320"/>
  <c r="N48" i="320"/>
  <c r="N55" i="320"/>
  <c r="AB55" i="320"/>
  <c r="AA55" i="320"/>
  <c r="N57" i="320"/>
  <c r="AA57" i="320"/>
  <c r="AB57" i="320"/>
  <c r="N68" i="320"/>
  <c r="AA68" i="320"/>
  <c r="AB68" i="320"/>
  <c r="AC60" i="320" s="1"/>
  <c r="Q64" i="320"/>
  <c r="P64" i="320"/>
  <c r="N66" i="320"/>
  <c r="AA66" i="320"/>
  <c r="AB66" i="320"/>
  <c r="Q67" i="320"/>
  <c r="P67" i="320"/>
  <c r="N21" i="320"/>
  <c r="N32" i="320"/>
  <c r="N37" i="320"/>
  <c r="N61" i="320"/>
  <c r="N10" i="320"/>
  <c r="N25" i="320"/>
  <c r="N30" i="320"/>
  <c r="N14" i="320"/>
  <c r="N43" i="320"/>
  <c r="N65" i="320"/>
  <c r="AB21" i="320"/>
  <c r="AA30" i="320"/>
  <c r="N47" i="320"/>
  <c r="N54" i="320"/>
  <c r="N18" i="320"/>
  <c r="E6" i="321"/>
  <c r="AA23" i="320"/>
  <c r="N50" i="320"/>
  <c r="N23" i="320"/>
  <c r="N41" i="320"/>
  <c r="N63" i="320"/>
  <c r="AA10" i="320"/>
  <c r="N16" i="320"/>
  <c r="AB37" i="320"/>
  <c r="AA50" i="320"/>
  <c r="N58" i="320"/>
  <c r="AB61" i="320"/>
  <c r="AA14" i="320"/>
  <c r="M31" i="320"/>
  <c r="N49" i="320"/>
  <c r="AB54" i="320"/>
  <c r="AA18" i="320"/>
  <c r="AA27" i="320"/>
  <c r="AB34" i="320"/>
  <c r="N51" i="320"/>
  <c r="AB56" i="320"/>
  <c r="AA65" i="320"/>
  <c r="AB58" i="320"/>
  <c r="AA60" i="320"/>
  <c r="AA67" i="320"/>
  <c r="AA36" i="320"/>
  <c r="AB45" i="320"/>
  <c r="AB60" i="320"/>
  <c r="AB67" i="320"/>
  <c r="N5" i="320"/>
  <c r="N12" i="320"/>
  <c r="N34" i="320"/>
  <c r="N56" i="320"/>
  <c r="N27" i="320"/>
  <c r="N60" i="320"/>
  <c r="N9" i="320"/>
  <c r="N36" i="320"/>
  <c r="AB25" i="320"/>
  <c r="AA43" i="320"/>
  <c r="AA12" i="320"/>
  <c r="M24" i="320"/>
  <c r="N40" i="320"/>
  <c r="N53" i="320"/>
  <c r="AB5" i="320"/>
  <c r="AA7" i="320"/>
  <c r="M13" i="320"/>
  <c r="AB16" i="320"/>
  <c r="AA45" i="320"/>
  <c r="AB47" i="320"/>
  <c r="N7" i="320"/>
  <c r="N29" i="320"/>
  <c r="AA32" i="320"/>
  <c r="AA41" i="320"/>
  <c r="AA63" i="320"/>
  <c r="F6" i="321"/>
  <c r="AA5" i="320"/>
  <c r="AB14" i="320"/>
  <c r="AA9" i="320"/>
  <c r="AA20" i="320"/>
  <c r="M59" i="320"/>
  <c r="AA22" i="320"/>
  <c r="AB29" i="320"/>
  <c r="AA40" i="320"/>
  <c r="AB49" i="320"/>
  <c r="AA53" i="320"/>
  <c r="AA62" i="320"/>
  <c r="N20" i="320"/>
  <c r="AB32" i="320"/>
  <c r="N22" i="320"/>
  <c r="N62" i="320"/>
  <c r="O70" i="319"/>
  <c r="K70" i="319"/>
  <c r="V69" i="319"/>
  <c r="M69" i="319" s="1"/>
  <c r="U69" i="319"/>
  <c r="O69" i="319"/>
  <c r="K69" i="319"/>
  <c r="G69" i="319"/>
  <c r="AB68" i="319"/>
  <c r="AA68" i="319"/>
  <c r="X68" i="319"/>
  <c r="W68" i="319"/>
  <c r="V68" i="319"/>
  <c r="U68" i="319"/>
  <c r="O68" i="319"/>
  <c r="M68" i="319"/>
  <c r="N68" i="319" s="1"/>
  <c r="K68" i="319"/>
  <c r="G68" i="319"/>
  <c r="V67" i="319"/>
  <c r="M67" i="319" s="1"/>
  <c r="U67" i="319"/>
  <c r="O67" i="319"/>
  <c r="K67" i="319"/>
  <c r="G67" i="319"/>
  <c r="AB66" i="319"/>
  <c r="AA66" i="319"/>
  <c r="V66" i="319"/>
  <c r="U66" i="319"/>
  <c r="O66" i="319"/>
  <c r="M66" i="319"/>
  <c r="N66" i="319" s="1"/>
  <c r="K66" i="319"/>
  <c r="G66" i="319"/>
  <c r="V65" i="319"/>
  <c r="M65" i="319" s="1"/>
  <c r="U65" i="319"/>
  <c r="O65" i="319"/>
  <c r="K65" i="319"/>
  <c r="G65" i="319"/>
  <c r="V64" i="319"/>
  <c r="M64" i="319" s="1"/>
  <c r="U64" i="319"/>
  <c r="O64" i="319"/>
  <c r="K64" i="319"/>
  <c r="G64" i="319"/>
  <c r="X63" i="319"/>
  <c r="W63" i="319"/>
  <c r="V63" i="319"/>
  <c r="O63" i="319"/>
  <c r="M63" i="319"/>
  <c r="N63" i="319" s="1"/>
  <c r="K63" i="319"/>
  <c r="G63" i="319"/>
  <c r="O62" i="319"/>
  <c r="K62" i="319"/>
  <c r="V61" i="319"/>
  <c r="U61" i="319"/>
  <c r="O61" i="319"/>
  <c r="M61" i="319"/>
  <c r="AB61" i="319" s="1"/>
  <c r="K61" i="319"/>
  <c r="G61" i="319"/>
  <c r="V60" i="319"/>
  <c r="M60" i="319" s="1"/>
  <c r="U60" i="319"/>
  <c r="O60" i="319"/>
  <c r="K60" i="319"/>
  <c r="G60" i="319"/>
  <c r="V59" i="319"/>
  <c r="U59" i="319"/>
  <c r="O59" i="319"/>
  <c r="M59" i="319"/>
  <c r="AB59" i="319" s="1"/>
  <c r="K59" i="319"/>
  <c r="G59" i="319"/>
  <c r="V58" i="319"/>
  <c r="U58" i="319"/>
  <c r="O58" i="319"/>
  <c r="M58" i="319"/>
  <c r="AA58" i="319" s="1"/>
  <c r="K58" i="319"/>
  <c r="G58" i="319"/>
  <c r="AB57" i="319"/>
  <c r="AA57" i="319"/>
  <c r="V57" i="319"/>
  <c r="U57" i="319"/>
  <c r="O57" i="319"/>
  <c r="N57" i="319"/>
  <c r="Q57" i="319" s="1"/>
  <c r="M57" i="319"/>
  <c r="K57" i="319"/>
  <c r="P57" i="319" s="1"/>
  <c r="G57" i="319"/>
  <c r="AB56" i="319"/>
  <c r="AA56" i="319"/>
  <c r="V56" i="319"/>
  <c r="O56" i="319"/>
  <c r="N56" i="319"/>
  <c r="Q56" i="319" s="1"/>
  <c r="M56" i="319"/>
  <c r="K56" i="319"/>
  <c r="P56" i="319" s="1"/>
  <c r="G56" i="319"/>
  <c r="O55" i="319"/>
  <c r="K55" i="319"/>
  <c r="V54" i="319"/>
  <c r="M54" i="319" s="1"/>
  <c r="U54" i="319"/>
  <c r="O54" i="319"/>
  <c r="K54" i="319"/>
  <c r="G54" i="319"/>
  <c r="V53" i="319"/>
  <c r="M53" i="319" s="1"/>
  <c r="U53" i="319"/>
  <c r="O53" i="319"/>
  <c r="K53" i="319"/>
  <c r="G53" i="319"/>
  <c r="V52" i="319"/>
  <c r="M52" i="319" s="1"/>
  <c r="U52" i="319"/>
  <c r="O52" i="319"/>
  <c r="K52" i="319"/>
  <c r="G52" i="319"/>
  <c r="V51" i="319"/>
  <c r="U51" i="319"/>
  <c r="O51" i="319"/>
  <c r="M51" i="319"/>
  <c r="AB51" i="319" s="1"/>
  <c r="K51" i="319"/>
  <c r="G51" i="319"/>
  <c r="V50" i="319"/>
  <c r="O50" i="319"/>
  <c r="M50" i="319"/>
  <c r="AB50" i="319" s="1"/>
  <c r="K50" i="319"/>
  <c r="G50" i="319"/>
  <c r="O49" i="319"/>
  <c r="K49" i="319"/>
  <c r="AB48" i="319"/>
  <c r="AA48" i="319"/>
  <c r="V48" i="319"/>
  <c r="U48" i="319"/>
  <c r="O48" i="319"/>
  <c r="M48" i="319"/>
  <c r="N48" i="319" s="1"/>
  <c r="K48" i="319"/>
  <c r="G48" i="319"/>
  <c r="AB47" i="319"/>
  <c r="AA47" i="319"/>
  <c r="X47" i="319"/>
  <c r="W47" i="319"/>
  <c r="V47" i="319"/>
  <c r="U47" i="319"/>
  <c r="O47" i="319"/>
  <c r="N47" i="319"/>
  <c r="Q47" i="319" s="1"/>
  <c r="M47" i="319"/>
  <c r="K47" i="319"/>
  <c r="P47" i="319" s="1"/>
  <c r="G47" i="319"/>
  <c r="AB46" i="319"/>
  <c r="AA46" i="319"/>
  <c r="V46" i="319"/>
  <c r="U46" i="319"/>
  <c r="O46" i="319"/>
  <c r="M46" i="319"/>
  <c r="N46" i="319" s="1"/>
  <c r="K46" i="319"/>
  <c r="G46" i="319"/>
  <c r="V45" i="319"/>
  <c r="M45" i="319" s="1"/>
  <c r="U45" i="319"/>
  <c r="O45" i="319"/>
  <c r="K45" i="319"/>
  <c r="G45" i="319"/>
  <c r="AB44" i="319"/>
  <c r="AA44" i="319"/>
  <c r="V44" i="319"/>
  <c r="U44" i="319"/>
  <c r="O44" i="319"/>
  <c r="M44" i="319"/>
  <c r="N44" i="319" s="1"/>
  <c r="K44" i="319"/>
  <c r="G44" i="319"/>
  <c r="V43" i="319"/>
  <c r="M43" i="319" s="1"/>
  <c r="U43" i="319"/>
  <c r="O43" i="319"/>
  <c r="K43" i="319"/>
  <c r="G43" i="319"/>
  <c r="V42" i="319"/>
  <c r="M42" i="319" s="1"/>
  <c r="O42" i="319"/>
  <c r="K42" i="319"/>
  <c r="G42" i="319"/>
  <c r="O41" i="319"/>
  <c r="K41" i="319"/>
  <c r="V40" i="319"/>
  <c r="M40" i="319" s="1"/>
  <c r="U40" i="319"/>
  <c r="O40" i="319"/>
  <c r="K40" i="319"/>
  <c r="G40" i="319"/>
  <c r="X39" i="319"/>
  <c r="W39" i="319"/>
  <c r="V39" i="319"/>
  <c r="U39" i="319"/>
  <c r="O39" i="319"/>
  <c r="M39" i="319"/>
  <c r="AB39" i="319" s="1"/>
  <c r="K39" i="319"/>
  <c r="G39" i="319"/>
  <c r="V38" i="319"/>
  <c r="M38" i="319" s="1"/>
  <c r="U38" i="319"/>
  <c r="O38" i="319"/>
  <c r="K38" i="319"/>
  <c r="G38" i="319"/>
  <c r="V37" i="319"/>
  <c r="U37" i="319"/>
  <c r="O37" i="319"/>
  <c r="M37" i="319"/>
  <c r="AB37" i="319" s="1"/>
  <c r="K37" i="319"/>
  <c r="G37" i="319"/>
  <c r="V36" i="319"/>
  <c r="U36" i="319"/>
  <c r="O36" i="319"/>
  <c r="M36" i="319"/>
  <c r="AA36" i="319" s="1"/>
  <c r="K36" i="319"/>
  <c r="G36" i="319"/>
  <c r="AB35" i="319"/>
  <c r="AA35" i="319"/>
  <c r="V35" i="319"/>
  <c r="U35" i="319"/>
  <c r="O35" i="319"/>
  <c r="N35" i="319"/>
  <c r="Q35" i="319" s="1"/>
  <c r="M35" i="319"/>
  <c r="K35" i="319"/>
  <c r="P35" i="319" s="1"/>
  <c r="G35" i="319"/>
  <c r="AB34" i="319"/>
  <c r="X34" i="319"/>
  <c r="W34" i="319"/>
  <c r="V34" i="319"/>
  <c r="O34" i="319"/>
  <c r="M34" i="319"/>
  <c r="N34" i="319" s="1"/>
  <c r="K34" i="319"/>
  <c r="G34" i="319"/>
  <c r="O33" i="319"/>
  <c r="K33" i="319"/>
  <c r="AB32" i="319"/>
  <c r="AA32" i="319"/>
  <c r="V32" i="319"/>
  <c r="U32" i="319"/>
  <c r="O32" i="319"/>
  <c r="M32" i="319"/>
  <c r="N32" i="319" s="1"/>
  <c r="K32" i="319"/>
  <c r="G32" i="319"/>
  <c r="X31" i="319"/>
  <c r="W31" i="319"/>
  <c r="V31" i="319"/>
  <c r="M31" i="319" s="1"/>
  <c r="U31" i="319"/>
  <c r="O31" i="319"/>
  <c r="K31" i="319"/>
  <c r="G31" i="319"/>
  <c r="AB30" i="319"/>
  <c r="AA30" i="319"/>
  <c r="V30" i="319"/>
  <c r="U30" i="319"/>
  <c r="O30" i="319"/>
  <c r="M30" i="319"/>
  <c r="N30" i="319" s="1"/>
  <c r="K30" i="319"/>
  <c r="G30" i="319"/>
  <c r="V29" i="319"/>
  <c r="M29" i="319" s="1"/>
  <c r="U29" i="319"/>
  <c r="O29" i="319"/>
  <c r="K29" i="319"/>
  <c r="G29" i="319"/>
  <c r="V28" i="319"/>
  <c r="M28" i="319" s="1"/>
  <c r="U28" i="319"/>
  <c r="O28" i="319"/>
  <c r="K28" i="319"/>
  <c r="G28" i="319"/>
  <c r="X27" i="319"/>
  <c r="W27" i="319"/>
  <c r="V27" i="319"/>
  <c r="O27" i="319"/>
  <c r="M27" i="319"/>
  <c r="N27" i="319" s="1"/>
  <c r="K27" i="319"/>
  <c r="G27" i="319"/>
  <c r="O26" i="319"/>
  <c r="K26" i="319"/>
  <c r="V25" i="319"/>
  <c r="U25" i="319"/>
  <c r="O25" i="319"/>
  <c r="M25" i="319"/>
  <c r="AB25" i="319" s="1"/>
  <c r="K25" i="319"/>
  <c r="G25" i="319"/>
  <c r="V24" i="319"/>
  <c r="M24" i="319" s="1"/>
  <c r="U24" i="319"/>
  <c r="O24" i="319"/>
  <c r="K24" i="319"/>
  <c r="G24" i="319"/>
  <c r="V23" i="319"/>
  <c r="U23" i="319"/>
  <c r="O23" i="319"/>
  <c r="M23" i="319"/>
  <c r="AB23" i="319" s="1"/>
  <c r="K23" i="319"/>
  <c r="G23" i="319"/>
  <c r="F1" i="319" s="1"/>
  <c r="V22" i="319"/>
  <c r="U22" i="319"/>
  <c r="O22" i="319"/>
  <c r="M22" i="319"/>
  <c r="AA22" i="319" s="1"/>
  <c r="K22" i="319"/>
  <c r="G22" i="319"/>
  <c r="AB21" i="319"/>
  <c r="AA21" i="319"/>
  <c r="V21" i="319"/>
  <c r="U21" i="319"/>
  <c r="O21" i="319"/>
  <c r="N21" i="319"/>
  <c r="Q21" i="319" s="1"/>
  <c r="M21" i="319"/>
  <c r="K21" i="319"/>
  <c r="P21" i="319" s="1"/>
  <c r="G21" i="319"/>
  <c r="AB20" i="319"/>
  <c r="AA20" i="319"/>
  <c r="V20" i="319"/>
  <c r="U20" i="319"/>
  <c r="O20" i="319"/>
  <c r="M20" i="319"/>
  <c r="N20" i="319" s="1"/>
  <c r="K20" i="319"/>
  <c r="G20" i="319"/>
  <c r="AB19" i="319"/>
  <c r="AA19" i="319"/>
  <c r="V19" i="319"/>
  <c r="O19" i="319"/>
  <c r="M19" i="319"/>
  <c r="M26" i="319" s="1"/>
  <c r="K19" i="319"/>
  <c r="G19" i="319"/>
  <c r="O18" i="319"/>
  <c r="K18" i="319"/>
  <c r="V17" i="319"/>
  <c r="M17" i="319" s="1"/>
  <c r="U17" i="319"/>
  <c r="O17" i="319"/>
  <c r="K17" i="319"/>
  <c r="G17" i="319"/>
  <c r="V16" i="319"/>
  <c r="M16" i="319" s="1"/>
  <c r="U16" i="319"/>
  <c r="O16" i="319"/>
  <c r="K16" i="319"/>
  <c r="G16" i="319"/>
  <c r="V15" i="319"/>
  <c r="U15" i="319"/>
  <c r="O15" i="319"/>
  <c r="M15" i="319"/>
  <c r="AB15" i="319" s="1"/>
  <c r="K15" i="319"/>
  <c r="G15" i="319"/>
  <c r="V14" i="319"/>
  <c r="O14" i="319"/>
  <c r="M14" i="319"/>
  <c r="M18" i="319" s="1"/>
  <c r="K14" i="319"/>
  <c r="G14" i="319"/>
  <c r="O13" i="319"/>
  <c r="K13" i="319"/>
  <c r="AB12" i="319"/>
  <c r="AA12" i="319"/>
  <c r="V12" i="319"/>
  <c r="U12" i="319"/>
  <c r="O12" i="319"/>
  <c r="M12" i="319"/>
  <c r="N12" i="319" s="1"/>
  <c r="K12" i="319"/>
  <c r="G12" i="319"/>
  <c r="AB11" i="319"/>
  <c r="AA11" i="319"/>
  <c r="X11" i="319"/>
  <c r="W11" i="319"/>
  <c r="V11" i="319"/>
  <c r="U11" i="319"/>
  <c r="O11" i="319"/>
  <c r="N11" i="319"/>
  <c r="Q11" i="319" s="1"/>
  <c r="M11" i="319"/>
  <c r="K11" i="319"/>
  <c r="P11" i="319" s="1"/>
  <c r="G11" i="319"/>
  <c r="AB10" i="319"/>
  <c r="AA10" i="319"/>
  <c r="V10" i="319"/>
  <c r="U10" i="319"/>
  <c r="O10" i="319"/>
  <c r="M10" i="319"/>
  <c r="N10" i="319" s="1"/>
  <c r="K10" i="319"/>
  <c r="G10" i="319"/>
  <c r="AA9" i="319"/>
  <c r="X9" i="319"/>
  <c r="W9" i="319"/>
  <c r="V9" i="319"/>
  <c r="O9" i="319"/>
  <c r="M9" i="319"/>
  <c r="N9" i="319" s="1"/>
  <c r="K9" i="319"/>
  <c r="G9" i="319"/>
  <c r="O8" i="319"/>
  <c r="K8" i="319"/>
  <c r="V7" i="319"/>
  <c r="M7" i="319" s="1"/>
  <c r="U7" i="319"/>
  <c r="O7" i="319"/>
  <c r="K7" i="319"/>
  <c r="G7" i="319"/>
  <c r="V6" i="319"/>
  <c r="M6" i="319" s="1"/>
  <c r="U6" i="319"/>
  <c r="O6" i="319"/>
  <c r="K6" i="319"/>
  <c r="G6" i="319"/>
  <c r="V5" i="319"/>
  <c r="M5" i="319" s="1"/>
  <c r="O5" i="319"/>
  <c r="K5" i="319"/>
  <c r="G5" i="319"/>
  <c r="H2" i="319"/>
  <c r="H1" i="319"/>
  <c r="D1" i="319"/>
  <c r="M18" i="318"/>
  <c r="L18" i="318"/>
  <c r="K18" i="318"/>
  <c r="J18" i="318"/>
  <c r="I18" i="318"/>
  <c r="H18" i="318"/>
  <c r="G18" i="318"/>
  <c r="F18" i="318"/>
  <c r="E18" i="318"/>
  <c r="D18" i="318"/>
  <c r="M17" i="318"/>
  <c r="L17" i="318"/>
  <c r="K17" i="318"/>
  <c r="J17" i="318"/>
  <c r="I17" i="318"/>
  <c r="H17" i="318"/>
  <c r="G17" i="318"/>
  <c r="F17" i="318"/>
  <c r="E17" i="318"/>
  <c r="D17" i="318"/>
  <c r="M16" i="318"/>
  <c r="L16" i="318"/>
  <c r="K16" i="318"/>
  <c r="J16" i="318"/>
  <c r="I16" i="318"/>
  <c r="H16" i="318"/>
  <c r="G16" i="318"/>
  <c r="F16" i="318"/>
  <c r="E16" i="318"/>
  <c r="D16" i="318"/>
  <c r="M13" i="318"/>
  <c r="L13" i="318"/>
  <c r="K13" i="318"/>
  <c r="I6" i="318" s="1"/>
  <c r="J13" i="318"/>
  <c r="I13" i="318"/>
  <c r="H13" i="318"/>
  <c r="G13" i="318"/>
  <c r="F13" i="318"/>
  <c r="E13" i="318"/>
  <c r="D13" i="318"/>
  <c r="G6" i="318" s="1"/>
  <c r="F3" i="318"/>
  <c r="C3" i="318"/>
  <c r="P24" i="322" l="1"/>
  <c r="Q24" i="322"/>
  <c r="R18" i="322" s="1"/>
  <c r="G14" i="323"/>
  <c r="G15" i="323" s="1"/>
  <c r="Q13" i="322"/>
  <c r="R9" i="322" s="1"/>
  <c r="P13" i="322"/>
  <c r="E14" i="323"/>
  <c r="E15" i="323" s="1"/>
  <c r="P38" i="322"/>
  <c r="L14" i="323"/>
  <c r="L15" i="323" s="1"/>
  <c r="Q38" i="322"/>
  <c r="R32" i="322" s="1"/>
  <c r="M14" i="323"/>
  <c r="M15" i="323" s="1"/>
  <c r="Q68" i="322"/>
  <c r="R60" i="322" s="1"/>
  <c r="P68" i="322"/>
  <c r="Q31" i="322"/>
  <c r="R25" i="322" s="1"/>
  <c r="K14" i="323"/>
  <c r="P31" i="322"/>
  <c r="J14" i="323"/>
  <c r="J15" i="323" s="1"/>
  <c r="Q59" i="322"/>
  <c r="R53" i="322" s="1"/>
  <c r="P59" i="322"/>
  <c r="D14" i="323"/>
  <c r="Q8" i="322"/>
  <c r="R5" i="322" s="1"/>
  <c r="D2" i="322"/>
  <c r="P8" i="322"/>
  <c r="H14" i="323"/>
  <c r="H15" i="323" s="1"/>
  <c r="Q46" i="322"/>
  <c r="R39" i="322" s="1"/>
  <c r="P46" i="322"/>
  <c r="F14" i="323"/>
  <c r="F15" i="323" s="1"/>
  <c r="Q17" i="322"/>
  <c r="R14" i="322" s="1"/>
  <c r="P17" i="322"/>
  <c r="P62" i="320"/>
  <c r="Q62" i="320"/>
  <c r="P22" i="320"/>
  <c r="Q22" i="320"/>
  <c r="P20" i="320"/>
  <c r="Q20" i="320"/>
  <c r="N59" i="320"/>
  <c r="AB59" i="320"/>
  <c r="AC53" i="320" s="1"/>
  <c r="AA59" i="320"/>
  <c r="Q29" i="320"/>
  <c r="P29" i="320"/>
  <c r="Q7" i="320"/>
  <c r="P7" i="320"/>
  <c r="N13" i="320"/>
  <c r="D2" i="320" s="1"/>
  <c r="AA13" i="320"/>
  <c r="AB13" i="320"/>
  <c r="AC9" i="320" s="1"/>
  <c r="P53" i="320"/>
  <c r="Q53" i="320"/>
  <c r="P40" i="320"/>
  <c r="Q40" i="320"/>
  <c r="AA24" i="320"/>
  <c r="AB24" i="320"/>
  <c r="AC18" i="320" s="1"/>
  <c r="N24" i="320"/>
  <c r="P36" i="320"/>
  <c r="Q36" i="320"/>
  <c r="P9" i="320"/>
  <c r="Q9" i="320"/>
  <c r="Q60" i="320"/>
  <c r="P60" i="320"/>
  <c r="Q27" i="320"/>
  <c r="P27" i="320"/>
  <c r="Q56" i="320"/>
  <c r="P56" i="320"/>
  <c r="Q34" i="320"/>
  <c r="P34" i="320"/>
  <c r="Q12" i="320"/>
  <c r="P12" i="320"/>
  <c r="Q5" i="320"/>
  <c r="P5" i="320"/>
  <c r="Q51" i="320"/>
  <c r="P51" i="320"/>
  <c r="Q49" i="320"/>
  <c r="P49" i="320"/>
  <c r="AB31" i="320"/>
  <c r="AC25" i="320" s="1"/>
  <c r="AA31" i="320"/>
  <c r="N31" i="320"/>
  <c r="P58" i="320"/>
  <c r="Q58" i="320"/>
  <c r="P16" i="320"/>
  <c r="Q16" i="320"/>
  <c r="Q63" i="320"/>
  <c r="P63" i="320"/>
  <c r="Q41" i="320"/>
  <c r="P41" i="320"/>
  <c r="Q23" i="320"/>
  <c r="P23" i="320"/>
  <c r="P50" i="320"/>
  <c r="Q50" i="320"/>
  <c r="Q18" i="320"/>
  <c r="P18" i="320"/>
  <c r="Q54" i="320"/>
  <c r="P54" i="320"/>
  <c r="P47" i="320"/>
  <c r="Q47" i="320"/>
  <c r="P65" i="320"/>
  <c r="Q65" i="320"/>
  <c r="P43" i="320"/>
  <c r="Q43" i="320"/>
  <c r="P14" i="320"/>
  <c r="Q14" i="320"/>
  <c r="P30" i="320"/>
  <c r="Q30" i="320"/>
  <c r="P25" i="320"/>
  <c r="Q25" i="320"/>
  <c r="P10" i="320"/>
  <c r="Q10" i="320"/>
  <c r="P61" i="320"/>
  <c r="Q61" i="320"/>
  <c r="P37" i="320"/>
  <c r="Q37" i="320"/>
  <c r="P32" i="320"/>
  <c r="Q32" i="320"/>
  <c r="P21" i="320"/>
  <c r="Q21" i="320"/>
  <c r="Q66" i="320"/>
  <c r="P66" i="320"/>
  <c r="M14" i="321"/>
  <c r="M15" i="321" s="1"/>
  <c r="Q68" i="320"/>
  <c r="R60" i="320" s="1"/>
  <c r="P68" i="320"/>
  <c r="P57" i="320"/>
  <c r="Q57" i="320"/>
  <c r="Q55" i="320"/>
  <c r="P55" i="320"/>
  <c r="Q48" i="320"/>
  <c r="P48" i="320"/>
  <c r="AA52" i="320"/>
  <c r="AB52" i="320"/>
  <c r="AC47" i="320" s="1"/>
  <c r="N52" i="320"/>
  <c r="Q44" i="320"/>
  <c r="P44" i="320"/>
  <c r="Q39" i="320"/>
  <c r="P39" i="320"/>
  <c r="N46" i="320"/>
  <c r="AA46" i="320"/>
  <c r="AB46" i="320"/>
  <c r="AC39" i="320" s="1"/>
  <c r="P35" i="320"/>
  <c r="Q35" i="320"/>
  <c r="P33" i="320"/>
  <c r="Q33" i="320"/>
  <c r="Q38" i="320"/>
  <c r="R32" i="320" s="1"/>
  <c r="L14" i="321"/>
  <c r="L15" i="321" s="1"/>
  <c r="P38" i="320"/>
  <c r="Q28" i="320"/>
  <c r="P28" i="320"/>
  <c r="Q26" i="320"/>
  <c r="P26" i="320"/>
  <c r="Q19" i="320"/>
  <c r="P19" i="320"/>
  <c r="P15" i="320"/>
  <c r="Q15" i="320"/>
  <c r="F14" i="321"/>
  <c r="F15" i="321" s="1"/>
  <c r="Q17" i="320"/>
  <c r="R14" i="320" s="1"/>
  <c r="P17" i="320"/>
  <c r="P6" i="320"/>
  <c r="Q6" i="320"/>
  <c r="D14" i="321"/>
  <c r="Q8" i="320"/>
  <c r="R5" i="320" s="1"/>
  <c r="P8" i="320"/>
  <c r="N64" i="319"/>
  <c r="AB64" i="319"/>
  <c r="AA64" i="319"/>
  <c r="AB26" i="319"/>
  <c r="AC19" i="319" s="1"/>
  <c r="AA26" i="319"/>
  <c r="N26" i="319"/>
  <c r="F2" i="319"/>
  <c r="I3" i="318"/>
  <c r="N31" i="319"/>
  <c r="AB31" i="319"/>
  <c r="AA31" i="319"/>
  <c r="P44" i="319"/>
  <c r="Q44" i="319"/>
  <c r="P30" i="319"/>
  <c r="Q30" i="319"/>
  <c r="Q46" i="319"/>
  <c r="P46" i="319"/>
  <c r="N7" i="319"/>
  <c r="AB7" i="319"/>
  <c r="AA7" i="319"/>
  <c r="AB17" i="319"/>
  <c r="AA17" i="319"/>
  <c r="N17" i="319"/>
  <c r="Q20" i="319"/>
  <c r="P20" i="319"/>
  <c r="Q34" i="319"/>
  <c r="P34" i="319"/>
  <c r="P63" i="319"/>
  <c r="Q63" i="319"/>
  <c r="AB60" i="319"/>
  <c r="AA60" i="319"/>
  <c r="N60" i="319"/>
  <c r="Q9" i="319"/>
  <c r="P9" i="319"/>
  <c r="AB52" i="319"/>
  <c r="AA52" i="319"/>
  <c r="N52" i="319"/>
  <c r="N6" i="319"/>
  <c r="AB6" i="319"/>
  <c r="AA6" i="319"/>
  <c r="Q10" i="319"/>
  <c r="P10" i="319"/>
  <c r="N5" i="319"/>
  <c r="M8" i="319"/>
  <c r="AB5" i="319"/>
  <c r="AA5" i="319"/>
  <c r="P32" i="319"/>
  <c r="Q32" i="319"/>
  <c r="N42" i="319"/>
  <c r="AB42" i="319"/>
  <c r="M49" i="319"/>
  <c r="AA42" i="319"/>
  <c r="N28" i="319"/>
  <c r="AB28" i="319"/>
  <c r="AA28" i="319"/>
  <c r="N54" i="319"/>
  <c r="AB54" i="319"/>
  <c r="AA54" i="319"/>
  <c r="N65" i="319"/>
  <c r="AB65" i="319"/>
  <c r="AA65" i="319"/>
  <c r="N67" i="319"/>
  <c r="AB67" i="319"/>
  <c r="AA67" i="319"/>
  <c r="P66" i="319"/>
  <c r="Q66" i="319"/>
  <c r="P27" i="319"/>
  <c r="Q27" i="319"/>
  <c r="Q48" i="319"/>
  <c r="P48" i="319"/>
  <c r="AB16" i="319"/>
  <c r="AA16" i="319"/>
  <c r="N16" i="319"/>
  <c r="AB24" i="319"/>
  <c r="AA24" i="319"/>
  <c r="N24" i="319"/>
  <c r="AB38" i="319"/>
  <c r="AA38" i="319"/>
  <c r="N38" i="319"/>
  <c r="N43" i="319"/>
  <c r="AB43" i="319"/>
  <c r="AA43" i="319"/>
  <c r="Q12" i="319"/>
  <c r="P12" i="319"/>
  <c r="N29" i="319"/>
  <c r="AB29" i="319"/>
  <c r="AA29" i="319"/>
  <c r="AB40" i="319"/>
  <c r="AA40" i="319"/>
  <c r="N40" i="319"/>
  <c r="N45" i="319"/>
  <c r="AB45" i="319"/>
  <c r="AA45" i="319"/>
  <c r="M62" i="319"/>
  <c r="Q68" i="319"/>
  <c r="P68" i="319"/>
  <c r="N69" i="319"/>
  <c r="AB69" i="319"/>
  <c r="AA69" i="319"/>
  <c r="N18" i="319"/>
  <c r="AB18" i="319"/>
  <c r="AC14" i="319" s="1"/>
  <c r="AA18" i="319"/>
  <c r="AB53" i="319"/>
  <c r="AA53" i="319"/>
  <c r="N53" i="319"/>
  <c r="AB22" i="319"/>
  <c r="AA34" i="319"/>
  <c r="AB36" i="319"/>
  <c r="M41" i="319"/>
  <c r="AB58" i="319"/>
  <c r="AB9" i="319"/>
  <c r="N14" i="319"/>
  <c r="N15" i="319"/>
  <c r="N25" i="319"/>
  <c r="N39" i="319"/>
  <c r="N50" i="319"/>
  <c r="N51" i="319"/>
  <c r="N61" i="319"/>
  <c r="E6" i="318"/>
  <c r="F6" i="318"/>
  <c r="M13" i="319"/>
  <c r="N23" i="319"/>
  <c r="N37" i="319"/>
  <c r="N59" i="319"/>
  <c r="N22" i="319"/>
  <c r="AA27" i="319"/>
  <c r="N36" i="319"/>
  <c r="N58" i="319"/>
  <c r="AA63" i="319"/>
  <c r="M70" i="319"/>
  <c r="AB27" i="319"/>
  <c r="M33" i="319"/>
  <c r="AB63" i="319"/>
  <c r="N19" i="319"/>
  <c r="AA14" i="319"/>
  <c r="AA15" i="319"/>
  <c r="AA25" i="319"/>
  <c r="AA50" i="319"/>
  <c r="AA51" i="319"/>
  <c r="M55" i="319"/>
  <c r="AA61" i="319"/>
  <c r="AB14" i="319"/>
  <c r="AA23" i="319"/>
  <c r="AA37" i="319"/>
  <c r="AA39" i="319"/>
  <c r="AA59" i="319"/>
  <c r="I7" i="323" l="1"/>
  <c r="K15" i="323"/>
  <c r="I8" i="323" s="1"/>
  <c r="F7" i="323"/>
  <c r="E7" i="323"/>
  <c r="G7" i="323"/>
  <c r="D15" i="323"/>
  <c r="D15" i="321"/>
  <c r="H14" i="321"/>
  <c r="H15" i="321" s="1"/>
  <c r="Q46" i="320"/>
  <c r="R39" i="320" s="1"/>
  <c r="P46" i="320"/>
  <c r="I14" i="321"/>
  <c r="I15" i="321" s="1"/>
  <c r="Q52" i="320"/>
  <c r="R47" i="320" s="1"/>
  <c r="P52" i="320"/>
  <c r="P31" i="320"/>
  <c r="K14" i="321"/>
  <c r="Q31" i="320"/>
  <c r="R25" i="320" s="1"/>
  <c r="G14" i="321"/>
  <c r="G15" i="321" s="1"/>
  <c r="Q24" i="320"/>
  <c r="R18" i="320" s="1"/>
  <c r="P24" i="320"/>
  <c r="Q13" i="320"/>
  <c r="R9" i="320" s="1"/>
  <c r="E14" i="321"/>
  <c r="E15" i="321" s="1"/>
  <c r="P13" i="320"/>
  <c r="J14" i="321"/>
  <c r="J15" i="321" s="1"/>
  <c r="Q59" i="320"/>
  <c r="R53" i="320" s="1"/>
  <c r="P59" i="320"/>
  <c r="Q31" i="319"/>
  <c r="P31" i="319"/>
  <c r="Q43" i="319"/>
  <c r="P43" i="319"/>
  <c r="Q7" i="319"/>
  <c r="P7" i="319"/>
  <c r="G14" i="318"/>
  <c r="G15" i="318" s="1"/>
  <c r="Q26" i="319"/>
  <c r="R19" i="319" s="1"/>
  <c r="P26" i="319"/>
  <c r="Q17" i="319"/>
  <c r="P17" i="319"/>
  <c r="Q61" i="319"/>
  <c r="P61" i="319"/>
  <c r="Q60" i="319"/>
  <c r="P60" i="319"/>
  <c r="Q28" i="319"/>
  <c r="P28" i="319"/>
  <c r="AA33" i="319"/>
  <c r="N33" i="319"/>
  <c r="AB33" i="319"/>
  <c r="AC27" i="319" s="1"/>
  <c r="AB70" i="319"/>
  <c r="AC63" i="319" s="1"/>
  <c r="AA70" i="319"/>
  <c r="N70" i="319"/>
  <c r="Q51" i="319"/>
  <c r="P51" i="319"/>
  <c r="Q38" i="319"/>
  <c r="P38" i="319"/>
  <c r="Q5" i="319"/>
  <c r="P5" i="319"/>
  <c r="Q65" i="319"/>
  <c r="P65" i="319"/>
  <c r="AB62" i="319"/>
  <c r="AC56" i="319" s="1"/>
  <c r="AA62" i="319"/>
  <c r="N62" i="319"/>
  <c r="Q53" i="319"/>
  <c r="P53" i="319"/>
  <c r="Q50" i="319"/>
  <c r="P50" i="319"/>
  <c r="N8" i="319"/>
  <c r="AB8" i="319"/>
  <c r="AC5" i="319" s="1"/>
  <c r="AA8" i="319"/>
  <c r="Q39" i="319"/>
  <c r="P39" i="319"/>
  <c r="Q14" i="319"/>
  <c r="P14" i="319"/>
  <c r="F14" i="318"/>
  <c r="F15" i="318" s="1"/>
  <c r="Q18" i="319"/>
  <c r="R14" i="319" s="1"/>
  <c r="P18" i="319"/>
  <c r="AB49" i="319"/>
  <c r="AC42" i="319" s="1"/>
  <c r="AA49" i="319"/>
  <c r="N49" i="319"/>
  <c r="Q58" i="319"/>
  <c r="P58" i="319"/>
  <c r="Q54" i="319"/>
  <c r="P54" i="319"/>
  <c r="Q36" i="319"/>
  <c r="P36" i="319"/>
  <c r="Q45" i="319"/>
  <c r="P45" i="319"/>
  <c r="Q15" i="319"/>
  <c r="P15" i="319"/>
  <c r="Q59" i="319"/>
  <c r="P59" i="319"/>
  <c r="Q19" i="319"/>
  <c r="P19" i="319"/>
  <c r="Q23" i="319"/>
  <c r="P23" i="319"/>
  <c r="Q67" i="319"/>
  <c r="P67" i="319"/>
  <c r="Q6" i="319"/>
  <c r="P6" i="319"/>
  <c r="N55" i="319"/>
  <c r="AB55" i="319"/>
  <c r="AC50" i="319" s="1"/>
  <c r="AA55" i="319"/>
  <c r="Q25" i="319"/>
  <c r="P25" i="319"/>
  <c r="Q40" i="319"/>
  <c r="P40" i="319"/>
  <c r="Q22" i="319"/>
  <c r="P22" i="319"/>
  <c r="Q24" i="319"/>
  <c r="P24" i="319"/>
  <c r="Q37" i="319"/>
  <c r="P37" i="319"/>
  <c r="AB13" i="319"/>
  <c r="AC9" i="319" s="1"/>
  <c r="AA13" i="319"/>
  <c r="N13" i="319"/>
  <c r="AB41" i="319"/>
  <c r="AC34" i="319" s="1"/>
  <c r="AA41" i="319"/>
  <c r="N41" i="319"/>
  <c r="Q69" i="319"/>
  <c r="P69" i="319"/>
  <c r="Q29" i="319"/>
  <c r="P29" i="319"/>
  <c r="Q16" i="319"/>
  <c r="P16" i="319"/>
  <c r="Q42" i="319"/>
  <c r="P42" i="319"/>
  <c r="Q52" i="319"/>
  <c r="P52" i="319"/>
  <c r="Q64" i="319"/>
  <c r="P64" i="319"/>
  <c r="G8" i="323" l="1"/>
  <c r="F8" i="323"/>
  <c r="E8" i="323"/>
  <c r="E7" i="321"/>
  <c r="F7" i="321"/>
  <c r="G7" i="321"/>
  <c r="K15" i="321"/>
  <c r="I8" i="321" s="1"/>
  <c r="I7" i="321"/>
  <c r="G8" i="321"/>
  <c r="F8" i="321"/>
  <c r="E8" i="321"/>
  <c r="P55" i="319"/>
  <c r="I14" i="318"/>
  <c r="I15" i="318" s="1"/>
  <c r="Q55" i="319"/>
  <c r="R50" i="319" s="1"/>
  <c r="Q70" i="319"/>
  <c r="R63" i="319" s="1"/>
  <c r="P70" i="319"/>
  <c r="M14" i="318"/>
  <c r="M15" i="318" s="1"/>
  <c r="J14" i="318"/>
  <c r="J15" i="318" s="1"/>
  <c r="Q62" i="319"/>
  <c r="R56" i="319" s="1"/>
  <c r="P62" i="319"/>
  <c r="Q41" i="319"/>
  <c r="R34" i="319" s="1"/>
  <c r="P41" i="319"/>
  <c r="L14" i="318"/>
  <c r="L15" i="318" s="1"/>
  <c r="Q8" i="319"/>
  <c r="R5" i="319" s="1"/>
  <c r="P8" i="319"/>
  <c r="D2" i="319"/>
  <c r="D14" i="318"/>
  <c r="Q33" i="319"/>
  <c r="R27" i="319" s="1"/>
  <c r="P33" i="319"/>
  <c r="K14" i="318"/>
  <c r="Q13" i="319"/>
  <c r="R9" i="319" s="1"/>
  <c r="P13" i="319"/>
  <c r="E14" i="318"/>
  <c r="E15" i="318" s="1"/>
  <c r="Q49" i="319"/>
  <c r="R42" i="319" s="1"/>
  <c r="P49" i="319"/>
  <c r="H14" i="318"/>
  <c r="H15" i="318" s="1"/>
  <c r="K15" i="318" l="1"/>
  <c r="I8" i="318" s="1"/>
  <c r="I7" i="318"/>
  <c r="F7" i="318"/>
  <c r="E7" i="318"/>
  <c r="D15" i="318"/>
  <c r="G7" i="318"/>
  <c r="G8" i="318" l="1"/>
  <c r="F8" i="318"/>
  <c r="E8" i="318"/>
  <c r="O65" i="317" l="1"/>
  <c r="K65" i="317"/>
  <c r="V64" i="317"/>
  <c r="M64" i="317" s="1"/>
  <c r="U64" i="317"/>
  <c r="O64" i="317"/>
  <c r="K64" i="317"/>
  <c r="G64" i="317"/>
  <c r="AB63" i="317"/>
  <c r="AA63" i="317"/>
  <c r="V63" i="317"/>
  <c r="U63" i="317"/>
  <c r="O63" i="317"/>
  <c r="M63" i="317"/>
  <c r="N63" i="317" s="1"/>
  <c r="K63" i="317"/>
  <c r="G63" i="317"/>
  <c r="V62" i="317"/>
  <c r="M62" i="317" s="1"/>
  <c r="U62" i="317"/>
  <c r="O62" i="317"/>
  <c r="K62" i="317"/>
  <c r="G62" i="317"/>
  <c r="V61" i="317"/>
  <c r="M61" i="317" s="1"/>
  <c r="U61" i="317"/>
  <c r="O61" i="317"/>
  <c r="K61" i="317"/>
  <c r="G61" i="317"/>
  <c r="V60" i="317"/>
  <c r="M60" i="317" s="1"/>
  <c r="U60" i="317"/>
  <c r="O60" i="317"/>
  <c r="K60" i="317"/>
  <c r="G60" i="317"/>
  <c r="X59" i="317"/>
  <c r="W59" i="317"/>
  <c r="V59" i="317"/>
  <c r="M59" i="317" s="1"/>
  <c r="O59" i="317"/>
  <c r="K59" i="317"/>
  <c r="G59" i="317"/>
  <c r="O58" i="317"/>
  <c r="K58" i="317"/>
  <c r="V57" i="317"/>
  <c r="M57" i="317" s="1"/>
  <c r="U57" i="317"/>
  <c r="O57" i="317"/>
  <c r="K57" i="317"/>
  <c r="G57" i="317"/>
  <c r="V56" i="317"/>
  <c r="U56" i="317"/>
  <c r="O56" i="317"/>
  <c r="M56" i="317"/>
  <c r="AB56" i="317" s="1"/>
  <c r="K56" i="317"/>
  <c r="G56" i="317"/>
  <c r="V55" i="317"/>
  <c r="U55" i="317"/>
  <c r="O55" i="317"/>
  <c r="M55" i="317"/>
  <c r="AA55" i="317" s="1"/>
  <c r="K55" i="317"/>
  <c r="G55" i="317"/>
  <c r="AB54" i="317"/>
  <c r="AA54" i="317"/>
  <c r="V54" i="317"/>
  <c r="U54" i="317"/>
  <c r="O54" i="317"/>
  <c r="M54" i="317"/>
  <c r="N54" i="317" s="1"/>
  <c r="K54" i="317"/>
  <c r="G54" i="317"/>
  <c r="V53" i="317"/>
  <c r="M53" i="317" s="1"/>
  <c r="U53" i="317"/>
  <c r="O53" i="317"/>
  <c r="K53" i="317"/>
  <c r="G53" i="317"/>
  <c r="V52" i="317"/>
  <c r="M52" i="317" s="1"/>
  <c r="O52" i="317"/>
  <c r="K52" i="317"/>
  <c r="G52" i="317"/>
  <c r="O51" i="317"/>
  <c r="K51" i="317"/>
  <c r="V50" i="317"/>
  <c r="M50" i="317" s="1"/>
  <c r="U50" i="317"/>
  <c r="O50" i="317"/>
  <c r="K50" i="317"/>
  <c r="G50" i="317"/>
  <c r="V49" i="317"/>
  <c r="U49" i="317"/>
  <c r="O49" i="317"/>
  <c r="N49" i="317"/>
  <c r="Q49" i="317" s="1"/>
  <c r="M49" i="317"/>
  <c r="AB49" i="317" s="1"/>
  <c r="K49" i="317"/>
  <c r="G49" i="317"/>
  <c r="V48" i="317"/>
  <c r="U48" i="317"/>
  <c r="O48" i="317"/>
  <c r="M48" i="317"/>
  <c r="AB48" i="317" s="1"/>
  <c r="K48" i="317"/>
  <c r="G48" i="317"/>
  <c r="V47" i="317"/>
  <c r="M47" i="317" s="1"/>
  <c r="U47" i="317"/>
  <c r="O47" i="317"/>
  <c r="K47" i="317"/>
  <c r="G47" i="317"/>
  <c r="V46" i="317"/>
  <c r="M46" i="317" s="1"/>
  <c r="O46" i="317"/>
  <c r="K46" i="317"/>
  <c r="G46" i="317"/>
  <c r="O45" i="317"/>
  <c r="K45" i="317"/>
  <c r="V44" i="317"/>
  <c r="M44" i="317" s="1"/>
  <c r="U44" i="317"/>
  <c r="O44" i="317"/>
  <c r="K44" i="317"/>
  <c r="G44" i="317"/>
  <c r="AB43" i="317"/>
  <c r="AA43" i="317"/>
  <c r="V43" i="317"/>
  <c r="U43" i="317"/>
  <c r="O43" i="317"/>
  <c r="M43" i="317"/>
  <c r="N43" i="317" s="1"/>
  <c r="K43" i="317"/>
  <c r="G43" i="317"/>
  <c r="V42" i="317"/>
  <c r="M42" i="317" s="1"/>
  <c r="U42" i="317"/>
  <c r="O42" i="317"/>
  <c r="K42" i="317"/>
  <c r="G42" i="317"/>
  <c r="V41" i="317"/>
  <c r="M41" i="317" s="1"/>
  <c r="U41" i="317"/>
  <c r="O41" i="317"/>
  <c r="K41" i="317"/>
  <c r="G41" i="317"/>
  <c r="V40" i="317"/>
  <c r="M40" i="317" s="1"/>
  <c r="U40" i="317"/>
  <c r="O40" i="317"/>
  <c r="K40" i="317"/>
  <c r="G40" i="317"/>
  <c r="V39" i="317"/>
  <c r="M39" i="317" s="1"/>
  <c r="O39" i="317"/>
  <c r="K39" i="317"/>
  <c r="G39" i="317"/>
  <c r="O38" i="317"/>
  <c r="K38" i="317"/>
  <c r="L13" i="316" s="1"/>
  <c r="V37" i="317"/>
  <c r="U37" i="317"/>
  <c r="O37" i="317"/>
  <c r="M37" i="317"/>
  <c r="AA37" i="317" s="1"/>
  <c r="K37" i="317"/>
  <c r="G37" i="317"/>
  <c r="AB36" i="317"/>
  <c r="AA36" i="317"/>
  <c r="V36" i="317"/>
  <c r="U36" i="317"/>
  <c r="O36" i="317"/>
  <c r="N36" i="317"/>
  <c r="Q36" i="317" s="1"/>
  <c r="M36" i="317"/>
  <c r="K36" i="317"/>
  <c r="G36" i="317"/>
  <c r="V35" i="317"/>
  <c r="M35" i="317" s="1"/>
  <c r="U35" i="317"/>
  <c r="O35" i="317"/>
  <c r="K35" i="317"/>
  <c r="G35" i="317"/>
  <c r="V34" i="317"/>
  <c r="M34" i="317" s="1"/>
  <c r="U34" i="317"/>
  <c r="O34" i="317"/>
  <c r="K34" i="317"/>
  <c r="G34" i="317"/>
  <c r="AB33" i="317"/>
  <c r="AA33" i="317"/>
  <c r="V33" i="317"/>
  <c r="U33" i="317"/>
  <c r="O33" i="317"/>
  <c r="M33" i="317"/>
  <c r="N33" i="317" s="1"/>
  <c r="K33" i="317"/>
  <c r="G33" i="317"/>
  <c r="X32" i="317"/>
  <c r="W32" i="317"/>
  <c r="V32" i="317"/>
  <c r="M32" i="317" s="1"/>
  <c r="O32" i="317"/>
  <c r="K32" i="317"/>
  <c r="G32" i="317"/>
  <c r="O31" i="317"/>
  <c r="K31" i="317"/>
  <c r="V30" i="317"/>
  <c r="M30" i="317" s="1"/>
  <c r="U30" i="317"/>
  <c r="O30" i="317"/>
  <c r="K30" i="317"/>
  <c r="G30" i="317"/>
  <c r="V29" i="317"/>
  <c r="U29" i="317"/>
  <c r="O29" i="317"/>
  <c r="N29" i="317"/>
  <c r="Q29" i="317" s="1"/>
  <c r="M29" i="317"/>
  <c r="AB29" i="317" s="1"/>
  <c r="K29" i="317"/>
  <c r="G29" i="317"/>
  <c r="V28" i="317"/>
  <c r="U28" i="317"/>
  <c r="O28" i="317"/>
  <c r="M28" i="317"/>
  <c r="AB28" i="317" s="1"/>
  <c r="K28" i="317"/>
  <c r="G28" i="317"/>
  <c r="V27" i="317"/>
  <c r="M27" i="317" s="1"/>
  <c r="U27" i="317"/>
  <c r="O27" i="317"/>
  <c r="K27" i="317"/>
  <c r="G27" i="317"/>
  <c r="X26" i="317"/>
  <c r="W26" i="317"/>
  <c r="V26" i="317"/>
  <c r="O26" i="317"/>
  <c r="N26" i="317"/>
  <c r="Q26" i="317" s="1"/>
  <c r="M26" i="317"/>
  <c r="AB26" i="317" s="1"/>
  <c r="K26" i="317"/>
  <c r="G26" i="317"/>
  <c r="O25" i="317"/>
  <c r="K25" i="317"/>
  <c r="AB24" i="317"/>
  <c r="AA24" i="317"/>
  <c r="V24" i="317"/>
  <c r="U24" i="317"/>
  <c r="O24" i="317"/>
  <c r="N24" i="317"/>
  <c r="Q24" i="317" s="1"/>
  <c r="M24" i="317"/>
  <c r="K24" i="317"/>
  <c r="G24" i="317"/>
  <c r="V23" i="317"/>
  <c r="M23" i="317" s="1"/>
  <c r="U23" i="317"/>
  <c r="O23" i="317"/>
  <c r="K23" i="317"/>
  <c r="G23" i="317"/>
  <c r="V22" i="317"/>
  <c r="M22" i="317" s="1"/>
  <c r="U22" i="317"/>
  <c r="O22" i="317"/>
  <c r="K22" i="317"/>
  <c r="G22" i="317"/>
  <c r="AB21" i="317"/>
  <c r="AA21" i="317"/>
  <c r="V21" i="317"/>
  <c r="U21" i="317"/>
  <c r="O21" i="317"/>
  <c r="M21" i="317"/>
  <c r="N21" i="317" s="1"/>
  <c r="K21" i="317"/>
  <c r="G21" i="317"/>
  <c r="V20" i="317"/>
  <c r="M20" i="317" s="1"/>
  <c r="U20" i="317"/>
  <c r="O20" i="317"/>
  <c r="K20" i="317"/>
  <c r="G20" i="317"/>
  <c r="V19" i="317"/>
  <c r="M19" i="317" s="1"/>
  <c r="U19" i="317"/>
  <c r="O19" i="317"/>
  <c r="K19" i="317"/>
  <c r="G19" i="317"/>
  <c r="V18" i="317"/>
  <c r="M18" i="317" s="1"/>
  <c r="O18" i="317"/>
  <c r="K18" i="317"/>
  <c r="G18" i="317"/>
  <c r="O17" i="317"/>
  <c r="M17" i="317"/>
  <c r="AB17" i="317" s="1"/>
  <c r="AC13" i="317" s="1"/>
  <c r="K17" i="317"/>
  <c r="F13" i="316" s="1"/>
  <c r="V16" i="317"/>
  <c r="U16" i="317"/>
  <c r="O16" i="317"/>
  <c r="M16" i="317"/>
  <c r="AB16" i="317" s="1"/>
  <c r="K16" i="317"/>
  <c r="G16" i="317"/>
  <c r="V15" i="317"/>
  <c r="U15" i="317"/>
  <c r="O15" i="317"/>
  <c r="M15" i="317"/>
  <c r="AA15" i="317" s="1"/>
  <c r="K15" i="317"/>
  <c r="G15" i="317"/>
  <c r="AB14" i="317"/>
  <c r="AA14" i="317"/>
  <c r="V14" i="317"/>
  <c r="U14" i="317"/>
  <c r="O14" i="317"/>
  <c r="N14" i="317"/>
  <c r="Q14" i="317" s="1"/>
  <c r="M14" i="317"/>
  <c r="K14" i="317"/>
  <c r="G14" i="317"/>
  <c r="AB13" i="317"/>
  <c r="AA13" i="317"/>
  <c r="V13" i="317"/>
  <c r="O13" i="317"/>
  <c r="N13" i="317"/>
  <c r="Q13" i="317" s="1"/>
  <c r="M13" i="317"/>
  <c r="K13" i="317"/>
  <c r="G13" i="317"/>
  <c r="O12" i="317"/>
  <c r="K12" i="317"/>
  <c r="V11" i="317"/>
  <c r="M11" i="317" s="1"/>
  <c r="U11" i="317"/>
  <c r="O11" i="317"/>
  <c r="K11" i="317"/>
  <c r="G11" i="317"/>
  <c r="V10" i="317"/>
  <c r="M10" i="317" s="1"/>
  <c r="U10" i="317"/>
  <c r="O10" i="317"/>
  <c r="K10" i="317"/>
  <c r="G10" i="317"/>
  <c r="X9" i="317"/>
  <c r="W9" i="317"/>
  <c r="V9" i="317"/>
  <c r="M9" i="317" s="1"/>
  <c r="O9" i="317"/>
  <c r="K9" i="317"/>
  <c r="G9" i="317"/>
  <c r="O8" i="317"/>
  <c r="K8" i="317"/>
  <c r="V7" i="317"/>
  <c r="M7" i="317" s="1"/>
  <c r="U7" i="317"/>
  <c r="O7" i="317"/>
  <c r="K7" i="317"/>
  <c r="G7" i="317"/>
  <c r="V6" i="317"/>
  <c r="U6" i="317"/>
  <c r="O6" i="317"/>
  <c r="M6" i="317"/>
  <c r="AB6" i="317" s="1"/>
  <c r="K6" i="317"/>
  <c r="G6" i="317"/>
  <c r="V5" i="317"/>
  <c r="O5" i="317"/>
  <c r="M5" i="317"/>
  <c r="AB5" i="317" s="1"/>
  <c r="K5" i="317"/>
  <c r="G5" i="317"/>
  <c r="F1" i="317" s="1"/>
  <c r="H2" i="317"/>
  <c r="H1" i="317"/>
  <c r="D1" i="317"/>
  <c r="M18" i="316"/>
  <c r="L18" i="316"/>
  <c r="K18" i="316"/>
  <c r="J18" i="316"/>
  <c r="I18" i="316"/>
  <c r="H18" i="316"/>
  <c r="G18" i="316"/>
  <c r="F18" i="316"/>
  <c r="E18" i="316"/>
  <c r="D18" i="316"/>
  <c r="M17" i="316"/>
  <c r="L17" i="316"/>
  <c r="K17" i="316"/>
  <c r="J17" i="316"/>
  <c r="I17" i="316"/>
  <c r="H17" i="316"/>
  <c r="G17" i="316"/>
  <c r="F17" i="316"/>
  <c r="E17" i="316"/>
  <c r="D17" i="316"/>
  <c r="M16" i="316"/>
  <c r="L16" i="316"/>
  <c r="K16" i="316"/>
  <c r="J16" i="316"/>
  <c r="I16" i="316"/>
  <c r="H16" i="316"/>
  <c r="G16" i="316"/>
  <c r="F16" i="316"/>
  <c r="E16" i="316"/>
  <c r="D16" i="316"/>
  <c r="M13" i="316"/>
  <c r="K13" i="316"/>
  <c r="J13" i="316"/>
  <c r="I13" i="316"/>
  <c r="H13" i="316"/>
  <c r="G13" i="316"/>
  <c r="E13" i="316"/>
  <c r="D13" i="316"/>
  <c r="F3" i="316"/>
  <c r="C3" i="316"/>
  <c r="P33" i="317" l="1"/>
  <c r="Q33" i="317"/>
  <c r="AB39" i="317"/>
  <c r="AA39" i="317"/>
  <c r="M45" i="317"/>
  <c r="N39" i="317"/>
  <c r="N11" i="317"/>
  <c r="AB11" i="317"/>
  <c r="AA11" i="317"/>
  <c r="N20" i="317"/>
  <c r="AA20" i="317"/>
  <c r="AB20" i="317"/>
  <c r="AB30" i="317"/>
  <c r="AA30" i="317"/>
  <c r="N30" i="317"/>
  <c r="N22" i="317"/>
  <c r="AB22" i="317"/>
  <c r="AA22" i="317"/>
  <c r="F2" i="317"/>
  <c r="I3" i="316"/>
  <c r="I6" i="316"/>
  <c r="N9" i="317"/>
  <c r="M12" i="317"/>
  <c r="AB9" i="317"/>
  <c r="AA9" i="317"/>
  <c r="N18" i="317"/>
  <c r="M25" i="317"/>
  <c r="AB18" i="317"/>
  <c r="AA18" i="317"/>
  <c r="N35" i="317"/>
  <c r="AA35" i="317"/>
  <c r="AB35" i="317"/>
  <c r="N42" i="317"/>
  <c r="AA42" i="317"/>
  <c r="AB42" i="317"/>
  <c r="AB47" i="317"/>
  <c r="AA47" i="317"/>
  <c r="N47" i="317"/>
  <c r="N52" i="317"/>
  <c r="AA52" i="317"/>
  <c r="AB52" i="317"/>
  <c r="M58" i="317"/>
  <c r="N59" i="317"/>
  <c r="AB59" i="317"/>
  <c r="AA59" i="317"/>
  <c r="M65" i="317"/>
  <c r="N61" i="317"/>
  <c r="AB61" i="317"/>
  <c r="AA61" i="317"/>
  <c r="P21" i="317"/>
  <c r="Q21" i="317"/>
  <c r="N44" i="317"/>
  <c r="AB44" i="317"/>
  <c r="AA44" i="317"/>
  <c r="AB40" i="317"/>
  <c r="AA40" i="317"/>
  <c r="N40" i="317"/>
  <c r="P43" i="317"/>
  <c r="Q43" i="317"/>
  <c r="AB7" i="317"/>
  <c r="AA7" i="317"/>
  <c r="N7" i="317"/>
  <c r="N23" i="317"/>
  <c r="AA23" i="317"/>
  <c r="AB23" i="317"/>
  <c r="AB27" i="317"/>
  <c r="AA27" i="317"/>
  <c r="N27" i="317"/>
  <c r="AB32" i="317"/>
  <c r="AA32" i="317"/>
  <c r="N32" i="317"/>
  <c r="M38" i="317"/>
  <c r="AB10" i="317"/>
  <c r="AA10" i="317"/>
  <c r="N10" i="317"/>
  <c r="N19" i="317"/>
  <c r="AB19" i="317"/>
  <c r="AA19" i="317"/>
  <c r="N53" i="317"/>
  <c r="AA53" i="317"/>
  <c r="AB53" i="317"/>
  <c r="N62" i="317"/>
  <c r="AA62" i="317"/>
  <c r="AB62" i="317"/>
  <c r="AB57" i="317"/>
  <c r="AA57" i="317"/>
  <c r="N57" i="317"/>
  <c r="N64" i="317"/>
  <c r="AB64" i="317"/>
  <c r="AA64" i="317"/>
  <c r="N34" i="317"/>
  <c r="AB34" i="317"/>
  <c r="AA34" i="317"/>
  <c r="N41" i="317"/>
  <c r="AB41" i="317"/>
  <c r="AA41" i="317"/>
  <c r="AB60" i="317"/>
  <c r="AA60" i="317"/>
  <c r="N60" i="317"/>
  <c r="AB50" i="317"/>
  <c r="AA50" i="317"/>
  <c r="N50" i="317"/>
  <c r="AB46" i="317"/>
  <c r="M51" i="317"/>
  <c r="AA46" i="317"/>
  <c r="N46" i="317"/>
  <c r="F6" i="316"/>
  <c r="Q54" i="317"/>
  <c r="P54" i="317"/>
  <c r="P63" i="317"/>
  <c r="Q63" i="317"/>
  <c r="M8" i="317"/>
  <c r="AB15" i="317"/>
  <c r="AB37" i="317"/>
  <c r="AB55" i="317"/>
  <c r="N17" i="317"/>
  <c r="N28" i="317"/>
  <c r="N48" i="317"/>
  <c r="N15" i="317"/>
  <c r="N37" i="317"/>
  <c r="N55" i="317"/>
  <c r="AA17" i="317"/>
  <c r="AA29" i="317"/>
  <c r="AA49" i="317"/>
  <c r="P26" i="317"/>
  <c r="P29" i="317"/>
  <c r="P49" i="317"/>
  <c r="N16" i="317"/>
  <c r="N56" i="317"/>
  <c r="E6" i="316"/>
  <c r="P24" i="317"/>
  <c r="AA28" i="317"/>
  <c r="P36" i="317"/>
  <c r="AA48" i="317"/>
  <c r="P13" i="317"/>
  <c r="P14" i="317"/>
  <c r="G6" i="316"/>
  <c r="AA26" i="317"/>
  <c r="M31" i="317"/>
  <c r="N5" i="317"/>
  <c r="N6" i="317"/>
  <c r="AA5" i="317"/>
  <c r="AA6" i="317"/>
  <c r="AA16" i="317"/>
  <c r="AA56" i="317"/>
  <c r="Q15" i="317" l="1"/>
  <c r="P15" i="317"/>
  <c r="N12" i="317"/>
  <c r="AA12" i="317"/>
  <c r="AB12" i="317"/>
  <c r="AC9" i="317" s="1"/>
  <c r="Q56" i="317"/>
  <c r="P56" i="317"/>
  <c r="AB38" i="317"/>
  <c r="AC32" i="317" s="1"/>
  <c r="N38" i="317"/>
  <c r="AA38" i="317"/>
  <c r="Q37" i="317"/>
  <c r="P37" i="317"/>
  <c r="P61" i="317"/>
  <c r="Q61" i="317"/>
  <c r="Q46" i="317"/>
  <c r="P46" i="317"/>
  <c r="Q9" i="317"/>
  <c r="P9" i="317"/>
  <c r="Q16" i="317"/>
  <c r="P16" i="317"/>
  <c r="P48" i="317"/>
  <c r="Q48" i="317"/>
  <c r="Q62" i="317"/>
  <c r="P62" i="317"/>
  <c r="AB65" i="317"/>
  <c r="AC59" i="317" s="1"/>
  <c r="AA65" i="317"/>
  <c r="N65" i="317"/>
  <c r="P28" i="317"/>
  <c r="Q28" i="317"/>
  <c r="Q40" i="317"/>
  <c r="P40" i="317"/>
  <c r="F14" i="316"/>
  <c r="F15" i="316" s="1"/>
  <c r="P17" i="317"/>
  <c r="Q17" i="317"/>
  <c r="R13" i="317" s="1"/>
  <c r="N31" i="317"/>
  <c r="AB31" i="317"/>
  <c r="AC26" i="317" s="1"/>
  <c r="AA31" i="317"/>
  <c r="Q34" i="317"/>
  <c r="P34" i="317"/>
  <c r="Q59" i="317"/>
  <c r="P59" i="317"/>
  <c r="P11" i="317"/>
  <c r="Q11" i="317"/>
  <c r="Q50" i="317"/>
  <c r="P50" i="317"/>
  <c r="Q35" i="317"/>
  <c r="P35" i="317"/>
  <c r="Q44" i="317"/>
  <c r="P44" i="317"/>
  <c r="Q60" i="317"/>
  <c r="P60" i="317"/>
  <c r="Q57" i="317"/>
  <c r="P57" i="317"/>
  <c r="Q10" i="317"/>
  <c r="P10" i="317"/>
  <c r="Q23" i="317"/>
  <c r="P23" i="317"/>
  <c r="Q52" i="317"/>
  <c r="P52" i="317"/>
  <c r="Q30" i="317"/>
  <c r="P30" i="317"/>
  <c r="Q7" i="317"/>
  <c r="P7" i="317"/>
  <c r="Q47" i="317"/>
  <c r="P47" i="317"/>
  <c r="P18" i="317"/>
  <c r="Q18" i="317"/>
  <c r="Q32" i="317"/>
  <c r="P32" i="317"/>
  <c r="P41" i="317"/>
  <c r="Q41" i="317"/>
  <c r="Q20" i="317"/>
  <c r="P20" i="317"/>
  <c r="Q6" i="317"/>
  <c r="P6" i="317"/>
  <c r="Q42" i="317"/>
  <c r="P42" i="317"/>
  <c r="Q5" i="317"/>
  <c r="P5" i="317"/>
  <c r="N51" i="317"/>
  <c r="AB51" i="317"/>
  <c r="AC46" i="317" s="1"/>
  <c r="AA51" i="317"/>
  <c r="Q27" i="317"/>
  <c r="P27" i="317"/>
  <c r="Q53" i="317"/>
  <c r="P53" i="317"/>
  <c r="AB58" i="317"/>
  <c r="AC52" i="317" s="1"/>
  <c r="AA58" i="317"/>
  <c r="N58" i="317"/>
  <c r="Q39" i="317"/>
  <c r="P39" i="317"/>
  <c r="AB45" i="317"/>
  <c r="AC39" i="317" s="1"/>
  <c r="AA45" i="317"/>
  <c r="N45" i="317"/>
  <c r="AB8" i="317"/>
  <c r="AC5" i="317" s="1"/>
  <c r="AA8" i="317"/>
  <c r="N8" i="317"/>
  <c r="Q64" i="317"/>
  <c r="P64" i="317"/>
  <c r="P19" i="317"/>
  <c r="Q19" i="317"/>
  <c r="Q22" i="317"/>
  <c r="P22" i="317"/>
  <c r="AB25" i="317"/>
  <c r="AC18" i="317" s="1"/>
  <c r="AA25" i="317"/>
  <c r="N25" i="317"/>
  <c r="Q55" i="317"/>
  <c r="P55" i="317"/>
  <c r="Q38" i="317" l="1"/>
  <c r="R32" i="317" s="1"/>
  <c r="P38" i="317"/>
  <c r="L14" i="316"/>
  <c r="L15" i="316" s="1"/>
  <c r="G14" i="316"/>
  <c r="G15" i="316" s="1"/>
  <c r="Q25" i="317"/>
  <c r="R18" i="317" s="1"/>
  <c r="P25" i="317"/>
  <c r="Q31" i="317"/>
  <c r="R26" i="317" s="1"/>
  <c r="K14" i="316"/>
  <c r="P31" i="317"/>
  <c r="Q45" i="317"/>
  <c r="R39" i="317" s="1"/>
  <c r="H14" i="316"/>
  <c r="H15" i="316" s="1"/>
  <c r="P45" i="317"/>
  <c r="Q58" i="317"/>
  <c r="R52" i="317" s="1"/>
  <c r="P58" i="317"/>
  <c r="J14" i="316"/>
  <c r="J15" i="316" s="1"/>
  <c r="Q65" i="317"/>
  <c r="R59" i="317" s="1"/>
  <c r="P65" i="317"/>
  <c r="M14" i="316"/>
  <c r="M15" i="316" s="1"/>
  <c r="P12" i="317"/>
  <c r="E14" i="316"/>
  <c r="E15" i="316" s="1"/>
  <c r="Q12" i="317"/>
  <c r="R9" i="317" s="1"/>
  <c r="I14" i="316"/>
  <c r="I15" i="316" s="1"/>
  <c r="Q51" i="317"/>
  <c r="R46" i="317" s="1"/>
  <c r="P51" i="317"/>
  <c r="D2" i="317"/>
  <c r="D14" i="316"/>
  <c r="Q8" i="317"/>
  <c r="R5" i="317" s="1"/>
  <c r="P8" i="317"/>
  <c r="K15" i="316" l="1"/>
  <c r="I8" i="316" s="1"/>
  <c r="I7" i="316"/>
  <c r="D15" i="316"/>
  <c r="G7" i="316"/>
  <c r="F7" i="316"/>
  <c r="E7" i="316"/>
  <c r="G8" i="316" l="1"/>
  <c r="F8" i="316"/>
  <c r="E8" i="316"/>
  <c r="O63" i="315" l="1"/>
  <c r="K63" i="315"/>
  <c r="V62" i="315"/>
  <c r="M62" i="315" s="1"/>
  <c r="U62" i="315"/>
  <c r="O62" i="315"/>
  <c r="K62" i="315"/>
  <c r="G62" i="315"/>
  <c r="V61" i="315"/>
  <c r="M61" i="315" s="1"/>
  <c r="U61" i="315"/>
  <c r="O61" i="315"/>
  <c r="K61" i="315"/>
  <c r="G61" i="315"/>
  <c r="V60" i="315"/>
  <c r="M60" i="315" s="1"/>
  <c r="U60" i="315"/>
  <c r="O60" i="315"/>
  <c r="K60" i="315"/>
  <c r="G60" i="315"/>
  <c r="V59" i="315"/>
  <c r="M59" i="315" s="1"/>
  <c r="U59" i="315"/>
  <c r="O59" i="315"/>
  <c r="K59" i="315"/>
  <c r="G59" i="315"/>
  <c r="V58" i="315"/>
  <c r="M58" i="315" s="1"/>
  <c r="U58" i="315"/>
  <c r="O58" i="315"/>
  <c r="K58" i="315"/>
  <c r="G58" i="315"/>
  <c r="X57" i="315"/>
  <c r="W57" i="315"/>
  <c r="V57" i="315"/>
  <c r="M57" i="315" s="1"/>
  <c r="O57" i="315"/>
  <c r="K57" i="315"/>
  <c r="G57" i="315"/>
  <c r="O56" i="315"/>
  <c r="K56" i="315"/>
  <c r="V55" i="315"/>
  <c r="U55" i="315"/>
  <c r="O55" i="315"/>
  <c r="M55" i="315"/>
  <c r="AB55" i="315" s="1"/>
  <c r="K55" i="315"/>
  <c r="G55" i="315"/>
  <c r="V54" i="315"/>
  <c r="U54" i="315"/>
  <c r="O54" i="315"/>
  <c r="M54" i="315"/>
  <c r="AB54" i="315" s="1"/>
  <c r="K54" i="315"/>
  <c r="G54" i="315"/>
  <c r="AB53" i="315"/>
  <c r="V53" i="315"/>
  <c r="U53" i="315"/>
  <c r="O53" i="315"/>
  <c r="M53" i="315"/>
  <c r="AA53" i="315" s="1"/>
  <c r="K53" i="315"/>
  <c r="G53" i="315"/>
  <c r="AB52" i="315"/>
  <c r="AA52" i="315"/>
  <c r="V52" i="315"/>
  <c r="U52" i="315"/>
  <c r="O52" i="315"/>
  <c r="M52" i="315"/>
  <c r="N52" i="315" s="1"/>
  <c r="K52" i="315"/>
  <c r="G52" i="315"/>
  <c r="V51" i="315"/>
  <c r="M51" i="315" s="1"/>
  <c r="U51" i="315"/>
  <c r="O51" i="315"/>
  <c r="K51" i="315"/>
  <c r="G51" i="315"/>
  <c r="V50" i="315"/>
  <c r="M50" i="315" s="1"/>
  <c r="O50" i="315"/>
  <c r="K50" i="315"/>
  <c r="G50" i="315"/>
  <c r="O49" i="315"/>
  <c r="K49" i="315"/>
  <c r="V48" i="315"/>
  <c r="M48" i="315" s="1"/>
  <c r="U48" i="315"/>
  <c r="O48" i="315"/>
  <c r="K48" i="315"/>
  <c r="G48" i="315"/>
  <c r="V47" i="315"/>
  <c r="U47" i="315"/>
  <c r="O47" i="315"/>
  <c r="N47" i="315"/>
  <c r="Q47" i="315" s="1"/>
  <c r="M47" i="315"/>
  <c r="AB47" i="315" s="1"/>
  <c r="K47" i="315"/>
  <c r="G47" i="315"/>
  <c r="V46" i="315"/>
  <c r="U46" i="315"/>
  <c r="O46" i="315"/>
  <c r="M46" i="315"/>
  <c r="AB46" i="315" s="1"/>
  <c r="K46" i="315"/>
  <c r="G46" i="315"/>
  <c r="V45" i="315"/>
  <c r="U45" i="315"/>
  <c r="O45" i="315"/>
  <c r="M45" i="315"/>
  <c r="AB45" i="315" s="1"/>
  <c r="K45" i="315"/>
  <c r="G45" i="315"/>
  <c r="V44" i="315"/>
  <c r="O44" i="315"/>
  <c r="M44" i="315"/>
  <c r="AB44" i="315" s="1"/>
  <c r="K44" i="315"/>
  <c r="G44" i="315"/>
  <c r="O43" i="315"/>
  <c r="K43" i="315"/>
  <c r="V42" i="315"/>
  <c r="M42" i="315" s="1"/>
  <c r="U42" i="315"/>
  <c r="O42" i="315"/>
  <c r="K42" i="315"/>
  <c r="G42" i="315"/>
  <c r="V41" i="315"/>
  <c r="M41" i="315" s="1"/>
  <c r="U41" i="315"/>
  <c r="O41" i="315"/>
  <c r="K41" i="315"/>
  <c r="G41" i="315"/>
  <c r="V40" i="315"/>
  <c r="M40" i="315" s="1"/>
  <c r="U40" i="315"/>
  <c r="O40" i="315"/>
  <c r="K40" i="315"/>
  <c r="G40" i="315"/>
  <c r="V39" i="315"/>
  <c r="M39" i="315" s="1"/>
  <c r="U39" i="315"/>
  <c r="O39" i="315"/>
  <c r="K39" i="315"/>
  <c r="G39" i="315"/>
  <c r="V38" i="315"/>
  <c r="M38" i="315" s="1"/>
  <c r="U38" i="315"/>
  <c r="O38" i="315"/>
  <c r="K38" i="315"/>
  <c r="G38" i="315"/>
  <c r="V37" i="315"/>
  <c r="M37" i="315" s="1"/>
  <c r="O37" i="315"/>
  <c r="K37" i="315"/>
  <c r="G37" i="315"/>
  <c r="O36" i="315"/>
  <c r="K36" i="315"/>
  <c r="AB35" i="315"/>
  <c r="V35" i="315"/>
  <c r="U35" i="315"/>
  <c r="O35" i="315"/>
  <c r="M35" i="315"/>
  <c r="AA35" i="315" s="1"/>
  <c r="K35" i="315"/>
  <c r="G35" i="315"/>
  <c r="AB34" i="315"/>
  <c r="AA34" i="315"/>
  <c r="V34" i="315"/>
  <c r="U34" i="315"/>
  <c r="O34" i="315"/>
  <c r="M34" i="315"/>
  <c r="N34" i="315" s="1"/>
  <c r="K34" i="315"/>
  <c r="G34" i="315"/>
  <c r="V33" i="315"/>
  <c r="M33" i="315" s="1"/>
  <c r="U33" i="315"/>
  <c r="O33" i="315"/>
  <c r="K33" i="315"/>
  <c r="G33" i="315"/>
  <c r="V32" i="315"/>
  <c r="M32" i="315" s="1"/>
  <c r="U32" i="315"/>
  <c r="O32" i="315"/>
  <c r="K32" i="315"/>
  <c r="G32" i="315"/>
  <c r="AB31" i="315"/>
  <c r="AA31" i="315"/>
  <c r="X31" i="315"/>
  <c r="W31" i="315"/>
  <c r="V31" i="315"/>
  <c r="O31" i="315"/>
  <c r="M31" i="315"/>
  <c r="N31" i="315" s="1"/>
  <c r="K31" i="315"/>
  <c r="G31" i="315"/>
  <c r="O30" i="315"/>
  <c r="K30" i="315"/>
  <c r="V29" i="315"/>
  <c r="M29" i="315" s="1"/>
  <c r="U29" i="315"/>
  <c r="O29" i="315"/>
  <c r="K29" i="315"/>
  <c r="G29" i="315"/>
  <c r="V28" i="315"/>
  <c r="M28" i="315" s="1"/>
  <c r="U28" i="315"/>
  <c r="O28" i="315"/>
  <c r="K28" i="315"/>
  <c r="G28" i="315"/>
  <c r="V27" i="315"/>
  <c r="U27" i="315"/>
  <c r="O27" i="315"/>
  <c r="N27" i="315"/>
  <c r="Q27" i="315" s="1"/>
  <c r="M27" i="315"/>
  <c r="AB27" i="315" s="1"/>
  <c r="K27" i="315"/>
  <c r="G27" i="315"/>
  <c r="V26" i="315"/>
  <c r="U26" i="315"/>
  <c r="O26" i="315"/>
  <c r="M26" i="315"/>
  <c r="AB26" i="315" s="1"/>
  <c r="K26" i="315"/>
  <c r="G26" i="315"/>
  <c r="X25" i="315"/>
  <c r="W25" i="315"/>
  <c r="V25" i="315"/>
  <c r="M25" i="315" s="1"/>
  <c r="O25" i="315"/>
  <c r="K25" i="315"/>
  <c r="G25" i="315"/>
  <c r="O24" i="315"/>
  <c r="K24" i="315"/>
  <c r="G13" i="314" s="1"/>
  <c r="AB23" i="315"/>
  <c r="V23" i="315"/>
  <c r="U23" i="315"/>
  <c r="O23" i="315"/>
  <c r="M23" i="315"/>
  <c r="AA23" i="315" s="1"/>
  <c r="K23" i="315"/>
  <c r="G23" i="315"/>
  <c r="AB22" i="315"/>
  <c r="AA22" i="315"/>
  <c r="V22" i="315"/>
  <c r="U22" i="315"/>
  <c r="O22" i="315"/>
  <c r="M22" i="315"/>
  <c r="N22" i="315" s="1"/>
  <c r="K22" i="315"/>
  <c r="G22" i="315"/>
  <c r="V21" i="315"/>
  <c r="M21" i="315" s="1"/>
  <c r="U21" i="315"/>
  <c r="O21" i="315"/>
  <c r="K21" i="315"/>
  <c r="G21" i="315"/>
  <c r="V20" i="315"/>
  <c r="M20" i="315" s="1"/>
  <c r="U20" i="315"/>
  <c r="O20" i="315"/>
  <c r="K20" i="315"/>
  <c r="G20" i="315"/>
  <c r="V19" i="315"/>
  <c r="M19" i="315" s="1"/>
  <c r="U19" i="315"/>
  <c r="O19" i="315"/>
  <c r="K19" i="315"/>
  <c r="G19" i="315"/>
  <c r="V18" i="315"/>
  <c r="M18" i="315" s="1"/>
  <c r="U18" i="315"/>
  <c r="O18" i="315"/>
  <c r="K18" i="315"/>
  <c r="G18" i="315"/>
  <c r="V17" i="315"/>
  <c r="M17" i="315" s="1"/>
  <c r="O17" i="315"/>
  <c r="K17" i="315"/>
  <c r="G17" i="315"/>
  <c r="O16" i="315"/>
  <c r="N16" i="315"/>
  <c r="F14" i="314" s="1"/>
  <c r="F15" i="314" s="1"/>
  <c r="M16" i="315"/>
  <c r="AA16" i="315" s="1"/>
  <c r="K16" i="315"/>
  <c r="V15" i="315"/>
  <c r="U15" i="315"/>
  <c r="O15" i="315"/>
  <c r="M15" i="315"/>
  <c r="AB15" i="315" s="1"/>
  <c r="K15" i="315"/>
  <c r="G15" i="315"/>
  <c r="V14" i="315"/>
  <c r="U14" i="315"/>
  <c r="O14" i="315"/>
  <c r="M14" i="315"/>
  <c r="AB14" i="315" s="1"/>
  <c r="K14" i="315"/>
  <c r="G14" i="315"/>
  <c r="V13" i="315"/>
  <c r="O13" i="315"/>
  <c r="M13" i="315"/>
  <c r="AB13" i="315" s="1"/>
  <c r="K13" i="315"/>
  <c r="G13" i="315"/>
  <c r="O12" i="315"/>
  <c r="K12" i="315"/>
  <c r="E13" i="314" s="1"/>
  <c r="E6" i="314" s="1"/>
  <c r="V11" i="315"/>
  <c r="M11" i="315" s="1"/>
  <c r="U11" i="315"/>
  <c r="O11" i="315"/>
  <c r="K11" i="315"/>
  <c r="G11" i="315"/>
  <c r="V10" i="315"/>
  <c r="M10" i="315" s="1"/>
  <c r="U10" i="315"/>
  <c r="O10" i="315"/>
  <c r="K10" i="315"/>
  <c r="G10" i="315"/>
  <c r="X9" i="315"/>
  <c r="W9" i="315"/>
  <c r="V9" i="315"/>
  <c r="M9" i="315" s="1"/>
  <c r="O9" i="315"/>
  <c r="K9" i="315"/>
  <c r="G9" i="315"/>
  <c r="F1" i="315" s="1"/>
  <c r="O8" i="315"/>
  <c r="K8" i="315"/>
  <c r="V7" i="315"/>
  <c r="U7" i="315"/>
  <c r="O7" i="315"/>
  <c r="N7" i="315"/>
  <c r="Q7" i="315" s="1"/>
  <c r="M7" i="315"/>
  <c r="AB7" i="315" s="1"/>
  <c r="K7" i="315"/>
  <c r="G7" i="315"/>
  <c r="V6" i="315"/>
  <c r="U6" i="315"/>
  <c r="O6" i="315"/>
  <c r="M6" i="315"/>
  <c r="AB6" i="315" s="1"/>
  <c r="K6" i="315"/>
  <c r="G6" i="315"/>
  <c r="V5" i="315"/>
  <c r="O5" i="315"/>
  <c r="M5" i="315"/>
  <c r="M8" i="315" s="1"/>
  <c r="K5" i="315"/>
  <c r="G5" i="315"/>
  <c r="H2" i="315"/>
  <c r="H1" i="315"/>
  <c r="D1" i="315"/>
  <c r="M18" i="314"/>
  <c r="L18" i="314"/>
  <c r="K18" i="314"/>
  <c r="J18" i="314"/>
  <c r="I18" i="314"/>
  <c r="H18" i="314"/>
  <c r="G18" i="314"/>
  <c r="F18" i="314"/>
  <c r="E18" i="314"/>
  <c r="D18" i="314"/>
  <c r="M17" i="314"/>
  <c r="L17" i="314"/>
  <c r="K17" i="314"/>
  <c r="J17" i="314"/>
  <c r="I17" i="314"/>
  <c r="H17" i="314"/>
  <c r="G17" i="314"/>
  <c r="F17" i="314"/>
  <c r="E17" i="314"/>
  <c r="D17" i="314"/>
  <c r="M16" i="314"/>
  <c r="L16" i="314"/>
  <c r="K16" i="314"/>
  <c r="J16" i="314"/>
  <c r="I16" i="314"/>
  <c r="H16" i="314"/>
  <c r="G16" i="314"/>
  <c r="F16" i="314"/>
  <c r="E16" i="314"/>
  <c r="D16" i="314"/>
  <c r="M13" i="314"/>
  <c r="L13" i="314"/>
  <c r="K13" i="314"/>
  <c r="I6" i="314" s="1"/>
  <c r="J13" i="314"/>
  <c r="I13" i="314"/>
  <c r="H13" i="314"/>
  <c r="F13" i="314"/>
  <c r="D13" i="314"/>
  <c r="F3" i="314"/>
  <c r="C3" i="314"/>
  <c r="N19" i="315" l="1"/>
  <c r="AB19" i="315"/>
  <c r="AA19" i="315"/>
  <c r="N32" i="315"/>
  <c r="M36" i="315"/>
  <c r="AA32" i="315"/>
  <c r="AB32" i="315"/>
  <c r="N39" i="315"/>
  <c r="AA39" i="315"/>
  <c r="AB39" i="315"/>
  <c r="Q52" i="315"/>
  <c r="P52" i="315"/>
  <c r="N29" i="315"/>
  <c r="AA29" i="315"/>
  <c r="AB29" i="315"/>
  <c r="Q22" i="315"/>
  <c r="P22" i="315"/>
  <c r="N8" i="315"/>
  <c r="AB8" i="315"/>
  <c r="AC5" i="315" s="1"/>
  <c r="AA8" i="315"/>
  <c r="N42" i="315"/>
  <c r="AA42" i="315"/>
  <c r="AB42" i="315"/>
  <c r="F2" i="315"/>
  <c r="I3" i="314"/>
  <c r="Q34" i="315"/>
  <c r="P34" i="315"/>
  <c r="Q31" i="315"/>
  <c r="P31" i="315"/>
  <c r="AB58" i="315"/>
  <c r="AA58" i="315"/>
  <c r="N58" i="315"/>
  <c r="N17" i="315"/>
  <c r="AA17" i="315"/>
  <c r="AB17" i="315"/>
  <c r="M24" i="315"/>
  <c r="AB37" i="315"/>
  <c r="M43" i="315"/>
  <c r="AA37" i="315"/>
  <c r="N37" i="315"/>
  <c r="AB28" i="315"/>
  <c r="AA28" i="315"/>
  <c r="N28" i="315"/>
  <c r="N50" i="315"/>
  <c r="AB50" i="315"/>
  <c r="AA50" i="315"/>
  <c r="M56" i="315"/>
  <c r="N61" i="315"/>
  <c r="AB61" i="315"/>
  <c r="AA61" i="315"/>
  <c r="N20" i="315"/>
  <c r="AA20" i="315"/>
  <c r="AB20" i="315"/>
  <c r="N33" i="315"/>
  <c r="AB33" i="315"/>
  <c r="AA33" i="315"/>
  <c r="N40" i="315"/>
  <c r="AA40" i="315"/>
  <c r="AB40" i="315"/>
  <c r="N10" i="315"/>
  <c r="AA10" i="315"/>
  <c r="AB10" i="315"/>
  <c r="N57" i="315"/>
  <c r="AB57" i="315"/>
  <c r="M63" i="315"/>
  <c r="AA57" i="315"/>
  <c r="N59" i="315"/>
  <c r="AA59" i="315"/>
  <c r="AB59" i="315"/>
  <c r="G6" i="314"/>
  <c r="N18" i="315"/>
  <c r="AA18" i="315"/>
  <c r="AB18" i="315"/>
  <c r="AB25" i="315"/>
  <c r="M30" i="315"/>
  <c r="AA25" i="315"/>
  <c r="N25" i="315"/>
  <c r="AB38" i="315"/>
  <c r="AA38" i="315"/>
  <c r="N38" i="315"/>
  <c r="N51" i="315"/>
  <c r="AB51" i="315"/>
  <c r="AA51" i="315"/>
  <c r="N62" i="315"/>
  <c r="AA62" i="315"/>
  <c r="AB62" i="315"/>
  <c r="N21" i="315"/>
  <c r="AB21" i="315"/>
  <c r="AA21" i="315"/>
  <c r="N41" i="315"/>
  <c r="AB41" i="315"/>
  <c r="AA41" i="315"/>
  <c r="AB48" i="315"/>
  <c r="AA48" i="315"/>
  <c r="N48" i="315"/>
  <c r="N9" i="315"/>
  <c r="AA9" i="315"/>
  <c r="AB9" i="315"/>
  <c r="M12" i="315"/>
  <c r="N11" i="315"/>
  <c r="AB11" i="315"/>
  <c r="AA11" i="315"/>
  <c r="N60" i="315"/>
  <c r="AA60" i="315"/>
  <c r="AB60" i="315"/>
  <c r="P7" i="315"/>
  <c r="N15" i="315"/>
  <c r="P16" i="315"/>
  <c r="P27" i="315"/>
  <c r="N44" i="315"/>
  <c r="N45" i="315"/>
  <c r="P47" i="315"/>
  <c r="N55" i="315"/>
  <c r="N5" i="315"/>
  <c r="N6" i="315"/>
  <c r="N26" i="315"/>
  <c r="N46" i="315"/>
  <c r="AB16" i="315"/>
  <c r="AC13" i="315" s="1"/>
  <c r="N23" i="315"/>
  <c r="N35" i="315"/>
  <c r="N53" i="315"/>
  <c r="F6" i="314"/>
  <c r="AA7" i="315"/>
  <c r="AA27" i="315"/>
  <c r="AA47" i="315"/>
  <c r="N13" i="315"/>
  <c r="N14" i="315"/>
  <c r="Q16" i="315"/>
  <c r="R13" i="315" s="1"/>
  <c r="N54" i="315"/>
  <c r="AA5" i="315"/>
  <c r="AA6" i="315"/>
  <c r="AA26" i="315"/>
  <c r="AA46" i="315"/>
  <c r="AB5" i="315"/>
  <c r="AA15" i="315"/>
  <c r="AA44" i="315"/>
  <c r="AA45" i="315"/>
  <c r="M49" i="315"/>
  <c r="AA55" i="315"/>
  <c r="AA13" i="315"/>
  <c r="AA14" i="315"/>
  <c r="AA54" i="315"/>
  <c r="O70" i="313"/>
  <c r="M70" i="313"/>
  <c r="AB70" i="313" s="1"/>
  <c r="AC63" i="313" s="1"/>
  <c r="K70" i="313"/>
  <c r="AB69" i="313"/>
  <c r="AA69" i="313"/>
  <c r="V69" i="313"/>
  <c r="U69" i="313"/>
  <c r="O69" i="313"/>
  <c r="M69" i="313"/>
  <c r="N69" i="313" s="1"/>
  <c r="K69" i="313"/>
  <c r="G69" i="313"/>
  <c r="AB68" i="313"/>
  <c r="AA68" i="313"/>
  <c r="X68" i="313"/>
  <c r="W68" i="313"/>
  <c r="V68" i="313"/>
  <c r="U68" i="313"/>
  <c r="O68" i="313"/>
  <c r="M68" i="313"/>
  <c r="N68" i="313" s="1"/>
  <c r="K68" i="313"/>
  <c r="G68" i="313"/>
  <c r="AB67" i="313"/>
  <c r="AA67" i="313"/>
  <c r="V67" i="313"/>
  <c r="U67" i="313"/>
  <c r="O67" i="313"/>
  <c r="M67" i="313"/>
  <c r="N67" i="313" s="1"/>
  <c r="K67" i="313"/>
  <c r="G67" i="313"/>
  <c r="AB66" i="313"/>
  <c r="AA66" i="313"/>
  <c r="V66" i="313"/>
  <c r="U66" i="313"/>
  <c r="O66" i="313"/>
  <c r="M66" i="313"/>
  <c r="N66" i="313" s="1"/>
  <c r="K66" i="313"/>
  <c r="G66" i="313"/>
  <c r="AB65" i="313"/>
  <c r="AA65" i="313"/>
  <c r="V65" i="313"/>
  <c r="U65" i="313"/>
  <c r="Q65" i="313"/>
  <c r="P65" i="313"/>
  <c r="O65" i="313"/>
  <c r="N65" i="313"/>
  <c r="M65" i="313"/>
  <c r="K65" i="313"/>
  <c r="G65" i="313"/>
  <c r="AB64" i="313"/>
  <c r="AA64" i="313"/>
  <c r="V64" i="313"/>
  <c r="U64" i="313"/>
  <c r="O64" i="313"/>
  <c r="M64" i="313"/>
  <c r="N64" i="313" s="1"/>
  <c r="K64" i="313"/>
  <c r="G64" i="313"/>
  <c r="AB63" i="313"/>
  <c r="AA63" i="313"/>
  <c r="X63" i="313"/>
  <c r="W63" i="313"/>
  <c r="V63" i="313"/>
  <c r="O63" i="313"/>
  <c r="M63" i="313"/>
  <c r="N63" i="313" s="1"/>
  <c r="K63" i="313"/>
  <c r="G63" i="313"/>
  <c r="AB62" i="313"/>
  <c r="AA62" i="313"/>
  <c r="O62" i="313"/>
  <c r="N62" i="313"/>
  <c r="P62" i="313" s="1"/>
  <c r="M62" i="313"/>
  <c r="K62" i="313"/>
  <c r="AB61" i="313"/>
  <c r="AA61" i="313"/>
  <c r="V61" i="313"/>
  <c r="U61" i="313"/>
  <c r="O61" i="313"/>
  <c r="N61" i="313"/>
  <c r="Q61" i="313" s="1"/>
  <c r="M61" i="313"/>
  <c r="K61" i="313"/>
  <c r="G61" i="313"/>
  <c r="AB60" i="313"/>
  <c r="AA60" i="313"/>
  <c r="V60" i="313"/>
  <c r="U60" i="313"/>
  <c r="O60" i="313"/>
  <c r="N60" i="313"/>
  <c r="Q60" i="313" s="1"/>
  <c r="M60" i="313"/>
  <c r="K60" i="313"/>
  <c r="G60" i="313"/>
  <c r="AB59" i="313"/>
  <c r="AA59" i="313"/>
  <c r="V59" i="313"/>
  <c r="U59" i="313"/>
  <c r="O59" i="313"/>
  <c r="N59" i="313"/>
  <c r="Q59" i="313" s="1"/>
  <c r="M59" i="313"/>
  <c r="K59" i="313"/>
  <c r="G59" i="313"/>
  <c r="AB58" i="313"/>
  <c r="AA58" i="313"/>
  <c r="V58" i="313"/>
  <c r="U58" i="313"/>
  <c r="O58" i="313"/>
  <c r="N58" i="313"/>
  <c r="P58" i="313" s="1"/>
  <c r="M58" i="313"/>
  <c r="K58" i="313"/>
  <c r="G58" i="313"/>
  <c r="AB57" i="313"/>
  <c r="AA57" i="313"/>
  <c r="V57" i="313"/>
  <c r="U57" i="313"/>
  <c r="O57" i="313"/>
  <c r="N57" i="313"/>
  <c r="Q57" i="313" s="1"/>
  <c r="M57" i="313"/>
  <c r="K57" i="313"/>
  <c r="G57" i="313"/>
  <c r="AC56" i="313"/>
  <c r="AB56" i="313"/>
  <c r="AA56" i="313"/>
  <c r="V56" i="313"/>
  <c r="O56" i="313"/>
  <c r="N56" i="313"/>
  <c r="Q56" i="313" s="1"/>
  <c r="M56" i="313"/>
  <c r="K56" i="313"/>
  <c r="G56" i="313"/>
  <c r="O55" i="313"/>
  <c r="K55" i="313"/>
  <c r="AB54" i="313"/>
  <c r="AA54" i="313"/>
  <c r="V54" i="313"/>
  <c r="U54" i="313"/>
  <c r="Q54" i="313"/>
  <c r="P54" i="313"/>
  <c r="O54" i="313"/>
  <c r="N54" i="313"/>
  <c r="M54" i="313"/>
  <c r="K54" i="313"/>
  <c r="G54" i="313"/>
  <c r="AB53" i="313"/>
  <c r="AA53" i="313"/>
  <c r="V53" i="313"/>
  <c r="U53" i="313"/>
  <c r="O53" i="313"/>
  <c r="N53" i="313"/>
  <c r="P53" i="313" s="1"/>
  <c r="M53" i="313"/>
  <c r="M55" i="313" s="1"/>
  <c r="K53" i="313"/>
  <c r="G53" i="313"/>
  <c r="AB52" i="313"/>
  <c r="AA52" i="313"/>
  <c r="V52" i="313"/>
  <c r="U52" i="313"/>
  <c r="Q52" i="313"/>
  <c r="P52" i="313"/>
  <c r="O52" i="313"/>
  <c r="N52" i="313"/>
  <c r="M52" i="313"/>
  <c r="K52" i="313"/>
  <c r="G52" i="313"/>
  <c r="AB51" i="313"/>
  <c r="AA51" i="313"/>
  <c r="V51" i="313"/>
  <c r="U51" i="313"/>
  <c r="O51" i="313"/>
  <c r="N51" i="313"/>
  <c r="Q51" i="313" s="1"/>
  <c r="M51" i="313"/>
  <c r="K51" i="313"/>
  <c r="G51" i="313"/>
  <c r="AB50" i="313"/>
  <c r="AA50" i="313"/>
  <c r="V50" i="313"/>
  <c r="O50" i="313"/>
  <c r="N50" i="313"/>
  <c r="Q50" i="313" s="1"/>
  <c r="M50" i="313"/>
  <c r="K50" i="313"/>
  <c r="G50" i="313"/>
  <c r="O49" i="313"/>
  <c r="M49" i="313"/>
  <c r="AB49" i="313" s="1"/>
  <c r="AC42" i="313" s="1"/>
  <c r="K49" i="313"/>
  <c r="AB48" i="313"/>
  <c r="AA48" i="313"/>
  <c r="V48" i="313"/>
  <c r="U48" i="313"/>
  <c r="O48" i="313"/>
  <c r="M48" i="313"/>
  <c r="N48" i="313" s="1"/>
  <c r="K48" i="313"/>
  <c r="G48" i="313"/>
  <c r="AB47" i="313"/>
  <c r="AA47" i="313"/>
  <c r="X47" i="313"/>
  <c r="W47" i="313"/>
  <c r="V47" i="313"/>
  <c r="U47" i="313"/>
  <c r="O47" i="313"/>
  <c r="N47" i="313"/>
  <c r="Q47" i="313" s="1"/>
  <c r="M47" i="313"/>
  <c r="K47" i="313"/>
  <c r="G47" i="313"/>
  <c r="AB46" i="313"/>
  <c r="AA46" i="313"/>
  <c r="V46" i="313"/>
  <c r="U46" i="313"/>
  <c r="O46" i="313"/>
  <c r="M46" i="313"/>
  <c r="N46" i="313" s="1"/>
  <c r="K46" i="313"/>
  <c r="G46" i="313"/>
  <c r="AB45" i="313"/>
  <c r="AA45" i="313"/>
  <c r="V45" i="313"/>
  <c r="U45" i="313"/>
  <c r="O45" i="313"/>
  <c r="M45" i="313"/>
  <c r="N45" i="313" s="1"/>
  <c r="K45" i="313"/>
  <c r="G45" i="313"/>
  <c r="AB44" i="313"/>
  <c r="AA44" i="313"/>
  <c r="V44" i="313"/>
  <c r="U44" i="313"/>
  <c r="O44" i="313"/>
  <c r="M44" i="313"/>
  <c r="N44" i="313" s="1"/>
  <c r="K44" i="313"/>
  <c r="G44" i="313"/>
  <c r="AB43" i="313"/>
  <c r="AA43" i="313"/>
  <c r="V43" i="313"/>
  <c r="U43" i="313"/>
  <c r="Q43" i="313"/>
  <c r="P43" i="313"/>
  <c r="O43" i="313"/>
  <c r="N43" i="313"/>
  <c r="M43" i="313"/>
  <c r="K43" i="313"/>
  <c r="G43" i="313"/>
  <c r="AB42" i="313"/>
  <c r="AA42" i="313"/>
  <c r="V42" i="313"/>
  <c r="Q42" i="313"/>
  <c r="P42" i="313"/>
  <c r="O42" i="313"/>
  <c r="N42" i="313"/>
  <c r="M42" i="313"/>
  <c r="K42" i="313"/>
  <c r="G42" i="313"/>
  <c r="O41" i="313"/>
  <c r="M41" i="313"/>
  <c r="AB41" i="313" s="1"/>
  <c r="AC34" i="313" s="1"/>
  <c r="K41" i="313"/>
  <c r="AB40" i="313"/>
  <c r="AA40" i="313"/>
  <c r="V40" i="313"/>
  <c r="U40" i="313"/>
  <c r="O40" i="313"/>
  <c r="N40" i="313"/>
  <c r="Q40" i="313" s="1"/>
  <c r="M40" i="313"/>
  <c r="K40" i="313"/>
  <c r="G40" i="313"/>
  <c r="AB39" i="313"/>
  <c r="AA39" i="313"/>
  <c r="X39" i="313"/>
  <c r="W39" i="313"/>
  <c r="V39" i="313"/>
  <c r="U39" i="313"/>
  <c r="O39" i="313"/>
  <c r="N39" i="313"/>
  <c r="Q39" i="313" s="1"/>
  <c r="M39" i="313"/>
  <c r="K39" i="313"/>
  <c r="G39" i="313"/>
  <c r="AB38" i="313"/>
  <c r="AA38" i="313"/>
  <c r="V38" i="313"/>
  <c r="U38" i="313"/>
  <c r="O38" i="313"/>
  <c r="N38" i="313"/>
  <c r="Q38" i="313" s="1"/>
  <c r="M38" i="313"/>
  <c r="K38" i="313"/>
  <c r="G38" i="313"/>
  <c r="AB37" i="313"/>
  <c r="AA37" i="313"/>
  <c r="V37" i="313"/>
  <c r="U37" i="313"/>
  <c r="O37" i="313"/>
  <c r="N37" i="313"/>
  <c r="Q37" i="313" s="1"/>
  <c r="M37" i="313"/>
  <c r="K37" i="313"/>
  <c r="G37" i="313"/>
  <c r="AB36" i="313"/>
  <c r="AA36" i="313"/>
  <c r="V36" i="313"/>
  <c r="U36" i="313"/>
  <c r="O36" i="313"/>
  <c r="N36" i="313"/>
  <c r="P36" i="313" s="1"/>
  <c r="M36" i="313"/>
  <c r="K36" i="313"/>
  <c r="G36" i="313"/>
  <c r="AB35" i="313"/>
  <c r="AA35" i="313"/>
  <c r="V35" i="313"/>
  <c r="U35" i="313"/>
  <c r="O35" i="313"/>
  <c r="N35" i="313"/>
  <c r="Q35" i="313" s="1"/>
  <c r="M35" i="313"/>
  <c r="K35" i="313"/>
  <c r="G35" i="313"/>
  <c r="AB34" i="313"/>
  <c r="AA34" i="313"/>
  <c r="X34" i="313"/>
  <c r="W34" i="313"/>
  <c r="V34" i="313"/>
  <c r="O34" i="313"/>
  <c r="N34" i="313"/>
  <c r="Q34" i="313" s="1"/>
  <c r="M34" i="313"/>
  <c r="K34" i="313"/>
  <c r="G34" i="313"/>
  <c r="AB33" i="313"/>
  <c r="AC27" i="313" s="1"/>
  <c r="O33" i="313"/>
  <c r="M33" i="313"/>
  <c r="AA33" i="313" s="1"/>
  <c r="K33" i="313"/>
  <c r="AB32" i="313"/>
  <c r="AA32" i="313"/>
  <c r="V32" i="313"/>
  <c r="U32" i="313"/>
  <c r="O32" i="313"/>
  <c r="M32" i="313"/>
  <c r="N32" i="313" s="1"/>
  <c r="K32" i="313"/>
  <c r="G32" i="313"/>
  <c r="AB31" i="313"/>
  <c r="AA31" i="313"/>
  <c r="X31" i="313"/>
  <c r="W31" i="313"/>
  <c r="V31" i="313"/>
  <c r="U31" i="313"/>
  <c r="O31" i="313"/>
  <c r="M31" i="313"/>
  <c r="N31" i="313" s="1"/>
  <c r="K31" i="313"/>
  <c r="G31" i="313"/>
  <c r="AB30" i="313"/>
  <c r="AA30" i="313"/>
  <c r="V30" i="313"/>
  <c r="U30" i="313"/>
  <c r="O30" i="313"/>
  <c r="M30" i="313"/>
  <c r="N30" i="313" s="1"/>
  <c r="K30" i="313"/>
  <c r="G30" i="313"/>
  <c r="AB29" i="313"/>
  <c r="AA29" i="313"/>
  <c r="V29" i="313"/>
  <c r="U29" i="313"/>
  <c r="Q29" i="313"/>
  <c r="P29" i="313"/>
  <c r="O29" i="313"/>
  <c r="N29" i="313"/>
  <c r="M29" i="313"/>
  <c r="K29" i="313"/>
  <c r="G29" i="313"/>
  <c r="AB28" i="313"/>
  <c r="AA28" i="313"/>
  <c r="V28" i="313"/>
  <c r="U28" i="313"/>
  <c r="Q28" i="313"/>
  <c r="P28" i="313"/>
  <c r="O28" i="313"/>
  <c r="N28" i="313"/>
  <c r="M28" i="313"/>
  <c r="K28" i="313"/>
  <c r="G28" i="313"/>
  <c r="AB27" i="313"/>
  <c r="AA27" i="313"/>
  <c r="X27" i="313"/>
  <c r="W27" i="313"/>
  <c r="V27" i="313"/>
  <c r="O27" i="313"/>
  <c r="M27" i="313"/>
  <c r="N27" i="313" s="1"/>
  <c r="K27" i="313"/>
  <c r="G27" i="313"/>
  <c r="O26" i="313"/>
  <c r="K26" i="313"/>
  <c r="AB25" i="313"/>
  <c r="AA25" i="313"/>
  <c r="V25" i="313"/>
  <c r="U25" i="313"/>
  <c r="O25" i="313"/>
  <c r="N25" i="313"/>
  <c r="Q25" i="313" s="1"/>
  <c r="M25" i="313"/>
  <c r="K25" i="313"/>
  <c r="G25" i="313"/>
  <c r="AB24" i="313"/>
  <c r="AA24" i="313"/>
  <c r="V24" i="313"/>
  <c r="U24" i="313"/>
  <c r="O24" i="313"/>
  <c r="N24" i="313"/>
  <c r="Q24" i="313" s="1"/>
  <c r="M24" i="313"/>
  <c r="K24" i="313"/>
  <c r="G24" i="313"/>
  <c r="AB23" i="313"/>
  <c r="AA23" i="313"/>
  <c r="V23" i="313"/>
  <c r="U23" i="313"/>
  <c r="O23" i="313"/>
  <c r="N23" i="313"/>
  <c r="Q23" i="313" s="1"/>
  <c r="M23" i="313"/>
  <c r="K23" i="313"/>
  <c r="G23" i="313"/>
  <c r="AB22" i="313"/>
  <c r="AA22" i="313"/>
  <c r="V22" i="313"/>
  <c r="U22" i="313"/>
  <c r="O22" i="313"/>
  <c r="N22" i="313"/>
  <c r="P22" i="313" s="1"/>
  <c r="M22" i="313"/>
  <c r="K22" i="313"/>
  <c r="G22" i="313"/>
  <c r="AB21" i="313"/>
  <c r="AA21" i="313"/>
  <c r="V21" i="313"/>
  <c r="U21" i="313"/>
  <c r="O21" i="313"/>
  <c r="N21" i="313"/>
  <c r="Q21" i="313" s="1"/>
  <c r="M21" i="313"/>
  <c r="K21" i="313"/>
  <c r="G21" i="313"/>
  <c r="AB20" i="313"/>
  <c r="AA20" i="313"/>
  <c r="V20" i="313"/>
  <c r="U20" i="313"/>
  <c r="O20" i="313"/>
  <c r="M20" i="313"/>
  <c r="N20" i="313" s="1"/>
  <c r="K20" i="313"/>
  <c r="G20" i="313"/>
  <c r="AB19" i="313"/>
  <c r="AA19" i="313"/>
  <c r="V19" i="313"/>
  <c r="O19" i="313"/>
  <c r="M19" i="313"/>
  <c r="M26" i="313" s="1"/>
  <c r="K19" i="313"/>
  <c r="G19" i="313"/>
  <c r="O18" i="313"/>
  <c r="K18" i="313"/>
  <c r="AB17" i="313"/>
  <c r="AA17" i="313"/>
  <c r="V17" i="313"/>
  <c r="U17" i="313"/>
  <c r="O17" i="313"/>
  <c r="N17" i="313"/>
  <c r="P17" i="313" s="1"/>
  <c r="M17" i="313"/>
  <c r="M18" i="313" s="1"/>
  <c r="K17" i="313"/>
  <c r="G17" i="313"/>
  <c r="AB16" i="313"/>
  <c r="AA16" i="313"/>
  <c r="V16" i="313"/>
  <c r="U16" i="313"/>
  <c r="Q16" i="313"/>
  <c r="P16" i="313"/>
  <c r="O16" i="313"/>
  <c r="N16" i="313"/>
  <c r="M16" i="313"/>
  <c r="K16" i="313"/>
  <c r="G16" i="313"/>
  <c r="AB15" i="313"/>
  <c r="AA15" i="313"/>
  <c r="V15" i="313"/>
  <c r="U15" i="313"/>
  <c r="O15" i="313"/>
  <c r="N15" i="313"/>
  <c r="Q15" i="313" s="1"/>
  <c r="M15" i="313"/>
  <c r="K15" i="313"/>
  <c r="G15" i="313"/>
  <c r="AB14" i="313"/>
  <c r="AA14" i="313"/>
  <c r="V14" i="313"/>
  <c r="O14" i="313"/>
  <c r="N14" i="313"/>
  <c r="Q14" i="313" s="1"/>
  <c r="M14" i="313"/>
  <c r="K14" i="313"/>
  <c r="G14" i="313"/>
  <c r="O13" i="313"/>
  <c r="M13" i="313"/>
  <c r="AB13" i="313" s="1"/>
  <c r="AC9" i="313" s="1"/>
  <c r="K13" i="313"/>
  <c r="AB12" i="313"/>
  <c r="AA12" i="313"/>
  <c r="V12" i="313"/>
  <c r="U12" i="313"/>
  <c r="O12" i="313"/>
  <c r="M12" i="313"/>
  <c r="N12" i="313" s="1"/>
  <c r="K12" i="313"/>
  <c r="G12" i="313"/>
  <c r="AB11" i="313"/>
  <c r="AA11" i="313"/>
  <c r="X11" i="313"/>
  <c r="W11" i="313"/>
  <c r="V11" i="313"/>
  <c r="U11" i="313"/>
  <c r="O11" i="313"/>
  <c r="N11" i="313"/>
  <c r="Q11" i="313" s="1"/>
  <c r="M11" i="313"/>
  <c r="K11" i="313"/>
  <c r="G11" i="313"/>
  <c r="AB10" i="313"/>
  <c r="AA10" i="313"/>
  <c r="V10" i="313"/>
  <c r="U10" i="313"/>
  <c r="O10" i="313"/>
  <c r="M10" i="313"/>
  <c r="N10" i="313" s="1"/>
  <c r="K10" i="313"/>
  <c r="G10" i="313"/>
  <c r="AB9" i="313"/>
  <c r="AA9" i="313"/>
  <c r="X9" i="313"/>
  <c r="W9" i="313"/>
  <c r="V9" i="313"/>
  <c r="O9" i="313"/>
  <c r="N9" i="313"/>
  <c r="P9" i="313" s="1"/>
  <c r="M9" i="313"/>
  <c r="K9" i="313"/>
  <c r="G9" i="313"/>
  <c r="AB8" i="313"/>
  <c r="AC5" i="313" s="1"/>
  <c r="AA8" i="313"/>
  <c r="O8" i="313"/>
  <c r="M8" i="313"/>
  <c r="N8" i="313" s="1"/>
  <c r="K8" i="313"/>
  <c r="AB7" i="313"/>
  <c r="AA7" i="313"/>
  <c r="V7" i="313"/>
  <c r="U7" i="313"/>
  <c r="Q7" i="313"/>
  <c r="P7" i="313"/>
  <c r="O7" i="313"/>
  <c r="N7" i="313"/>
  <c r="M7" i="313"/>
  <c r="K7" i="313"/>
  <c r="G7" i="313"/>
  <c r="AB6" i="313"/>
  <c r="AA6" i="313"/>
  <c r="V6" i="313"/>
  <c r="U6" i="313"/>
  <c r="Q6" i="313"/>
  <c r="P6" i="313"/>
  <c r="O6" i="313"/>
  <c r="N6" i="313"/>
  <c r="M6" i="313"/>
  <c r="K6" i="313"/>
  <c r="G6" i="313"/>
  <c r="AB5" i="313"/>
  <c r="AA5" i="313"/>
  <c r="V5" i="313"/>
  <c r="Q5" i="313"/>
  <c r="P5" i="313"/>
  <c r="O5" i="313"/>
  <c r="N5" i="313"/>
  <c r="M5" i="313"/>
  <c r="K5" i="313"/>
  <c r="G5" i="313"/>
  <c r="H2" i="313"/>
  <c r="H1" i="313"/>
  <c r="F1" i="313"/>
  <c r="F2" i="313" s="1"/>
  <c r="D1" i="313"/>
  <c r="M18" i="312"/>
  <c r="L18" i="312"/>
  <c r="K18" i="312"/>
  <c r="J18" i="312"/>
  <c r="I18" i="312"/>
  <c r="H18" i="312"/>
  <c r="G18" i="312"/>
  <c r="F18" i="312"/>
  <c r="E18" i="312"/>
  <c r="D18" i="312"/>
  <c r="M17" i="312"/>
  <c r="L17" i="312"/>
  <c r="K17" i="312"/>
  <c r="J17" i="312"/>
  <c r="I17" i="312"/>
  <c r="H17" i="312"/>
  <c r="G17" i="312"/>
  <c r="F17" i="312"/>
  <c r="E17" i="312"/>
  <c r="D17" i="312"/>
  <c r="M16" i="312"/>
  <c r="L16" i="312"/>
  <c r="K16" i="312"/>
  <c r="J16" i="312"/>
  <c r="I16" i="312"/>
  <c r="H16" i="312"/>
  <c r="G16" i="312"/>
  <c r="F16" i="312"/>
  <c r="E16" i="312"/>
  <c r="D16" i="312"/>
  <c r="M13" i="312"/>
  <c r="L13" i="312"/>
  <c r="K13" i="312"/>
  <c r="J13" i="312"/>
  <c r="I13" i="312"/>
  <c r="H13" i="312"/>
  <c r="G13" i="312"/>
  <c r="F13" i="312"/>
  <c r="E13" i="312"/>
  <c r="D13" i="312"/>
  <c r="I6" i="312"/>
  <c r="G6" i="312"/>
  <c r="F6" i="312"/>
  <c r="E6" i="312"/>
  <c r="I3" i="312"/>
  <c r="F3" i="312"/>
  <c r="C3" i="312"/>
  <c r="Q35" i="315" l="1"/>
  <c r="P35" i="315"/>
  <c r="Q9" i="315"/>
  <c r="P9" i="315"/>
  <c r="Q62" i="315"/>
  <c r="P62" i="315"/>
  <c r="Q10" i="315"/>
  <c r="P10" i="315"/>
  <c r="P61" i="315"/>
  <c r="Q61" i="315"/>
  <c r="AB24" i="315"/>
  <c r="AC17" i="315" s="1"/>
  <c r="AA24" i="315"/>
  <c r="N24" i="315"/>
  <c r="P46" i="315"/>
  <c r="Q46" i="315"/>
  <c r="Q51" i="315"/>
  <c r="P51" i="315"/>
  <c r="Q40" i="315"/>
  <c r="P40" i="315"/>
  <c r="Q17" i="315"/>
  <c r="P17" i="315"/>
  <c r="Q42" i="315"/>
  <c r="P42" i="315"/>
  <c r="Q50" i="315"/>
  <c r="P50" i="315"/>
  <c r="P58" i="315"/>
  <c r="Q58" i="315"/>
  <c r="Q39" i="315"/>
  <c r="P39" i="315"/>
  <c r="Q18" i="315"/>
  <c r="P18" i="315"/>
  <c r="Q14" i="315"/>
  <c r="P14" i="315"/>
  <c r="P6" i="315"/>
  <c r="Q6" i="315"/>
  <c r="Q60" i="315"/>
  <c r="P60" i="315"/>
  <c r="Q59" i="315"/>
  <c r="P59" i="315"/>
  <c r="P28" i="315"/>
  <c r="Q28" i="315"/>
  <c r="Q23" i="315"/>
  <c r="P23" i="315"/>
  <c r="P48" i="315"/>
  <c r="Q48" i="315"/>
  <c r="P38" i="315"/>
  <c r="Q38" i="315"/>
  <c r="N49" i="315"/>
  <c r="AA49" i="315"/>
  <c r="AB49" i="315"/>
  <c r="AC44" i="315" s="1"/>
  <c r="Q13" i="315"/>
  <c r="P13" i="315"/>
  <c r="P5" i="315"/>
  <c r="Q5" i="315"/>
  <c r="P41" i="315"/>
  <c r="Q41" i="315"/>
  <c r="Q33" i="315"/>
  <c r="P33" i="315"/>
  <c r="D2" i="315"/>
  <c r="D14" i="314"/>
  <c r="Q8" i="315"/>
  <c r="R5" i="315" s="1"/>
  <c r="P8" i="315"/>
  <c r="P15" i="315"/>
  <c r="Q15" i="315"/>
  <c r="P26" i="315"/>
  <c r="Q26" i="315"/>
  <c r="P25" i="315"/>
  <c r="Q25" i="315"/>
  <c r="AB63" i="315"/>
  <c r="AC57" i="315" s="1"/>
  <c r="AA63" i="315"/>
  <c r="N63" i="315"/>
  <c r="AB36" i="315"/>
  <c r="AC31" i="315" s="1"/>
  <c r="AA36" i="315"/>
  <c r="N36" i="315"/>
  <c r="Q54" i="315"/>
  <c r="P54" i="315"/>
  <c r="P11" i="315"/>
  <c r="Q11" i="315"/>
  <c r="P37" i="315"/>
  <c r="Q37" i="315"/>
  <c r="Q32" i="315"/>
  <c r="P32" i="315"/>
  <c r="P55" i="315"/>
  <c r="Q55" i="315"/>
  <c r="P45" i="315"/>
  <c r="Q45" i="315"/>
  <c r="AA12" i="315"/>
  <c r="N12" i="315"/>
  <c r="AB12" i="315"/>
  <c r="AC9" i="315" s="1"/>
  <c r="Q21" i="315"/>
  <c r="P21" i="315"/>
  <c r="N30" i="315"/>
  <c r="AB30" i="315"/>
  <c r="AC25" i="315" s="1"/>
  <c r="AA30" i="315"/>
  <c r="Q57" i="315"/>
  <c r="P57" i="315"/>
  <c r="Q20" i="315"/>
  <c r="P20" i="315"/>
  <c r="AA56" i="315"/>
  <c r="AB56" i="315"/>
  <c r="AC50" i="315" s="1"/>
  <c r="N56" i="315"/>
  <c r="P44" i="315"/>
  <c r="Q44" i="315"/>
  <c r="AB43" i="315"/>
  <c r="AC37" i="315" s="1"/>
  <c r="AA43" i="315"/>
  <c r="N43" i="315"/>
  <c r="Q53" i="315"/>
  <c r="P53" i="315"/>
  <c r="Q29" i="315"/>
  <c r="P29" i="315"/>
  <c r="P19" i="315"/>
  <c r="Q19" i="315"/>
  <c r="AB26" i="313"/>
  <c r="AC19" i="313" s="1"/>
  <c r="N26" i="313"/>
  <c r="AA26" i="313"/>
  <c r="P66" i="313"/>
  <c r="Q66" i="313"/>
  <c r="N18" i="313"/>
  <c r="AA18" i="313"/>
  <c r="AB18" i="313"/>
  <c r="AC14" i="313" s="1"/>
  <c r="Q46" i="313"/>
  <c r="P46" i="313"/>
  <c r="P27" i="313"/>
  <c r="Q27" i="313"/>
  <c r="Q10" i="313"/>
  <c r="P10" i="313"/>
  <c r="P32" i="313"/>
  <c r="Q32" i="313"/>
  <c r="Q69" i="313"/>
  <c r="P69" i="313"/>
  <c r="Q45" i="313"/>
  <c r="P45" i="313"/>
  <c r="Q20" i="313"/>
  <c r="P20" i="313"/>
  <c r="P30" i="313"/>
  <c r="Q30" i="313"/>
  <c r="P44" i="313"/>
  <c r="Q44" i="313"/>
  <c r="P63" i="313"/>
  <c r="Q63" i="313"/>
  <c r="Q12" i="313"/>
  <c r="P12" i="313"/>
  <c r="Q31" i="313"/>
  <c r="P31" i="313"/>
  <c r="Q68" i="313"/>
  <c r="P68" i="313"/>
  <c r="P64" i="313"/>
  <c r="Q64" i="313"/>
  <c r="Q48" i="313"/>
  <c r="P48" i="313"/>
  <c r="Q67" i="313"/>
  <c r="P67" i="313"/>
  <c r="Q8" i="313"/>
  <c r="R5" i="313" s="1"/>
  <c r="P8" i="313"/>
  <c r="D14" i="312"/>
  <c r="N55" i="313"/>
  <c r="AA55" i="313"/>
  <c r="AB55" i="313"/>
  <c r="AC50" i="313" s="1"/>
  <c r="P14" i="313"/>
  <c r="N13" i="313"/>
  <c r="AA41" i="313"/>
  <c r="P60" i="313"/>
  <c r="Q17" i="313"/>
  <c r="Q53" i="313"/>
  <c r="Q62" i="313"/>
  <c r="R56" i="313" s="1"/>
  <c r="P15" i="313"/>
  <c r="P25" i="313"/>
  <c r="P39" i="313"/>
  <c r="P50" i="313"/>
  <c r="P51" i="313"/>
  <c r="P61" i="313"/>
  <c r="N41" i="313"/>
  <c r="J14" i="312"/>
  <c r="J15" i="312" s="1"/>
  <c r="P37" i="313"/>
  <c r="Q9" i="313"/>
  <c r="P11" i="313"/>
  <c r="P21" i="313"/>
  <c r="Q22" i="313"/>
  <c r="P35" i="313"/>
  <c r="Q36" i="313"/>
  <c r="P47" i="313"/>
  <c r="P56" i="313"/>
  <c r="P57" i="313"/>
  <c r="Q58" i="313"/>
  <c r="AA13" i="313"/>
  <c r="AA49" i="313"/>
  <c r="P24" i="313"/>
  <c r="P38" i="313"/>
  <c r="P40" i="313"/>
  <c r="N49" i="313"/>
  <c r="P23" i="313"/>
  <c r="P34" i="313"/>
  <c r="P59" i="313"/>
  <c r="N70" i="313"/>
  <c r="AA70" i="313"/>
  <c r="N19" i="313"/>
  <c r="N33" i="313"/>
  <c r="O71" i="309"/>
  <c r="K71" i="309"/>
  <c r="AA70" i="309"/>
  <c r="V70" i="309"/>
  <c r="U70" i="309"/>
  <c r="O70" i="309"/>
  <c r="M70" i="309"/>
  <c r="N70" i="309" s="1"/>
  <c r="K70" i="309"/>
  <c r="G70" i="309"/>
  <c r="AB69" i="309"/>
  <c r="AA69" i="309"/>
  <c r="X69" i="309"/>
  <c r="W69" i="309"/>
  <c r="V69" i="309"/>
  <c r="U69" i="309"/>
  <c r="O69" i="309"/>
  <c r="N69" i="309"/>
  <c r="P69" i="309" s="1"/>
  <c r="M69" i="309"/>
  <c r="K69" i="309"/>
  <c r="G69" i="309"/>
  <c r="V68" i="309"/>
  <c r="U68" i="309"/>
  <c r="O68" i="309"/>
  <c r="M68" i="309"/>
  <c r="N68" i="309" s="1"/>
  <c r="K68" i="309"/>
  <c r="G68" i="309"/>
  <c r="AB67" i="309"/>
  <c r="V67" i="309"/>
  <c r="U67" i="309"/>
  <c r="O67" i="309"/>
  <c r="M67" i="309"/>
  <c r="N67" i="309" s="1"/>
  <c r="K67" i="309"/>
  <c r="G67" i="309"/>
  <c r="AB66" i="309"/>
  <c r="AA66" i="309"/>
  <c r="V66" i="309"/>
  <c r="U66" i="309"/>
  <c r="Q66" i="309"/>
  <c r="O66" i="309"/>
  <c r="N66" i="309"/>
  <c r="P66" i="309" s="1"/>
  <c r="M66" i="309"/>
  <c r="K66" i="309"/>
  <c r="G66" i="309"/>
  <c r="AA65" i="309"/>
  <c r="V65" i="309"/>
  <c r="U65" i="309"/>
  <c r="O65" i="309"/>
  <c r="M65" i="309"/>
  <c r="AB65" i="309" s="1"/>
  <c r="K65" i="309"/>
  <c r="G65" i="309"/>
  <c r="X64" i="309"/>
  <c r="W64" i="309"/>
  <c r="V64" i="309"/>
  <c r="O64" i="309"/>
  <c r="M64" i="309"/>
  <c r="N64" i="309" s="1"/>
  <c r="K64" i="309"/>
  <c r="G64" i="309"/>
  <c r="AB63" i="309"/>
  <c r="AC57" i="309" s="1"/>
  <c r="AA63" i="309"/>
  <c r="O63" i="309"/>
  <c r="M63" i="309"/>
  <c r="N63" i="309" s="1"/>
  <c r="K63" i="309"/>
  <c r="AB62" i="309"/>
  <c r="AA62" i="309"/>
  <c r="V62" i="309"/>
  <c r="U62" i="309"/>
  <c r="Q62" i="309"/>
  <c r="P62" i="309"/>
  <c r="O62" i="309"/>
  <c r="N62" i="309"/>
  <c r="M62" i="309"/>
  <c r="K62" i="309"/>
  <c r="G62" i="309"/>
  <c r="AB61" i="309"/>
  <c r="AA61" i="309"/>
  <c r="V61" i="309"/>
  <c r="U61" i="309"/>
  <c r="Q61" i="309"/>
  <c r="P61" i="309"/>
  <c r="O61" i="309"/>
  <c r="N61" i="309"/>
  <c r="M61" i="309"/>
  <c r="K61" i="309"/>
  <c r="G61" i="309"/>
  <c r="AB60" i="309"/>
  <c r="AA60" i="309"/>
  <c r="V60" i="309"/>
  <c r="U60" i="309"/>
  <c r="Q60" i="309"/>
  <c r="O60" i="309"/>
  <c r="N60" i="309"/>
  <c r="P60" i="309" s="1"/>
  <c r="M60" i="309"/>
  <c r="K60" i="309"/>
  <c r="G60" i="309"/>
  <c r="AB59" i="309"/>
  <c r="AA59" i="309"/>
  <c r="V59" i="309"/>
  <c r="U59" i="309"/>
  <c r="P59" i="309"/>
  <c r="O59" i="309"/>
  <c r="N59" i="309"/>
  <c r="Q59" i="309" s="1"/>
  <c r="M59" i="309"/>
  <c r="K59" i="309"/>
  <c r="G59" i="309"/>
  <c r="AB58" i="309"/>
  <c r="AA58" i="309"/>
  <c r="V58" i="309"/>
  <c r="U58" i="309"/>
  <c r="Q58" i="309"/>
  <c r="P58" i="309"/>
  <c r="O58" i="309"/>
  <c r="N58" i="309"/>
  <c r="M58" i="309"/>
  <c r="K58" i="309"/>
  <c r="G58" i="309"/>
  <c r="AB57" i="309"/>
  <c r="AA57" i="309"/>
  <c r="V57" i="309"/>
  <c r="Q57" i="309"/>
  <c r="P57" i="309"/>
  <c r="O57" i="309"/>
  <c r="N57" i="309"/>
  <c r="M57" i="309"/>
  <c r="K57" i="309"/>
  <c r="G57" i="309"/>
  <c r="AA56" i="309"/>
  <c r="O56" i="309"/>
  <c r="M56" i="309"/>
  <c r="N56" i="309" s="1"/>
  <c r="K56" i="309"/>
  <c r="AA55" i="309"/>
  <c r="V55" i="309"/>
  <c r="U55" i="309"/>
  <c r="O55" i="309"/>
  <c r="M55" i="309"/>
  <c r="AB55" i="309" s="1"/>
  <c r="K55" i="309"/>
  <c r="G55" i="309"/>
  <c r="AB54" i="309"/>
  <c r="V54" i="309"/>
  <c r="U54" i="309"/>
  <c r="O54" i="309"/>
  <c r="M54" i="309"/>
  <c r="AA54" i="309" s="1"/>
  <c r="K54" i="309"/>
  <c r="G54" i="309"/>
  <c r="AB53" i="309"/>
  <c r="AA53" i="309"/>
  <c r="V53" i="309"/>
  <c r="U53" i="309"/>
  <c r="O53" i="309"/>
  <c r="N53" i="309"/>
  <c r="Q53" i="309" s="1"/>
  <c r="M53" i="309"/>
  <c r="K53" i="309"/>
  <c r="G53" i="309"/>
  <c r="AB52" i="309"/>
  <c r="AA52" i="309"/>
  <c r="V52" i="309"/>
  <c r="U52" i="309"/>
  <c r="Q52" i="309"/>
  <c r="P52" i="309"/>
  <c r="O52" i="309"/>
  <c r="N52" i="309"/>
  <c r="M52" i="309"/>
  <c r="K52" i="309"/>
  <c r="G52" i="309"/>
  <c r="AB51" i="309"/>
  <c r="AA51" i="309"/>
  <c r="V51" i="309"/>
  <c r="Q51" i="309"/>
  <c r="P51" i="309"/>
  <c r="O51" i="309"/>
  <c r="N51" i="309"/>
  <c r="M51" i="309"/>
  <c r="K51" i="309"/>
  <c r="G51" i="309"/>
  <c r="O50" i="309"/>
  <c r="K50" i="309"/>
  <c r="AB49" i="309"/>
  <c r="AA49" i="309"/>
  <c r="V49" i="309"/>
  <c r="U49" i="309"/>
  <c r="O49" i="309"/>
  <c r="N49" i="309"/>
  <c r="P49" i="309" s="1"/>
  <c r="M49" i="309"/>
  <c r="K49" i="309"/>
  <c r="G49" i="309"/>
  <c r="AB48" i="309"/>
  <c r="AA48" i="309"/>
  <c r="X48" i="309"/>
  <c r="W48" i="309"/>
  <c r="V48" i="309"/>
  <c r="U48" i="309"/>
  <c r="P48" i="309"/>
  <c r="O48" i="309"/>
  <c r="N48" i="309"/>
  <c r="Q48" i="309" s="1"/>
  <c r="M48" i="309"/>
  <c r="K48" i="309"/>
  <c r="G48" i="309"/>
  <c r="AB47" i="309"/>
  <c r="AA47" i="309"/>
  <c r="V47" i="309"/>
  <c r="U47" i="309"/>
  <c r="O47" i="309"/>
  <c r="N47" i="309"/>
  <c r="P47" i="309" s="1"/>
  <c r="M47" i="309"/>
  <c r="K47" i="309"/>
  <c r="G47" i="309"/>
  <c r="V46" i="309"/>
  <c r="U46" i="309"/>
  <c r="O46" i="309"/>
  <c r="M46" i="309"/>
  <c r="N46" i="309" s="1"/>
  <c r="K46" i="309"/>
  <c r="G46" i="309"/>
  <c r="AB45" i="309"/>
  <c r="V45" i="309"/>
  <c r="U45" i="309"/>
  <c r="O45" i="309"/>
  <c r="M45" i="309"/>
  <c r="N45" i="309" s="1"/>
  <c r="K45" i="309"/>
  <c r="G45" i="309"/>
  <c r="AB44" i="309"/>
  <c r="AA44" i="309"/>
  <c r="V44" i="309"/>
  <c r="U44" i="309"/>
  <c r="Q44" i="309"/>
  <c r="O44" i="309"/>
  <c r="N44" i="309"/>
  <c r="P44" i="309" s="1"/>
  <c r="M44" i="309"/>
  <c r="K44" i="309"/>
  <c r="G44" i="309"/>
  <c r="AB43" i="309"/>
  <c r="AA43" i="309"/>
  <c r="V43" i="309"/>
  <c r="Q43" i="309"/>
  <c r="O43" i="309"/>
  <c r="N43" i="309"/>
  <c r="P43" i="309" s="1"/>
  <c r="M43" i="309"/>
  <c r="K43" i="309"/>
  <c r="G43" i="309"/>
  <c r="AB42" i="309"/>
  <c r="AA42" i="309"/>
  <c r="O42" i="309"/>
  <c r="N42" i="309"/>
  <c r="L14" i="308" s="1"/>
  <c r="L15" i="308" s="1"/>
  <c r="M42" i="309"/>
  <c r="K42" i="309"/>
  <c r="AB41" i="309"/>
  <c r="AA41" i="309"/>
  <c r="V41" i="309"/>
  <c r="U41" i="309"/>
  <c r="Q41" i="309"/>
  <c r="P41" i="309"/>
  <c r="O41" i="309"/>
  <c r="N41" i="309"/>
  <c r="M41" i="309"/>
  <c r="K41" i="309"/>
  <c r="G41" i="309"/>
  <c r="AB40" i="309"/>
  <c r="AA40" i="309"/>
  <c r="X40" i="309"/>
  <c r="W40" i="309"/>
  <c r="V40" i="309"/>
  <c r="U40" i="309"/>
  <c r="Q40" i="309"/>
  <c r="P40" i="309"/>
  <c r="O40" i="309"/>
  <c r="N40" i="309"/>
  <c r="M40" i="309"/>
  <c r="K40" i="309"/>
  <c r="G40" i="309"/>
  <c r="AB39" i="309"/>
  <c r="AA39" i="309"/>
  <c r="V39" i="309"/>
  <c r="U39" i="309"/>
  <c r="Q39" i="309"/>
  <c r="P39" i="309"/>
  <c r="O39" i="309"/>
  <c r="N39" i="309"/>
  <c r="M39" i="309"/>
  <c r="K39" i="309"/>
  <c r="G39" i="309"/>
  <c r="AB38" i="309"/>
  <c r="AA38" i="309"/>
  <c r="V38" i="309"/>
  <c r="U38" i="309"/>
  <c r="Q38" i="309"/>
  <c r="O38" i="309"/>
  <c r="N38" i="309"/>
  <c r="P38" i="309" s="1"/>
  <c r="M38" i="309"/>
  <c r="K38" i="309"/>
  <c r="G38" i="309"/>
  <c r="AB37" i="309"/>
  <c r="AA37" i="309"/>
  <c r="V37" i="309"/>
  <c r="U37" i="309"/>
  <c r="P37" i="309"/>
  <c r="O37" i="309"/>
  <c r="N37" i="309"/>
  <c r="Q37" i="309" s="1"/>
  <c r="M37" i="309"/>
  <c r="K37" i="309"/>
  <c r="G37" i="309"/>
  <c r="AB36" i="309"/>
  <c r="AA36" i="309"/>
  <c r="V36" i="309"/>
  <c r="U36" i="309"/>
  <c r="P36" i="309"/>
  <c r="O36" i="309"/>
  <c r="N36" i="309"/>
  <c r="Q36" i="309" s="1"/>
  <c r="M36" i="309"/>
  <c r="K36" i="309"/>
  <c r="G36" i="309"/>
  <c r="AC35" i="309"/>
  <c r="AB35" i="309"/>
  <c r="AA35" i="309"/>
  <c r="X35" i="309"/>
  <c r="W35" i="309"/>
  <c r="V35" i="309"/>
  <c r="Q35" i="309"/>
  <c r="O35" i="309"/>
  <c r="N35" i="309"/>
  <c r="P35" i="309" s="1"/>
  <c r="M35" i="309"/>
  <c r="K35" i="309"/>
  <c r="G35" i="309"/>
  <c r="O34" i="309"/>
  <c r="K34" i="309"/>
  <c r="AB33" i="309"/>
  <c r="V33" i="309"/>
  <c r="U33" i="309"/>
  <c r="O33" i="309"/>
  <c r="M33" i="309"/>
  <c r="N33" i="309" s="1"/>
  <c r="K33" i="309"/>
  <c r="G33" i="309"/>
  <c r="X32" i="309"/>
  <c r="W32" i="309"/>
  <c r="V32" i="309"/>
  <c r="U32" i="309"/>
  <c r="O32" i="309"/>
  <c r="M32" i="309"/>
  <c r="N32" i="309" s="1"/>
  <c r="K32" i="309"/>
  <c r="G32" i="309"/>
  <c r="AB31" i="309"/>
  <c r="V31" i="309"/>
  <c r="U31" i="309"/>
  <c r="O31" i="309"/>
  <c r="M31" i="309"/>
  <c r="N31" i="309" s="1"/>
  <c r="K31" i="309"/>
  <c r="G31" i="309"/>
  <c r="AB30" i="309"/>
  <c r="AA30" i="309"/>
  <c r="V30" i="309"/>
  <c r="U30" i="309"/>
  <c r="Q30" i="309"/>
  <c r="O30" i="309"/>
  <c r="N30" i="309"/>
  <c r="P30" i="309" s="1"/>
  <c r="M30" i="309"/>
  <c r="K30" i="309"/>
  <c r="G30" i="309"/>
  <c r="AA29" i="309"/>
  <c r="V29" i="309"/>
  <c r="U29" i="309"/>
  <c r="O29" i="309"/>
  <c r="M29" i="309"/>
  <c r="AB29" i="309" s="1"/>
  <c r="K29" i="309"/>
  <c r="G29" i="309"/>
  <c r="AA28" i="309"/>
  <c r="X28" i="309"/>
  <c r="W28" i="309"/>
  <c r="V28" i="309"/>
  <c r="O28" i="309"/>
  <c r="M28" i="309"/>
  <c r="N28" i="309" s="1"/>
  <c r="K28" i="309"/>
  <c r="G28" i="309"/>
  <c r="O27" i="309"/>
  <c r="K27" i="309"/>
  <c r="AB26" i="309"/>
  <c r="AA26" i="309"/>
  <c r="V26" i="309"/>
  <c r="U26" i="309"/>
  <c r="Q26" i="309"/>
  <c r="P26" i="309"/>
  <c r="O26" i="309"/>
  <c r="N26" i="309"/>
  <c r="M26" i="309"/>
  <c r="K26" i="309"/>
  <c r="G26" i="309"/>
  <c r="AB25" i="309"/>
  <c r="AA25" i="309"/>
  <c r="V25" i="309"/>
  <c r="U25" i="309"/>
  <c r="Q25" i="309"/>
  <c r="P25" i="309"/>
  <c r="O25" i="309"/>
  <c r="N25" i="309"/>
  <c r="M25" i="309"/>
  <c r="K25" i="309"/>
  <c r="G25" i="309"/>
  <c r="AB24" i="309"/>
  <c r="AA24" i="309"/>
  <c r="V24" i="309"/>
  <c r="U24" i="309"/>
  <c r="Q24" i="309"/>
  <c r="O24" i="309"/>
  <c r="N24" i="309"/>
  <c r="P24" i="309" s="1"/>
  <c r="M24" i="309"/>
  <c r="K24" i="309"/>
  <c r="G24" i="309"/>
  <c r="AB23" i="309"/>
  <c r="AA23" i="309"/>
  <c r="V23" i="309"/>
  <c r="U23" i="309"/>
  <c r="P23" i="309"/>
  <c r="O23" i="309"/>
  <c r="N23" i="309"/>
  <c r="Q23" i="309" s="1"/>
  <c r="M23" i="309"/>
  <c r="K23" i="309"/>
  <c r="G23" i="309"/>
  <c r="AB22" i="309"/>
  <c r="AA22" i="309"/>
  <c r="V22" i="309"/>
  <c r="U22" i="309"/>
  <c r="P22" i="309"/>
  <c r="O22" i="309"/>
  <c r="N22" i="309"/>
  <c r="Q22" i="309" s="1"/>
  <c r="M22" i="309"/>
  <c r="K22" i="309"/>
  <c r="G22" i="309"/>
  <c r="AB21" i="309"/>
  <c r="AA21" i="309"/>
  <c r="V21" i="309"/>
  <c r="U21" i="309"/>
  <c r="O21" i="309"/>
  <c r="N21" i="309"/>
  <c r="P21" i="309" s="1"/>
  <c r="M21" i="309"/>
  <c r="K21" i="309"/>
  <c r="G21" i="309"/>
  <c r="V20" i="309"/>
  <c r="U20" i="309"/>
  <c r="O20" i="309"/>
  <c r="M20" i="309"/>
  <c r="N20" i="309" s="1"/>
  <c r="K20" i="309"/>
  <c r="G20" i="309"/>
  <c r="V19" i="309"/>
  <c r="O19" i="309"/>
  <c r="M19" i="309"/>
  <c r="N19" i="309" s="1"/>
  <c r="K19" i="309"/>
  <c r="G19" i="309"/>
  <c r="AB18" i="309"/>
  <c r="AC14" i="309" s="1"/>
  <c r="O18" i="309"/>
  <c r="M18" i="309"/>
  <c r="AA18" i="309" s="1"/>
  <c r="K18" i="309"/>
  <c r="AB17" i="309"/>
  <c r="AA17" i="309"/>
  <c r="V17" i="309"/>
  <c r="U17" i="309"/>
  <c r="O17" i="309"/>
  <c r="N17" i="309"/>
  <c r="Q17" i="309" s="1"/>
  <c r="M17" i="309"/>
  <c r="K17" i="309"/>
  <c r="G17" i="309"/>
  <c r="AB16" i="309"/>
  <c r="AA16" i="309"/>
  <c r="V16" i="309"/>
  <c r="U16" i="309"/>
  <c r="Q16" i="309"/>
  <c r="P16" i="309"/>
  <c r="O16" i="309"/>
  <c r="N16" i="309"/>
  <c r="M16" i="309"/>
  <c r="K16" i="309"/>
  <c r="G16" i="309"/>
  <c r="AB15" i="309"/>
  <c r="AA15" i="309"/>
  <c r="V15" i="309"/>
  <c r="U15" i="309"/>
  <c r="Q15" i="309"/>
  <c r="P15" i="309"/>
  <c r="O15" i="309"/>
  <c r="N15" i="309"/>
  <c r="M15" i="309"/>
  <c r="K15" i="309"/>
  <c r="G15" i="309"/>
  <c r="AB14" i="309"/>
  <c r="AA14" i="309"/>
  <c r="V14" i="309"/>
  <c r="Q14" i="309"/>
  <c r="P14" i="309"/>
  <c r="O14" i="309"/>
  <c r="N14" i="309"/>
  <c r="M14" i="309"/>
  <c r="K14" i="309"/>
  <c r="G14" i="309"/>
  <c r="O13" i="309"/>
  <c r="K13" i="309"/>
  <c r="V12" i="309"/>
  <c r="U12" i="309"/>
  <c r="O12" i="309"/>
  <c r="M12" i="309"/>
  <c r="N12" i="309" s="1"/>
  <c r="K12" i="309"/>
  <c r="G12" i="309"/>
  <c r="AB11" i="309"/>
  <c r="AA11" i="309"/>
  <c r="X11" i="309"/>
  <c r="W11" i="309"/>
  <c r="V11" i="309"/>
  <c r="U11" i="309"/>
  <c r="O11" i="309"/>
  <c r="N11" i="309"/>
  <c r="P11" i="309" s="1"/>
  <c r="M11" i="309"/>
  <c r="K11" i="309"/>
  <c r="G11" i="309"/>
  <c r="V10" i="309"/>
  <c r="U10" i="309"/>
  <c r="O10" i="309"/>
  <c r="M10" i="309"/>
  <c r="N10" i="309" s="1"/>
  <c r="K10" i="309"/>
  <c r="G10" i="309"/>
  <c r="AB9" i="309"/>
  <c r="AA9" i="309"/>
  <c r="X9" i="309"/>
  <c r="W9" i="309"/>
  <c r="V9" i="309"/>
  <c r="P9" i="309"/>
  <c r="O9" i="309"/>
  <c r="N9" i="309"/>
  <c r="Q9" i="309" s="1"/>
  <c r="M9" i="309"/>
  <c r="K9" i="309"/>
  <c r="G9" i="309"/>
  <c r="AA8" i="309"/>
  <c r="O8" i="309"/>
  <c r="M8" i="309"/>
  <c r="N8" i="309" s="1"/>
  <c r="K8" i="309"/>
  <c r="AA7" i="309"/>
  <c r="V7" i="309"/>
  <c r="U7" i="309"/>
  <c r="O7" i="309"/>
  <c r="M7" i="309"/>
  <c r="AB7" i="309" s="1"/>
  <c r="K7" i="309"/>
  <c r="G7" i="309"/>
  <c r="AB6" i="309"/>
  <c r="V6" i="309"/>
  <c r="U6" i="309"/>
  <c r="O6" i="309"/>
  <c r="M6" i="309"/>
  <c r="AA6" i="309" s="1"/>
  <c r="K6" i="309"/>
  <c r="G6" i="309"/>
  <c r="AB5" i="309"/>
  <c r="V5" i="309"/>
  <c r="O5" i="309"/>
  <c r="M5" i="309"/>
  <c r="AA5" i="309" s="1"/>
  <c r="K5" i="309"/>
  <c r="G5" i="309"/>
  <c r="H2" i="309"/>
  <c r="F2" i="309"/>
  <c r="H1" i="309"/>
  <c r="F1" i="309"/>
  <c r="D1" i="309"/>
  <c r="M18" i="308"/>
  <c r="L18" i="308"/>
  <c r="K18" i="308"/>
  <c r="J18" i="308"/>
  <c r="I18" i="308"/>
  <c r="H18" i="308"/>
  <c r="G18" i="308"/>
  <c r="F18" i="308"/>
  <c r="E18" i="308"/>
  <c r="D18" i="308"/>
  <c r="M17" i="308"/>
  <c r="L17" i="308"/>
  <c r="K17" i="308"/>
  <c r="J17" i="308"/>
  <c r="I17" i="308"/>
  <c r="H17" i="308"/>
  <c r="G17" i="308"/>
  <c r="F17" i="308"/>
  <c r="E17" i="308"/>
  <c r="D17" i="308"/>
  <c r="M16" i="308"/>
  <c r="L16" i="308"/>
  <c r="K16" i="308"/>
  <c r="J16" i="308"/>
  <c r="I16" i="308"/>
  <c r="H16" i="308"/>
  <c r="G16" i="308"/>
  <c r="F16" i="308"/>
  <c r="E16" i="308"/>
  <c r="D16" i="308"/>
  <c r="M13" i="308"/>
  <c r="L13" i="308"/>
  <c r="K13" i="308"/>
  <c r="J13" i="308"/>
  <c r="I13" i="308"/>
  <c r="H13" i="308"/>
  <c r="G13" i="308"/>
  <c r="F13" i="308"/>
  <c r="E13" i="308"/>
  <c r="D13" i="308"/>
  <c r="I6" i="308"/>
  <c r="G6" i="308"/>
  <c r="F6" i="308"/>
  <c r="E6" i="308"/>
  <c r="I3" i="308"/>
  <c r="F3" i="308"/>
  <c r="C3" i="308"/>
  <c r="D15" i="314" l="1"/>
  <c r="I14" i="314"/>
  <c r="I15" i="314" s="1"/>
  <c r="Q49" i="315"/>
  <c r="R44" i="315" s="1"/>
  <c r="P49" i="315"/>
  <c r="Q63" i="315"/>
  <c r="R57" i="315" s="1"/>
  <c r="P63" i="315"/>
  <c r="M14" i="314"/>
  <c r="M15" i="314" s="1"/>
  <c r="P30" i="315"/>
  <c r="K14" i="314"/>
  <c r="Q30" i="315"/>
  <c r="R25" i="315" s="1"/>
  <c r="Q56" i="315"/>
  <c r="R50" i="315" s="1"/>
  <c r="P56" i="315"/>
  <c r="J14" i="314"/>
  <c r="J15" i="314" s="1"/>
  <c r="Q12" i="315"/>
  <c r="R9" i="315" s="1"/>
  <c r="P12" i="315"/>
  <c r="E14" i="314"/>
  <c r="E15" i="314" s="1"/>
  <c r="Q43" i="315"/>
  <c r="R37" i="315" s="1"/>
  <c r="P43" i="315"/>
  <c r="H14" i="314"/>
  <c r="H15" i="314" s="1"/>
  <c r="P36" i="315"/>
  <c r="Q36" i="315"/>
  <c r="R31" i="315" s="1"/>
  <c r="L14" i="314"/>
  <c r="L15" i="314" s="1"/>
  <c r="G14" i="314"/>
  <c r="G15" i="314" s="1"/>
  <c r="P24" i="315"/>
  <c r="Q24" i="315"/>
  <c r="R17" i="315" s="1"/>
  <c r="Q70" i="313"/>
  <c r="R63" i="313" s="1"/>
  <c r="M14" i="312"/>
  <c r="M15" i="312" s="1"/>
  <c r="P70" i="313"/>
  <c r="P55" i="313"/>
  <c r="I14" i="312"/>
  <c r="I15" i="312" s="1"/>
  <c r="Q55" i="313"/>
  <c r="R50" i="313" s="1"/>
  <c r="D2" i="313"/>
  <c r="P49" i="313"/>
  <c r="Q49" i="313"/>
  <c r="R42" i="313" s="1"/>
  <c r="H14" i="312"/>
  <c r="H15" i="312" s="1"/>
  <c r="P26" i="313"/>
  <c r="Q26" i="313"/>
  <c r="R19" i="313" s="1"/>
  <c r="G14" i="312"/>
  <c r="G15" i="312" s="1"/>
  <c r="D15" i="312"/>
  <c r="Q18" i="313"/>
  <c r="R14" i="313" s="1"/>
  <c r="P18" i="313"/>
  <c r="F14" i="312"/>
  <c r="F15" i="312" s="1"/>
  <c r="K14" i="312"/>
  <c r="Q33" i="313"/>
  <c r="R27" i="313" s="1"/>
  <c r="P33" i="313"/>
  <c r="Q19" i="313"/>
  <c r="P19" i="313"/>
  <c r="L14" i="312"/>
  <c r="L15" i="312" s="1"/>
  <c r="Q41" i="313"/>
  <c r="R34" i="313" s="1"/>
  <c r="P41" i="313"/>
  <c r="P13" i="313"/>
  <c r="E14" i="312"/>
  <c r="E15" i="312" s="1"/>
  <c r="Q13" i="313"/>
  <c r="R9" i="313" s="1"/>
  <c r="I14" i="308"/>
  <c r="I15" i="308" s="1"/>
  <c r="Q56" i="309"/>
  <c r="R51" i="309" s="1"/>
  <c r="P56" i="309"/>
  <c r="Q28" i="309"/>
  <c r="P28" i="309"/>
  <c r="Q67" i="309"/>
  <c r="P67" i="309"/>
  <c r="Q45" i="309"/>
  <c r="P45" i="309"/>
  <c r="D14" i="308"/>
  <c r="Q8" i="309"/>
  <c r="R5" i="309" s="1"/>
  <c r="P8" i="309"/>
  <c r="Q70" i="309"/>
  <c r="P70" i="309"/>
  <c r="Q31" i="309"/>
  <c r="P31" i="309"/>
  <c r="Q46" i="309"/>
  <c r="P46" i="309"/>
  <c r="Q68" i="309"/>
  <c r="P68" i="309"/>
  <c r="Q32" i="309"/>
  <c r="P32" i="309"/>
  <c r="Q10" i="309"/>
  <c r="P10" i="309"/>
  <c r="Q64" i="309"/>
  <c r="P64" i="309"/>
  <c r="Q20" i="309"/>
  <c r="P20" i="309"/>
  <c r="Q33" i="309"/>
  <c r="P33" i="309"/>
  <c r="Q12" i="309"/>
  <c r="P12" i="309"/>
  <c r="Q19" i="309"/>
  <c r="P19" i="309"/>
  <c r="J14" i="308"/>
  <c r="J15" i="308" s="1"/>
  <c r="Q63" i="309"/>
  <c r="R57" i="309" s="1"/>
  <c r="P63" i="309"/>
  <c r="Q11" i="309"/>
  <c r="Q21" i="309"/>
  <c r="Q47" i="309"/>
  <c r="Q49" i="309"/>
  <c r="Q69" i="309"/>
  <c r="N7" i="309"/>
  <c r="N18" i="309"/>
  <c r="M27" i="309"/>
  <c r="N29" i="309"/>
  <c r="N55" i="309"/>
  <c r="N65" i="309"/>
  <c r="N5" i="309"/>
  <c r="N6" i="309"/>
  <c r="N54" i="309"/>
  <c r="AB8" i="309"/>
  <c r="AC5" i="309" s="1"/>
  <c r="AA10" i="309"/>
  <c r="AA12" i="309"/>
  <c r="AA19" i="309"/>
  <c r="AA20" i="309"/>
  <c r="AA46" i="309"/>
  <c r="AB56" i="309"/>
  <c r="AC51" i="309" s="1"/>
  <c r="AA68" i="309"/>
  <c r="AB10" i="309"/>
  <c r="AB12" i="309"/>
  <c r="P17" i="309"/>
  <c r="AB19" i="309"/>
  <c r="AB20" i="309"/>
  <c r="AA31" i="309"/>
  <c r="AA33" i="309"/>
  <c r="P42" i="309"/>
  <c r="AA45" i="309"/>
  <c r="AB46" i="309"/>
  <c r="P53" i="309"/>
  <c r="AA67" i="309"/>
  <c r="AB68" i="309"/>
  <c r="AB70" i="309"/>
  <c r="AA32" i="309"/>
  <c r="Q42" i="309"/>
  <c r="R35" i="309" s="1"/>
  <c r="M50" i="309"/>
  <c r="AA64" i="309"/>
  <c r="M71" i="309"/>
  <c r="M13" i="309"/>
  <c r="AB32" i="309"/>
  <c r="AB28" i="309"/>
  <c r="M34" i="309"/>
  <c r="AB64" i="309"/>
  <c r="K15" i="314" l="1"/>
  <c r="I8" i="314" s="1"/>
  <c r="I7" i="314"/>
  <c r="E7" i="314"/>
  <c r="F7" i="314"/>
  <c r="G7" i="314"/>
  <c r="G8" i="314"/>
  <c r="F8" i="314"/>
  <c r="I7" i="312"/>
  <c r="K15" i="312"/>
  <c r="I8" i="312" s="1"/>
  <c r="G7" i="312"/>
  <c r="F8" i="312"/>
  <c r="E8" i="312"/>
  <c r="G8" i="312"/>
  <c r="E7" i="312"/>
  <c r="F7" i="312"/>
  <c r="AB34" i="309"/>
  <c r="AC28" i="309" s="1"/>
  <c r="AA34" i="309"/>
  <c r="N34" i="309"/>
  <c r="Q29" i="309"/>
  <c r="P29" i="309"/>
  <c r="D15" i="308"/>
  <c r="AB27" i="309"/>
  <c r="AC19" i="309" s="1"/>
  <c r="AA27" i="309"/>
  <c r="N27" i="309"/>
  <c r="F14" i="308"/>
  <c r="F15" i="308" s="1"/>
  <c r="Q18" i="309"/>
  <c r="R14" i="309" s="1"/>
  <c r="P18" i="309"/>
  <c r="N13" i="309"/>
  <c r="AB13" i="309"/>
  <c r="AC9" i="309" s="1"/>
  <c r="AA13" i="309"/>
  <c r="Q7" i="309"/>
  <c r="P7" i="309"/>
  <c r="AB71" i="309"/>
  <c r="AC64" i="309" s="1"/>
  <c r="AA71" i="309"/>
  <c r="N71" i="309"/>
  <c r="AA50" i="309"/>
  <c r="N50" i="309"/>
  <c r="AB50" i="309"/>
  <c r="AC43" i="309" s="1"/>
  <c r="Q54" i="309"/>
  <c r="P54" i="309"/>
  <c r="Q6" i="309"/>
  <c r="P6" i="309"/>
  <c r="Q5" i="309"/>
  <c r="P5" i="309"/>
  <c r="Q55" i="309"/>
  <c r="P55" i="309"/>
  <c r="Q65" i="309"/>
  <c r="P65" i="309"/>
  <c r="E8" i="314" l="1"/>
  <c r="Q50" i="309"/>
  <c r="R43" i="309" s="1"/>
  <c r="H14" i="308"/>
  <c r="H15" i="308" s="1"/>
  <c r="P50" i="309"/>
  <c r="G14" i="308"/>
  <c r="G15" i="308" s="1"/>
  <c r="Q27" i="309"/>
  <c r="R19" i="309" s="1"/>
  <c r="P27" i="309"/>
  <c r="Q71" i="309"/>
  <c r="R64" i="309" s="1"/>
  <c r="P71" i="309"/>
  <c r="M14" i="308"/>
  <c r="M15" i="308" s="1"/>
  <c r="Q13" i="309"/>
  <c r="R9" i="309" s="1"/>
  <c r="P13" i="309"/>
  <c r="E14" i="308"/>
  <c r="D2" i="309"/>
  <c r="P34" i="309"/>
  <c r="K14" i="308"/>
  <c r="Q34" i="309"/>
  <c r="R28" i="309" s="1"/>
  <c r="E15" i="308" l="1"/>
  <c r="G7" i="308"/>
  <c r="F7" i="308"/>
  <c r="E7" i="308"/>
  <c r="K15" i="308"/>
  <c r="I8" i="308" s="1"/>
  <c r="I7" i="308"/>
  <c r="G8" i="308" l="1"/>
  <c r="F8" i="308"/>
  <c r="E8" i="308"/>
  <c r="O74" i="307" l="1"/>
  <c r="K74" i="307"/>
  <c r="V73" i="307"/>
  <c r="M73" i="307" s="1"/>
  <c r="U73" i="307"/>
  <c r="O73" i="307"/>
  <c r="K73" i="307"/>
  <c r="G73" i="307"/>
  <c r="AB72" i="307"/>
  <c r="AA72" i="307"/>
  <c r="V72" i="307"/>
  <c r="U72" i="307"/>
  <c r="O72" i="307"/>
  <c r="M72" i="307"/>
  <c r="N72" i="307" s="1"/>
  <c r="K72" i="307"/>
  <c r="G72" i="307"/>
  <c r="X71" i="307"/>
  <c r="W71" i="307"/>
  <c r="V71" i="307"/>
  <c r="M71" i="307" s="1"/>
  <c r="U71" i="307"/>
  <c r="O71" i="307"/>
  <c r="K71" i="307"/>
  <c r="G71" i="307"/>
  <c r="AB70" i="307"/>
  <c r="AA70" i="307"/>
  <c r="V70" i="307"/>
  <c r="U70" i="307"/>
  <c r="O70" i="307"/>
  <c r="M70" i="307"/>
  <c r="N70" i="307" s="1"/>
  <c r="K70" i="307"/>
  <c r="G70" i="307"/>
  <c r="V69" i="307"/>
  <c r="M69" i="307" s="1"/>
  <c r="U69" i="307"/>
  <c r="O69" i="307"/>
  <c r="K69" i="307"/>
  <c r="G69" i="307"/>
  <c r="V68" i="307"/>
  <c r="M68" i="307" s="1"/>
  <c r="U68" i="307"/>
  <c r="O68" i="307"/>
  <c r="K68" i="307"/>
  <c r="G68" i="307"/>
  <c r="V67" i="307"/>
  <c r="M67" i="307" s="1"/>
  <c r="U67" i="307"/>
  <c r="O67" i="307"/>
  <c r="K67" i="307"/>
  <c r="G67" i="307"/>
  <c r="X66" i="307"/>
  <c r="W66" i="307"/>
  <c r="V66" i="307"/>
  <c r="M66" i="307" s="1"/>
  <c r="O66" i="307"/>
  <c r="K66" i="307"/>
  <c r="G66" i="307"/>
  <c r="O65" i="307"/>
  <c r="K65" i="307"/>
  <c r="V64" i="307"/>
  <c r="M64" i="307" s="1"/>
  <c r="U64" i="307"/>
  <c r="O64" i="307"/>
  <c r="K64" i="307"/>
  <c r="G64" i="307"/>
  <c r="V63" i="307"/>
  <c r="U63" i="307"/>
  <c r="O63" i="307"/>
  <c r="M63" i="307"/>
  <c r="AB63" i="307" s="1"/>
  <c r="K63" i="307"/>
  <c r="G63" i="307"/>
  <c r="AB62" i="307"/>
  <c r="V62" i="307"/>
  <c r="U62" i="307"/>
  <c r="O62" i="307"/>
  <c r="M62" i="307"/>
  <c r="AA62" i="307" s="1"/>
  <c r="K62" i="307"/>
  <c r="G62" i="307"/>
  <c r="AB61" i="307"/>
  <c r="AA61" i="307"/>
  <c r="V61" i="307"/>
  <c r="U61" i="307"/>
  <c r="O61" i="307"/>
  <c r="M61" i="307"/>
  <c r="N61" i="307" s="1"/>
  <c r="K61" i="307"/>
  <c r="G61" i="307"/>
  <c r="V60" i="307"/>
  <c r="M60" i="307" s="1"/>
  <c r="U60" i="307"/>
  <c r="O60" i="307"/>
  <c r="K60" i="307"/>
  <c r="G60" i="307"/>
  <c r="V59" i="307"/>
  <c r="M59" i="307" s="1"/>
  <c r="O59" i="307"/>
  <c r="K59" i="307"/>
  <c r="G59" i="307"/>
  <c r="O58" i="307"/>
  <c r="K58" i="307"/>
  <c r="V57" i="307"/>
  <c r="M57" i="307" s="1"/>
  <c r="U57" i="307"/>
  <c r="O57" i="307"/>
  <c r="K57" i="307"/>
  <c r="G57" i="307"/>
  <c r="V56" i="307"/>
  <c r="U56" i="307"/>
  <c r="O56" i="307"/>
  <c r="M56" i="307"/>
  <c r="AB56" i="307" s="1"/>
  <c r="K56" i="307"/>
  <c r="G56" i="307"/>
  <c r="V55" i="307"/>
  <c r="U55" i="307"/>
  <c r="O55" i="307"/>
  <c r="M55" i="307"/>
  <c r="AB55" i="307" s="1"/>
  <c r="K55" i="307"/>
  <c r="G55" i="307"/>
  <c r="V54" i="307"/>
  <c r="M54" i="307" s="1"/>
  <c r="U54" i="307"/>
  <c r="O54" i="307"/>
  <c r="K54" i="307"/>
  <c r="G54" i="307"/>
  <c r="V53" i="307"/>
  <c r="M53" i="307" s="1"/>
  <c r="O53" i="307"/>
  <c r="K53" i="307"/>
  <c r="G53" i="307"/>
  <c r="O52" i="307"/>
  <c r="K52" i="307"/>
  <c r="V51" i="307"/>
  <c r="M51" i="307" s="1"/>
  <c r="U51" i="307"/>
  <c r="O51" i="307"/>
  <c r="K51" i="307"/>
  <c r="G51" i="307"/>
  <c r="AB50" i="307"/>
  <c r="AA50" i="307"/>
  <c r="V50" i="307"/>
  <c r="U50" i="307"/>
  <c r="O50" i="307"/>
  <c r="M50" i="307"/>
  <c r="N50" i="307" s="1"/>
  <c r="K50" i="307"/>
  <c r="G50" i="307"/>
  <c r="X49" i="307"/>
  <c r="W49" i="307"/>
  <c r="V49" i="307"/>
  <c r="M49" i="307" s="1"/>
  <c r="U49" i="307"/>
  <c r="O49" i="307"/>
  <c r="K49" i="307"/>
  <c r="G49" i="307"/>
  <c r="AB48" i="307"/>
  <c r="AA48" i="307"/>
  <c r="V48" i="307"/>
  <c r="U48" i="307"/>
  <c r="O48" i="307"/>
  <c r="M48" i="307"/>
  <c r="N48" i="307" s="1"/>
  <c r="K48" i="307"/>
  <c r="G48" i="307"/>
  <c r="V47" i="307"/>
  <c r="M47" i="307" s="1"/>
  <c r="U47" i="307"/>
  <c r="O47" i="307"/>
  <c r="K47" i="307"/>
  <c r="G47" i="307"/>
  <c r="V46" i="307"/>
  <c r="M46" i="307" s="1"/>
  <c r="U46" i="307"/>
  <c r="O46" i="307"/>
  <c r="K46" i="307"/>
  <c r="G46" i="307"/>
  <c r="V45" i="307"/>
  <c r="M45" i="307" s="1"/>
  <c r="U45" i="307"/>
  <c r="O45" i="307"/>
  <c r="K45" i="307"/>
  <c r="G45" i="307"/>
  <c r="V44" i="307"/>
  <c r="M44" i="307" s="1"/>
  <c r="O44" i="307"/>
  <c r="K44" i="307"/>
  <c r="G44" i="307"/>
  <c r="O43" i="307"/>
  <c r="K43" i="307"/>
  <c r="L13" i="306" s="1"/>
  <c r="AB42" i="307"/>
  <c r="V42" i="307"/>
  <c r="U42" i="307"/>
  <c r="O42" i="307"/>
  <c r="M42" i="307"/>
  <c r="AA42" i="307" s="1"/>
  <c r="K42" i="307"/>
  <c r="G42" i="307"/>
  <c r="AB41" i="307"/>
  <c r="AA41" i="307"/>
  <c r="V41" i="307"/>
  <c r="U41" i="307"/>
  <c r="O41" i="307"/>
  <c r="M41" i="307"/>
  <c r="N41" i="307" s="1"/>
  <c r="K41" i="307"/>
  <c r="G41" i="307"/>
  <c r="AA40" i="307"/>
  <c r="X40" i="307"/>
  <c r="W40" i="307"/>
  <c r="V40" i="307"/>
  <c r="U40" i="307"/>
  <c r="O40" i="307"/>
  <c r="M40" i="307"/>
  <c r="N40" i="307" s="1"/>
  <c r="K40" i="307"/>
  <c r="G40" i="307"/>
  <c r="AB39" i="307"/>
  <c r="AA39" i="307"/>
  <c r="V39" i="307"/>
  <c r="U39" i="307"/>
  <c r="O39" i="307"/>
  <c r="M39" i="307"/>
  <c r="N39" i="307" s="1"/>
  <c r="K39" i="307"/>
  <c r="G39" i="307"/>
  <c r="V38" i="307"/>
  <c r="M38" i="307" s="1"/>
  <c r="U38" i="307"/>
  <c r="O38" i="307"/>
  <c r="K38" i="307"/>
  <c r="G38" i="307"/>
  <c r="V37" i="307"/>
  <c r="M37" i="307" s="1"/>
  <c r="U37" i="307"/>
  <c r="O37" i="307"/>
  <c r="K37" i="307"/>
  <c r="G37" i="307"/>
  <c r="AB36" i="307"/>
  <c r="AA36" i="307"/>
  <c r="V36" i="307"/>
  <c r="U36" i="307"/>
  <c r="O36" i="307"/>
  <c r="M36" i="307"/>
  <c r="N36" i="307" s="1"/>
  <c r="K36" i="307"/>
  <c r="G36" i="307"/>
  <c r="X35" i="307"/>
  <c r="W35" i="307"/>
  <c r="V35" i="307"/>
  <c r="M35" i="307" s="1"/>
  <c r="O35" i="307"/>
  <c r="K35" i="307"/>
  <c r="G35" i="307"/>
  <c r="O34" i="307"/>
  <c r="K34" i="307"/>
  <c r="V33" i="307"/>
  <c r="M33" i="307" s="1"/>
  <c r="U33" i="307"/>
  <c r="O33" i="307"/>
  <c r="K33" i="307"/>
  <c r="G33" i="307"/>
  <c r="X32" i="307"/>
  <c r="W32" i="307"/>
  <c r="V32" i="307"/>
  <c r="M32" i="307" s="1"/>
  <c r="U32" i="307"/>
  <c r="O32" i="307"/>
  <c r="K32" i="307"/>
  <c r="G32" i="307"/>
  <c r="V31" i="307"/>
  <c r="M31" i="307" s="1"/>
  <c r="U31" i="307"/>
  <c r="O31" i="307"/>
  <c r="K31" i="307"/>
  <c r="G31" i="307"/>
  <c r="V30" i="307"/>
  <c r="U30" i="307"/>
  <c r="O30" i="307"/>
  <c r="M30" i="307"/>
  <c r="AB30" i="307" s="1"/>
  <c r="K30" i="307"/>
  <c r="G30" i="307"/>
  <c r="V29" i="307"/>
  <c r="U29" i="307"/>
  <c r="O29" i="307"/>
  <c r="M29" i="307"/>
  <c r="AB29" i="307" s="1"/>
  <c r="K29" i="307"/>
  <c r="G29" i="307"/>
  <c r="X28" i="307"/>
  <c r="W28" i="307"/>
  <c r="V28" i="307"/>
  <c r="M28" i="307" s="1"/>
  <c r="O28" i="307"/>
  <c r="K28" i="307"/>
  <c r="G28" i="307"/>
  <c r="O27" i="307"/>
  <c r="K27" i="307"/>
  <c r="G13" i="306" s="1"/>
  <c r="AB26" i="307"/>
  <c r="V26" i="307"/>
  <c r="U26" i="307"/>
  <c r="O26" i="307"/>
  <c r="M26" i="307"/>
  <c r="AA26" i="307" s="1"/>
  <c r="K26" i="307"/>
  <c r="G26" i="307"/>
  <c r="AB25" i="307"/>
  <c r="AA25" i="307"/>
  <c r="V25" i="307"/>
  <c r="U25" i="307"/>
  <c r="O25" i="307"/>
  <c r="M25" i="307"/>
  <c r="N25" i="307" s="1"/>
  <c r="K25" i="307"/>
  <c r="G25" i="307"/>
  <c r="V24" i="307"/>
  <c r="M24" i="307" s="1"/>
  <c r="U24" i="307"/>
  <c r="O24" i="307"/>
  <c r="K24" i="307"/>
  <c r="G24" i="307"/>
  <c r="V23" i="307"/>
  <c r="M23" i="307" s="1"/>
  <c r="U23" i="307"/>
  <c r="O23" i="307"/>
  <c r="K23" i="307"/>
  <c r="G23" i="307"/>
  <c r="AB22" i="307"/>
  <c r="AA22" i="307"/>
  <c r="V22" i="307"/>
  <c r="U22" i="307"/>
  <c r="O22" i="307"/>
  <c r="M22" i="307"/>
  <c r="N22" i="307" s="1"/>
  <c r="K22" i="307"/>
  <c r="G22" i="307"/>
  <c r="V21" i="307"/>
  <c r="M21" i="307" s="1"/>
  <c r="U21" i="307"/>
  <c r="O21" i="307"/>
  <c r="K21" i="307"/>
  <c r="G21" i="307"/>
  <c r="V20" i="307"/>
  <c r="M20" i="307" s="1"/>
  <c r="U20" i="307"/>
  <c r="O20" i="307"/>
  <c r="K20" i="307"/>
  <c r="G20" i="307"/>
  <c r="V19" i="307"/>
  <c r="M19" i="307" s="1"/>
  <c r="O19" i="307"/>
  <c r="K19" i="307"/>
  <c r="G19" i="307"/>
  <c r="O18" i="307"/>
  <c r="M18" i="307"/>
  <c r="AB18" i="307" s="1"/>
  <c r="AC14" i="307" s="1"/>
  <c r="K18" i="307"/>
  <c r="F13" i="306" s="1"/>
  <c r="E6" i="306" s="1"/>
  <c r="V17" i="307"/>
  <c r="U17" i="307"/>
  <c r="O17" i="307"/>
  <c r="M17" i="307"/>
  <c r="AB17" i="307" s="1"/>
  <c r="K17" i="307"/>
  <c r="G17" i="307"/>
  <c r="AB16" i="307"/>
  <c r="V16" i="307"/>
  <c r="U16" i="307"/>
  <c r="O16" i="307"/>
  <c r="M16" i="307"/>
  <c r="AA16" i="307" s="1"/>
  <c r="K16" i="307"/>
  <c r="G16" i="307"/>
  <c r="AB15" i="307"/>
  <c r="AA15" i="307"/>
  <c r="V15" i="307"/>
  <c r="U15" i="307"/>
  <c r="O15" i="307"/>
  <c r="M15" i="307"/>
  <c r="N15" i="307" s="1"/>
  <c r="K15" i="307"/>
  <c r="G15" i="307"/>
  <c r="AB14" i="307"/>
  <c r="AA14" i="307"/>
  <c r="V14" i="307"/>
  <c r="O14" i="307"/>
  <c r="M14" i="307"/>
  <c r="N14" i="307" s="1"/>
  <c r="K14" i="307"/>
  <c r="G14" i="307"/>
  <c r="O13" i="307"/>
  <c r="K13" i="307"/>
  <c r="V12" i="307"/>
  <c r="M12" i="307" s="1"/>
  <c r="U12" i="307"/>
  <c r="O12" i="307"/>
  <c r="K12" i="307"/>
  <c r="G12" i="307"/>
  <c r="X11" i="307"/>
  <c r="W11" i="307"/>
  <c r="V11" i="307"/>
  <c r="M11" i="307" s="1"/>
  <c r="U11" i="307"/>
  <c r="O11" i="307"/>
  <c r="K11" i="307"/>
  <c r="G11" i="307"/>
  <c r="V10" i="307"/>
  <c r="M10" i="307" s="1"/>
  <c r="U10" i="307"/>
  <c r="O10" i="307"/>
  <c r="K10" i="307"/>
  <c r="G10" i="307"/>
  <c r="X9" i="307"/>
  <c r="W9" i="307"/>
  <c r="V9" i="307"/>
  <c r="O9" i="307"/>
  <c r="M9" i="307"/>
  <c r="N9" i="307" s="1"/>
  <c r="K9" i="307"/>
  <c r="G9" i="307"/>
  <c r="O8" i="307"/>
  <c r="K8" i="307"/>
  <c r="V7" i="307"/>
  <c r="U7" i="307"/>
  <c r="O7" i="307"/>
  <c r="M7" i="307"/>
  <c r="AB7" i="307" s="1"/>
  <c r="K7" i="307"/>
  <c r="G7" i="307"/>
  <c r="V6" i="307"/>
  <c r="M6" i="307" s="1"/>
  <c r="U6" i="307"/>
  <c r="O6" i="307"/>
  <c r="K6" i="307"/>
  <c r="G6" i="307"/>
  <c r="V5" i="307"/>
  <c r="M5" i="307" s="1"/>
  <c r="O5" i="307"/>
  <c r="K5" i="307"/>
  <c r="G5" i="307"/>
  <c r="F1" i="307" s="1"/>
  <c r="H2" i="307"/>
  <c r="H1" i="307"/>
  <c r="D1" i="307"/>
  <c r="M18" i="306"/>
  <c r="L18" i="306"/>
  <c r="K18" i="306"/>
  <c r="J18" i="306"/>
  <c r="I18" i="306"/>
  <c r="H18" i="306"/>
  <c r="G18" i="306"/>
  <c r="F18" i="306"/>
  <c r="E18" i="306"/>
  <c r="D18" i="306"/>
  <c r="M17" i="306"/>
  <c r="L17" i="306"/>
  <c r="K17" i="306"/>
  <c r="J17" i="306"/>
  <c r="I17" i="306"/>
  <c r="H17" i="306"/>
  <c r="G17" i="306"/>
  <c r="F17" i="306"/>
  <c r="E17" i="306"/>
  <c r="D17" i="306"/>
  <c r="M16" i="306"/>
  <c r="L16" i="306"/>
  <c r="K16" i="306"/>
  <c r="J16" i="306"/>
  <c r="I16" i="306"/>
  <c r="H16" i="306"/>
  <c r="G16" i="306"/>
  <c r="F16" i="306"/>
  <c r="E16" i="306"/>
  <c r="D16" i="306"/>
  <c r="M13" i="306"/>
  <c r="K13" i="306"/>
  <c r="J13" i="306"/>
  <c r="I13" i="306"/>
  <c r="H13" i="306"/>
  <c r="E13" i="306"/>
  <c r="D13" i="306"/>
  <c r="F3" i="306"/>
  <c r="C3" i="306"/>
  <c r="N68" i="307" l="1"/>
  <c r="AB68" i="307"/>
  <c r="AA68" i="307"/>
  <c r="N66" i="307"/>
  <c r="AB66" i="307"/>
  <c r="AA66" i="307"/>
  <c r="M74" i="307"/>
  <c r="F2" i="307"/>
  <c r="I3" i="306"/>
  <c r="Q25" i="307"/>
  <c r="P25" i="307"/>
  <c r="P36" i="307"/>
  <c r="Q36" i="307"/>
  <c r="N10" i="307"/>
  <c r="AB10" i="307"/>
  <c r="AA10" i="307"/>
  <c r="N69" i="307"/>
  <c r="AA69" i="307"/>
  <c r="AB69" i="307"/>
  <c r="AB64" i="307"/>
  <c r="AA64" i="307"/>
  <c r="N64" i="307"/>
  <c r="P22" i="307"/>
  <c r="Q22" i="307"/>
  <c r="AB67" i="307"/>
  <c r="AA67" i="307"/>
  <c r="N67" i="307"/>
  <c r="AB35" i="307"/>
  <c r="AA35" i="307"/>
  <c r="N35" i="307"/>
  <c r="M43" i="307"/>
  <c r="P70" i="307"/>
  <c r="Q70" i="307"/>
  <c r="N51" i="307"/>
  <c r="AB51" i="307"/>
  <c r="AA51" i="307"/>
  <c r="AB31" i="307"/>
  <c r="AA31" i="307"/>
  <c r="N31" i="307"/>
  <c r="P50" i="307"/>
  <c r="Q50" i="307"/>
  <c r="N60" i="307"/>
  <c r="AA60" i="307"/>
  <c r="AB60" i="307"/>
  <c r="N23" i="307"/>
  <c r="AB23" i="307"/>
  <c r="AA23" i="307"/>
  <c r="AA71" i="307"/>
  <c r="N71" i="307"/>
  <c r="AB71" i="307"/>
  <c r="Q39" i="307"/>
  <c r="P39" i="307"/>
  <c r="G6" i="306"/>
  <c r="AB6" i="307"/>
  <c r="AA6" i="307"/>
  <c r="N6" i="307"/>
  <c r="N47" i="307"/>
  <c r="AA47" i="307"/>
  <c r="AB47" i="307"/>
  <c r="N73" i="307"/>
  <c r="AB73" i="307"/>
  <c r="AA73" i="307"/>
  <c r="N21" i="307"/>
  <c r="AA21" i="307"/>
  <c r="AB21" i="307"/>
  <c r="N12" i="307"/>
  <c r="AB12" i="307"/>
  <c r="AA12" i="307"/>
  <c r="AB57" i="307"/>
  <c r="AA57" i="307"/>
  <c r="N57" i="307"/>
  <c r="AB44" i="307"/>
  <c r="AA44" i="307"/>
  <c r="M52" i="307"/>
  <c r="N44" i="307"/>
  <c r="M34" i="307"/>
  <c r="AB28" i="307"/>
  <c r="AA28" i="307"/>
  <c r="N28" i="307"/>
  <c r="AB53" i="307"/>
  <c r="M58" i="307"/>
  <c r="AA53" i="307"/>
  <c r="N53" i="307"/>
  <c r="Q14" i="307"/>
  <c r="P14" i="307"/>
  <c r="N49" i="307"/>
  <c r="AA49" i="307"/>
  <c r="AB49" i="307"/>
  <c r="Q41" i="307"/>
  <c r="P41" i="307"/>
  <c r="P48" i="307"/>
  <c r="Q48" i="307"/>
  <c r="AB54" i="307"/>
  <c r="AA54" i="307"/>
  <c r="N54" i="307"/>
  <c r="I6" i="306"/>
  <c r="AB33" i="307"/>
  <c r="AA33" i="307"/>
  <c r="N33" i="307"/>
  <c r="Q40" i="307"/>
  <c r="P40" i="307"/>
  <c r="M8" i="307"/>
  <c r="AB5" i="307"/>
  <c r="AA5" i="307"/>
  <c r="N5" i="307"/>
  <c r="N38" i="307"/>
  <c r="AA38" i="307"/>
  <c r="AB38" i="307"/>
  <c r="N46" i="307"/>
  <c r="AB46" i="307"/>
  <c r="AA46" i="307"/>
  <c r="Q15" i="307"/>
  <c r="P15" i="307"/>
  <c r="N19" i="307"/>
  <c r="AB19" i="307"/>
  <c r="AA19" i="307"/>
  <c r="M27" i="307"/>
  <c r="N32" i="307"/>
  <c r="AB32" i="307"/>
  <c r="AA32" i="307"/>
  <c r="Q61" i="307"/>
  <c r="P61" i="307"/>
  <c r="P9" i="307"/>
  <c r="Q9" i="307"/>
  <c r="N11" i="307"/>
  <c r="AB11" i="307"/>
  <c r="AA11" i="307"/>
  <c r="N24" i="307"/>
  <c r="AA24" i="307"/>
  <c r="AB24" i="307"/>
  <c r="N20" i="307"/>
  <c r="AB20" i="307"/>
  <c r="AA20" i="307"/>
  <c r="N37" i="307"/>
  <c r="AB37" i="307"/>
  <c r="AA37" i="307"/>
  <c r="AB45" i="307"/>
  <c r="AA45" i="307"/>
  <c r="N45" i="307"/>
  <c r="N59" i="307"/>
  <c r="AA59" i="307"/>
  <c r="AB59" i="307"/>
  <c r="M65" i="307"/>
  <c r="P72" i="307"/>
  <c r="Q72" i="307"/>
  <c r="N7" i="307"/>
  <c r="N18" i="307"/>
  <c r="N29" i="307"/>
  <c r="AB40" i="307"/>
  <c r="N55" i="307"/>
  <c r="N30" i="307"/>
  <c r="N56" i="307"/>
  <c r="AA9" i="307"/>
  <c r="N16" i="307"/>
  <c r="N26" i="307"/>
  <c r="N42" i="307"/>
  <c r="N62" i="307"/>
  <c r="AB9" i="307"/>
  <c r="AA18" i="307"/>
  <c r="AA30" i="307"/>
  <c r="AA56" i="307"/>
  <c r="F6" i="306"/>
  <c r="AA29" i="307"/>
  <c r="AA55" i="307"/>
  <c r="N17" i="307"/>
  <c r="N63" i="307"/>
  <c r="AA7" i="307"/>
  <c r="M13" i="307"/>
  <c r="AA17" i="307"/>
  <c r="AA63" i="307"/>
  <c r="L18" i="305"/>
  <c r="I18" i="305"/>
  <c r="L18" i="303"/>
  <c r="I18" i="303"/>
  <c r="L18" i="301"/>
  <c r="I18" i="301"/>
  <c r="L18" i="299"/>
  <c r="I18" i="299"/>
  <c r="L18" i="297"/>
  <c r="I18" i="297"/>
  <c r="L18" i="295"/>
  <c r="I18" i="295"/>
  <c r="L18" i="287"/>
  <c r="I18" i="287"/>
  <c r="L18" i="285"/>
  <c r="I18" i="285"/>
  <c r="L17" i="283"/>
  <c r="I17" i="283"/>
  <c r="L17" i="281"/>
  <c r="I17" i="281"/>
  <c r="Q42" i="307" l="1"/>
  <c r="P42" i="307"/>
  <c r="AB65" i="307"/>
  <c r="AC59" i="307" s="1"/>
  <c r="AA65" i="307"/>
  <c r="N65" i="307"/>
  <c r="Q53" i="307"/>
  <c r="P53" i="307"/>
  <c r="Q16" i="307"/>
  <c r="P16" i="307"/>
  <c r="P32" i="307"/>
  <c r="Q32" i="307"/>
  <c r="Q17" i="307"/>
  <c r="P17" i="307"/>
  <c r="Q5" i="307"/>
  <c r="P5" i="307"/>
  <c r="N58" i="307"/>
  <c r="AB58" i="307"/>
  <c r="AC53" i="307" s="1"/>
  <c r="AA58" i="307"/>
  <c r="Q47" i="307"/>
  <c r="P47" i="307"/>
  <c r="Q23" i="307"/>
  <c r="P23" i="307"/>
  <c r="Q59" i="307"/>
  <c r="P59" i="307"/>
  <c r="Q6" i="307"/>
  <c r="P6" i="307"/>
  <c r="Q30" i="307"/>
  <c r="P30" i="307"/>
  <c r="P19" i="307"/>
  <c r="Q19" i="307"/>
  <c r="P12" i="307"/>
  <c r="Q12" i="307"/>
  <c r="Q60" i="307"/>
  <c r="P60" i="307"/>
  <c r="Q35" i="307"/>
  <c r="P35" i="307"/>
  <c r="Q66" i="307"/>
  <c r="P66" i="307"/>
  <c r="P20" i="307"/>
  <c r="Q20" i="307"/>
  <c r="Q54" i="307"/>
  <c r="P54" i="307"/>
  <c r="Q57" i="307"/>
  <c r="P57" i="307"/>
  <c r="N13" i="307"/>
  <c r="AA13" i="307"/>
  <c r="AB13" i="307"/>
  <c r="AC9" i="307" s="1"/>
  <c r="Q73" i="307"/>
  <c r="P73" i="307"/>
  <c r="Q26" i="307"/>
  <c r="P26" i="307"/>
  <c r="Q63" i="307"/>
  <c r="P63" i="307"/>
  <c r="Q38" i="307"/>
  <c r="P38" i="307"/>
  <c r="Q51" i="307"/>
  <c r="P51" i="307"/>
  <c r="Q64" i="307"/>
  <c r="P64" i="307"/>
  <c r="AB27" i="307"/>
  <c r="AC19" i="307" s="1"/>
  <c r="N27" i="307"/>
  <c r="AA27" i="307"/>
  <c r="Q56" i="307"/>
  <c r="P56" i="307"/>
  <c r="Q24" i="307"/>
  <c r="P24" i="307"/>
  <c r="Q45" i="307"/>
  <c r="P45" i="307"/>
  <c r="Q28" i="307"/>
  <c r="P28" i="307"/>
  <c r="AB43" i="307"/>
  <c r="AC35" i="307" s="1"/>
  <c r="N43" i="307"/>
  <c r="AA43" i="307"/>
  <c r="AB74" i="307"/>
  <c r="AC66" i="307" s="1"/>
  <c r="AA74" i="307"/>
  <c r="N74" i="307"/>
  <c r="P55" i="307"/>
  <c r="Q55" i="307"/>
  <c r="AA8" i="307"/>
  <c r="AB8" i="307"/>
  <c r="AC5" i="307" s="1"/>
  <c r="N8" i="307"/>
  <c r="Q11" i="307"/>
  <c r="P11" i="307"/>
  <c r="Q69" i="307"/>
  <c r="P69" i="307"/>
  <c r="P29" i="307"/>
  <c r="Q29" i="307"/>
  <c r="N34" i="307"/>
  <c r="AB34" i="307"/>
  <c r="AC28" i="307" s="1"/>
  <c r="AA34" i="307"/>
  <c r="F14" i="306"/>
  <c r="F15" i="306" s="1"/>
  <c r="P18" i="307"/>
  <c r="Q18" i="307"/>
  <c r="R14" i="307" s="1"/>
  <c r="Q33" i="307"/>
  <c r="P33" i="307"/>
  <c r="Q44" i="307"/>
  <c r="P44" i="307"/>
  <c r="Q21" i="307"/>
  <c r="P21" i="307"/>
  <c r="Q31" i="307"/>
  <c r="P31" i="307"/>
  <c r="Q67" i="307"/>
  <c r="P67" i="307"/>
  <c r="P7" i="307"/>
  <c r="Q7" i="307"/>
  <c r="Q37" i="307"/>
  <c r="P37" i="307"/>
  <c r="Q49" i="307"/>
  <c r="P49" i="307"/>
  <c r="AB52" i="307"/>
  <c r="AC44" i="307" s="1"/>
  <c r="AA52" i="307"/>
  <c r="N52" i="307"/>
  <c r="P10" i="307"/>
  <c r="Q10" i="307"/>
  <c r="Q62" i="307"/>
  <c r="P62" i="307"/>
  <c r="P46" i="307"/>
  <c r="Q46" i="307"/>
  <c r="Q71" i="307"/>
  <c r="P71" i="307"/>
  <c r="P68" i="307"/>
  <c r="Q68" i="307"/>
  <c r="O74" i="305"/>
  <c r="K74" i="305"/>
  <c r="AB73" i="305"/>
  <c r="AA73" i="305"/>
  <c r="V73" i="305"/>
  <c r="U73" i="305"/>
  <c r="O73" i="305"/>
  <c r="N73" i="305"/>
  <c r="Q73" i="305" s="1"/>
  <c r="M73" i="305"/>
  <c r="K73" i="305"/>
  <c r="G73" i="305"/>
  <c r="V72" i="305"/>
  <c r="M72" i="305" s="1"/>
  <c r="U72" i="305"/>
  <c r="O72" i="305"/>
  <c r="K72" i="305"/>
  <c r="G72" i="305"/>
  <c r="AB71" i="305"/>
  <c r="AA71" i="305"/>
  <c r="X71" i="305"/>
  <c r="W71" i="305"/>
  <c r="V71" i="305"/>
  <c r="U71" i="305"/>
  <c r="O71" i="305"/>
  <c r="N71" i="305"/>
  <c r="Q71" i="305" s="1"/>
  <c r="M71" i="305"/>
  <c r="K71" i="305"/>
  <c r="G71" i="305"/>
  <c r="V70" i="305"/>
  <c r="M70" i="305" s="1"/>
  <c r="U70" i="305"/>
  <c r="O70" i="305"/>
  <c r="K70" i="305"/>
  <c r="G70" i="305"/>
  <c r="V69" i="305"/>
  <c r="M69" i="305" s="1"/>
  <c r="U69" i="305"/>
  <c r="O69" i="305"/>
  <c r="K69" i="305"/>
  <c r="G69" i="305"/>
  <c r="AB68" i="305"/>
  <c r="AA68" i="305"/>
  <c r="V68" i="305"/>
  <c r="U68" i="305"/>
  <c r="O68" i="305"/>
  <c r="M68" i="305"/>
  <c r="N68" i="305" s="1"/>
  <c r="K68" i="305"/>
  <c r="G68" i="305"/>
  <c r="AB67" i="305"/>
  <c r="AA67" i="305"/>
  <c r="V67" i="305"/>
  <c r="U67" i="305"/>
  <c r="O67" i="305"/>
  <c r="N67" i="305"/>
  <c r="P67" i="305" s="1"/>
  <c r="M67" i="305"/>
  <c r="K67" i="305"/>
  <c r="G67" i="305"/>
  <c r="X66" i="305"/>
  <c r="W66" i="305"/>
  <c r="V66" i="305"/>
  <c r="M66" i="305" s="1"/>
  <c r="O66" i="305"/>
  <c r="K66" i="305"/>
  <c r="G66" i="305"/>
  <c r="O65" i="305"/>
  <c r="M65" i="305"/>
  <c r="AB65" i="305" s="1"/>
  <c r="AC59" i="305" s="1"/>
  <c r="K65" i="305"/>
  <c r="V64" i="305"/>
  <c r="U64" i="305"/>
  <c r="O64" i="305"/>
  <c r="M64" i="305"/>
  <c r="AB64" i="305" s="1"/>
  <c r="K64" i="305"/>
  <c r="G64" i="305"/>
  <c r="V63" i="305"/>
  <c r="U63" i="305"/>
  <c r="O63" i="305"/>
  <c r="M63" i="305"/>
  <c r="AB63" i="305" s="1"/>
  <c r="K63" i="305"/>
  <c r="G63" i="305"/>
  <c r="AB62" i="305"/>
  <c r="AA62" i="305"/>
  <c r="V62" i="305"/>
  <c r="U62" i="305"/>
  <c r="O62" i="305"/>
  <c r="N62" i="305"/>
  <c r="Q62" i="305" s="1"/>
  <c r="M62" i="305"/>
  <c r="K62" i="305"/>
  <c r="G62" i="305"/>
  <c r="AB61" i="305"/>
  <c r="AA61" i="305"/>
  <c r="V61" i="305"/>
  <c r="U61" i="305"/>
  <c r="O61" i="305"/>
  <c r="N61" i="305"/>
  <c r="Q61" i="305" s="1"/>
  <c r="M61" i="305"/>
  <c r="K61" i="305"/>
  <c r="G61" i="305"/>
  <c r="AB60" i="305"/>
  <c r="AA60" i="305"/>
  <c r="V60" i="305"/>
  <c r="U60" i="305"/>
  <c r="O60" i="305"/>
  <c r="N60" i="305"/>
  <c r="Q60" i="305" s="1"/>
  <c r="M60" i="305"/>
  <c r="K60" i="305"/>
  <c r="G60" i="305"/>
  <c r="AB59" i="305"/>
  <c r="AA59" i="305"/>
  <c r="V59" i="305"/>
  <c r="O59" i="305"/>
  <c r="N59" i="305"/>
  <c r="Q59" i="305" s="1"/>
  <c r="M59" i="305"/>
  <c r="K59" i="305"/>
  <c r="G59" i="305"/>
  <c r="O58" i="305"/>
  <c r="K58" i="305"/>
  <c r="AB57" i="305"/>
  <c r="AA57" i="305"/>
  <c r="V57" i="305"/>
  <c r="U57" i="305"/>
  <c r="O57" i="305"/>
  <c r="N57" i="305"/>
  <c r="P57" i="305" s="1"/>
  <c r="M57" i="305"/>
  <c r="K57" i="305"/>
  <c r="G57" i="305"/>
  <c r="V56" i="305"/>
  <c r="U56" i="305"/>
  <c r="O56" i="305"/>
  <c r="M56" i="305"/>
  <c r="AB56" i="305" s="1"/>
  <c r="K56" i="305"/>
  <c r="G56" i="305"/>
  <c r="V55" i="305"/>
  <c r="U55" i="305"/>
  <c r="O55" i="305"/>
  <c r="M55" i="305"/>
  <c r="N55" i="305" s="1"/>
  <c r="K55" i="305"/>
  <c r="G55" i="305"/>
  <c r="V54" i="305"/>
  <c r="U54" i="305"/>
  <c r="O54" i="305"/>
  <c r="M54" i="305"/>
  <c r="AB54" i="305" s="1"/>
  <c r="K54" i="305"/>
  <c r="G54" i="305"/>
  <c r="V53" i="305"/>
  <c r="O53" i="305"/>
  <c r="M53" i="305"/>
  <c r="AB53" i="305" s="1"/>
  <c r="K53" i="305"/>
  <c r="G53" i="305"/>
  <c r="O52" i="305"/>
  <c r="K52" i="305"/>
  <c r="AB51" i="305"/>
  <c r="AA51" i="305"/>
  <c r="V51" i="305"/>
  <c r="U51" i="305"/>
  <c r="O51" i="305"/>
  <c r="M51" i="305"/>
  <c r="N51" i="305" s="1"/>
  <c r="K51" i="305"/>
  <c r="G51" i="305"/>
  <c r="V50" i="305"/>
  <c r="M50" i="305" s="1"/>
  <c r="U50" i="305"/>
  <c r="O50" i="305"/>
  <c r="K50" i="305"/>
  <c r="G50" i="305"/>
  <c r="X49" i="305"/>
  <c r="W49" i="305"/>
  <c r="V49" i="305"/>
  <c r="U49" i="305"/>
  <c r="O49" i="305"/>
  <c r="M49" i="305"/>
  <c r="N49" i="305" s="1"/>
  <c r="K49" i="305"/>
  <c r="G49" i="305"/>
  <c r="V48" i="305"/>
  <c r="M48" i="305" s="1"/>
  <c r="U48" i="305"/>
  <c r="O48" i="305"/>
  <c r="K48" i="305"/>
  <c r="G48" i="305"/>
  <c r="V47" i="305"/>
  <c r="M47" i="305" s="1"/>
  <c r="U47" i="305"/>
  <c r="O47" i="305"/>
  <c r="K47" i="305"/>
  <c r="G47" i="305"/>
  <c r="AB46" i="305"/>
  <c r="AA46" i="305"/>
  <c r="V46" i="305"/>
  <c r="U46" i="305"/>
  <c r="O46" i="305"/>
  <c r="M46" i="305"/>
  <c r="N46" i="305" s="1"/>
  <c r="K46" i="305"/>
  <c r="G46" i="305"/>
  <c r="AB45" i="305"/>
  <c r="AA45" i="305"/>
  <c r="V45" i="305"/>
  <c r="U45" i="305"/>
  <c r="O45" i="305"/>
  <c r="N45" i="305"/>
  <c r="P45" i="305" s="1"/>
  <c r="M45" i="305"/>
  <c r="K45" i="305"/>
  <c r="G45" i="305"/>
  <c r="AB44" i="305"/>
  <c r="AA44" i="305"/>
  <c r="V44" i="305"/>
  <c r="O44" i="305"/>
  <c r="N44" i="305"/>
  <c r="P44" i="305" s="1"/>
  <c r="M44" i="305"/>
  <c r="K44" i="305"/>
  <c r="G44" i="305"/>
  <c r="O43" i="305"/>
  <c r="K43" i="305"/>
  <c r="AB42" i="305"/>
  <c r="AA42" i="305"/>
  <c r="V42" i="305"/>
  <c r="U42" i="305"/>
  <c r="O42" i="305"/>
  <c r="N42" i="305"/>
  <c r="Q42" i="305" s="1"/>
  <c r="M42" i="305"/>
  <c r="K42" i="305"/>
  <c r="P42" i="305" s="1"/>
  <c r="G42" i="305"/>
  <c r="AB41" i="305"/>
  <c r="AA41" i="305"/>
  <c r="V41" i="305"/>
  <c r="U41" i="305"/>
  <c r="P41" i="305"/>
  <c r="O41" i="305"/>
  <c r="N41" i="305"/>
  <c r="Q41" i="305" s="1"/>
  <c r="M41" i="305"/>
  <c r="K41" i="305"/>
  <c r="G41" i="305"/>
  <c r="AB40" i="305"/>
  <c r="AA40" i="305"/>
  <c r="X40" i="305"/>
  <c r="W40" i="305"/>
  <c r="V40" i="305"/>
  <c r="U40" i="305"/>
  <c r="O40" i="305"/>
  <c r="N40" i="305"/>
  <c r="Q40" i="305" s="1"/>
  <c r="M40" i="305"/>
  <c r="K40" i="305"/>
  <c r="P40" i="305" s="1"/>
  <c r="G40" i="305"/>
  <c r="AB39" i="305"/>
  <c r="AA39" i="305"/>
  <c r="V39" i="305"/>
  <c r="U39" i="305"/>
  <c r="P39" i="305"/>
  <c r="O39" i="305"/>
  <c r="N39" i="305"/>
  <c r="Q39" i="305" s="1"/>
  <c r="M39" i="305"/>
  <c r="K39" i="305"/>
  <c r="G39" i="305"/>
  <c r="AB38" i="305"/>
  <c r="AA38" i="305"/>
  <c r="V38" i="305"/>
  <c r="U38" i="305"/>
  <c r="O38" i="305"/>
  <c r="N38" i="305"/>
  <c r="Q38" i="305" s="1"/>
  <c r="M38" i="305"/>
  <c r="K38" i="305"/>
  <c r="G38" i="305"/>
  <c r="AB37" i="305"/>
  <c r="AA37" i="305"/>
  <c r="V37" i="305"/>
  <c r="U37" i="305"/>
  <c r="O37" i="305"/>
  <c r="M37" i="305"/>
  <c r="N37" i="305" s="1"/>
  <c r="K37" i="305"/>
  <c r="G37" i="305"/>
  <c r="V36" i="305"/>
  <c r="M36" i="305" s="1"/>
  <c r="U36" i="305"/>
  <c r="O36" i="305"/>
  <c r="K36" i="305"/>
  <c r="G36" i="305"/>
  <c r="V35" i="305"/>
  <c r="M35" i="305" s="1"/>
  <c r="U35" i="305"/>
  <c r="O35" i="305"/>
  <c r="K35" i="305"/>
  <c r="G35" i="305"/>
  <c r="X34" i="305"/>
  <c r="W34" i="305"/>
  <c r="V34" i="305"/>
  <c r="O34" i="305"/>
  <c r="M34" i="305"/>
  <c r="N34" i="305" s="1"/>
  <c r="K34" i="305"/>
  <c r="G34" i="305"/>
  <c r="O33" i="305"/>
  <c r="K33" i="305"/>
  <c r="V32" i="305"/>
  <c r="U32" i="305"/>
  <c r="O32" i="305"/>
  <c r="M32" i="305"/>
  <c r="AB32" i="305" s="1"/>
  <c r="K32" i="305"/>
  <c r="G32" i="305"/>
  <c r="AB31" i="305"/>
  <c r="AA31" i="305"/>
  <c r="X31" i="305"/>
  <c r="W31" i="305"/>
  <c r="V31" i="305"/>
  <c r="U31" i="305"/>
  <c r="O31" i="305"/>
  <c r="N31" i="305"/>
  <c r="P31" i="305" s="1"/>
  <c r="M31" i="305"/>
  <c r="K31" i="305"/>
  <c r="G31" i="305"/>
  <c r="V30" i="305"/>
  <c r="U30" i="305"/>
  <c r="O30" i="305"/>
  <c r="M30" i="305"/>
  <c r="AB30" i="305" s="1"/>
  <c r="K30" i="305"/>
  <c r="G30" i="305"/>
  <c r="V29" i="305"/>
  <c r="U29" i="305"/>
  <c r="O29" i="305"/>
  <c r="M29" i="305"/>
  <c r="N29" i="305" s="1"/>
  <c r="K29" i="305"/>
  <c r="G29" i="305"/>
  <c r="AB28" i="305"/>
  <c r="AA28" i="305"/>
  <c r="X28" i="305"/>
  <c r="W28" i="305"/>
  <c r="V28" i="305"/>
  <c r="O28" i="305"/>
  <c r="N28" i="305"/>
  <c r="P28" i="305" s="1"/>
  <c r="M28" i="305"/>
  <c r="K28" i="305"/>
  <c r="G28" i="305"/>
  <c r="O27" i="305"/>
  <c r="K27" i="305"/>
  <c r="AB26" i="305"/>
  <c r="AA26" i="305"/>
  <c r="V26" i="305"/>
  <c r="U26" i="305"/>
  <c r="O26" i="305"/>
  <c r="N26" i="305"/>
  <c r="Q26" i="305" s="1"/>
  <c r="M26" i="305"/>
  <c r="K26" i="305"/>
  <c r="P26" i="305" s="1"/>
  <c r="G26" i="305"/>
  <c r="AB25" i="305"/>
  <c r="AA25" i="305"/>
  <c r="V25" i="305"/>
  <c r="U25" i="305"/>
  <c r="P25" i="305"/>
  <c r="O25" i="305"/>
  <c r="N25" i="305"/>
  <c r="Q25" i="305" s="1"/>
  <c r="M25" i="305"/>
  <c r="K25" i="305"/>
  <c r="G25" i="305"/>
  <c r="AB24" i="305"/>
  <c r="AA24" i="305"/>
  <c r="V24" i="305"/>
  <c r="U24" i="305"/>
  <c r="O24" i="305"/>
  <c r="N24" i="305"/>
  <c r="Q24" i="305" s="1"/>
  <c r="M24" i="305"/>
  <c r="K24" i="305"/>
  <c r="G24" i="305"/>
  <c r="AB23" i="305"/>
  <c r="AA23" i="305"/>
  <c r="V23" i="305"/>
  <c r="U23" i="305"/>
  <c r="O23" i="305"/>
  <c r="M23" i="305"/>
  <c r="N23" i="305" s="1"/>
  <c r="K23" i="305"/>
  <c r="G23" i="305"/>
  <c r="V22" i="305"/>
  <c r="M22" i="305" s="1"/>
  <c r="U22" i="305"/>
  <c r="O22" i="305"/>
  <c r="K22" i="305"/>
  <c r="G22" i="305"/>
  <c r="V21" i="305"/>
  <c r="M21" i="305" s="1"/>
  <c r="U21" i="305"/>
  <c r="O21" i="305"/>
  <c r="K21" i="305"/>
  <c r="G21" i="305"/>
  <c r="AB20" i="305"/>
  <c r="AA20" i="305"/>
  <c r="V20" i="305"/>
  <c r="U20" i="305"/>
  <c r="O20" i="305"/>
  <c r="M20" i="305"/>
  <c r="N20" i="305" s="1"/>
  <c r="K20" i="305"/>
  <c r="G20" i="305"/>
  <c r="AB19" i="305"/>
  <c r="AA19" i="305"/>
  <c r="V19" i="305"/>
  <c r="O19" i="305"/>
  <c r="M19" i="305"/>
  <c r="N19" i="305" s="1"/>
  <c r="K19" i="305"/>
  <c r="G19" i="305"/>
  <c r="O18" i="305"/>
  <c r="M18" i="305"/>
  <c r="N18" i="305" s="1"/>
  <c r="K18" i="305"/>
  <c r="V17" i="305"/>
  <c r="U17" i="305"/>
  <c r="O17" i="305"/>
  <c r="M17" i="305"/>
  <c r="AB17" i="305" s="1"/>
  <c r="K17" i="305"/>
  <c r="G17" i="305"/>
  <c r="AB16" i="305"/>
  <c r="AA16" i="305"/>
  <c r="V16" i="305"/>
  <c r="U16" i="305"/>
  <c r="O16" i="305"/>
  <c r="N16" i="305"/>
  <c r="Q16" i="305" s="1"/>
  <c r="M16" i="305"/>
  <c r="K16" i="305"/>
  <c r="P16" i="305" s="1"/>
  <c r="G16" i="305"/>
  <c r="AB15" i="305"/>
  <c r="AA15" i="305"/>
  <c r="V15" i="305"/>
  <c r="U15" i="305"/>
  <c r="O15" i="305"/>
  <c r="N15" i="305"/>
  <c r="Q15" i="305" s="1"/>
  <c r="M15" i="305"/>
  <c r="K15" i="305"/>
  <c r="G15" i="305"/>
  <c r="AB14" i="305"/>
  <c r="AA14" i="305"/>
  <c r="V14" i="305"/>
  <c r="P14" i="305"/>
  <c r="O14" i="305"/>
  <c r="N14" i="305"/>
  <c r="Q14" i="305" s="1"/>
  <c r="M14" i="305"/>
  <c r="K14" i="305"/>
  <c r="G14" i="305"/>
  <c r="F1" i="305" s="1"/>
  <c r="O13" i="305"/>
  <c r="K13" i="305"/>
  <c r="AB12" i="305"/>
  <c r="AA12" i="305"/>
  <c r="V12" i="305"/>
  <c r="U12" i="305"/>
  <c r="O12" i="305"/>
  <c r="M12" i="305"/>
  <c r="N12" i="305" s="1"/>
  <c r="K12" i="305"/>
  <c r="G12" i="305"/>
  <c r="X11" i="305"/>
  <c r="W11" i="305"/>
  <c r="V11" i="305"/>
  <c r="M11" i="305" s="1"/>
  <c r="U11" i="305"/>
  <c r="O11" i="305"/>
  <c r="K11" i="305"/>
  <c r="G11" i="305"/>
  <c r="AB10" i="305"/>
  <c r="AA10" i="305"/>
  <c r="V10" i="305"/>
  <c r="U10" i="305"/>
  <c r="O10" i="305"/>
  <c r="M10" i="305"/>
  <c r="N10" i="305" s="1"/>
  <c r="K10" i="305"/>
  <c r="G10" i="305"/>
  <c r="X9" i="305"/>
  <c r="W9" i="305"/>
  <c r="V9" i="305"/>
  <c r="M9" i="305" s="1"/>
  <c r="O9" i="305"/>
  <c r="K9" i="305"/>
  <c r="G9" i="305"/>
  <c r="O8" i="305"/>
  <c r="K8" i="305"/>
  <c r="V7" i="305"/>
  <c r="U7" i="305"/>
  <c r="O7" i="305"/>
  <c r="M7" i="305"/>
  <c r="N7" i="305" s="1"/>
  <c r="K7" i="305"/>
  <c r="G7" i="305"/>
  <c r="V6" i="305"/>
  <c r="U6" i="305"/>
  <c r="O6" i="305"/>
  <c r="M6" i="305"/>
  <c r="AB6" i="305" s="1"/>
  <c r="K6" i="305"/>
  <c r="G6" i="305"/>
  <c r="V5" i="305"/>
  <c r="O5" i="305"/>
  <c r="M5" i="305"/>
  <c r="M8" i="305" s="1"/>
  <c r="K5" i="305"/>
  <c r="G5" i="305"/>
  <c r="H2" i="305"/>
  <c r="H1" i="305"/>
  <c r="D1" i="305"/>
  <c r="M18" i="304"/>
  <c r="L18" i="304"/>
  <c r="K18" i="304"/>
  <c r="J18" i="304"/>
  <c r="I18" i="304"/>
  <c r="H18" i="304"/>
  <c r="G18" i="304"/>
  <c r="F18" i="304"/>
  <c r="E18" i="304"/>
  <c r="D18" i="304"/>
  <c r="M17" i="304"/>
  <c r="L17" i="304"/>
  <c r="K17" i="304"/>
  <c r="J17" i="304"/>
  <c r="I17" i="304"/>
  <c r="H17" i="304"/>
  <c r="G17" i="304"/>
  <c r="F17" i="304"/>
  <c r="E17" i="304"/>
  <c r="D17" i="304"/>
  <c r="M16" i="304"/>
  <c r="L16" i="304"/>
  <c r="K16" i="304"/>
  <c r="J16" i="304"/>
  <c r="I16" i="304"/>
  <c r="H16" i="304"/>
  <c r="G16" i="304"/>
  <c r="F16" i="304"/>
  <c r="E16" i="304"/>
  <c r="D16" i="304"/>
  <c r="M13" i="304"/>
  <c r="L13" i="304"/>
  <c r="K13" i="304"/>
  <c r="J13" i="304"/>
  <c r="I13" i="304"/>
  <c r="H13" i="304"/>
  <c r="G13" i="304"/>
  <c r="F13" i="304"/>
  <c r="E13" i="304"/>
  <c r="D13" i="304"/>
  <c r="F3" i="304"/>
  <c r="C3" i="304"/>
  <c r="Q43" i="307" l="1"/>
  <c r="R35" i="307" s="1"/>
  <c r="P43" i="307"/>
  <c r="L14" i="306"/>
  <c r="L15" i="306" s="1"/>
  <c r="D2" i="307"/>
  <c r="D14" i="306"/>
  <c r="Q8" i="307"/>
  <c r="R5" i="307" s="1"/>
  <c r="P8" i="307"/>
  <c r="Q65" i="307"/>
  <c r="R59" i="307" s="1"/>
  <c r="P65" i="307"/>
  <c r="J14" i="306"/>
  <c r="J15" i="306" s="1"/>
  <c r="Q52" i="307"/>
  <c r="R44" i="307" s="1"/>
  <c r="H14" i="306"/>
  <c r="H15" i="306" s="1"/>
  <c r="P52" i="307"/>
  <c r="Q34" i="307"/>
  <c r="R28" i="307" s="1"/>
  <c r="K14" i="306"/>
  <c r="P34" i="307"/>
  <c r="Q74" i="307"/>
  <c r="R66" i="307" s="1"/>
  <c r="P74" i="307"/>
  <c r="M14" i="306"/>
  <c r="M15" i="306" s="1"/>
  <c r="I14" i="306"/>
  <c r="I15" i="306" s="1"/>
  <c r="Q58" i="307"/>
  <c r="R53" i="307" s="1"/>
  <c r="P58" i="307"/>
  <c r="P13" i="307"/>
  <c r="E14" i="306"/>
  <c r="E15" i="306" s="1"/>
  <c r="Q13" i="307"/>
  <c r="R9" i="307" s="1"/>
  <c r="G14" i="306"/>
  <c r="G15" i="306" s="1"/>
  <c r="Q27" i="307"/>
  <c r="R19" i="307" s="1"/>
  <c r="P27" i="307"/>
  <c r="G6" i="304"/>
  <c r="P15" i="305"/>
  <c r="I6" i="304"/>
  <c r="Q34" i="305"/>
  <c r="P34" i="305"/>
  <c r="N8" i="305"/>
  <c r="AB8" i="305"/>
  <c r="AC5" i="305" s="1"/>
  <c r="AA8" i="305"/>
  <c r="N50" i="305"/>
  <c r="AB50" i="305"/>
  <c r="AA50" i="305"/>
  <c r="Q7" i="305"/>
  <c r="P7" i="305"/>
  <c r="Q55" i="305"/>
  <c r="P55" i="305"/>
  <c r="Q10" i="305"/>
  <c r="P10" i="305"/>
  <c r="N36" i="305"/>
  <c r="AB36" i="305"/>
  <c r="AA36" i="305"/>
  <c r="Q19" i="305"/>
  <c r="P19" i="305"/>
  <c r="Q51" i="305"/>
  <c r="P51" i="305"/>
  <c r="Q12" i="305"/>
  <c r="P12" i="305"/>
  <c r="Q23" i="305"/>
  <c r="P23" i="305"/>
  <c r="Q29" i="305"/>
  <c r="P29" i="305"/>
  <c r="Q37" i="305"/>
  <c r="P37" i="305"/>
  <c r="Q68" i="305"/>
  <c r="P68" i="305"/>
  <c r="N47" i="305"/>
  <c r="M52" i="305"/>
  <c r="AB47" i="305"/>
  <c r="AA47" i="305"/>
  <c r="N70" i="305"/>
  <c r="AB70" i="305"/>
  <c r="AA70" i="305"/>
  <c r="F14" i="304"/>
  <c r="F15" i="304" s="1"/>
  <c r="Q18" i="305"/>
  <c r="R14" i="305" s="1"/>
  <c r="P18" i="305"/>
  <c r="F2" i="305"/>
  <c r="I3" i="304"/>
  <c r="N22" i="305"/>
  <c r="AB22" i="305"/>
  <c r="AA22" i="305"/>
  <c r="Q49" i="305"/>
  <c r="P49" i="305"/>
  <c r="N9" i="305"/>
  <c r="M13" i="305"/>
  <c r="AB9" i="305"/>
  <c r="AA9" i="305"/>
  <c r="N35" i="305"/>
  <c r="AB35" i="305"/>
  <c r="M43" i="305"/>
  <c r="AA35" i="305"/>
  <c r="Q46" i="305"/>
  <c r="P46" i="305"/>
  <c r="N11" i="305"/>
  <c r="AB11" i="305"/>
  <c r="AA11" i="305"/>
  <c r="N72" i="305"/>
  <c r="AB72" i="305"/>
  <c r="AA72" i="305"/>
  <c r="N66" i="305"/>
  <c r="AB66" i="305"/>
  <c r="AA66" i="305"/>
  <c r="M74" i="305"/>
  <c r="N21" i="305"/>
  <c r="M27" i="305"/>
  <c r="AB21" i="305"/>
  <c r="AA21" i="305"/>
  <c r="N48" i="305"/>
  <c r="AB48" i="305"/>
  <c r="AA48" i="305"/>
  <c r="N69" i="305"/>
  <c r="AB69" i="305"/>
  <c r="AA69" i="305"/>
  <c r="Q20" i="305"/>
  <c r="P20" i="305"/>
  <c r="N5" i="305"/>
  <c r="N6" i="305"/>
  <c r="Q28" i="305"/>
  <c r="Q31" i="305"/>
  <c r="Q44" i="305"/>
  <c r="Q45" i="305"/>
  <c r="N53" i="305"/>
  <c r="N54" i="305"/>
  <c r="Q57" i="305"/>
  <c r="N64" i="305"/>
  <c r="Q67" i="305"/>
  <c r="N17" i="305"/>
  <c r="AA34" i="305"/>
  <c r="AA49" i="305"/>
  <c r="N63" i="305"/>
  <c r="N30" i="305"/>
  <c r="N32" i="305"/>
  <c r="N56" i="305"/>
  <c r="N65" i="305"/>
  <c r="AB34" i="305"/>
  <c r="AB49" i="305"/>
  <c r="AA65" i="305"/>
  <c r="AA18" i="305"/>
  <c r="AB18" i="305"/>
  <c r="AC14" i="305" s="1"/>
  <c r="AA30" i="305"/>
  <c r="AA32" i="305"/>
  <c r="AA56" i="305"/>
  <c r="P62" i="305"/>
  <c r="E6" i="304"/>
  <c r="F6" i="304"/>
  <c r="AA7" i="305"/>
  <c r="AA29" i="305"/>
  <c r="AA55" i="305"/>
  <c r="P61" i="305"/>
  <c r="AA5" i="305"/>
  <c r="AA6" i="305"/>
  <c r="AB7" i="305"/>
  <c r="P24" i="305"/>
  <c r="AB29" i="305"/>
  <c r="P38" i="305"/>
  <c r="AA53" i="305"/>
  <c r="AA54" i="305"/>
  <c r="AB55" i="305"/>
  <c r="M58" i="305"/>
  <c r="P59" i="305"/>
  <c r="P60" i="305"/>
  <c r="AA64" i="305"/>
  <c r="AB5" i="305"/>
  <c r="AA17" i="305"/>
  <c r="M33" i="305"/>
  <c r="AA63" i="305"/>
  <c r="P71" i="305"/>
  <c r="P73" i="305"/>
  <c r="O67" i="303"/>
  <c r="K67" i="303"/>
  <c r="V66" i="303"/>
  <c r="M66" i="303" s="1"/>
  <c r="AA66" i="303" s="1"/>
  <c r="U66" i="303"/>
  <c r="O66" i="303"/>
  <c r="K66" i="303"/>
  <c r="G66" i="303"/>
  <c r="AB65" i="303"/>
  <c r="AA65" i="303"/>
  <c r="V65" i="303"/>
  <c r="U65" i="303"/>
  <c r="Q65" i="303"/>
  <c r="O65" i="303"/>
  <c r="N65" i="303"/>
  <c r="P65" i="303" s="1"/>
  <c r="M65" i="303"/>
  <c r="K65" i="303"/>
  <c r="G65" i="303"/>
  <c r="AB64" i="303"/>
  <c r="AA64" i="303"/>
  <c r="V64" i="303"/>
  <c r="U64" i="303"/>
  <c r="Q64" i="303"/>
  <c r="P64" i="303"/>
  <c r="O64" i="303"/>
  <c r="M64" i="303"/>
  <c r="N64" i="303" s="1"/>
  <c r="K64" i="303"/>
  <c r="G64" i="303"/>
  <c r="AB63" i="303"/>
  <c r="AA63" i="303"/>
  <c r="V63" i="303"/>
  <c r="U63" i="303"/>
  <c r="O63" i="303"/>
  <c r="M63" i="303"/>
  <c r="N63" i="303" s="1"/>
  <c r="P63" i="303" s="1"/>
  <c r="K63" i="303"/>
  <c r="G63" i="303"/>
  <c r="AB62" i="303"/>
  <c r="AA62" i="303"/>
  <c r="V62" i="303"/>
  <c r="U62" i="303"/>
  <c r="O62" i="303"/>
  <c r="N62" i="303"/>
  <c r="Q62" i="303" s="1"/>
  <c r="M62" i="303"/>
  <c r="K62" i="303"/>
  <c r="G62" i="303"/>
  <c r="AA61" i="303"/>
  <c r="X61" i="303"/>
  <c r="W61" i="303"/>
  <c r="V61" i="303"/>
  <c r="O61" i="303"/>
  <c r="M61" i="303"/>
  <c r="N61" i="303" s="1"/>
  <c r="P61" i="303" s="1"/>
  <c r="K61" i="303"/>
  <c r="G61" i="303"/>
  <c r="O60" i="303"/>
  <c r="N60" i="303"/>
  <c r="M60" i="303"/>
  <c r="K60" i="303"/>
  <c r="AB59" i="303"/>
  <c r="AA59" i="303"/>
  <c r="V59" i="303"/>
  <c r="U59" i="303"/>
  <c r="O59" i="303"/>
  <c r="N59" i="303"/>
  <c r="M59" i="303"/>
  <c r="K59" i="303"/>
  <c r="G59" i="303"/>
  <c r="AB58" i="303"/>
  <c r="AA58" i="303"/>
  <c r="V58" i="303"/>
  <c r="U58" i="303"/>
  <c r="Q58" i="303"/>
  <c r="P58" i="303"/>
  <c r="O58" i="303"/>
  <c r="N58" i="303"/>
  <c r="M58" i="303"/>
  <c r="K58" i="303"/>
  <c r="G58" i="303"/>
  <c r="AB57" i="303"/>
  <c r="AA57" i="303"/>
  <c r="V57" i="303"/>
  <c r="U57" i="303"/>
  <c r="O57" i="303"/>
  <c r="N57" i="303"/>
  <c r="Q57" i="303" s="1"/>
  <c r="M57" i="303"/>
  <c r="K57" i="303"/>
  <c r="G57" i="303"/>
  <c r="AB56" i="303"/>
  <c r="AA56" i="303"/>
  <c r="V56" i="303"/>
  <c r="U56" i="303"/>
  <c r="O56" i="303"/>
  <c r="N56" i="303"/>
  <c r="Q56" i="303" s="1"/>
  <c r="M56" i="303"/>
  <c r="K56" i="303"/>
  <c r="G56" i="303"/>
  <c r="AB55" i="303"/>
  <c r="AA55" i="303"/>
  <c r="V55" i="303"/>
  <c r="U55" i="303"/>
  <c r="O55" i="303"/>
  <c r="M55" i="303"/>
  <c r="N55" i="303" s="1"/>
  <c r="K55" i="303"/>
  <c r="G55" i="303"/>
  <c r="AB54" i="303"/>
  <c r="AA54" i="303"/>
  <c r="V54" i="303"/>
  <c r="O54" i="303"/>
  <c r="M54" i="303"/>
  <c r="N54" i="303" s="1"/>
  <c r="K54" i="303"/>
  <c r="G54" i="303"/>
  <c r="O53" i="303"/>
  <c r="K53" i="303"/>
  <c r="AB52" i="303"/>
  <c r="AA52" i="303"/>
  <c r="V52" i="303"/>
  <c r="U52" i="303"/>
  <c r="O52" i="303"/>
  <c r="N52" i="303"/>
  <c r="Q52" i="303" s="1"/>
  <c r="M52" i="303"/>
  <c r="K52" i="303"/>
  <c r="G52" i="303"/>
  <c r="AB51" i="303"/>
  <c r="AA51" i="303"/>
  <c r="V51" i="303"/>
  <c r="U51" i="303"/>
  <c r="O51" i="303"/>
  <c r="N51" i="303"/>
  <c r="M51" i="303"/>
  <c r="K51" i="303"/>
  <c r="G51" i="303"/>
  <c r="V50" i="303"/>
  <c r="U50" i="303"/>
  <c r="O50" i="303"/>
  <c r="N50" i="303"/>
  <c r="M50" i="303"/>
  <c r="K50" i="303"/>
  <c r="G50" i="303"/>
  <c r="AB49" i="303"/>
  <c r="AA49" i="303"/>
  <c r="V49" i="303"/>
  <c r="U49" i="303"/>
  <c r="O49" i="303"/>
  <c r="N49" i="303"/>
  <c r="M49" i="303"/>
  <c r="K49" i="303"/>
  <c r="G49" i="303"/>
  <c r="AB48" i="303"/>
  <c r="AA48" i="303"/>
  <c r="V48" i="303"/>
  <c r="O48" i="303"/>
  <c r="N48" i="303"/>
  <c r="M48" i="303"/>
  <c r="K48" i="303"/>
  <c r="G48" i="303"/>
  <c r="O47" i="303"/>
  <c r="K47" i="303"/>
  <c r="V46" i="303"/>
  <c r="M46" i="303" s="1"/>
  <c r="AA46" i="303" s="1"/>
  <c r="U46" i="303"/>
  <c r="O46" i="303"/>
  <c r="K46" i="303"/>
  <c r="G46" i="303"/>
  <c r="AB45" i="303"/>
  <c r="AA45" i="303"/>
  <c r="V45" i="303"/>
  <c r="U45" i="303"/>
  <c r="Q45" i="303"/>
  <c r="O45" i="303"/>
  <c r="N45" i="303"/>
  <c r="P45" i="303" s="1"/>
  <c r="M45" i="303"/>
  <c r="K45" i="303"/>
  <c r="G45" i="303"/>
  <c r="AB44" i="303"/>
  <c r="AA44" i="303"/>
  <c r="V44" i="303"/>
  <c r="U44" i="303"/>
  <c r="O44" i="303"/>
  <c r="M44" i="303"/>
  <c r="N44" i="303" s="1"/>
  <c r="Q44" i="303" s="1"/>
  <c r="K44" i="303"/>
  <c r="G44" i="303"/>
  <c r="AB43" i="303"/>
  <c r="AA43" i="303"/>
  <c r="V43" i="303"/>
  <c r="U43" i="303"/>
  <c r="O43" i="303"/>
  <c r="M43" i="303"/>
  <c r="N43" i="303" s="1"/>
  <c r="P43" i="303" s="1"/>
  <c r="K43" i="303"/>
  <c r="G43" i="303"/>
  <c r="AB42" i="303"/>
  <c r="AA42" i="303"/>
  <c r="V42" i="303"/>
  <c r="U42" i="303"/>
  <c r="O42" i="303"/>
  <c r="N42" i="303"/>
  <c r="Q42" i="303" s="1"/>
  <c r="M42" i="303"/>
  <c r="K42" i="303"/>
  <c r="G42" i="303"/>
  <c r="AB41" i="303"/>
  <c r="AA41" i="303"/>
  <c r="V41" i="303"/>
  <c r="P41" i="303"/>
  <c r="O41" i="303"/>
  <c r="N41" i="303"/>
  <c r="Q41" i="303" s="1"/>
  <c r="M41" i="303"/>
  <c r="K41" i="303"/>
  <c r="G41" i="303"/>
  <c r="O40" i="303"/>
  <c r="M40" i="303"/>
  <c r="K40" i="303"/>
  <c r="AB39" i="303"/>
  <c r="AA39" i="303"/>
  <c r="V39" i="303"/>
  <c r="U39" i="303"/>
  <c r="O39" i="303"/>
  <c r="N39" i="303"/>
  <c r="Q39" i="303" s="1"/>
  <c r="M39" i="303"/>
  <c r="K39" i="303"/>
  <c r="G39" i="303"/>
  <c r="AB38" i="303"/>
  <c r="AA38" i="303"/>
  <c r="V38" i="303"/>
  <c r="U38" i="303"/>
  <c r="Q38" i="303"/>
  <c r="P38" i="303"/>
  <c r="O38" i="303"/>
  <c r="N38" i="303"/>
  <c r="M38" i="303"/>
  <c r="K38" i="303"/>
  <c r="G38" i="303"/>
  <c r="AB37" i="303"/>
  <c r="AA37" i="303"/>
  <c r="V37" i="303"/>
  <c r="U37" i="303"/>
  <c r="O37" i="303"/>
  <c r="M37" i="303"/>
  <c r="N37" i="303" s="1"/>
  <c r="K37" i="303"/>
  <c r="G37" i="303"/>
  <c r="AA36" i="303"/>
  <c r="V36" i="303"/>
  <c r="M36" i="303" s="1"/>
  <c r="U36" i="303"/>
  <c r="O36" i="303"/>
  <c r="K36" i="303"/>
  <c r="G36" i="303"/>
  <c r="AB35" i="303"/>
  <c r="AA35" i="303"/>
  <c r="V35" i="303"/>
  <c r="U35" i="303"/>
  <c r="Q35" i="303"/>
  <c r="O35" i="303"/>
  <c r="N35" i="303"/>
  <c r="P35" i="303" s="1"/>
  <c r="M35" i="303"/>
  <c r="K35" i="303"/>
  <c r="G35" i="303"/>
  <c r="AB34" i="303"/>
  <c r="AA34" i="303"/>
  <c r="V34" i="303"/>
  <c r="U34" i="303"/>
  <c r="O34" i="303"/>
  <c r="M34" i="303"/>
  <c r="N34" i="303" s="1"/>
  <c r="P34" i="303" s="1"/>
  <c r="K34" i="303"/>
  <c r="G34" i="303"/>
  <c r="X33" i="303"/>
  <c r="W33" i="303"/>
  <c r="V33" i="303"/>
  <c r="M33" i="303" s="1"/>
  <c r="O33" i="303"/>
  <c r="K33" i="303"/>
  <c r="G33" i="303"/>
  <c r="O32" i="303"/>
  <c r="K32" i="303"/>
  <c r="AB31" i="303"/>
  <c r="AA31" i="303"/>
  <c r="V31" i="303"/>
  <c r="U31" i="303"/>
  <c r="O31" i="303"/>
  <c r="N31" i="303"/>
  <c r="M31" i="303"/>
  <c r="K31" i="303"/>
  <c r="G31" i="303"/>
  <c r="V30" i="303"/>
  <c r="U30" i="303"/>
  <c r="O30" i="303"/>
  <c r="N30" i="303"/>
  <c r="M30" i="303"/>
  <c r="K30" i="303"/>
  <c r="G30" i="303"/>
  <c r="AB29" i="303"/>
  <c r="AA29" i="303"/>
  <c r="V29" i="303"/>
  <c r="U29" i="303"/>
  <c r="O29" i="303"/>
  <c r="N29" i="303"/>
  <c r="Q29" i="303" s="1"/>
  <c r="M29" i="303"/>
  <c r="K29" i="303"/>
  <c r="G29" i="303"/>
  <c r="AB28" i="303"/>
  <c r="AA28" i="303"/>
  <c r="X28" i="303"/>
  <c r="W28" i="303"/>
  <c r="V28" i="303"/>
  <c r="O28" i="303"/>
  <c r="N28" i="303"/>
  <c r="M28" i="303"/>
  <c r="K28" i="303"/>
  <c r="G28" i="303"/>
  <c r="O27" i="303"/>
  <c r="K27" i="303"/>
  <c r="AB26" i="303"/>
  <c r="AA26" i="303"/>
  <c r="V26" i="303"/>
  <c r="U26" i="303"/>
  <c r="Q26" i="303"/>
  <c r="P26" i="303"/>
  <c r="O26" i="303"/>
  <c r="N26" i="303"/>
  <c r="M26" i="303"/>
  <c r="K26" i="303"/>
  <c r="G26" i="303"/>
  <c r="AB25" i="303"/>
  <c r="AA25" i="303"/>
  <c r="V25" i="303"/>
  <c r="U25" i="303"/>
  <c r="O25" i="303"/>
  <c r="M25" i="303"/>
  <c r="N25" i="303" s="1"/>
  <c r="K25" i="303"/>
  <c r="G25" i="303"/>
  <c r="V24" i="303"/>
  <c r="M24" i="303" s="1"/>
  <c r="U24" i="303"/>
  <c r="O24" i="303"/>
  <c r="K24" i="303"/>
  <c r="G24" i="303"/>
  <c r="AB23" i="303"/>
  <c r="AA23" i="303"/>
  <c r="V23" i="303"/>
  <c r="U23" i="303"/>
  <c r="Q23" i="303"/>
  <c r="O23" i="303"/>
  <c r="N23" i="303"/>
  <c r="P23" i="303" s="1"/>
  <c r="M23" i="303"/>
  <c r="K23" i="303"/>
  <c r="G23" i="303"/>
  <c r="AB22" i="303"/>
  <c r="AA22" i="303"/>
  <c r="V22" i="303"/>
  <c r="U22" i="303"/>
  <c r="O22" i="303"/>
  <c r="M22" i="303"/>
  <c r="N22" i="303" s="1"/>
  <c r="Q22" i="303" s="1"/>
  <c r="K22" i="303"/>
  <c r="G22" i="303"/>
  <c r="AB21" i="303"/>
  <c r="AA21" i="303"/>
  <c r="V21" i="303"/>
  <c r="U21" i="303"/>
  <c r="O21" i="303"/>
  <c r="M21" i="303"/>
  <c r="N21" i="303" s="1"/>
  <c r="P21" i="303" s="1"/>
  <c r="K21" i="303"/>
  <c r="G21" i="303"/>
  <c r="AB20" i="303"/>
  <c r="AA20" i="303"/>
  <c r="V20" i="303"/>
  <c r="U20" i="303"/>
  <c r="O20" i="303"/>
  <c r="N20" i="303"/>
  <c r="P20" i="303" s="1"/>
  <c r="M20" i="303"/>
  <c r="K20" i="303"/>
  <c r="G20" i="303"/>
  <c r="AB19" i="303"/>
  <c r="AA19" i="303"/>
  <c r="V19" i="303"/>
  <c r="Q19" i="303"/>
  <c r="O19" i="303"/>
  <c r="N19" i="303"/>
  <c r="P19" i="303" s="1"/>
  <c r="M19" i="303"/>
  <c r="K19" i="303"/>
  <c r="G19" i="303"/>
  <c r="O18" i="303"/>
  <c r="M18" i="303"/>
  <c r="K18" i="303"/>
  <c r="F13" i="302" s="1"/>
  <c r="AB17" i="303"/>
  <c r="AA17" i="303"/>
  <c r="V17" i="303"/>
  <c r="U17" i="303"/>
  <c r="O17" i="303"/>
  <c r="N17" i="303"/>
  <c r="Q17" i="303" s="1"/>
  <c r="M17" i="303"/>
  <c r="K17" i="303"/>
  <c r="G17" i="303"/>
  <c r="AB16" i="303"/>
  <c r="AA16" i="303"/>
  <c r="V16" i="303"/>
  <c r="U16" i="303"/>
  <c r="Q16" i="303"/>
  <c r="P16" i="303"/>
  <c r="O16" i="303"/>
  <c r="N16" i="303"/>
  <c r="M16" i="303"/>
  <c r="K16" i="303"/>
  <c r="G16" i="303"/>
  <c r="AB15" i="303"/>
  <c r="AA15" i="303"/>
  <c r="V15" i="303"/>
  <c r="U15" i="303"/>
  <c r="O15" i="303"/>
  <c r="M15" i="303"/>
  <c r="N15" i="303" s="1"/>
  <c r="K15" i="303"/>
  <c r="G15" i="303"/>
  <c r="AB14" i="303"/>
  <c r="AA14" i="303"/>
  <c r="V14" i="303"/>
  <c r="O14" i="303"/>
  <c r="M14" i="303"/>
  <c r="N14" i="303" s="1"/>
  <c r="K14" i="303"/>
  <c r="G14" i="303"/>
  <c r="O13" i="303"/>
  <c r="K13" i="303"/>
  <c r="AB12" i="303"/>
  <c r="AA12" i="303"/>
  <c r="V12" i="303"/>
  <c r="U12" i="303"/>
  <c r="Q12" i="303"/>
  <c r="P12" i="303"/>
  <c r="O12" i="303"/>
  <c r="N12" i="303"/>
  <c r="M12" i="303"/>
  <c r="K12" i="303"/>
  <c r="G12" i="303"/>
  <c r="AB11" i="303"/>
  <c r="AA11" i="303"/>
  <c r="X11" i="303"/>
  <c r="W11" i="303"/>
  <c r="V11" i="303"/>
  <c r="U11" i="303"/>
  <c r="Q11" i="303"/>
  <c r="P11" i="303"/>
  <c r="O11" i="303"/>
  <c r="M11" i="303"/>
  <c r="N11" i="303" s="1"/>
  <c r="K11" i="303"/>
  <c r="G11" i="303"/>
  <c r="AB10" i="303"/>
  <c r="AA10" i="303"/>
  <c r="V10" i="303"/>
  <c r="U10" i="303"/>
  <c r="O10" i="303"/>
  <c r="N10" i="303"/>
  <c r="P10" i="303" s="1"/>
  <c r="M10" i="303"/>
  <c r="K10" i="303"/>
  <c r="G10" i="303"/>
  <c r="AA9" i="303"/>
  <c r="X9" i="303"/>
  <c r="W9" i="303"/>
  <c r="V9" i="303"/>
  <c r="O9" i="303"/>
  <c r="M9" i="303"/>
  <c r="N9" i="303" s="1"/>
  <c r="Q9" i="303" s="1"/>
  <c r="K9" i="303"/>
  <c r="G9" i="303"/>
  <c r="O8" i="303"/>
  <c r="K8" i="303"/>
  <c r="V7" i="303"/>
  <c r="U7" i="303"/>
  <c r="O7" i="303"/>
  <c r="M7" i="303"/>
  <c r="M8" i="303" s="1"/>
  <c r="K7" i="303"/>
  <c r="G7" i="303"/>
  <c r="AB6" i="303"/>
  <c r="AA6" i="303"/>
  <c r="V6" i="303"/>
  <c r="U6" i="303"/>
  <c r="O6" i="303"/>
  <c r="N6" i="303"/>
  <c r="M6" i="303"/>
  <c r="K6" i="303"/>
  <c r="G6" i="303"/>
  <c r="AB5" i="303"/>
  <c r="AA5" i="303"/>
  <c r="V5" i="303"/>
  <c r="O5" i="303"/>
  <c r="N5" i="303"/>
  <c r="M5" i="303"/>
  <c r="K5" i="303"/>
  <c r="G5" i="303"/>
  <c r="H2" i="303"/>
  <c r="H1" i="303"/>
  <c r="D1" i="303"/>
  <c r="M18" i="302"/>
  <c r="L18" i="302"/>
  <c r="K18" i="302"/>
  <c r="J18" i="302"/>
  <c r="I18" i="302"/>
  <c r="H18" i="302"/>
  <c r="G18" i="302"/>
  <c r="F18" i="302"/>
  <c r="E18" i="302"/>
  <c r="D18" i="302"/>
  <c r="M17" i="302"/>
  <c r="L17" i="302"/>
  <c r="K17" i="302"/>
  <c r="J17" i="302"/>
  <c r="I17" i="302"/>
  <c r="H17" i="302"/>
  <c r="G17" i="302"/>
  <c r="F17" i="302"/>
  <c r="E17" i="302"/>
  <c r="D17" i="302"/>
  <c r="M16" i="302"/>
  <c r="L16" i="302"/>
  <c r="K16" i="302"/>
  <c r="J16" i="302"/>
  <c r="I16" i="302"/>
  <c r="H16" i="302"/>
  <c r="G16" i="302"/>
  <c r="F16" i="302"/>
  <c r="E16" i="302"/>
  <c r="D16" i="302"/>
  <c r="M13" i="302"/>
  <c r="L13" i="302"/>
  <c r="K13" i="302"/>
  <c r="J13" i="302"/>
  <c r="I13" i="302"/>
  <c r="H13" i="302"/>
  <c r="G13" i="302"/>
  <c r="E13" i="302"/>
  <c r="D13" i="302"/>
  <c r="F3" i="302"/>
  <c r="C3" i="302"/>
  <c r="D15" i="306" l="1"/>
  <c r="G7" i="306"/>
  <c r="F7" i="306"/>
  <c r="E7" i="306"/>
  <c r="K15" i="306"/>
  <c r="I8" i="306" s="1"/>
  <c r="I7" i="306"/>
  <c r="Q30" i="305"/>
  <c r="P30" i="305"/>
  <c r="P70" i="305"/>
  <c r="Q70" i="305"/>
  <c r="Q63" i="305"/>
  <c r="P63" i="305"/>
  <c r="AB27" i="305"/>
  <c r="AC19" i="305" s="1"/>
  <c r="AA27" i="305"/>
  <c r="N27" i="305"/>
  <c r="Q17" i="305"/>
  <c r="P17" i="305"/>
  <c r="P47" i="305"/>
  <c r="Q47" i="305"/>
  <c r="AB43" i="305"/>
  <c r="AC34" i="305" s="1"/>
  <c r="AA43" i="305"/>
  <c r="N43" i="305"/>
  <c r="P11" i="305"/>
  <c r="Q11" i="305"/>
  <c r="Q6" i="305"/>
  <c r="P6" i="305"/>
  <c r="P21" i="305"/>
  <c r="Q21" i="305"/>
  <c r="AB74" i="305"/>
  <c r="AC66" i="305" s="1"/>
  <c r="AA74" i="305"/>
  <c r="N74" i="305"/>
  <c r="P22" i="305"/>
  <c r="Q22" i="305"/>
  <c r="Q64" i="305"/>
  <c r="P64" i="305"/>
  <c r="P50" i="305"/>
  <c r="Q50" i="305"/>
  <c r="P66" i="305"/>
  <c r="Q66" i="305"/>
  <c r="P35" i="305"/>
  <c r="Q35" i="305"/>
  <c r="AA58" i="305"/>
  <c r="N58" i="305"/>
  <c r="D2" i="305" s="1"/>
  <c r="AB58" i="305"/>
  <c r="AC53" i="305" s="1"/>
  <c r="Q54" i="305"/>
  <c r="P54" i="305"/>
  <c r="P69" i="305"/>
  <c r="Q69" i="305"/>
  <c r="P36" i="305"/>
  <c r="Q36" i="305"/>
  <c r="P8" i="305"/>
  <c r="D14" i="304"/>
  <c r="Q8" i="305"/>
  <c r="R5" i="305" s="1"/>
  <c r="N33" i="305"/>
  <c r="AB33" i="305"/>
  <c r="AC28" i="305" s="1"/>
  <c r="AA33" i="305"/>
  <c r="Q5" i="305"/>
  <c r="P5" i="305"/>
  <c r="AB52" i="305"/>
  <c r="AC44" i="305" s="1"/>
  <c r="AA52" i="305"/>
  <c r="N52" i="305"/>
  <c r="J14" i="304"/>
  <c r="J15" i="304" s="1"/>
  <c r="Q65" i="305"/>
  <c r="R59" i="305" s="1"/>
  <c r="P65" i="305"/>
  <c r="Q53" i="305"/>
  <c r="P53" i="305"/>
  <c r="Q56" i="305"/>
  <c r="P56" i="305"/>
  <c r="P72" i="305"/>
  <c r="Q72" i="305"/>
  <c r="AB13" i="305"/>
  <c r="AC9" i="305" s="1"/>
  <c r="N13" i="305"/>
  <c r="AA13" i="305"/>
  <c r="Q32" i="305"/>
  <c r="P32" i="305"/>
  <c r="P48" i="305"/>
  <c r="Q48" i="305"/>
  <c r="P9" i="305"/>
  <c r="Q9" i="305"/>
  <c r="AB8" i="303"/>
  <c r="AC5" i="303" s="1"/>
  <c r="AA8" i="303"/>
  <c r="N8" i="303"/>
  <c r="Q21" i="303"/>
  <c r="AB33" i="303"/>
  <c r="AA33" i="303"/>
  <c r="N33" i="303"/>
  <c r="Q43" i="303"/>
  <c r="P48" i="303"/>
  <c r="Q51" i="303"/>
  <c r="P51" i="303"/>
  <c r="M27" i="303"/>
  <c r="N24" i="303"/>
  <c r="Q50" i="303"/>
  <c r="P50" i="303"/>
  <c r="Q10" i="303"/>
  <c r="Q28" i="303"/>
  <c r="P28" i="303"/>
  <c r="Q34" i="303"/>
  <c r="P49" i="303"/>
  <c r="P59" i="303"/>
  <c r="Q63" i="303"/>
  <c r="AB40" i="303"/>
  <c r="AC33" i="303" s="1"/>
  <c r="AA40" i="303"/>
  <c r="N40" i="303"/>
  <c r="P52" i="303"/>
  <c r="Q54" i="303"/>
  <c r="P54" i="303"/>
  <c r="Q61" i="303"/>
  <c r="Q20" i="303"/>
  <c r="AB30" i="303"/>
  <c r="M32" i="303"/>
  <c r="AA30" i="303"/>
  <c r="P42" i="303"/>
  <c r="G6" i="302"/>
  <c r="F6" i="302"/>
  <c r="E6" i="302"/>
  <c r="AA24" i="303"/>
  <c r="Q55" i="303"/>
  <c r="P55" i="303"/>
  <c r="F1" i="303"/>
  <c r="P22" i="303"/>
  <c r="P44" i="303"/>
  <c r="Q5" i="303"/>
  <c r="P5" i="303"/>
  <c r="P25" i="303"/>
  <c r="Q25" i="303"/>
  <c r="Q31" i="303"/>
  <c r="P31" i="303"/>
  <c r="P62" i="303"/>
  <c r="M67" i="303"/>
  <c r="AB66" i="303"/>
  <c r="N66" i="303"/>
  <c r="Q30" i="303"/>
  <c r="P30" i="303"/>
  <c r="AB36" i="303"/>
  <c r="N36" i="303"/>
  <c r="AA60" i="303"/>
  <c r="AB60" i="303"/>
  <c r="AC54" i="303" s="1"/>
  <c r="AB7" i="303"/>
  <c r="AA7" i="303"/>
  <c r="M47" i="303"/>
  <c r="AB46" i="303"/>
  <c r="N46" i="303"/>
  <c r="N7" i="303"/>
  <c r="Q6" i="303"/>
  <c r="P6" i="303"/>
  <c r="P9" i="303"/>
  <c r="AB18" i="303"/>
  <c r="AC14" i="303" s="1"/>
  <c r="AA18" i="303"/>
  <c r="AB24" i="303"/>
  <c r="P37" i="303"/>
  <c r="Q37" i="303"/>
  <c r="P14" i="303"/>
  <c r="Q14" i="303"/>
  <c r="N18" i="303"/>
  <c r="I6" i="302"/>
  <c r="P15" i="303"/>
  <c r="Q15" i="303"/>
  <c r="M53" i="303"/>
  <c r="AB50" i="303"/>
  <c r="AA50" i="303"/>
  <c r="J14" i="302"/>
  <c r="J15" i="302" s="1"/>
  <c r="P60" i="303"/>
  <c r="Q60" i="303"/>
  <c r="R54" i="303" s="1"/>
  <c r="P29" i="303"/>
  <c r="Q48" i="303"/>
  <c r="Q49" i="303"/>
  <c r="Q59" i="303"/>
  <c r="AB9" i="303"/>
  <c r="P17" i="303"/>
  <c r="P39" i="303"/>
  <c r="P57" i="303"/>
  <c r="AB61" i="303"/>
  <c r="P56" i="303"/>
  <c r="M13" i="303"/>
  <c r="O67" i="301"/>
  <c r="K67" i="301"/>
  <c r="V66" i="301"/>
  <c r="U66" i="301"/>
  <c r="O66" i="301"/>
  <c r="M66" i="301"/>
  <c r="K66" i="301"/>
  <c r="G66" i="301"/>
  <c r="V65" i="301"/>
  <c r="U65" i="301"/>
  <c r="O65" i="301"/>
  <c r="M65" i="301"/>
  <c r="N65" i="301" s="1"/>
  <c r="K65" i="301"/>
  <c r="G65" i="301"/>
  <c r="V64" i="301"/>
  <c r="U64" i="301"/>
  <c r="O64" i="301"/>
  <c r="M64" i="301"/>
  <c r="N64" i="301" s="1"/>
  <c r="K64" i="301"/>
  <c r="G64" i="301"/>
  <c r="V63" i="301"/>
  <c r="U63" i="301"/>
  <c r="O63" i="301"/>
  <c r="M63" i="301"/>
  <c r="N63" i="301" s="1"/>
  <c r="K63" i="301"/>
  <c r="G63" i="301"/>
  <c r="AB62" i="301"/>
  <c r="AA62" i="301"/>
  <c r="V62" i="301"/>
  <c r="U62" i="301"/>
  <c r="Q62" i="301"/>
  <c r="P62" i="301"/>
  <c r="O62" i="301"/>
  <c r="N62" i="301"/>
  <c r="M62" i="301"/>
  <c r="K62" i="301"/>
  <c r="G62" i="301"/>
  <c r="AB61" i="301"/>
  <c r="X61" i="301"/>
  <c r="W61" i="301"/>
  <c r="V61" i="301"/>
  <c r="O61" i="301"/>
  <c r="M61" i="301"/>
  <c r="N61" i="301" s="1"/>
  <c r="K61" i="301"/>
  <c r="G61" i="301"/>
  <c r="O60" i="301"/>
  <c r="M60" i="301"/>
  <c r="AB60" i="301" s="1"/>
  <c r="AC54" i="301" s="1"/>
  <c r="K60" i="301"/>
  <c r="AB59" i="301"/>
  <c r="AA59" i="301"/>
  <c r="V59" i="301"/>
  <c r="U59" i="301"/>
  <c r="O59" i="301"/>
  <c r="N59" i="301"/>
  <c r="Q59" i="301" s="1"/>
  <c r="M59" i="301"/>
  <c r="K59" i="301"/>
  <c r="G59" i="301"/>
  <c r="AB58" i="301"/>
  <c r="AA58" i="301"/>
  <c r="V58" i="301"/>
  <c r="U58" i="301"/>
  <c r="Q58" i="301"/>
  <c r="P58" i="301"/>
  <c r="O58" i="301"/>
  <c r="N58" i="301"/>
  <c r="M58" i="301"/>
  <c r="K58" i="301"/>
  <c r="G58" i="301"/>
  <c r="AB57" i="301"/>
  <c r="AA57" i="301"/>
  <c r="V57" i="301"/>
  <c r="U57" i="301"/>
  <c r="Q57" i="301"/>
  <c r="P57" i="301"/>
  <c r="O57" i="301"/>
  <c r="N57" i="301"/>
  <c r="M57" i="301"/>
  <c r="K57" i="301"/>
  <c r="G57" i="301"/>
  <c r="AB56" i="301"/>
  <c r="AA56" i="301"/>
  <c r="V56" i="301"/>
  <c r="U56" i="301"/>
  <c r="O56" i="301"/>
  <c r="M56" i="301"/>
  <c r="N56" i="301" s="1"/>
  <c r="K56" i="301"/>
  <c r="G56" i="301"/>
  <c r="AB55" i="301"/>
  <c r="AA55" i="301"/>
  <c r="V55" i="301"/>
  <c r="U55" i="301"/>
  <c r="O55" i="301"/>
  <c r="N55" i="301"/>
  <c r="M55" i="301"/>
  <c r="K55" i="301"/>
  <c r="G55" i="301"/>
  <c r="AB54" i="301"/>
  <c r="AA54" i="301"/>
  <c r="V54" i="301"/>
  <c r="O54" i="301"/>
  <c r="N54" i="301"/>
  <c r="M54" i="301"/>
  <c r="K54" i="301"/>
  <c r="G54" i="301"/>
  <c r="O53" i="301"/>
  <c r="M53" i="301"/>
  <c r="N53" i="301" s="1"/>
  <c r="K53" i="301"/>
  <c r="AB52" i="301"/>
  <c r="AA52" i="301"/>
  <c r="V52" i="301"/>
  <c r="U52" i="301"/>
  <c r="Q52" i="301"/>
  <c r="P52" i="301"/>
  <c r="O52" i="301"/>
  <c r="N52" i="301"/>
  <c r="M52" i="301"/>
  <c r="K52" i="301"/>
  <c r="G52" i="301"/>
  <c r="AB51" i="301"/>
  <c r="AA51" i="301"/>
  <c r="V51" i="301"/>
  <c r="U51" i="301"/>
  <c r="O51" i="301"/>
  <c r="N51" i="301"/>
  <c r="P51" i="301" s="1"/>
  <c r="M51" i="301"/>
  <c r="K51" i="301"/>
  <c r="G51" i="301"/>
  <c r="AB50" i="301"/>
  <c r="AA50" i="301"/>
  <c r="V50" i="301"/>
  <c r="U50" i="301"/>
  <c r="O50" i="301"/>
  <c r="N50" i="301"/>
  <c r="P50" i="301" s="1"/>
  <c r="M50" i="301"/>
  <c r="K50" i="301"/>
  <c r="G50" i="301"/>
  <c r="AB49" i="301"/>
  <c r="AA49" i="301"/>
  <c r="V49" i="301"/>
  <c r="U49" i="301"/>
  <c r="O49" i="301"/>
  <c r="N49" i="301"/>
  <c r="Q49" i="301" s="1"/>
  <c r="M49" i="301"/>
  <c r="K49" i="301"/>
  <c r="G49" i="301"/>
  <c r="AB48" i="301"/>
  <c r="AA48" i="301"/>
  <c r="V48" i="301"/>
  <c r="O48" i="301"/>
  <c r="N48" i="301"/>
  <c r="Q48" i="301" s="1"/>
  <c r="M48" i="301"/>
  <c r="K48" i="301"/>
  <c r="G48" i="301"/>
  <c r="O47" i="301"/>
  <c r="K47" i="301"/>
  <c r="V46" i="301"/>
  <c r="U46" i="301"/>
  <c r="O46" i="301"/>
  <c r="M46" i="301"/>
  <c r="K46" i="301"/>
  <c r="G46" i="301"/>
  <c r="V45" i="301"/>
  <c r="U45" i="301"/>
  <c r="O45" i="301"/>
  <c r="M45" i="301"/>
  <c r="AB45" i="301" s="1"/>
  <c r="K45" i="301"/>
  <c r="G45" i="301"/>
  <c r="V44" i="301"/>
  <c r="U44" i="301"/>
  <c r="O44" i="301"/>
  <c r="M44" i="301"/>
  <c r="N44" i="301" s="1"/>
  <c r="K44" i="301"/>
  <c r="G44" i="301"/>
  <c r="V43" i="301"/>
  <c r="U43" i="301"/>
  <c r="O43" i="301"/>
  <c r="M43" i="301"/>
  <c r="N43" i="301" s="1"/>
  <c r="K43" i="301"/>
  <c r="G43" i="301"/>
  <c r="AB42" i="301"/>
  <c r="AA42" i="301"/>
  <c r="V42" i="301"/>
  <c r="U42" i="301"/>
  <c r="Q42" i="301"/>
  <c r="P42" i="301"/>
  <c r="O42" i="301"/>
  <c r="N42" i="301"/>
  <c r="M42" i="301"/>
  <c r="K42" i="301"/>
  <c r="G42" i="301"/>
  <c r="AB41" i="301"/>
  <c r="AA41" i="301"/>
  <c r="V41" i="301"/>
  <c r="Q41" i="301"/>
  <c r="P41" i="301"/>
  <c r="O41" i="301"/>
  <c r="N41" i="301"/>
  <c r="M41" i="301"/>
  <c r="K41" i="301"/>
  <c r="G41" i="301"/>
  <c r="O40" i="301"/>
  <c r="K40" i="301"/>
  <c r="AB39" i="301"/>
  <c r="AA39" i="301"/>
  <c r="V39" i="301"/>
  <c r="U39" i="301"/>
  <c r="Q39" i="301"/>
  <c r="P39" i="301"/>
  <c r="O39" i="301"/>
  <c r="N39" i="301"/>
  <c r="M39" i="301"/>
  <c r="K39" i="301"/>
  <c r="G39" i="301"/>
  <c r="AB38" i="301"/>
  <c r="AA38" i="301"/>
  <c r="V38" i="301"/>
  <c r="U38" i="301"/>
  <c r="O38" i="301"/>
  <c r="M38" i="301"/>
  <c r="N38" i="301" s="1"/>
  <c r="K38" i="301"/>
  <c r="G38" i="301"/>
  <c r="AB37" i="301"/>
  <c r="AA37" i="301"/>
  <c r="V37" i="301"/>
  <c r="U37" i="301"/>
  <c r="O37" i="301"/>
  <c r="N37" i="301"/>
  <c r="M37" i="301"/>
  <c r="K37" i="301"/>
  <c r="G37" i="301"/>
  <c r="V36" i="301"/>
  <c r="U36" i="301"/>
  <c r="O36" i="301"/>
  <c r="M36" i="301"/>
  <c r="K36" i="301"/>
  <c r="G36" i="301"/>
  <c r="V35" i="301"/>
  <c r="U35" i="301"/>
  <c r="O35" i="301"/>
  <c r="M35" i="301"/>
  <c r="N35" i="301" s="1"/>
  <c r="K35" i="301"/>
  <c r="G35" i="301"/>
  <c r="V34" i="301"/>
  <c r="U34" i="301"/>
  <c r="O34" i="301"/>
  <c r="M34" i="301"/>
  <c r="N34" i="301" s="1"/>
  <c r="K34" i="301"/>
  <c r="G34" i="301"/>
  <c r="X33" i="301"/>
  <c r="W33" i="301"/>
  <c r="V33" i="301"/>
  <c r="O33" i="301"/>
  <c r="M33" i="301"/>
  <c r="K33" i="301"/>
  <c r="G33" i="301"/>
  <c r="AB32" i="301"/>
  <c r="AC28" i="301" s="1"/>
  <c r="AA32" i="301"/>
  <c r="O32" i="301"/>
  <c r="M32" i="301"/>
  <c r="N32" i="301" s="1"/>
  <c r="K32" i="301"/>
  <c r="AB31" i="301"/>
  <c r="AA31" i="301"/>
  <c r="V31" i="301"/>
  <c r="U31" i="301"/>
  <c r="O31" i="301"/>
  <c r="N31" i="301"/>
  <c r="Q31" i="301" s="1"/>
  <c r="M31" i="301"/>
  <c r="K31" i="301"/>
  <c r="G31" i="301"/>
  <c r="AB30" i="301"/>
  <c r="AA30" i="301"/>
  <c r="V30" i="301"/>
  <c r="U30" i="301"/>
  <c r="Q30" i="301"/>
  <c r="P30" i="301"/>
  <c r="O30" i="301"/>
  <c r="N30" i="301"/>
  <c r="M30" i="301"/>
  <c r="K30" i="301"/>
  <c r="G30" i="301"/>
  <c r="AB29" i="301"/>
  <c r="AA29" i="301"/>
  <c r="V29" i="301"/>
  <c r="U29" i="301"/>
  <c r="O29" i="301"/>
  <c r="N29" i="301"/>
  <c r="Q29" i="301" s="1"/>
  <c r="M29" i="301"/>
  <c r="K29" i="301"/>
  <c r="G29" i="301"/>
  <c r="AB28" i="301"/>
  <c r="AA28" i="301"/>
  <c r="X28" i="301"/>
  <c r="W28" i="301"/>
  <c r="V28" i="301"/>
  <c r="O28" i="301"/>
  <c r="N28" i="301"/>
  <c r="Q28" i="301" s="1"/>
  <c r="M28" i="301"/>
  <c r="K28" i="301"/>
  <c r="G28" i="301"/>
  <c r="O27" i="301"/>
  <c r="K27" i="301"/>
  <c r="AB26" i="301"/>
  <c r="AA26" i="301"/>
  <c r="V26" i="301"/>
  <c r="U26" i="301"/>
  <c r="O26" i="301"/>
  <c r="M26" i="301"/>
  <c r="N26" i="301" s="1"/>
  <c r="Q26" i="301" s="1"/>
  <c r="K26" i="301"/>
  <c r="G26" i="301"/>
  <c r="AB25" i="301"/>
  <c r="AA25" i="301"/>
  <c r="V25" i="301"/>
  <c r="U25" i="301"/>
  <c r="O25" i="301"/>
  <c r="N25" i="301"/>
  <c r="M25" i="301"/>
  <c r="K25" i="301"/>
  <c r="G25" i="301"/>
  <c r="V24" i="301"/>
  <c r="U24" i="301"/>
  <c r="O24" i="301"/>
  <c r="N24" i="301"/>
  <c r="M24" i="301"/>
  <c r="K24" i="301"/>
  <c r="G24" i="301"/>
  <c r="V23" i="301"/>
  <c r="U23" i="301"/>
  <c r="O23" i="301"/>
  <c r="M23" i="301"/>
  <c r="K23" i="301"/>
  <c r="G23" i="301"/>
  <c r="V22" i="301"/>
  <c r="U22" i="301"/>
  <c r="O22" i="301"/>
  <c r="M22" i="301"/>
  <c r="N22" i="301" s="1"/>
  <c r="K22" i="301"/>
  <c r="G22" i="301"/>
  <c r="V21" i="301"/>
  <c r="U21" i="301"/>
  <c r="O21" i="301"/>
  <c r="M21" i="301"/>
  <c r="N21" i="301" s="1"/>
  <c r="K21" i="301"/>
  <c r="G21" i="301"/>
  <c r="AB20" i="301"/>
  <c r="AA20" i="301"/>
  <c r="V20" i="301"/>
  <c r="U20" i="301"/>
  <c r="Q20" i="301"/>
  <c r="P20" i="301"/>
  <c r="O20" i="301"/>
  <c r="N20" i="301"/>
  <c r="M20" i="301"/>
  <c r="K20" i="301"/>
  <c r="G20" i="301"/>
  <c r="AB19" i="301"/>
  <c r="AA19" i="301"/>
  <c r="V19" i="301"/>
  <c r="Q19" i="301"/>
  <c r="P19" i="301"/>
  <c r="O19" i="301"/>
  <c r="N19" i="301"/>
  <c r="M19" i="301"/>
  <c r="K19" i="301"/>
  <c r="G19" i="301"/>
  <c r="AB18" i="301"/>
  <c r="AC14" i="301" s="1"/>
  <c r="AA18" i="301"/>
  <c r="O18" i="301"/>
  <c r="M18" i="301"/>
  <c r="N18" i="301" s="1"/>
  <c r="K18" i="301"/>
  <c r="AB17" i="301"/>
  <c r="AA17" i="301"/>
  <c r="V17" i="301"/>
  <c r="U17" i="301"/>
  <c r="Q17" i="301"/>
  <c r="P17" i="301"/>
  <c r="O17" i="301"/>
  <c r="N17" i="301"/>
  <c r="M17" i="301"/>
  <c r="K17" i="301"/>
  <c r="G17" i="301"/>
  <c r="AB16" i="301"/>
  <c r="AA16" i="301"/>
  <c r="V16" i="301"/>
  <c r="U16" i="301"/>
  <c r="O16" i="301"/>
  <c r="M16" i="301"/>
  <c r="N16" i="301" s="1"/>
  <c r="Q16" i="301" s="1"/>
  <c r="K16" i="301"/>
  <c r="G16" i="301"/>
  <c r="AB15" i="301"/>
  <c r="AA15" i="301"/>
  <c r="V15" i="301"/>
  <c r="U15" i="301"/>
  <c r="O15" i="301"/>
  <c r="N15" i="301"/>
  <c r="M15" i="301"/>
  <c r="K15" i="301"/>
  <c r="G15" i="301"/>
  <c r="AB14" i="301"/>
  <c r="AA14" i="301"/>
  <c r="V14" i="301"/>
  <c r="O14" i="301"/>
  <c r="N14" i="301"/>
  <c r="M14" i="301"/>
  <c r="K14" i="301"/>
  <c r="G14" i="301"/>
  <c r="O13" i="301"/>
  <c r="K13" i="301"/>
  <c r="AB12" i="301"/>
  <c r="AA12" i="301"/>
  <c r="V12" i="301"/>
  <c r="U12" i="301"/>
  <c r="Q12" i="301"/>
  <c r="P12" i="301"/>
  <c r="O12" i="301"/>
  <c r="N12" i="301"/>
  <c r="M12" i="301"/>
  <c r="K12" i="301"/>
  <c r="G12" i="301"/>
  <c r="AB11" i="301"/>
  <c r="AA11" i="301"/>
  <c r="X11" i="301"/>
  <c r="W11" i="301"/>
  <c r="V11" i="301"/>
  <c r="U11" i="301"/>
  <c r="O11" i="301"/>
  <c r="M11" i="301"/>
  <c r="N11" i="301" s="1"/>
  <c r="K11" i="301"/>
  <c r="G11" i="301"/>
  <c r="AB10" i="301"/>
  <c r="AA10" i="301"/>
  <c r="V10" i="301"/>
  <c r="U10" i="301"/>
  <c r="Q10" i="301"/>
  <c r="P10" i="301"/>
  <c r="O10" i="301"/>
  <c r="N10" i="301"/>
  <c r="M10" i="301"/>
  <c r="K10" i="301"/>
  <c r="G10" i="301"/>
  <c r="AB9" i="301"/>
  <c r="X9" i="301"/>
  <c r="W9" i="301"/>
  <c r="V9" i="301"/>
  <c r="O9" i="301"/>
  <c r="M9" i="301"/>
  <c r="N9" i="301" s="1"/>
  <c r="K9" i="301"/>
  <c r="G9" i="301"/>
  <c r="AB8" i="301"/>
  <c r="AA8" i="301"/>
  <c r="O8" i="301"/>
  <c r="N8" i="301"/>
  <c r="M8" i="301"/>
  <c r="K8" i="301"/>
  <c r="AB7" i="301"/>
  <c r="AA7" i="301"/>
  <c r="V7" i="301"/>
  <c r="U7" i="301"/>
  <c r="O7" i="301"/>
  <c r="N7" i="301"/>
  <c r="Q7" i="301" s="1"/>
  <c r="M7" i="301"/>
  <c r="K7" i="301"/>
  <c r="G7" i="301"/>
  <c r="AB6" i="301"/>
  <c r="AA6" i="301"/>
  <c r="V6" i="301"/>
  <c r="U6" i="301"/>
  <c r="Q6" i="301"/>
  <c r="P6" i="301"/>
  <c r="O6" i="301"/>
  <c r="N6" i="301"/>
  <c r="M6" i="301"/>
  <c r="K6" i="301"/>
  <c r="G6" i="301"/>
  <c r="AC5" i="301"/>
  <c r="AB5" i="301"/>
  <c r="AA5" i="301"/>
  <c r="V5" i="301"/>
  <c r="Q5" i="301"/>
  <c r="P5" i="301"/>
  <c r="O5" i="301"/>
  <c r="N5" i="301"/>
  <c r="M5" i="301"/>
  <c r="K5" i="301"/>
  <c r="G5" i="301"/>
  <c r="H2" i="301"/>
  <c r="H1" i="301"/>
  <c r="F1" i="301"/>
  <c r="D1" i="301"/>
  <c r="M18" i="300"/>
  <c r="L18" i="300"/>
  <c r="K18" i="300"/>
  <c r="J18" i="300"/>
  <c r="I18" i="300"/>
  <c r="H18" i="300"/>
  <c r="G18" i="300"/>
  <c r="F18" i="300"/>
  <c r="E18" i="300"/>
  <c r="D18" i="300"/>
  <c r="M17" i="300"/>
  <c r="L17" i="300"/>
  <c r="K17" i="300"/>
  <c r="J17" i="300"/>
  <c r="I17" i="300"/>
  <c r="H17" i="300"/>
  <c r="G17" i="300"/>
  <c r="F17" i="300"/>
  <c r="E17" i="300"/>
  <c r="D17" i="300"/>
  <c r="M16" i="300"/>
  <c r="L16" i="300"/>
  <c r="K16" i="300"/>
  <c r="J16" i="300"/>
  <c r="I16" i="300"/>
  <c r="H16" i="300"/>
  <c r="G16" i="300"/>
  <c r="F16" i="300"/>
  <c r="E16" i="300"/>
  <c r="D16" i="300"/>
  <c r="F14" i="300"/>
  <c r="M13" i="300"/>
  <c r="L13" i="300"/>
  <c r="K13" i="300"/>
  <c r="J13" i="300"/>
  <c r="I13" i="300"/>
  <c r="H13" i="300"/>
  <c r="G13" i="300"/>
  <c r="F13" i="300"/>
  <c r="E13" i="300"/>
  <c r="D13" i="300"/>
  <c r="F3" i="300"/>
  <c r="C3" i="300"/>
  <c r="G8" i="306" l="1"/>
  <c r="F8" i="306"/>
  <c r="E8" i="306"/>
  <c r="G6" i="300"/>
  <c r="I6" i="300"/>
  <c r="E6" i="300"/>
  <c r="F15" i="300"/>
  <c r="F6" i="300"/>
  <c r="G14" i="304"/>
  <c r="G15" i="304" s="1"/>
  <c r="Q27" i="305"/>
  <c r="R19" i="305" s="1"/>
  <c r="P27" i="305"/>
  <c r="D15" i="304"/>
  <c r="Q52" i="305"/>
  <c r="R44" i="305" s="1"/>
  <c r="P52" i="305"/>
  <c r="H14" i="304"/>
  <c r="H15" i="304" s="1"/>
  <c r="P13" i="305"/>
  <c r="Q13" i="305"/>
  <c r="R9" i="305" s="1"/>
  <c r="E14" i="304"/>
  <c r="E15" i="304" s="1"/>
  <c r="Q43" i="305"/>
  <c r="R34" i="305" s="1"/>
  <c r="L14" i="304"/>
  <c r="L15" i="304" s="1"/>
  <c r="P43" i="305"/>
  <c r="K14" i="304"/>
  <c r="Q33" i="305"/>
  <c r="R28" i="305" s="1"/>
  <c r="P33" i="305"/>
  <c r="I14" i="304"/>
  <c r="I15" i="304" s="1"/>
  <c r="P58" i="305"/>
  <c r="Q58" i="305"/>
  <c r="R53" i="305" s="1"/>
  <c r="Q74" i="305"/>
  <c r="R66" i="305" s="1"/>
  <c r="P74" i="305"/>
  <c r="M14" i="304"/>
  <c r="M15" i="304" s="1"/>
  <c r="N32" i="303"/>
  <c r="AA32" i="303"/>
  <c r="AB32" i="303"/>
  <c r="AC28" i="303" s="1"/>
  <c r="P7" i="303"/>
  <c r="Q7" i="303"/>
  <c r="Q36" i="303"/>
  <c r="P36" i="303"/>
  <c r="N53" i="303"/>
  <c r="AB53" i="303"/>
  <c r="AC48" i="303" s="1"/>
  <c r="AA53" i="303"/>
  <c r="Q66" i="303"/>
  <c r="P66" i="303"/>
  <c r="P18" i="303"/>
  <c r="F14" i="302"/>
  <c r="F15" i="302" s="1"/>
  <c r="Q18" i="303"/>
  <c r="R14" i="303" s="1"/>
  <c r="Q46" i="303"/>
  <c r="P46" i="303"/>
  <c r="AB67" i="303"/>
  <c r="AC61" i="303" s="1"/>
  <c r="AA67" i="303"/>
  <c r="N67" i="303"/>
  <c r="D14" i="302"/>
  <c r="D2" i="303"/>
  <c r="Q8" i="303"/>
  <c r="R5" i="303" s="1"/>
  <c r="P8" i="303"/>
  <c r="N13" i="303"/>
  <c r="AA13" i="303"/>
  <c r="AB13" i="303"/>
  <c r="AC9" i="303" s="1"/>
  <c r="AB27" i="303"/>
  <c r="AC19" i="303" s="1"/>
  <c r="AA27" i="303"/>
  <c r="N27" i="303"/>
  <c r="Q33" i="303"/>
  <c r="P33" i="303"/>
  <c r="F2" i="303"/>
  <c r="I3" i="302"/>
  <c r="AB47" i="303"/>
  <c r="AC41" i="303" s="1"/>
  <c r="AA47" i="303"/>
  <c r="N47" i="303"/>
  <c r="P40" i="303"/>
  <c r="Q40" i="303"/>
  <c r="R33" i="303" s="1"/>
  <c r="L14" i="302"/>
  <c r="L15" i="302" s="1"/>
  <c r="Q24" i="303"/>
  <c r="P24" i="303"/>
  <c r="Q11" i="301"/>
  <c r="P11" i="301"/>
  <c r="Q14" i="301"/>
  <c r="P14" i="301"/>
  <c r="P65" i="301"/>
  <c r="Q65" i="301"/>
  <c r="Q43" i="301"/>
  <c r="P43" i="301"/>
  <c r="N23" i="301"/>
  <c r="AA23" i="301"/>
  <c r="AB23" i="301"/>
  <c r="Q32" i="301"/>
  <c r="R28" i="301" s="1"/>
  <c r="P32" i="301"/>
  <c r="K14" i="300"/>
  <c r="P61" i="301"/>
  <c r="Q61" i="301"/>
  <c r="P64" i="301"/>
  <c r="Q64" i="301"/>
  <c r="Q38" i="301"/>
  <c r="P38" i="301"/>
  <c r="Q54" i="301"/>
  <c r="P54" i="301"/>
  <c r="Q15" i="301"/>
  <c r="P15" i="301"/>
  <c r="Q44" i="301"/>
  <c r="P44" i="301"/>
  <c r="AB46" i="301"/>
  <c r="AA46" i="301"/>
  <c r="N46" i="301"/>
  <c r="F2" i="301"/>
  <c r="I3" i="300"/>
  <c r="Q22" i="301"/>
  <c r="P22" i="301"/>
  <c r="AB24" i="301"/>
  <c r="AA24" i="301"/>
  <c r="M40" i="301"/>
  <c r="AB33" i="301"/>
  <c r="AA33" i="301"/>
  <c r="N33" i="301"/>
  <c r="Q63" i="301"/>
  <c r="P63" i="301"/>
  <c r="I14" i="300"/>
  <c r="I15" i="300" s="1"/>
  <c r="P53" i="301"/>
  <c r="Q53" i="301"/>
  <c r="R48" i="301" s="1"/>
  <c r="Q21" i="301"/>
  <c r="P21" i="301"/>
  <c r="P26" i="301"/>
  <c r="Q55" i="301"/>
  <c r="P55" i="301"/>
  <c r="P9" i="301"/>
  <c r="Q9" i="301"/>
  <c r="Q34" i="301"/>
  <c r="P34" i="301"/>
  <c r="AB36" i="301"/>
  <c r="AA36" i="301"/>
  <c r="N36" i="301"/>
  <c r="Q25" i="301"/>
  <c r="P25" i="301"/>
  <c r="P16" i="301"/>
  <c r="AB66" i="301"/>
  <c r="AA66" i="301"/>
  <c r="N66" i="301"/>
  <c r="P35" i="301"/>
  <c r="Q35" i="301"/>
  <c r="Q24" i="301"/>
  <c r="P24" i="301"/>
  <c r="Q18" i="301"/>
  <c r="R14" i="301" s="1"/>
  <c r="P18" i="301"/>
  <c r="Q37" i="301"/>
  <c r="P37" i="301"/>
  <c r="Q56" i="301"/>
  <c r="P56" i="301"/>
  <c r="N60" i="301"/>
  <c r="P8" i="301"/>
  <c r="M27" i="301"/>
  <c r="P28" i="301"/>
  <c r="P31" i="301"/>
  <c r="AA35" i="301"/>
  <c r="AA65" i="301"/>
  <c r="AB35" i="301"/>
  <c r="AA44" i="301"/>
  <c r="Q51" i="301"/>
  <c r="AA64" i="301"/>
  <c r="D14" i="300"/>
  <c r="P7" i="301"/>
  <c r="AA21" i="301"/>
  <c r="AB22" i="301"/>
  <c r="P29" i="301"/>
  <c r="AB34" i="301"/>
  <c r="AA43" i="301"/>
  <c r="AB44" i="301"/>
  <c r="M47" i="301"/>
  <c r="P48" i="301"/>
  <c r="P49" i="301"/>
  <c r="Q50" i="301"/>
  <c r="P59" i="301"/>
  <c r="AA60" i="301"/>
  <c r="AA63" i="301"/>
  <c r="AB64" i="301"/>
  <c r="M67" i="301"/>
  <c r="M13" i="301"/>
  <c r="N45" i="301"/>
  <c r="AA53" i="301"/>
  <c r="AA45" i="301"/>
  <c r="AB53" i="301"/>
  <c r="AC48" i="301" s="1"/>
  <c r="Q8" i="301"/>
  <c r="R5" i="301" s="1"/>
  <c r="AA22" i="301"/>
  <c r="AA34" i="301"/>
  <c r="AB65" i="301"/>
  <c r="AA9" i="301"/>
  <c r="AB21" i="301"/>
  <c r="AB43" i="301"/>
  <c r="AA61" i="301"/>
  <c r="AB63" i="301"/>
  <c r="X60" i="281"/>
  <c r="W60" i="281"/>
  <c r="X33" i="281"/>
  <c r="W33" i="281"/>
  <c r="X27" i="281"/>
  <c r="W27" i="281"/>
  <c r="X18" i="281"/>
  <c r="W18" i="281"/>
  <c r="X9" i="281"/>
  <c r="W9" i="281"/>
  <c r="X60" i="283"/>
  <c r="W60" i="283"/>
  <c r="X33" i="283"/>
  <c r="W33" i="283"/>
  <c r="X27" i="283"/>
  <c r="W27" i="283"/>
  <c r="X18" i="283"/>
  <c r="W18" i="283"/>
  <c r="X9" i="283"/>
  <c r="W9" i="283"/>
  <c r="X71" i="285"/>
  <c r="W71" i="285"/>
  <c r="X67" i="285"/>
  <c r="W67" i="285"/>
  <c r="X50" i="285"/>
  <c r="W50" i="285"/>
  <c r="X41" i="285"/>
  <c r="W41" i="285"/>
  <c r="X36" i="285"/>
  <c r="W36" i="285"/>
  <c r="X32" i="285"/>
  <c r="W32" i="285"/>
  <c r="X28" i="285"/>
  <c r="W28" i="285"/>
  <c r="X19" i="285"/>
  <c r="W19" i="285"/>
  <c r="X11" i="285"/>
  <c r="W11" i="285"/>
  <c r="X9" i="285"/>
  <c r="W9" i="285"/>
  <c r="X71" i="287"/>
  <c r="W71" i="287"/>
  <c r="X67" i="287"/>
  <c r="W67" i="287"/>
  <c r="X50" i="287"/>
  <c r="W50" i="287"/>
  <c r="X41" i="287"/>
  <c r="W41" i="287"/>
  <c r="X36" i="287"/>
  <c r="W36" i="287"/>
  <c r="X32" i="287"/>
  <c r="W32" i="287"/>
  <c r="X28" i="287"/>
  <c r="W28" i="287"/>
  <c r="X19" i="287"/>
  <c r="W19" i="287"/>
  <c r="X11" i="287"/>
  <c r="W11" i="287"/>
  <c r="X9" i="287"/>
  <c r="W9" i="287"/>
  <c r="G8" i="304" l="1"/>
  <c r="F8" i="304"/>
  <c r="G7" i="304"/>
  <c r="K15" i="304"/>
  <c r="I8" i="304" s="1"/>
  <c r="I7" i="304"/>
  <c r="E7" i="304"/>
  <c r="F7" i="304"/>
  <c r="D15" i="302"/>
  <c r="Q67" i="303"/>
  <c r="R61" i="303" s="1"/>
  <c r="P67" i="303"/>
  <c r="M14" i="302"/>
  <c r="M15" i="302" s="1"/>
  <c r="I14" i="302"/>
  <c r="I15" i="302" s="1"/>
  <c r="Q53" i="303"/>
  <c r="R48" i="303" s="1"/>
  <c r="P53" i="303"/>
  <c r="G14" i="302"/>
  <c r="G15" i="302" s="1"/>
  <c r="Q27" i="303"/>
  <c r="R19" i="303" s="1"/>
  <c r="P27" i="303"/>
  <c r="H14" i="302"/>
  <c r="H15" i="302" s="1"/>
  <c r="Q47" i="303"/>
  <c r="R41" i="303" s="1"/>
  <c r="P47" i="303"/>
  <c r="E14" i="302"/>
  <c r="E15" i="302" s="1"/>
  <c r="Q13" i="303"/>
  <c r="R9" i="303" s="1"/>
  <c r="P13" i="303"/>
  <c r="Q32" i="303"/>
  <c r="R28" i="303" s="1"/>
  <c r="K14" i="302"/>
  <c r="P32" i="303"/>
  <c r="J14" i="300"/>
  <c r="J15" i="300" s="1"/>
  <c r="Q60" i="301"/>
  <c r="R54" i="301" s="1"/>
  <c r="P60" i="301"/>
  <c r="D15" i="300"/>
  <c r="N40" i="301"/>
  <c r="AB40" i="301"/>
  <c r="AC33" i="301" s="1"/>
  <c r="AA40" i="301"/>
  <c r="AB47" i="301"/>
  <c r="AC41" i="301" s="1"/>
  <c r="AA47" i="301"/>
  <c r="N47" i="301"/>
  <c r="P23" i="301"/>
  <c r="Q23" i="301"/>
  <c r="Q36" i="301"/>
  <c r="P36" i="301"/>
  <c r="P45" i="301"/>
  <c r="Q45" i="301"/>
  <c r="AB67" i="301"/>
  <c r="AC61" i="301" s="1"/>
  <c r="AA67" i="301"/>
  <c r="N67" i="301"/>
  <c r="Q46" i="301"/>
  <c r="P46" i="301"/>
  <c r="N27" i="301"/>
  <c r="AB27" i="301"/>
  <c r="AC19" i="301" s="1"/>
  <c r="AA27" i="301"/>
  <c r="N13" i="301"/>
  <c r="AB13" i="301"/>
  <c r="AC9" i="301" s="1"/>
  <c r="AA13" i="301"/>
  <c r="Q33" i="301"/>
  <c r="P33" i="301"/>
  <c r="Q66" i="301"/>
  <c r="P66" i="301"/>
  <c r="K15" i="300"/>
  <c r="O73" i="299"/>
  <c r="K73" i="299"/>
  <c r="V72" i="299"/>
  <c r="M72" i="299" s="1"/>
  <c r="U72" i="299"/>
  <c r="O72" i="299"/>
  <c r="K72" i="299"/>
  <c r="G72" i="299"/>
  <c r="AB71" i="299"/>
  <c r="AA71" i="299"/>
  <c r="X71" i="299"/>
  <c r="W71" i="299"/>
  <c r="V71" i="299"/>
  <c r="U71" i="299"/>
  <c r="O71" i="299"/>
  <c r="N71" i="299"/>
  <c r="Q71" i="299" s="1"/>
  <c r="M71" i="299"/>
  <c r="K71" i="299"/>
  <c r="G71" i="299"/>
  <c r="V70" i="299"/>
  <c r="M70" i="299" s="1"/>
  <c r="U70" i="299"/>
  <c r="O70" i="299"/>
  <c r="K70" i="299"/>
  <c r="G70" i="299"/>
  <c r="V69" i="299"/>
  <c r="M69" i="299" s="1"/>
  <c r="U69" i="299"/>
  <c r="O69" i="299"/>
  <c r="K69" i="299"/>
  <c r="G69" i="299"/>
  <c r="AB68" i="299"/>
  <c r="AA68" i="299"/>
  <c r="V68" i="299"/>
  <c r="U68" i="299"/>
  <c r="O68" i="299"/>
  <c r="M68" i="299"/>
  <c r="N68" i="299" s="1"/>
  <c r="P68" i="299" s="1"/>
  <c r="K68" i="299"/>
  <c r="G68" i="299"/>
  <c r="AB67" i="299"/>
  <c r="AA67" i="299"/>
  <c r="V67" i="299"/>
  <c r="U67" i="299"/>
  <c r="O67" i="299"/>
  <c r="M67" i="299"/>
  <c r="N67" i="299" s="1"/>
  <c r="Q67" i="299" s="1"/>
  <c r="K67" i="299"/>
  <c r="G67" i="299"/>
  <c r="X66" i="299"/>
  <c r="W66" i="299"/>
  <c r="V66" i="299"/>
  <c r="M66" i="299" s="1"/>
  <c r="O66" i="299"/>
  <c r="K66" i="299"/>
  <c r="G66" i="299"/>
  <c r="O65" i="299"/>
  <c r="K65" i="299"/>
  <c r="V64" i="299"/>
  <c r="U64" i="299"/>
  <c r="O64" i="299"/>
  <c r="M64" i="299"/>
  <c r="K64" i="299"/>
  <c r="G64" i="299"/>
  <c r="V63" i="299"/>
  <c r="U63" i="299"/>
  <c r="O63" i="299"/>
  <c r="M63" i="299"/>
  <c r="AB63" i="299" s="1"/>
  <c r="K63" i="299"/>
  <c r="G63" i="299"/>
  <c r="V62" i="299"/>
  <c r="U62" i="299"/>
  <c r="O62" i="299"/>
  <c r="M62" i="299"/>
  <c r="M65" i="299" s="1"/>
  <c r="K62" i="299"/>
  <c r="G62" i="299"/>
  <c r="AB61" i="299"/>
  <c r="AA61" i="299"/>
  <c r="V61" i="299"/>
  <c r="U61" i="299"/>
  <c r="O61" i="299"/>
  <c r="N61" i="299"/>
  <c r="M61" i="299"/>
  <c r="K61" i="299"/>
  <c r="P61" i="299" s="1"/>
  <c r="G61" i="299"/>
  <c r="AB60" i="299"/>
  <c r="AA60" i="299"/>
  <c r="V60" i="299"/>
  <c r="U60" i="299"/>
  <c r="P60" i="299"/>
  <c r="O60" i="299"/>
  <c r="N60" i="299"/>
  <c r="Q60" i="299" s="1"/>
  <c r="M60" i="299"/>
  <c r="K60" i="299"/>
  <c r="G60" i="299"/>
  <c r="AB59" i="299"/>
  <c r="AA59" i="299"/>
  <c r="V59" i="299"/>
  <c r="P59" i="299"/>
  <c r="O59" i="299"/>
  <c r="N59" i="299"/>
  <c r="Q59" i="299" s="1"/>
  <c r="M59" i="299"/>
  <c r="K59" i="299"/>
  <c r="G59" i="299"/>
  <c r="O58" i="299"/>
  <c r="K58" i="299"/>
  <c r="AB57" i="299"/>
  <c r="AA57" i="299"/>
  <c r="V57" i="299"/>
  <c r="U57" i="299"/>
  <c r="O57" i="299"/>
  <c r="M57" i="299"/>
  <c r="N57" i="299" s="1"/>
  <c r="Q57" i="299" s="1"/>
  <c r="K57" i="299"/>
  <c r="G57" i="299"/>
  <c r="AB56" i="299"/>
  <c r="AA56" i="299"/>
  <c r="V56" i="299"/>
  <c r="U56" i="299"/>
  <c r="Q56" i="299"/>
  <c r="P56" i="299"/>
  <c r="O56" i="299"/>
  <c r="N56" i="299"/>
  <c r="M56" i="299"/>
  <c r="K56" i="299"/>
  <c r="G56" i="299"/>
  <c r="AB55" i="299"/>
  <c r="AA55" i="299"/>
  <c r="V55" i="299"/>
  <c r="U55" i="299"/>
  <c r="O55" i="299"/>
  <c r="N55" i="299"/>
  <c r="M55" i="299"/>
  <c r="K55" i="299"/>
  <c r="G55" i="299"/>
  <c r="V54" i="299"/>
  <c r="U54" i="299"/>
  <c r="O54" i="299"/>
  <c r="M54" i="299"/>
  <c r="K54" i="299"/>
  <c r="G54" i="299"/>
  <c r="V53" i="299"/>
  <c r="O53" i="299"/>
  <c r="M53" i="299"/>
  <c r="K53" i="299"/>
  <c r="G53" i="299"/>
  <c r="O52" i="299"/>
  <c r="K52" i="299"/>
  <c r="H13" i="298" s="1"/>
  <c r="AB51" i="299"/>
  <c r="AA51" i="299"/>
  <c r="V51" i="299"/>
  <c r="U51" i="299"/>
  <c r="O51" i="299"/>
  <c r="N51" i="299"/>
  <c r="Q51" i="299" s="1"/>
  <c r="M51" i="299"/>
  <c r="K51" i="299"/>
  <c r="G51" i="299"/>
  <c r="V50" i="299"/>
  <c r="M50" i="299" s="1"/>
  <c r="U50" i="299"/>
  <c r="O50" i="299"/>
  <c r="K50" i="299"/>
  <c r="G50" i="299"/>
  <c r="AB49" i="299"/>
  <c r="AA49" i="299"/>
  <c r="X49" i="299"/>
  <c r="W49" i="299"/>
  <c r="V49" i="299"/>
  <c r="U49" i="299"/>
  <c r="O49" i="299"/>
  <c r="N49" i="299"/>
  <c r="Q49" i="299" s="1"/>
  <c r="M49" i="299"/>
  <c r="K49" i="299"/>
  <c r="G49" i="299"/>
  <c r="V48" i="299"/>
  <c r="M48" i="299" s="1"/>
  <c r="U48" i="299"/>
  <c r="O48" i="299"/>
  <c r="K48" i="299"/>
  <c r="G48" i="299"/>
  <c r="V47" i="299"/>
  <c r="M47" i="299" s="1"/>
  <c r="U47" i="299"/>
  <c r="O47" i="299"/>
  <c r="K47" i="299"/>
  <c r="G47" i="299"/>
  <c r="V46" i="299"/>
  <c r="M46" i="299" s="1"/>
  <c r="U46" i="299"/>
  <c r="O46" i="299"/>
  <c r="K46" i="299"/>
  <c r="G46" i="299"/>
  <c r="AB45" i="299"/>
  <c r="AA45" i="299"/>
  <c r="V45" i="299"/>
  <c r="U45" i="299"/>
  <c r="P45" i="299"/>
  <c r="O45" i="299"/>
  <c r="M45" i="299"/>
  <c r="N45" i="299" s="1"/>
  <c r="Q45" i="299" s="1"/>
  <c r="K45" i="299"/>
  <c r="G45" i="299"/>
  <c r="AB44" i="299"/>
  <c r="AA44" i="299"/>
  <c r="V44" i="299"/>
  <c r="O44" i="299"/>
  <c r="M44" i="299"/>
  <c r="N44" i="299" s="1"/>
  <c r="Q44" i="299" s="1"/>
  <c r="K44" i="299"/>
  <c r="G44" i="299"/>
  <c r="O43" i="299"/>
  <c r="M43" i="299"/>
  <c r="K43" i="299"/>
  <c r="V42" i="299"/>
  <c r="U42" i="299"/>
  <c r="O42" i="299"/>
  <c r="M42" i="299"/>
  <c r="AB42" i="299" s="1"/>
  <c r="K42" i="299"/>
  <c r="G42" i="299"/>
  <c r="AB41" i="299"/>
  <c r="AA41" i="299"/>
  <c r="V41" i="299"/>
  <c r="U41" i="299"/>
  <c r="O41" i="299"/>
  <c r="N41" i="299"/>
  <c r="M41" i="299"/>
  <c r="K41" i="299"/>
  <c r="Q41" i="299" s="1"/>
  <c r="G41" i="299"/>
  <c r="AB40" i="299"/>
  <c r="X40" i="299"/>
  <c r="W40" i="299"/>
  <c r="V40" i="299"/>
  <c r="U40" i="299"/>
  <c r="O40" i="299"/>
  <c r="M40" i="299"/>
  <c r="N40" i="299" s="1"/>
  <c r="K40" i="299"/>
  <c r="G40" i="299"/>
  <c r="AB39" i="299"/>
  <c r="AA39" i="299"/>
  <c r="V39" i="299"/>
  <c r="U39" i="299"/>
  <c r="O39" i="299"/>
  <c r="N39" i="299"/>
  <c r="M39" i="299"/>
  <c r="K39" i="299"/>
  <c r="Q39" i="299" s="1"/>
  <c r="G39" i="299"/>
  <c r="AB38" i="299"/>
  <c r="AA38" i="299"/>
  <c r="V38" i="299"/>
  <c r="U38" i="299"/>
  <c r="P38" i="299"/>
  <c r="O38" i="299"/>
  <c r="N38" i="299"/>
  <c r="Q38" i="299" s="1"/>
  <c r="M38" i="299"/>
  <c r="K38" i="299"/>
  <c r="G38" i="299"/>
  <c r="AB37" i="299"/>
  <c r="AA37" i="299"/>
  <c r="V37" i="299"/>
  <c r="U37" i="299"/>
  <c r="O37" i="299"/>
  <c r="N37" i="299"/>
  <c r="Q37" i="299" s="1"/>
  <c r="M37" i="299"/>
  <c r="K37" i="299"/>
  <c r="G37" i="299"/>
  <c r="V36" i="299"/>
  <c r="M36" i="299" s="1"/>
  <c r="U36" i="299"/>
  <c r="O36" i="299"/>
  <c r="K36" i="299"/>
  <c r="G36" i="299"/>
  <c r="V35" i="299"/>
  <c r="M35" i="299" s="1"/>
  <c r="U35" i="299"/>
  <c r="O35" i="299"/>
  <c r="K35" i="299"/>
  <c r="G35" i="299"/>
  <c r="AB34" i="299"/>
  <c r="AA34" i="299"/>
  <c r="X34" i="299"/>
  <c r="W34" i="299"/>
  <c r="V34" i="299"/>
  <c r="O34" i="299"/>
  <c r="N34" i="299"/>
  <c r="Q34" i="299" s="1"/>
  <c r="M34" i="299"/>
  <c r="K34" i="299"/>
  <c r="G34" i="299"/>
  <c r="O33" i="299"/>
  <c r="K33" i="299"/>
  <c r="AB32" i="299"/>
  <c r="AA32" i="299"/>
  <c r="V32" i="299"/>
  <c r="U32" i="299"/>
  <c r="Q32" i="299"/>
  <c r="P32" i="299"/>
  <c r="O32" i="299"/>
  <c r="N32" i="299"/>
  <c r="M32" i="299"/>
  <c r="K32" i="299"/>
  <c r="G32" i="299"/>
  <c r="AB31" i="299"/>
  <c r="AA31" i="299"/>
  <c r="X31" i="299"/>
  <c r="W31" i="299"/>
  <c r="V31" i="299"/>
  <c r="U31" i="299"/>
  <c r="Q31" i="299"/>
  <c r="P31" i="299"/>
  <c r="O31" i="299"/>
  <c r="N31" i="299"/>
  <c r="M31" i="299"/>
  <c r="K31" i="299"/>
  <c r="G31" i="299"/>
  <c r="AB30" i="299"/>
  <c r="AA30" i="299"/>
  <c r="V30" i="299"/>
  <c r="U30" i="299"/>
  <c r="Q30" i="299"/>
  <c r="P30" i="299"/>
  <c r="O30" i="299"/>
  <c r="N30" i="299"/>
  <c r="M30" i="299"/>
  <c r="K30" i="299"/>
  <c r="G30" i="299"/>
  <c r="AB29" i="299"/>
  <c r="AA29" i="299"/>
  <c r="V29" i="299"/>
  <c r="U29" i="299"/>
  <c r="O29" i="299"/>
  <c r="N29" i="299"/>
  <c r="M29" i="299"/>
  <c r="M33" i="299" s="1"/>
  <c r="AA33" i="299" s="1"/>
  <c r="K29" i="299"/>
  <c r="G29" i="299"/>
  <c r="AB28" i="299"/>
  <c r="AA28" i="299"/>
  <c r="X28" i="299"/>
  <c r="W28" i="299"/>
  <c r="V28" i="299"/>
  <c r="O28" i="299"/>
  <c r="M28" i="299"/>
  <c r="N28" i="299" s="1"/>
  <c r="Q28" i="299" s="1"/>
  <c r="K28" i="299"/>
  <c r="G28" i="299"/>
  <c r="O27" i="299"/>
  <c r="K27" i="299"/>
  <c r="V26" i="299"/>
  <c r="U26" i="299"/>
  <c r="O26" i="299"/>
  <c r="M26" i="299"/>
  <c r="AB26" i="299" s="1"/>
  <c r="K26" i="299"/>
  <c r="G26" i="299"/>
  <c r="AB25" i="299"/>
  <c r="AA25" i="299"/>
  <c r="V25" i="299"/>
  <c r="U25" i="299"/>
  <c r="O25" i="299"/>
  <c r="N25" i="299"/>
  <c r="M25" i="299"/>
  <c r="K25" i="299"/>
  <c r="Q25" i="299" s="1"/>
  <c r="G25" i="299"/>
  <c r="AB24" i="299"/>
  <c r="AA24" i="299"/>
  <c r="V24" i="299"/>
  <c r="U24" i="299"/>
  <c r="P24" i="299"/>
  <c r="O24" i="299"/>
  <c r="N24" i="299"/>
  <c r="Q24" i="299" s="1"/>
  <c r="M24" i="299"/>
  <c r="K24" i="299"/>
  <c r="G24" i="299"/>
  <c r="AB23" i="299"/>
  <c r="AA23" i="299"/>
  <c r="V23" i="299"/>
  <c r="U23" i="299"/>
  <c r="O23" i="299"/>
  <c r="N23" i="299"/>
  <c r="Q23" i="299" s="1"/>
  <c r="M23" i="299"/>
  <c r="K23" i="299"/>
  <c r="G23" i="299"/>
  <c r="V22" i="299"/>
  <c r="M22" i="299" s="1"/>
  <c r="AA22" i="299" s="1"/>
  <c r="U22" i="299"/>
  <c r="O22" i="299"/>
  <c r="K22" i="299"/>
  <c r="G22" i="299"/>
  <c r="V21" i="299"/>
  <c r="M21" i="299" s="1"/>
  <c r="U21" i="299"/>
  <c r="O21" i="299"/>
  <c r="K21" i="299"/>
  <c r="G21" i="299"/>
  <c r="V20" i="299"/>
  <c r="M20" i="299" s="1"/>
  <c r="U20" i="299"/>
  <c r="O20" i="299"/>
  <c r="K20" i="299"/>
  <c r="G20" i="299"/>
  <c r="V19" i="299"/>
  <c r="M19" i="299" s="1"/>
  <c r="O19" i="299"/>
  <c r="K19" i="299"/>
  <c r="G19" i="299"/>
  <c r="O18" i="299"/>
  <c r="K18" i="299"/>
  <c r="F13" i="298" s="1"/>
  <c r="V17" i="299"/>
  <c r="U17" i="299"/>
  <c r="O17" i="299"/>
  <c r="M17" i="299"/>
  <c r="K17" i="299"/>
  <c r="G17" i="299"/>
  <c r="V16" i="299"/>
  <c r="U16" i="299"/>
  <c r="O16" i="299"/>
  <c r="M16" i="299"/>
  <c r="AB16" i="299" s="1"/>
  <c r="K16" i="299"/>
  <c r="G16" i="299"/>
  <c r="AB15" i="299"/>
  <c r="AA15" i="299"/>
  <c r="V15" i="299"/>
  <c r="U15" i="299"/>
  <c r="O15" i="299"/>
  <c r="N15" i="299"/>
  <c r="M15" i="299"/>
  <c r="K15" i="299"/>
  <c r="Q15" i="299" s="1"/>
  <c r="G15" i="299"/>
  <c r="AB14" i="299"/>
  <c r="AA14" i="299"/>
  <c r="V14" i="299"/>
  <c r="O14" i="299"/>
  <c r="N14" i="299"/>
  <c r="M14" i="299"/>
  <c r="K14" i="299"/>
  <c r="Q14" i="299" s="1"/>
  <c r="G14" i="299"/>
  <c r="F1" i="299" s="1"/>
  <c r="O13" i="299"/>
  <c r="K13" i="299"/>
  <c r="V12" i="299"/>
  <c r="M12" i="299" s="1"/>
  <c r="U12" i="299"/>
  <c r="O12" i="299"/>
  <c r="K12" i="299"/>
  <c r="G12" i="299"/>
  <c r="X11" i="299"/>
  <c r="W11" i="299"/>
  <c r="V11" i="299"/>
  <c r="M11" i="299" s="1"/>
  <c r="U11" i="299"/>
  <c r="O11" i="299"/>
  <c r="K11" i="299"/>
  <c r="G11" i="299"/>
  <c r="V10" i="299"/>
  <c r="M10" i="299" s="1"/>
  <c r="U10" i="299"/>
  <c r="O10" i="299"/>
  <c r="K10" i="299"/>
  <c r="G10" i="299"/>
  <c r="X9" i="299"/>
  <c r="W9" i="299"/>
  <c r="V9" i="299"/>
  <c r="M9" i="299" s="1"/>
  <c r="O9" i="299"/>
  <c r="K9" i="299"/>
  <c r="G9" i="299"/>
  <c r="O8" i="299"/>
  <c r="K8" i="299"/>
  <c r="AB7" i="299"/>
  <c r="AA7" i="299"/>
  <c r="V7" i="299"/>
  <c r="U7" i="299"/>
  <c r="O7" i="299"/>
  <c r="N7" i="299"/>
  <c r="M7" i="299"/>
  <c r="K7" i="299"/>
  <c r="G7" i="299"/>
  <c r="V6" i="299"/>
  <c r="U6" i="299"/>
  <c r="O6" i="299"/>
  <c r="M6" i="299"/>
  <c r="N6" i="299" s="1"/>
  <c r="K6" i="299"/>
  <c r="G6" i="299"/>
  <c r="V5" i="299"/>
  <c r="O5" i="299"/>
  <c r="N5" i="299"/>
  <c r="M5" i="299"/>
  <c r="K5" i="299"/>
  <c r="G5" i="299"/>
  <c r="H2" i="299"/>
  <c r="H1" i="299"/>
  <c r="D1" i="299"/>
  <c r="M18" i="298"/>
  <c r="L18" i="298"/>
  <c r="K18" i="298"/>
  <c r="J18" i="298"/>
  <c r="I18" i="298"/>
  <c r="H18" i="298"/>
  <c r="G18" i="298"/>
  <c r="F18" i="298"/>
  <c r="E18" i="298"/>
  <c r="D18" i="298"/>
  <c r="M17" i="298"/>
  <c r="L17" i="298"/>
  <c r="K17" i="298"/>
  <c r="J17" i="298"/>
  <c r="I17" i="298"/>
  <c r="H17" i="298"/>
  <c r="G17" i="298"/>
  <c r="F17" i="298"/>
  <c r="E17" i="298"/>
  <c r="D17" i="298"/>
  <c r="M16" i="298"/>
  <c r="L16" i="298"/>
  <c r="K16" i="298"/>
  <c r="J16" i="298"/>
  <c r="I16" i="298"/>
  <c r="H16" i="298"/>
  <c r="G16" i="298"/>
  <c r="F16" i="298"/>
  <c r="E16" i="298"/>
  <c r="D16" i="298"/>
  <c r="M13" i="298"/>
  <c r="L13" i="298"/>
  <c r="K13" i="298"/>
  <c r="I6" i="298" s="1"/>
  <c r="J13" i="298"/>
  <c r="I13" i="298"/>
  <c r="G13" i="298"/>
  <c r="E13" i="298"/>
  <c r="D13" i="298"/>
  <c r="F3" i="298"/>
  <c r="C3" i="298"/>
  <c r="O74" i="297"/>
  <c r="K74" i="297"/>
  <c r="AA73" i="297"/>
  <c r="V73" i="297"/>
  <c r="M73" i="297" s="1"/>
  <c r="U73" i="297"/>
  <c r="O73" i="297"/>
  <c r="K73" i="297"/>
  <c r="G73" i="297"/>
  <c r="V72" i="297"/>
  <c r="M72" i="297" s="1"/>
  <c r="U72" i="297"/>
  <c r="O72" i="297"/>
  <c r="K72" i="297"/>
  <c r="G72" i="297"/>
  <c r="X71" i="297"/>
  <c r="W71" i="297"/>
  <c r="V71" i="297"/>
  <c r="M71" i="297" s="1"/>
  <c r="U71" i="297"/>
  <c r="O71" i="297"/>
  <c r="K71" i="297"/>
  <c r="G71" i="297"/>
  <c r="V70" i="297"/>
  <c r="M70" i="297" s="1"/>
  <c r="U70" i="297"/>
  <c r="O70" i="297"/>
  <c r="K70" i="297"/>
  <c r="G70" i="297"/>
  <c r="V69" i="297"/>
  <c r="M69" i="297" s="1"/>
  <c r="U69" i="297"/>
  <c r="O69" i="297"/>
  <c r="K69" i="297"/>
  <c r="G69" i="297"/>
  <c r="V68" i="297"/>
  <c r="M68" i="297" s="1"/>
  <c r="U68" i="297"/>
  <c r="O68" i="297"/>
  <c r="K68" i="297"/>
  <c r="G68" i="297"/>
  <c r="V67" i="297"/>
  <c r="M67" i="297" s="1"/>
  <c r="U67" i="297"/>
  <c r="O67" i="297"/>
  <c r="K67" i="297"/>
  <c r="G67" i="297"/>
  <c r="X66" i="297"/>
  <c r="W66" i="297"/>
  <c r="V66" i="297"/>
  <c r="M66" i="297" s="1"/>
  <c r="O66" i="297"/>
  <c r="K66" i="297"/>
  <c r="G66" i="297"/>
  <c r="O65" i="297"/>
  <c r="K65" i="297"/>
  <c r="V64" i="297"/>
  <c r="U64" i="297"/>
  <c r="O64" i="297"/>
  <c r="M64" i="297"/>
  <c r="K64" i="297"/>
  <c r="G64" i="297"/>
  <c r="V63" i="297"/>
  <c r="U63" i="297"/>
  <c r="O63" i="297"/>
  <c r="M63" i="297"/>
  <c r="AB63" i="297" s="1"/>
  <c r="K63" i="297"/>
  <c r="G63" i="297"/>
  <c r="V62" i="297"/>
  <c r="U62" i="297"/>
  <c r="O62" i="297"/>
  <c r="M62" i="297"/>
  <c r="AA62" i="297" s="1"/>
  <c r="K62" i="297"/>
  <c r="G62" i="297"/>
  <c r="AB61" i="297"/>
  <c r="AA61" i="297"/>
  <c r="V61" i="297"/>
  <c r="U61" i="297"/>
  <c r="O61" i="297"/>
  <c r="M61" i="297"/>
  <c r="N61" i="297" s="1"/>
  <c r="K61" i="297"/>
  <c r="G61" i="297"/>
  <c r="AB60" i="297"/>
  <c r="AA60" i="297"/>
  <c r="V60" i="297"/>
  <c r="M60" i="297" s="1"/>
  <c r="N60" i="297" s="1"/>
  <c r="U60" i="297"/>
  <c r="O60" i="297"/>
  <c r="K60" i="297"/>
  <c r="G60" i="297"/>
  <c r="AB59" i="297"/>
  <c r="AA59" i="297"/>
  <c r="V59" i="297"/>
  <c r="M59" i="297" s="1"/>
  <c r="O59" i="297"/>
  <c r="K59" i="297"/>
  <c r="G59" i="297"/>
  <c r="O58" i="297"/>
  <c r="K58" i="297"/>
  <c r="V57" i="297"/>
  <c r="M57" i="297" s="1"/>
  <c r="U57" i="297"/>
  <c r="O57" i="297"/>
  <c r="K57" i="297"/>
  <c r="G57" i="297"/>
  <c r="AB56" i="297"/>
  <c r="V56" i="297"/>
  <c r="U56" i="297"/>
  <c r="O56" i="297"/>
  <c r="N56" i="297"/>
  <c r="M56" i="297"/>
  <c r="AA56" i="297" s="1"/>
  <c r="K56" i="297"/>
  <c r="G56" i="297"/>
  <c r="V55" i="297"/>
  <c r="U55" i="297"/>
  <c r="O55" i="297"/>
  <c r="N55" i="297"/>
  <c r="M55" i="297"/>
  <c r="K55" i="297"/>
  <c r="G55" i="297"/>
  <c r="V54" i="297"/>
  <c r="U54" i="297"/>
  <c r="O54" i="297"/>
  <c r="M54" i="297"/>
  <c r="K54" i="297"/>
  <c r="G54" i="297"/>
  <c r="V53" i="297"/>
  <c r="O53" i="297"/>
  <c r="M53" i="297"/>
  <c r="K53" i="297"/>
  <c r="G53" i="297"/>
  <c r="O52" i="297"/>
  <c r="K52" i="297"/>
  <c r="AA51" i="297"/>
  <c r="V51" i="297"/>
  <c r="M51" i="297" s="1"/>
  <c r="U51" i="297"/>
  <c r="O51" i="297"/>
  <c r="K51" i="297"/>
  <c r="G51" i="297"/>
  <c r="V50" i="297"/>
  <c r="M50" i="297" s="1"/>
  <c r="U50" i="297"/>
  <c r="O50" i="297"/>
  <c r="K50" i="297"/>
  <c r="G50" i="297"/>
  <c r="X49" i="297"/>
  <c r="W49" i="297"/>
  <c r="V49" i="297"/>
  <c r="M49" i="297" s="1"/>
  <c r="U49" i="297"/>
  <c r="O49" i="297"/>
  <c r="K49" i="297"/>
  <c r="G49" i="297"/>
  <c r="V48" i="297"/>
  <c r="M48" i="297" s="1"/>
  <c r="U48" i="297"/>
  <c r="O48" i="297"/>
  <c r="K48" i="297"/>
  <c r="G48" i="297"/>
  <c r="V47" i="297"/>
  <c r="M47" i="297" s="1"/>
  <c r="U47" i="297"/>
  <c r="O47" i="297"/>
  <c r="K47" i="297"/>
  <c r="G47" i="297"/>
  <c r="V46" i="297"/>
  <c r="M46" i="297" s="1"/>
  <c r="U46" i="297"/>
  <c r="O46" i="297"/>
  <c r="K46" i="297"/>
  <c r="G46" i="297"/>
  <c r="V45" i="297"/>
  <c r="M45" i="297" s="1"/>
  <c r="U45" i="297"/>
  <c r="O45" i="297"/>
  <c r="K45" i="297"/>
  <c r="G45" i="297"/>
  <c r="V44" i="297"/>
  <c r="M44" i="297" s="1"/>
  <c r="O44" i="297"/>
  <c r="K44" i="297"/>
  <c r="G44" i="297"/>
  <c r="O43" i="297"/>
  <c r="M43" i="297"/>
  <c r="K43" i="297"/>
  <c r="V42" i="297"/>
  <c r="U42" i="297"/>
  <c r="O42" i="297"/>
  <c r="M42" i="297"/>
  <c r="AA42" i="297" s="1"/>
  <c r="K42" i="297"/>
  <c r="G42" i="297"/>
  <c r="AB41" i="297"/>
  <c r="AA41" i="297"/>
  <c r="V41" i="297"/>
  <c r="U41" i="297"/>
  <c r="O41" i="297"/>
  <c r="M41" i="297"/>
  <c r="N41" i="297" s="1"/>
  <c r="K41" i="297"/>
  <c r="G41" i="297"/>
  <c r="AB40" i="297"/>
  <c r="AA40" i="297"/>
  <c r="X40" i="297"/>
  <c r="W40" i="297"/>
  <c r="V40" i="297"/>
  <c r="U40" i="297"/>
  <c r="O40" i="297"/>
  <c r="M40" i="297"/>
  <c r="N40" i="297" s="1"/>
  <c r="K40" i="297"/>
  <c r="G40" i="297"/>
  <c r="AB39" i="297"/>
  <c r="AA39" i="297"/>
  <c r="V39" i="297"/>
  <c r="U39" i="297"/>
  <c r="O39" i="297"/>
  <c r="M39" i="297"/>
  <c r="N39" i="297" s="1"/>
  <c r="K39" i="297"/>
  <c r="G39" i="297"/>
  <c r="AB38" i="297"/>
  <c r="AA38" i="297"/>
  <c r="V38" i="297"/>
  <c r="M38" i="297" s="1"/>
  <c r="N38" i="297" s="1"/>
  <c r="U38" i="297"/>
  <c r="O38" i="297"/>
  <c r="K38" i="297"/>
  <c r="G38" i="297"/>
  <c r="AA37" i="297"/>
  <c r="V37" i="297"/>
  <c r="M37" i="297" s="1"/>
  <c r="U37" i="297"/>
  <c r="O37" i="297"/>
  <c r="K37" i="297"/>
  <c r="G37" i="297"/>
  <c r="V36" i="297"/>
  <c r="M36" i="297" s="1"/>
  <c r="U36" i="297"/>
  <c r="O36" i="297"/>
  <c r="K36" i="297"/>
  <c r="G36" i="297"/>
  <c r="V35" i="297"/>
  <c r="M35" i="297" s="1"/>
  <c r="U35" i="297"/>
  <c r="O35" i="297"/>
  <c r="K35" i="297"/>
  <c r="G35" i="297"/>
  <c r="X34" i="297"/>
  <c r="W34" i="297"/>
  <c r="V34" i="297"/>
  <c r="M34" i="297" s="1"/>
  <c r="O34" i="297"/>
  <c r="K34" i="297"/>
  <c r="G34" i="297"/>
  <c r="O33" i="297"/>
  <c r="K33" i="297"/>
  <c r="AB32" i="297"/>
  <c r="V32" i="297"/>
  <c r="U32" i="297"/>
  <c r="O32" i="297"/>
  <c r="N32" i="297"/>
  <c r="M32" i="297"/>
  <c r="AA32" i="297" s="1"/>
  <c r="K32" i="297"/>
  <c r="G32" i="297"/>
  <c r="X31" i="297"/>
  <c r="W31" i="297"/>
  <c r="V31" i="297"/>
  <c r="M31" i="297" s="1"/>
  <c r="U31" i="297"/>
  <c r="O31" i="297"/>
  <c r="K31" i="297"/>
  <c r="G31" i="297"/>
  <c r="AB30" i="297"/>
  <c r="V30" i="297"/>
  <c r="U30" i="297"/>
  <c r="O30" i="297"/>
  <c r="N30" i="297"/>
  <c r="M30" i="297"/>
  <c r="AA30" i="297" s="1"/>
  <c r="K30" i="297"/>
  <c r="G30" i="297"/>
  <c r="V29" i="297"/>
  <c r="U29" i="297"/>
  <c r="O29" i="297"/>
  <c r="N29" i="297"/>
  <c r="M29" i="297"/>
  <c r="K29" i="297"/>
  <c r="G29" i="297"/>
  <c r="X28" i="297"/>
  <c r="W28" i="297"/>
  <c r="V28" i="297"/>
  <c r="M28" i="297" s="1"/>
  <c r="O28" i="297"/>
  <c r="K28" i="297"/>
  <c r="G28" i="297"/>
  <c r="O27" i="297"/>
  <c r="M27" i="297"/>
  <c r="K27" i="297"/>
  <c r="G13" i="296" s="1"/>
  <c r="V26" i="297"/>
  <c r="U26" i="297"/>
  <c r="O26" i="297"/>
  <c r="M26" i="297"/>
  <c r="AA26" i="297" s="1"/>
  <c r="K26" i="297"/>
  <c r="G26" i="297"/>
  <c r="AB25" i="297"/>
  <c r="AA25" i="297"/>
  <c r="V25" i="297"/>
  <c r="U25" i="297"/>
  <c r="O25" i="297"/>
  <c r="M25" i="297"/>
  <c r="N25" i="297" s="1"/>
  <c r="K25" i="297"/>
  <c r="G25" i="297"/>
  <c r="AB24" i="297"/>
  <c r="AA24" i="297"/>
  <c r="V24" i="297"/>
  <c r="M24" i="297" s="1"/>
  <c r="N24" i="297" s="1"/>
  <c r="U24" i="297"/>
  <c r="O24" i="297"/>
  <c r="K24" i="297"/>
  <c r="G24" i="297"/>
  <c r="AA23" i="297"/>
  <c r="V23" i="297"/>
  <c r="M23" i="297" s="1"/>
  <c r="U23" i="297"/>
  <c r="O23" i="297"/>
  <c r="K23" i="297"/>
  <c r="G23" i="297"/>
  <c r="V22" i="297"/>
  <c r="M22" i="297" s="1"/>
  <c r="U22" i="297"/>
  <c r="O22" i="297"/>
  <c r="K22" i="297"/>
  <c r="G22" i="297"/>
  <c r="V21" i="297"/>
  <c r="M21" i="297" s="1"/>
  <c r="U21" i="297"/>
  <c r="O21" i="297"/>
  <c r="K21" i="297"/>
  <c r="G21" i="297"/>
  <c r="V20" i="297"/>
  <c r="M20" i="297" s="1"/>
  <c r="U20" i="297"/>
  <c r="O20" i="297"/>
  <c r="K20" i="297"/>
  <c r="G20" i="297"/>
  <c r="V19" i="297"/>
  <c r="M19" i="297" s="1"/>
  <c r="O19" i="297"/>
  <c r="K19" i="297"/>
  <c r="G19" i="297"/>
  <c r="O18" i="297"/>
  <c r="M18" i="297"/>
  <c r="N18" i="297" s="1"/>
  <c r="K18" i="297"/>
  <c r="V17" i="297"/>
  <c r="U17" i="297"/>
  <c r="O17" i="297"/>
  <c r="M17" i="297"/>
  <c r="K17" i="297"/>
  <c r="G17" i="297"/>
  <c r="V16" i="297"/>
  <c r="U16" i="297"/>
  <c r="O16" i="297"/>
  <c r="M16" i="297"/>
  <c r="AA16" i="297" s="1"/>
  <c r="K16" i="297"/>
  <c r="G16" i="297"/>
  <c r="AB15" i="297"/>
  <c r="AA15" i="297"/>
  <c r="V15" i="297"/>
  <c r="U15" i="297"/>
  <c r="O15" i="297"/>
  <c r="M15" i="297"/>
  <c r="N15" i="297" s="1"/>
  <c r="K15" i="297"/>
  <c r="G15" i="297"/>
  <c r="AB14" i="297"/>
  <c r="AA14" i="297"/>
  <c r="V14" i="297"/>
  <c r="O14" i="297"/>
  <c r="M14" i="297"/>
  <c r="N14" i="297" s="1"/>
  <c r="K14" i="297"/>
  <c r="G14" i="297"/>
  <c r="O13" i="297"/>
  <c r="K13" i="297"/>
  <c r="V12" i="297"/>
  <c r="M12" i="297" s="1"/>
  <c r="U12" i="297"/>
  <c r="O12" i="297"/>
  <c r="K12" i="297"/>
  <c r="G12" i="297"/>
  <c r="X11" i="297"/>
  <c r="W11" i="297"/>
  <c r="V11" i="297"/>
  <c r="M11" i="297" s="1"/>
  <c r="U11" i="297"/>
  <c r="O11" i="297"/>
  <c r="K11" i="297"/>
  <c r="G11" i="297"/>
  <c r="V10" i="297"/>
  <c r="M10" i="297" s="1"/>
  <c r="U10" i="297"/>
  <c r="O10" i="297"/>
  <c r="K10" i="297"/>
  <c r="G10" i="297"/>
  <c r="X9" i="297"/>
  <c r="W9" i="297"/>
  <c r="V9" i="297"/>
  <c r="M9" i="297" s="1"/>
  <c r="O9" i="297"/>
  <c r="K9" i="297"/>
  <c r="G9" i="297"/>
  <c r="O8" i="297"/>
  <c r="K8" i="297"/>
  <c r="V7" i="297"/>
  <c r="U7" i="297"/>
  <c r="O7" i="297"/>
  <c r="N7" i="297"/>
  <c r="M7" i="297"/>
  <c r="K7" i="297"/>
  <c r="G7" i="297"/>
  <c r="V6" i="297"/>
  <c r="U6" i="297"/>
  <c r="O6" i="297"/>
  <c r="N6" i="297"/>
  <c r="M6" i="297"/>
  <c r="K6" i="297"/>
  <c r="G6" i="297"/>
  <c r="V5" i="297"/>
  <c r="O5" i="297"/>
  <c r="N5" i="297"/>
  <c r="M5" i="297"/>
  <c r="K5" i="297"/>
  <c r="G5" i="297"/>
  <c r="F1" i="297" s="1"/>
  <c r="H2" i="297"/>
  <c r="H1" i="297"/>
  <c r="D1" i="297"/>
  <c r="M18" i="296"/>
  <c r="L18" i="296"/>
  <c r="K18" i="296"/>
  <c r="J18" i="296"/>
  <c r="I18" i="296"/>
  <c r="H18" i="296"/>
  <c r="G18" i="296"/>
  <c r="F18" i="296"/>
  <c r="E18" i="296"/>
  <c r="D18" i="296"/>
  <c r="M17" i="296"/>
  <c r="L17" i="296"/>
  <c r="K17" i="296"/>
  <c r="J17" i="296"/>
  <c r="I17" i="296"/>
  <c r="H17" i="296"/>
  <c r="G17" i="296"/>
  <c r="F17" i="296"/>
  <c r="E17" i="296"/>
  <c r="D17" i="296"/>
  <c r="M16" i="296"/>
  <c r="L16" i="296"/>
  <c r="K16" i="296"/>
  <c r="J16" i="296"/>
  <c r="I16" i="296"/>
  <c r="H16" i="296"/>
  <c r="G16" i="296"/>
  <c r="F16" i="296"/>
  <c r="E16" i="296"/>
  <c r="D16" i="296"/>
  <c r="M13" i="296"/>
  <c r="L13" i="296"/>
  <c r="K13" i="296"/>
  <c r="I6" i="296" s="1"/>
  <c r="J13" i="296"/>
  <c r="I13" i="296"/>
  <c r="H13" i="296"/>
  <c r="F13" i="296"/>
  <c r="E13" i="296"/>
  <c r="D13" i="296"/>
  <c r="F3" i="296"/>
  <c r="C3" i="296"/>
  <c r="O76" i="295"/>
  <c r="K76" i="295"/>
  <c r="AB75" i="295"/>
  <c r="AA75" i="295"/>
  <c r="V75" i="295"/>
  <c r="M75" i="295" s="1"/>
  <c r="N75" i="295" s="1"/>
  <c r="U75" i="295"/>
  <c r="O75" i="295"/>
  <c r="K75" i="295"/>
  <c r="G75" i="295"/>
  <c r="AA74" i="295"/>
  <c r="V74" i="295"/>
  <c r="M74" i="295" s="1"/>
  <c r="U74" i="295"/>
  <c r="O74" i="295"/>
  <c r="K74" i="295"/>
  <c r="G74" i="295"/>
  <c r="X73" i="295"/>
  <c r="W73" i="295"/>
  <c r="V73" i="295"/>
  <c r="M73" i="295" s="1"/>
  <c r="U73" i="295"/>
  <c r="O73" i="295"/>
  <c r="K73" i="295"/>
  <c r="G73" i="295"/>
  <c r="AA72" i="295"/>
  <c r="V72" i="295"/>
  <c r="M72" i="295" s="1"/>
  <c r="U72" i="295"/>
  <c r="O72" i="295"/>
  <c r="K72" i="295"/>
  <c r="G72" i="295"/>
  <c r="V71" i="295"/>
  <c r="M71" i="295" s="1"/>
  <c r="U71" i="295"/>
  <c r="O71" i="295"/>
  <c r="K71" i="295"/>
  <c r="G71" i="295"/>
  <c r="V70" i="295"/>
  <c r="M70" i="295" s="1"/>
  <c r="U70" i="295"/>
  <c r="O70" i="295"/>
  <c r="K70" i="295"/>
  <c r="G70" i="295"/>
  <c r="V69" i="295"/>
  <c r="M69" i="295" s="1"/>
  <c r="U69" i="295"/>
  <c r="Q69" i="295"/>
  <c r="P69" i="295"/>
  <c r="O69" i="295"/>
  <c r="N69" i="295"/>
  <c r="K69" i="295"/>
  <c r="G69" i="295"/>
  <c r="X68" i="295"/>
  <c r="W68" i="295"/>
  <c r="V68" i="295"/>
  <c r="M68" i="295" s="1"/>
  <c r="O68" i="295"/>
  <c r="K68" i="295"/>
  <c r="G68" i="295"/>
  <c r="O67" i="295"/>
  <c r="M67" i="295"/>
  <c r="N67" i="295" s="1"/>
  <c r="K67" i="295"/>
  <c r="V66" i="295"/>
  <c r="U66" i="295"/>
  <c r="O66" i="295"/>
  <c r="N66" i="295"/>
  <c r="M66" i="295"/>
  <c r="K66" i="295"/>
  <c r="G66" i="295"/>
  <c r="V65" i="295"/>
  <c r="U65" i="295"/>
  <c r="O65" i="295"/>
  <c r="M65" i="295"/>
  <c r="K65" i="295"/>
  <c r="G65" i="295"/>
  <c r="AB64" i="295"/>
  <c r="V64" i="295"/>
  <c r="U64" i="295"/>
  <c r="O64" i="295"/>
  <c r="M64" i="295"/>
  <c r="AA64" i="295" s="1"/>
  <c r="K64" i="295"/>
  <c r="G64" i="295"/>
  <c r="AB63" i="295"/>
  <c r="AA63" i="295"/>
  <c r="V63" i="295"/>
  <c r="U63" i="295"/>
  <c r="O63" i="295"/>
  <c r="M63" i="295"/>
  <c r="N63" i="295" s="1"/>
  <c r="K63" i="295"/>
  <c r="G63" i="295"/>
  <c r="AB62" i="295"/>
  <c r="AA62" i="295"/>
  <c r="V62" i="295"/>
  <c r="M62" i="295" s="1"/>
  <c r="N62" i="295" s="1"/>
  <c r="U62" i="295"/>
  <c r="O62" i="295"/>
  <c r="K62" i="295"/>
  <c r="G62" i="295"/>
  <c r="AB61" i="295"/>
  <c r="AA61" i="295"/>
  <c r="V61" i="295"/>
  <c r="M61" i="295" s="1"/>
  <c r="N61" i="295" s="1"/>
  <c r="O61" i="295"/>
  <c r="K61" i="295"/>
  <c r="G61" i="295"/>
  <c r="O60" i="295"/>
  <c r="K60" i="295"/>
  <c r="V59" i="295"/>
  <c r="M59" i="295" s="1"/>
  <c r="U59" i="295"/>
  <c r="Q59" i="295"/>
  <c r="P59" i="295"/>
  <c r="O59" i="295"/>
  <c r="N59" i="295"/>
  <c r="K59" i="295"/>
  <c r="G59" i="295"/>
  <c r="V58" i="295"/>
  <c r="U58" i="295"/>
  <c r="O58" i="295"/>
  <c r="N58" i="295"/>
  <c r="Q58" i="295" s="1"/>
  <c r="M58" i="295"/>
  <c r="K58" i="295"/>
  <c r="G58" i="295"/>
  <c r="V57" i="295"/>
  <c r="O57" i="295"/>
  <c r="N57" i="295"/>
  <c r="M57" i="295"/>
  <c r="K57" i="295"/>
  <c r="G57" i="295"/>
  <c r="V56" i="295"/>
  <c r="U56" i="295"/>
  <c r="O56" i="295"/>
  <c r="M56" i="295"/>
  <c r="K56" i="295"/>
  <c r="G56" i="295"/>
  <c r="V55" i="295"/>
  <c r="O55" i="295"/>
  <c r="M55" i="295"/>
  <c r="K55" i="295"/>
  <c r="G55" i="295"/>
  <c r="O54" i="295"/>
  <c r="K54" i="295"/>
  <c r="AA53" i="295"/>
  <c r="V53" i="295"/>
  <c r="M53" i="295" s="1"/>
  <c r="U53" i="295"/>
  <c r="O53" i="295"/>
  <c r="K53" i="295"/>
  <c r="G53" i="295"/>
  <c r="V52" i="295"/>
  <c r="M52" i="295" s="1"/>
  <c r="U52" i="295"/>
  <c r="O52" i="295"/>
  <c r="K52" i="295"/>
  <c r="G52" i="295"/>
  <c r="X51" i="295"/>
  <c r="W51" i="295"/>
  <c r="V51" i="295"/>
  <c r="M51" i="295" s="1"/>
  <c r="U51" i="295"/>
  <c r="O51" i="295"/>
  <c r="K51" i="295"/>
  <c r="G51" i="295"/>
  <c r="V50" i="295"/>
  <c r="M50" i="295" s="1"/>
  <c r="U50" i="295"/>
  <c r="O50" i="295"/>
  <c r="K50" i="295"/>
  <c r="G50" i="295"/>
  <c r="V49" i="295"/>
  <c r="M49" i="295" s="1"/>
  <c r="U49" i="295"/>
  <c r="O49" i="295"/>
  <c r="K49" i="295"/>
  <c r="G49" i="295"/>
  <c r="V48" i="295"/>
  <c r="M48" i="295" s="1"/>
  <c r="U48" i="295"/>
  <c r="Q48" i="295"/>
  <c r="P48" i="295"/>
  <c r="O48" i="295"/>
  <c r="N48" i="295"/>
  <c r="K48" i="295"/>
  <c r="G48" i="295"/>
  <c r="V47" i="295"/>
  <c r="U47" i="295"/>
  <c r="O47" i="295"/>
  <c r="N47" i="295"/>
  <c r="Q47" i="295" s="1"/>
  <c r="M47" i="295"/>
  <c r="K47" i="295"/>
  <c r="G47" i="295"/>
  <c r="V46" i="295"/>
  <c r="P46" i="295"/>
  <c r="O46" i="295"/>
  <c r="N46" i="295"/>
  <c r="Q46" i="295" s="1"/>
  <c r="M46" i="295"/>
  <c r="K46" i="295"/>
  <c r="G46" i="295"/>
  <c r="O45" i="295"/>
  <c r="M45" i="295"/>
  <c r="K45" i="295"/>
  <c r="AB44" i="295"/>
  <c r="AA44" i="295"/>
  <c r="V44" i="295"/>
  <c r="U44" i="295"/>
  <c r="O44" i="295"/>
  <c r="M44" i="295"/>
  <c r="N44" i="295" s="1"/>
  <c r="AA43" i="295"/>
  <c r="V43" i="295"/>
  <c r="M43" i="295" s="1"/>
  <c r="U43" i="295"/>
  <c r="O43" i="295"/>
  <c r="V42" i="295"/>
  <c r="M42" i="295" s="1"/>
  <c r="U42" i="295"/>
  <c r="Q42" i="295"/>
  <c r="P42" i="295"/>
  <c r="O42" i="295"/>
  <c r="N42" i="295"/>
  <c r="X41" i="295"/>
  <c r="W41" i="295"/>
  <c r="V41" i="295"/>
  <c r="U41" i="295"/>
  <c r="O41" i="295"/>
  <c r="N41" i="295"/>
  <c r="Q41" i="295" s="1"/>
  <c r="M41" i="295"/>
  <c r="V40" i="295"/>
  <c r="U40" i="295"/>
  <c r="O40" i="295"/>
  <c r="M40" i="295"/>
  <c r="AB39" i="295"/>
  <c r="AA39" i="295"/>
  <c r="V39" i="295"/>
  <c r="M39" i="295" s="1"/>
  <c r="N39" i="295" s="1"/>
  <c r="U39" i="295"/>
  <c r="O39" i="295"/>
  <c r="AA38" i="295"/>
  <c r="V38" i="295"/>
  <c r="M38" i="295" s="1"/>
  <c r="U38" i="295"/>
  <c r="O38" i="295"/>
  <c r="V37" i="295"/>
  <c r="U37" i="295"/>
  <c r="O37" i="295"/>
  <c r="N37" i="295"/>
  <c r="Q37" i="295" s="1"/>
  <c r="M37" i="295"/>
  <c r="V36" i="295"/>
  <c r="U36" i="295"/>
  <c r="O36" i="295"/>
  <c r="N36" i="295"/>
  <c r="M36" i="295"/>
  <c r="AB35" i="295"/>
  <c r="AA35" i="295"/>
  <c r="X35" i="295"/>
  <c r="W35" i="295"/>
  <c r="V35" i="295"/>
  <c r="O35" i="295"/>
  <c r="N35" i="295"/>
  <c r="M35" i="295"/>
  <c r="O34" i="295"/>
  <c r="K34" i="295"/>
  <c r="V33" i="295"/>
  <c r="M33" i="295" s="1"/>
  <c r="U33" i="295"/>
  <c r="O33" i="295"/>
  <c r="K33" i="295"/>
  <c r="G33" i="295"/>
  <c r="V32" i="295"/>
  <c r="M32" i="295" s="1"/>
  <c r="U32" i="295"/>
  <c r="O32" i="295"/>
  <c r="N32" i="295"/>
  <c r="Q32" i="295" s="1"/>
  <c r="K32" i="295"/>
  <c r="G32" i="295"/>
  <c r="X31" i="295"/>
  <c r="W31" i="295"/>
  <c r="V31" i="295"/>
  <c r="M31" i="295" s="1"/>
  <c r="U31" i="295"/>
  <c r="O31" i="295"/>
  <c r="K31" i="295"/>
  <c r="G31" i="295"/>
  <c r="V30" i="295"/>
  <c r="M30" i="295" s="1"/>
  <c r="U30" i="295"/>
  <c r="Q30" i="295"/>
  <c r="P30" i="295"/>
  <c r="O30" i="295"/>
  <c r="N30" i="295"/>
  <c r="K30" i="295"/>
  <c r="G30" i="295"/>
  <c r="V29" i="295"/>
  <c r="U29" i="295"/>
  <c r="O29" i="295"/>
  <c r="N29" i="295"/>
  <c r="Q29" i="295" s="1"/>
  <c r="M29" i="295"/>
  <c r="K29" i="295"/>
  <c r="G29" i="295"/>
  <c r="X28" i="295"/>
  <c r="W28" i="295"/>
  <c r="V28" i="295"/>
  <c r="M28" i="295" s="1"/>
  <c r="O28" i="295"/>
  <c r="K28" i="295"/>
  <c r="G28" i="295"/>
  <c r="O27" i="295"/>
  <c r="M27" i="295"/>
  <c r="N27" i="295" s="1"/>
  <c r="P27" i="295" s="1"/>
  <c r="K27" i="295"/>
  <c r="G13" i="294" s="1"/>
  <c r="V26" i="295"/>
  <c r="U26" i="295"/>
  <c r="O26" i="295"/>
  <c r="N26" i="295"/>
  <c r="M26" i="295"/>
  <c r="K26" i="295"/>
  <c r="G26" i="295"/>
  <c r="AB25" i="295"/>
  <c r="V25" i="295"/>
  <c r="U25" i="295"/>
  <c r="O25" i="295"/>
  <c r="M25" i="295"/>
  <c r="K25" i="295"/>
  <c r="G25" i="295"/>
  <c r="AB24" i="295"/>
  <c r="AA24" i="295"/>
  <c r="V24" i="295"/>
  <c r="O24" i="295"/>
  <c r="N24" i="295"/>
  <c r="Q24" i="295" s="1"/>
  <c r="M24" i="295"/>
  <c r="K24" i="295"/>
  <c r="G24" i="295"/>
  <c r="AB23" i="295"/>
  <c r="AA23" i="295"/>
  <c r="V23" i="295"/>
  <c r="M23" i="295" s="1"/>
  <c r="N23" i="295" s="1"/>
  <c r="U23" i="295"/>
  <c r="O23" i="295"/>
  <c r="K23" i="295"/>
  <c r="G23" i="295"/>
  <c r="AB22" i="295"/>
  <c r="AA22" i="295"/>
  <c r="V22" i="295"/>
  <c r="M22" i="295" s="1"/>
  <c r="N22" i="295" s="1"/>
  <c r="P22" i="295" s="1"/>
  <c r="U22" i="295"/>
  <c r="Q22" i="295"/>
  <c r="O22" i="295"/>
  <c r="K22" i="295"/>
  <c r="G22" i="295"/>
  <c r="AA21" i="295"/>
  <c r="V21" i="295"/>
  <c r="M21" i="295" s="1"/>
  <c r="U21" i="295"/>
  <c r="O21" i="295"/>
  <c r="K21" i="295"/>
  <c r="G21" i="295"/>
  <c r="V20" i="295"/>
  <c r="M20" i="295" s="1"/>
  <c r="U20" i="295"/>
  <c r="O20" i="295"/>
  <c r="K20" i="295"/>
  <c r="G20" i="295"/>
  <c r="V19" i="295"/>
  <c r="M19" i="295" s="1"/>
  <c r="O19" i="295"/>
  <c r="K19" i="295"/>
  <c r="G19" i="295"/>
  <c r="O18" i="295"/>
  <c r="N18" i="295"/>
  <c r="M18" i="295"/>
  <c r="K18" i="295"/>
  <c r="F13" i="294" s="1"/>
  <c r="V17" i="295"/>
  <c r="U17" i="295"/>
  <c r="O17" i="295"/>
  <c r="N17" i="295"/>
  <c r="M17" i="295"/>
  <c r="K17" i="295"/>
  <c r="G17" i="295"/>
  <c r="AB16" i="295"/>
  <c r="V16" i="295"/>
  <c r="O16" i="295"/>
  <c r="M16" i="295"/>
  <c r="AA16" i="295" s="1"/>
  <c r="K16" i="295"/>
  <c r="G16" i="295"/>
  <c r="AB15" i="295"/>
  <c r="AA15" i="295"/>
  <c r="V15" i="295"/>
  <c r="M15" i="295" s="1"/>
  <c r="N15" i="295" s="1"/>
  <c r="U15" i="295"/>
  <c r="O15" i="295"/>
  <c r="K15" i="295"/>
  <c r="G15" i="295"/>
  <c r="AB14" i="295"/>
  <c r="AA14" i="295"/>
  <c r="V14" i="295"/>
  <c r="M14" i="295" s="1"/>
  <c r="N14" i="295" s="1"/>
  <c r="O14" i="295"/>
  <c r="K14" i="295"/>
  <c r="G14" i="295"/>
  <c r="O13" i="295"/>
  <c r="K13" i="295"/>
  <c r="V12" i="295"/>
  <c r="M12" i="295" s="1"/>
  <c r="U12" i="295"/>
  <c r="O12" i="295"/>
  <c r="N12" i="295"/>
  <c r="Q12" i="295" s="1"/>
  <c r="K12" i="295"/>
  <c r="G12" i="295"/>
  <c r="X11" i="295"/>
  <c r="W11" i="295"/>
  <c r="V11" i="295"/>
  <c r="M11" i="295" s="1"/>
  <c r="U11" i="295"/>
  <c r="O11" i="295"/>
  <c r="K11" i="295"/>
  <c r="G11" i="295"/>
  <c r="V10" i="295"/>
  <c r="M10" i="295" s="1"/>
  <c r="U10" i="295"/>
  <c r="Q10" i="295"/>
  <c r="P10" i="295"/>
  <c r="O10" i="295"/>
  <c r="N10" i="295"/>
  <c r="K10" i="295"/>
  <c r="G10" i="295"/>
  <c r="X9" i="295"/>
  <c r="W9" i="295"/>
  <c r="V9" i="295"/>
  <c r="M9" i="295" s="1"/>
  <c r="O9" i="295"/>
  <c r="K9" i="295"/>
  <c r="G9" i="295"/>
  <c r="Q8" i="295"/>
  <c r="R5" i="295" s="1"/>
  <c r="P8" i="295"/>
  <c r="O8" i="295"/>
  <c r="N8" i="295"/>
  <c r="M8" i="295"/>
  <c r="K8" i="295"/>
  <c r="V7" i="295"/>
  <c r="U7" i="295"/>
  <c r="O7" i="295"/>
  <c r="N7" i="295"/>
  <c r="M7" i="295"/>
  <c r="K7" i="295"/>
  <c r="G7" i="295"/>
  <c r="V6" i="295"/>
  <c r="U6" i="295"/>
  <c r="O6" i="295"/>
  <c r="N6" i="295"/>
  <c r="M6" i="295"/>
  <c r="K6" i="295"/>
  <c r="G6" i="295"/>
  <c r="V5" i="295"/>
  <c r="O5" i="295"/>
  <c r="N5" i="295"/>
  <c r="M5" i="295"/>
  <c r="K5" i="295"/>
  <c r="G5" i="295"/>
  <c r="F1" i="295" s="1"/>
  <c r="H2" i="295"/>
  <c r="H1" i="295"/>
  <c r="D1" i="295"/>
  <c r="M18" i="294"/>
  <c r="L18" i="294"/>
  <c r="K18" i="294"/>
  <c r="J18" i="294"/>
  <c r="I18" i="294"/>
  <c r="H18" i="294"/>
  <c r="G18" i="294"/>
  <c r="F18" i="294"/>
  <c r="E18" i="294"/>
  <c r="D18" i="294"/>
  <c r="M17" i="294"/>
  <c r="L17" i="294"/>
  <c r="K17" i="294"/>
  <c r="J17" i="294"/>
  <c r="I17" i="294"/>
  <c r="H17" i="294"/>
  <c r="G17" i="294"/>
  <c r="F17" i="294"/>
  <c r="E17" i="294"/>
  <c r="D17" i="294"/>
  <c r="M16" i="294"/>
  <c r="L16" i="294"/>
  <c r="K16" i="294"/>
  <c r="J16" i="294"/>
  <c r="I16" i="294"/>
  <c r="H16" i="294"/>
  <c r="G16" i="294"/>
  <c r="F16" i="294"/>
  <c r="E16" i="294"/>
  <c r="D16" i="294"/>
  <c r="M13" i="294"/>
  <c r="L13" i="294"/>
  <c r="K13" i="294"/>
  <c r="J13" i="294"/>
  <c r="I13" i="294"/>
  <c r="H13" i="294"/>
  <c r="E13" i="294"/>
  <c r="D13" i="294"/>
  <c r="F3" i="294"/>
  <c r="C3" i="294"/>
  <c r="E8" i="304" l="1"/>
  <c r="G6" i="298"/>
  <c r="F6" i="298"/>
  <c r="F6" i="296"/>
  <c r="G6" i="294"/>
  <c r="P18" i="295"/>
  <c r="K15" i="302"/>
  <c r="I8" i="302" s="1"/>
  <c r="I7" i="302"/>
  <c r="G7" i="302"/>
  <c r="F7" i="302"/>
  <c r="G8" i="302"/>
  <c r="F8" i="302"/>
  <c r="E7" i="302"/>
  <c r="E14" i="300"/>
  <c r="Q13" i="301"/>
  <c r="R9" i="301" s="1"/>
  <c r="P13" i="301"/>
  <c r="D2" i="301"/>
  <c r="Q67" i="301"/>
  <c r="R61" i="301" s="1"/>
  <c r="M14" i="300"/>
  <c r="M15" i="300" s="1"/>
  <c r="P67" i="301"/>
  <c r="Q40" i="301"/>
  <c r="R33" i="301" s="1"/>
  <c r="P40" i="301"/>
  <c r="L14" i="300"/>
  <c r="P27" i="301"/>
  <c r="G14" i="300"/>
  <c r="G15" i="300" s="1"/>
  <c r="Q27" i="301"/>
  <c r="R19" i="301" s="1"/>
  <c r="Q47" i="301"/>
  <c r="R41" i="301" s="1"/>
  <c r="H14" i="300"/>
  <c r="H15" i="300" s="1"/>
  <c r="P47" i="301"/>
  <c r="Q6" i="299"/>
  <c r="P6" i="299"/>
  <c r="N47" i="299"/>
  <c r="AA47" i="299"/>
  <c r="AB47" i="299"/>
  <c r="Q68" i="299"/>
  <c r="AA70" i="299"/>
  <c r="N70" i="299"/>
  <c r="AB70" i="299"/>
  <c r="N50" i="299"/>
  <c r="AB50" i="299"/>
  <c r="AA50" i="299"/>
  <c r="N21" i="299"/>
  <c r="AA21" i="299"/>
  <c r="AB21" i="299"/>
  <c r="AB65" i="299"/>
  <c r="AC59" i="299" s="1"/>
  <c r="AA65" i="299"/>
  <c r="N65" i="299"/>
  <c r="N19" i="299"/>
  <c r="AB19" i="299"/>
  <c r="AA19" i="299"/>
  <c r="P28" i="299"/>
  <c r="AA53" i="299"/>
  <c r="N53" i="299"/>
  <c r="AB53" i="299"/>
  <c r="M58" i="299"/>
  <c r="M27" i="299"/>
  <c r="AA54" i="299"/>
  <c r="AB54" i="299"/>
  <c r="N54" i="299"/>
  <c r="N11" i="299"/>
  <c r="AB11" i="299"/>
  <c r="AA11" i="299"/>
  <c r="P29" i="299"/>
  <c r="Q29" i="299"/>
  <c r="AB17" i="299"/>
  <c r="AA17" i="299"/>
  <c r="N17" i="299"/>
  <c r="P55" i="299"/>
  <c r="Q55" i="299"/>
  <c r="AB22" i="299"/>
  <c r="N22" i="299"/>
  <c r="P67" i="299"/>
  <c r="N10" i="299"/>
  <c r="AB10" i="299"/>
  <c r="AA10" i="299"/>
  <c r="M8" i="299"/>
  <c r="AB5" i="299"/>
  <c r="AA5" i="299"/>
  <c r="N12" i="299"/>
  <c r="AB12" i="299"/>
  <c r="AA12" i="299"/>
  <c r="N20" i="299"/>
  <c r="AB20" i="299"/>
  <c r="AA20" i="299"/>
  <c r="AB48" i="299"/>
  <c r="N48" i="299"/>
  <c r="AA48" i="299"/>
  <c r="F2" i="299"/>
  <c r="I3" i="298"/>
  <c r="AB36" i="299"/>
  <c r="N36" i="299"/>
  <c r="AA36" i="299"/>
  <c r="P44" i="299"/>
  <c r="Q5" i="299"/>
  <c r="P5" i="299"/>
  <c r="N72" i="299"/>
  <c r="AB72" i="299"/>
  <c r="AA72" i="299"/>
  <c r="AA69" i="299"/>
  <c r="N69" i="299"/>
  <c r="AB69" i="299"/>
  <c r="AA64" i="299"/>
  <c r="N64" i="299"/>
  <c r="AB64" i="299"/>
  <c r="AA6" i="299"/>
  <c r="AB6" i="299"/>
  <c r="P7" i="299"/>
  <c r="Q7" i="299"/>
  <c r="AB43" i="299"/>
  <c r="AC34" i="299" s="1"/>
  <c r="AA43" i="299"/>
  <c r="N43" i="299"/>
  <c r="N46" i="299"/>
  <c r="AB46" i="299"/>
  <c r="M52" i="299"/>
  <c r="AA46" i="299"/>
  <c r="M13" i="299"/>
  <c r="N9" i="299"/>
  <c r="AB9" i="299"/>
  <c r="AA9" i="299"/>
  <c r="N33" i="299"/>
  <c r="AB33" i="299"/>
  <c r="AC28" i="299" s="1"/>
  <c r="N35" i="299"/>
  <c r="AA35" i="299"/>
  <c r="AB35" i="299"/>
  <c r="Q40" i="299"/>
  <c r="P40" i="299"/>
  <c r="P57" i="299"/>
  <c r="N66" i="299"/>
  <c r="AB66" i="299"/>
  <c r="M73" i="299"/>
  <c r="AA66" i="299"/>
  <c r="M18" i="299"/>
  <c r="AA40" i="299"/>
  <c r="N16" i="299"/>
  <c r="N26" i="299"/>
  <c r="N42" i="299"/>
  <c r="N62" i="299"/>
  <c r="N63" i="299"/>
  <c r="E6" i="298"/>
  <c r="Q61" i="299"/>
  <c r="P23" i="299"/>
  <c r="P34" i="299"/>
  <c r="P37" i="299"/>
  <c r="P49" i="299"/>
  <c r="P51" i="299"/>
  <c r="AA63" i="299"/>
  <c r="P71" i="299"/>
  <c r="P14" i="299"/>
  <c r="P15" i="299"/>
  <c r="P25" i="299"/>
  <c r="P39" i="299"/>
  <c r="P41" i="299"/>
  <c r="AA16" i="299"/>
  <c r="AA26" i="299"/>
  <c r="AA42" i="299"/>
  <c r="AA62" i="299"/>
  <c r="AB62" i="299"/>
  <c r="F2" i="297"/>
  <c r="I3" i="296"/>
  <c r="M8" i="297"/>
  <c r="AB5" i="297"/>
  <c r="AA5" i="297"/>
  <c r="Q5" i="297"/>
  <c r="P5" i="297"/>
  <c r="AB6" i="297"/>
  <c r="AA6" i="297"/>
  <c r="Q6" i="297"/>
  <c r="P6" i="297"/>
  <c r="AB7" i="297"/>
  <c r="AA7" i="297"/>
  <c r="Q7" i="297"/>
  <c r="P7" i="297"/>
  <c r="N9" i="297"/>
  <c r="M13" i="297"/>
  <c r="AB9" i="297"/>
  <c r="AA9" i="297"/>
  <c r="N10" i="297"/>
  <c r="AB10" i="297"/>
  <c r="AA10" i="297"/>
  <c r="N11" i="297"/>
  <c r="AB11" i="297"/>
  <c r="AA11" i="297"/>
  <c r="N12" i="297"/>
  <c r="AB12" i="297"/>
  <c r="AA12" i="297"/>
  <c r="Q14" i="297"/>
  <c r="P14" i="297"/>
  <c r="Q15" i="297"/>
  <c r="P15" i="297"/>
  <c r="AB17" i="297"/>
  <c r="AA17" i="297"/>
  <c r="N17" i="297"/>
  <c r="AB18" i="297"/>
  <c r="AC14" i="297" s="1"/>
  <c r="AA18" i="297"/>
  <c r="F14" i="296"/>
  <c r="F15" i="296" s="1"/>
  <c r="Q18" i="297"/>
  <c r="R14" i="297" s="1"/>
  <c r="P18" i="297"/>
  <c r="N19" i="297"/>
  <c r="AB19" i="297"/>
  <c r="AA19" i="297"/>
  <c r="N20" i="297"/>
  <c r="AB20" i="297"/>
  <c r="AA20" i="297"/>
  <c r="N21" i="297"/>
  <c r="AB21" i="297"/>
  <c r="AA21" i="297"/>
  <c r="N22" i="297"/>
  <c r="AA22" i="297"/>
  <c r="AB22" i="297"/>
  <c r="AB23" i="297"/>
  <c r="N23" i="297"/>
  <c r="Q24" i="297"/>
  <c r="P24" i="297"/>
  <c r="Q25" i="297"/>
  <c r="P25" i="297"/>
  <c r="N27" i="297"/>
  <c r="AB27" i="297"/>
  <c r="AC19" i="297" s="1"/>
  <c r="AA27" i="297"/>
  <c r="M33" i="297"/>
  <c r="AB28" i="297"/>
  <c r="AA28" i="297"/>
  <c r="N28" i="297"/>
  <c r="AB29" i="297"/>
  <c r="AA29" i="297"/>
  <c r="Q29" i="297"/>
  <c r="P29" i="297"/>
  <c r="P30" i="297"/>
  <c r="Q30" i="297"/>
  <c r="AB31" i="297"/>
  <c r="AA31" i="297"/>
  <c r="N31" i="297"/>
  <c r="P32" i="297"/>
  <c r="Q32" i="297"/>
  <c r="N34" i="297"/>
  <c r="AB34" i="297"/>
  <c r="AA34" i="297"/>
  <c r="N35" i="297"/>
  <c r="AB35" i="297"/>
  <c r="AA35" i="297"/>
  <c r="N36" i="297"/>
  <c r="AA36" i="297"/>
  <c r="AB36" i="297"/>
  <c r="AB37" i="297"/>
  <c r="N37" i="297"/>
  <c r="Q38" i="297"/>
  <c r="P38" i="297"/>
  <c r="Q39" i="297"/>
  <c r="P39" i="297"/>
  <c r="Q40" i="297"/>
  <c r="P40" i="297"/>
  <c r="Q41" i="297"/>
  <c r="P41" i="297"/>
  <c r="N43" i="297"/>
  <c r="L14" i="296" s="1"/>
  <c r="L15" i="296" s="1"/>
  <c r="AB43" i="297"/>
  <c r="AC34" i="297" s="1"/>
  <c r="AA43" i="297"/>
  <c r="AB44" i="297"/>
  <c r="AA44" i="297"/>
  <c r="M52" i="297"/>
  <c r="N44" i="297"/>
  <c r="AB45" i="297"/>
  <c r="AA45" i="297"/>
  <c r="N45" i="297"/>
  <c r="N46" i="297"/>
  <c r="AB46" i="297"/>
  <c r="AA46" i="297"/>
  <c r="N47" i="297"/>
  <c r="AB47" i="297"/>
  <c r="AA47" i="297"/>
  <c r="N48" i="297"/>
  <c r="AA48" i="297"/>
  <c r="AB48" i="297"/>
  <c r="N49" i="297"/>
  <c r="AB49" i="297"/>
  <c r="AA49" i="297"/>
  <c r="N50" i="297"/>
  <c r="AA50" i="297"/>
  <c r="AB50" i="297"/>
  <c r="AB51" i="297"/>
  <c r="N51" i="297"/>
  <c r="AB53" i="297"/>
  <c r="M58" i="297"/>
  <c r="AA58" i="297" s="1"/>
  <c r="AA53" i="297"/>
  <c r="N53" i="297"/>
  <c r="AB54" i="297"/>
  <c r="AA54" i="297"/>
  <c r="N54" i="297"/>
  <c r="AB55" i="297"/>
  <c r="AA55" i="297"/>
  <c r="Q55" i="297"/>
  <c r="P55" i="297"/>
  <c r="P56" i="297"/>
  <c r="Q56" i="297"/>
  <c r="AB57" i="297"/>
  <c r="AA57" i="297"/>
  <c r="N57" i="297"/>
  <c r="N59" i="297"/>
  <c r="M65" i="297"/>
  <c r="N65" i="297" s="1"/>
  <c r="J14" i="296" s="1"/>
  <c r="J15" i="296" s="1"/>
  <c r="Q60" i="297"/>
  <c r="P60" i="297"/>
  <c r="Q61" i="297"/>
  <c r="P61" i="297"/>
  <c r="AB64" i="297"/>
  <c r="AA64" i="297"/>
  <c r="N64" i="297"/>
  <c r="P65" i="297"/>
  <c r="N66" i="297"/>
  <c r="AB66" i="297"/>
  <c r="AA66" i="297"/>
  <c r="M74" i="297"/>
  <c r="AB67" i="297"/>
  <c r="AA67" i="297"/>
  <c r="N67" i="297"/>
  <c r="N68" i="297"/>
  <c r="AB68" i="297"/>
  <c r="AA68" i="297"/>
  <c r="N69" i="297"/>
  <c r="AB69" i="297"/>
  <c r="AA69" i="297"/>
  <c r="N70" i="297"/>
  <c r="AA70" i="297"/>
  <c r="AB70" i="297"/>
  <c r="N71" i="297"/>
  <c r="AB71" i="297"/>
  <c r="AA71" i="297"/>
  <c r="N72" i="297"/>
  <c r="AA72" i="297"/>
  <c r="AB72" i="297"/>
  <c r="AB73" i="297"/>
  <c r="N73" i="297"/>
  <c r="AB16" i="297"/>
  <c r="AB26" i="297"/>
  <c r="AB42" i="297"/>
  <c r="AB62" i="297"/>
  <c r="N63" i="297"/>
  <c r="N16" i="297"/>
  <c r="N26" i="297"/>
  <c r="N42" i="297"/>
  <c r="N62" i="297"/>
  <c r="G6" i="296"/>
  <c r="E6" i="296"/>
  <c r="AA63" i="297"/>
  <c r="Q67" i="295"/>
  <c r="R61" i="295" s="1"/>
  <c r="P67" i="295"/>
  <c r="J14" i="294"/>
  <c r="J15" i="294" s="1"/>
  <c r="P41" i="295"/>
  <c r="P47" i="295"/>
  <c r="I6" i="294"/>
  <c r="P37" i="295"/>
  <c r="P58" i="295"/>
  <c r="P12" i="295"/>
  <c r="P29" i="295"/>
  <c r="E6" i="294"/>
  <c r="P32" i="295"/>
  <c r="F2" i="295"/>
  <c r="I3" i="294"/>
  <c r="AB5" i="295"/>
  <c r="AA5" i="295"/>
  <c r="Q5" i="295"/>
  <c r="P5" i="295"/>
  <c r="AB6" i="295"/>
  <c r="AA6" i="295"/>
  <c r="Q6" i="295"/>
  <c r="P6" i="295"/>
  <c r="AB7" i="295"/>
  <c r="AA7" i="295"/>
  <c r="Q7" i="295"/>
  <c r="P7" i="295"/>
  <c r="AB8" i="295"/>
  <c r="AC5" i="295" s="1"/>
  <c r="AA8" i="295"/>
  <c r="D14" i="294"/>
  <c r="N9" i="295"/>
  <c r="M13" i="295"/>
  <c r="AB9" i="295"/>
  <c r="AA9" i="295"/>
  <c r="AB10" i="295"/>
  <c r="AA10" i="295"/>
  <c r="N11" i="295"/>
  <c r="AA11" i="295"/>
  <c r="AB11" i="295"/>
  <c r="AB12" i="295"/>
  <c r="AA12" i="295"/>
  <c r="Q14" i="295"/>
  <c r="P14" i="295"/>
  <c r="Q15" i="295"/>
  <c r="P15" i="295"/>
  <c r="AB17" i="295"/>
  <c r="AA17" i="295"/>
  <c r="Q17" i="295"/>
  <c r="P17" i="295"/>
  <c r="AB18" i="295"/>
  <c r="AC14" i="295" s="1"/>
  <c r="AA18" i="295"/>
  <c r="F14" i="294"/>
  <c r="F15" i="294" s="1"/>
  <c r="Q18" i="295"/>
  <c r="R14" i="295" s="1"/>
  <c r="N19" i="295"/>
  <c r="AB19" i="295"/>
  <c r="AA19" i="295"/>
  <c r="N20" i="295"/>
  <c r="AB20" i="295"/>
  <c r="AA20" i="295"/>
  <c r="N21" i="295"/>
  <c r="AB21" i="295"/>
  <c r="Q23" i="295"/>
  <c r="P23" i="295"/>
  <c r="AA25" i="295"/>
  <c r="N25" i="295"/>
  <c r="AB26" i="295"/>
  <c r="AA26" i="295"/>
  <c r="Q26" i="295"/>
  <c r="P26" i="295"/>
  <c r="AB27" i="295"/>
  <c r="AC19" i="295" s="1"/>
  <c r="AA27" i="295"/>
  <c r="G14" i="294"/>
  <c r="G15" i="294" s="1"/>
  <c r="Q27" i="295"/>
  <c r="R19" i="295" s="1"/>
  <c r="N28" i="295"/>
  <c r="AA28" i="295"/>
  <c r="M34" i="295"/>
  <c r="AB28" i="295"/>
  <c r="AA29" i="295"/>
  <c r="AB29" i="295"/>
  <c r="AB30" i="295"/>
  <c r="AA30" i="295"/>
  <c r="N31" i="295"/>
  <c r="AA31" i="295"/>
  <c r="AB31" i="295"/>
  <c r="AB32" i="295"/>
  <c r="AA32" i="295"/>
  <c r="N33" i="295"/>
  <c r="AB33" i="295"/>
  <c r="AA33" i="295"/>
  <c r="Q35" i="295"/>
  <c r="P35" i="295"/>
  <c r="AB36" i="295"/>
  <c r="AA36" i="295"/>
  <c r="Q36" i="295"/>
  <c r="P36" i="295"/>
  <c r="AA37" i="295"/>
  <c r="AB37" i="295"/>
  <c r="N38" i="295"/>
  <c r="AB38" i="295"/>
  <c r="Q39" i="295"/>
  <c r="P39" i="295"/>
  <c r="AB40" i="295"/>
  <c r="AA40" i="295"/>
  <c r="N40" i="295"/>
  <c r="AB41" i="295"/>
  <c r="AA41" i="295"/>
  <c r="AB42" i="295"/>
  <c r="AA42" i="295"/>
  <c r="AB43" i="295"/>
  <c r="N43" i="295"/>
  <c r="Q44" i="295"/>
  <c r="P44" i="295"/>
  <c r="N45" i="295"/>
  <c r="L14" i="294" s="1"/>
  <c r="L15" i="294" s="1"/>
  <c r="AB45" i="295"/>
  <c r="AC35" i="295" s="1"/>
  <c r="AA45" i="295"/>
  <c r="AA46" i="295"/>
  <c r="AB46" i="295"/>
  <c r="M54" i="295"/>
  <c r="AB54" i="295" s="1"/>
  <c r="AC46" i="295" s="1"/>
  <c r="AA47" i="295"/>
  <c r="AB47" i="295"/>
  <c r="AB48" i="295"/>
  <c r="AA48" i="295"/>
  <c r="N49" i="295"/>
  <c r="AB49" i="295"/>
  <c r="AA49" i="295"/>
  <c r="N50" i="295"/>
  <c r="AA50" i="295"/>
  <c r="AB50" i="295"/>
  <c r="N51" i="295"/>
  <c r="AB51" i="295"/>
  <c r="AA51" i="295"/>
  <c r="N52" i="295"/>
  <c r="AA52" i="295"/>
  <c r="AB52" i="295"/>
  <c r="AB53" i="295"/>
  <c r="N53" i="295"/>
  <c r="AB55" i="295"/>
  <c r="AA55" i="295"/>
  <c r="N55" i="295"/>
  <c r="M60" i="295"/>
  <c r="AB56" i="295"/>
  <c r="AA56" i="295"/>
  <c r="N56" i="295"/>
  <c r="AB57" i="295"/>
  <c r="AA57" i="295"/>
  <c r="Q57" i="295"/>
  <c r="P57" i="295"/>
  <c r="AA58" i="295"/>
  <c r="AB58" i="295"/>
  <c r="AB59" i="295"/>
  <c r="AA59" i="295"/>
  <c r="Q61" i="295"/>
  <c r="P61" i="295"/>
  <c r="Q62" i="295"/>
  <c r="P62" i="295"/>
  <c r="Q63" i="295"/>
  <c r="P63" i="295"/>
  <c r="AB65" i="295"/>
  <c r="AA65" i="295"/>
  <c r="N65" i="295"/>
  <c r="AB66" i="295"/>
  <c r="AA66" i="295"/>
  <c r="Q66" i="295"/>
  <c r="P66" i="295"/>
  <c r="AB67" i="295"/>
  <c r="AC61" i="295" s="1"/>
  <c r="AA67" i="295"/>
  <c r="N68" i="295"/>
  <c r="AB68" i="295"/>
  <c r="AA68" i="295"/>
  <c r="M76" i="295"/>
  <c r="AB69" i="295"/>
  <c r="AA69" i="295"/>
  <c r="N70" i="295"/>
  <c r="AB70" i="295"/>
  <c r="AA70" i="295"/>
  <c r="N71" i="295"/>
  <c r="AA71" i="295"/>
  <c r="AB71" i="295"/>
  <c r="AB72" i="295"/>
  <c r="N72" i="295"/>
  <c r="AA73" i="295"/>
  <c r="N73" i="295"/>
  <c r="AB73" i="295"/>
  <c r="AB74" i="295"/>
  <c r="N74" i="295"/>
  <c r="Q75" i="295"/>
  <c r="P75" i="295"/>
  <c r="N64" i="295"/>
  <c r="N16" i="295"/>
  <c r="F6" i="294"/>
  <c r="P24" i="295"/>
  <c r="O73" i="287"/>
  <c r="K73" i="287"/>
  <c r="AB72" i="287"/>
  <c r="V72" i="287"/>
  <c r="M72" i="287" s="1"/>
  <c r="U72" i="287"/>
  <c r="O72" i="287"/>
  <c r="K72" i="287"/>
  <c r="G72" i="287"/>
  <c r="AB71" i="287"/>
  <c r="AA71" i="287"/>
  <c r="V71" i="287"/>
  <c r="U71" i="287"/>
  <c r="O71" i="287"/>
  <c r="M71" i="287"/>
  <c r="N71" i="287" s="1"/>
  <c r="K71" i="287"/>
  <c r="G71" i="287"/>
  <c r="AA70" i="287"/>
  <c r="V70" i="287"/>
  <c r="M70" i="287" s="1"/>
  <c r="U70" i="287"/>
  <c r="O70" i="287"/>
  <c r="K70" i="287"/>
  <c r="G70" i="287"/>
  <c r="V69" i="287"/>
  <c r="M69" i="287" s="1"/>
  <c r="U69" i="287"/>
  <c r="O69" i="287"/>
  <c r="K69" i="287"/>
  <c r="G69" i="287"/>
  <c r="V68" i="287"/>
  <c r="M68" i="287" s="1"/>
  <c r="U68" i="287"/>
  <c r="O68" i="287"/>
  <c r="K68" i="287"/>
  <c r="G68" i="287"/>
  <c r="V67" i="287"/>
  <c r="M67" i="287" s="1"/>
  <c r="O67" i="287"/>
  <c r="K67" i="287"/>
  <c r="G67" i="287"/>
  <c r="O66" i="287"/>
  <c r="K66" i="287"/>
  <c r="V65" i="287"/>
  <c r="U65" i="287"/>
  <c r="O65" i="287"/>
  <c r="M65" i="287"/>
  <c r="K65" i="287"/>
  <c r="G65" i="287"/>
  <c r="AB64" i="287"/>
  <c r="AA64" i="287"/>
  <c r="V64" i="287"/>
  <c r="U64" i="287"/>
  <c r="O64" i="287"/>
  <c r="N64" i="287"/>
  <c r="Q64" i="287" s="1"/>
  <c r="M64" i="287"/>
  <c r="K64" i="287"/>
  <c r="P64" i="287" s="1"/>
  <c r="G64" i="287"/>
  <c r="V63" i="287"/>
  <c r="M63" i="287" s="1"/>
  <c r="U63" i="287"/>
  <c r="O63" i="287"/>
  <c r="K63" i="287"/>
  <c r="G63" i="287"/>
  <c r="AB62" i="287"/>
  <c r="V62" i="287"/>
  <c r="M62" i="287" s="1"/>
  <c r="U62" i="287"/>
  <c r="O62" i="287"/>
  <c r="K62" i="287"/>
  <c r="G62" i="287"/>
  <c r="AB61" i="287"/>
  <c r="AA61" i="287"/>
  <c r="V61" i="287"/>
  <c r="U61" i="287"/>
  <c r="O61" i="287"/>
  <c r="M61" i="287"/>
  <c r="N61" i="287" s="1"/>
  <c r="K61" i="287"/>
  <c r="G61" i="287"/>
  <c r="AB60" i="287"/>
  <c r="AA60" i="287"/>
  <c r="V60" i="287"/>
  <c r="O60" i="287"/>
  <c r="M60" i="287"/>
  <c r="N60" i="287" s="1"/>
  <c r="K60" i="287"/>
  <c r="G60" i="287"/>
  <c r="O59" i="287"/>
  <c r="K59" i="287"/>
  <c r="V58" i="287"/>
  <c r="U58" i="287"/>
  <c r="O58" i="287"/>
  <c r="M58" i="287"/>
  <c r="AB58" i="287" s="1"/>
  <c r="K58" i="287"/>
  <c r="G58" i="287"/>
  <c r="V57" i="287"/>
  <c r="M57" i="287" s="1"/>
  <c r="U57" i="287"/>
  <c r="O57" i="287"/>
  <c r="N57" i="287"/>
  <c r="K57" i="287"/>
  <c r="G57" i="287"/>
  <c r="V56" i="287"/>
  <c r="O56" i="287"/>
  <c r="N56" i="287"/>
  <c r="M56" i="287"/>
  <c r="K56" i="287"/>
  <c r="G56" i="287"/>
  <c r="V55" i="287"/>
  <c r="U55" i="287"/>
  <c r="O55" i="287"/>
  <c r="M55" i="287"/>
  <c r="K55" i="287"/>
  <c r="G55" i="287"/>
  <c r="V54" i="287"/>
  <c r="O54" i="287"/>
  <c r="M54" i="287"/>
  <c r="K54" i="287"/>
  <c r="G54" i="287"/>
  <c r="O53" i="287"/>
  <c r="K53" i="287"/>
  <c r="AA52" i="287"/>
  <c r="V52" i="287"/>
  <c r="M52" i="287" s="1"/>
  <c r="U52" i="287"/>
  <c r="O52" i="287"/>
  <c r="K52" i="287"/>
  <c r="G52" i="287"/>
  <c r="V51" i="287"/>
  <c r="M51" i="287" s="1"/>
  <c r="U51" i="287"/>
  <c r="O51" i="287"/>
  <c r="K51" i="287"/>
  <c r="G51" i="287"/>
  <c r="V50" i="287"/>
  <c r="M50" i="287" s="1"/>
  <c r="U50" i="287"/>
  <c r="O50" i="287"/>
  <c r="K50" i="287"/>
  <c r="G50" i="287"/>
  <c r="V49" i="287"/>
  <c r="U49" i="287"/>
  <c r="O49" i="287"/>
  <c r="M49" i="287"/>
  <c r="AB49" i="287" s="1"/>
  <c r="K49" i="287"/>
  <c r="G49" i="287"/>
  <c r="V48" i="287"/>
  <c r="U48" i="287"/>
  <c r="O48" i="287"/>
  <c r="M48" i="287"/>
  <c r="AB48" i="287" s="1"/>
  <c r="K48" i="287"/>
  <c r="G48" i="287"/>
  <c r="V47" i="287"/>
  <c r="M47" i="287" s="1"/>
  <c r="U47" i="287"/>
  <c r="O47" i="287"/>
  <c r="N47" i="287"/>
  <c r="K47" i="287"/>
  <c r="G47" i="287"/>
  <c r="V46" i="287"/>
  <c r="U46" i="287"/>
  <c r="O46" i="287"/>
  <c r="N46" i="287"/>
  <c r="M46" i="287"/>
  <c r="K46" i="287"/>
  <c r="G46" i="287"/>
  <c r="V45" i="287"/>
  <c r="O45" i="287"/>
  <c r="N45" i="287"/>
  <c r="M45" i="287"/>
  <c r="K45" i="287"/>
  <c r="G45" i="287"/>
  <c r="O44" i="287"/>
  <c r="K44" i="287"/>
  <c r="AB43" i="287"/>
  <c r="AA43" i="287"/>
  <c r="V43" i="287"/>
  <c r="U43" i="287"/>
  <c r="O43" i="287"/>
  <c r="M43" i="287"/>
  <c r="N43" i="287" s="1"/>
  <c r="K43" i="287"/>
  <c r="G43" i="287"/>
  <c r="AA42" i="287"/>
  <c r="V42" i="287"/>
  <c r="M42" i="287" s="1"/>
  <c r="U42" i="287"/>
  <c r="O42" i="287"/>
  <c r="K42" i="287"/>
  <c r="G42" i="287"/>
  <c r="V41" i="287"/>
  <c r="M41" i="287" s="1"/>
  <c r="U41" i="287"/>
  <c r="O41" i="287"/>
  <c r="K41" i="287"/>
  <c r="G41" i="287"/>
  <c r="V40" i="287"/>
  <c r="M40" i="287" s="1"/>
  <c r="U40" i="287"/>
  <c r="Q40" i="287"/>
  <c r="O40" i="287"/>
  <c r="N40" i="287"/>
  <c r="P40" i="287" s="1"/>
  <c r="K40" i="287"/>
  <c r="G40" i="287"/>
  <c r="V39" i="287"/>
  <c r="U39" i="287"/>
  <c r="O39" i="287"/>
  <c r="M39" i="287"/>
  <c r="K39" i="287"/>
  <c r="G39" i="287"/>
  <c r="V38" i="287"/>
  <c r="U38" i="287"/>
  <c r="O38" i="287"/>
  <c r="M38" i="287"/>
  <c r="AB38" i="287" s="1"/>
  <c r="K38" i="287"/>
  <c r="G38" i="287"/>
  <c r="V37" i="287"/>
  <c r="M37" i="287" s="1"/>
  <c r="U37" i="287"/>
  <c r="O37" i="287"/>
  <c r="N37" i="287"/>
  <c r="K37" i="287"/>
  <c r="G37" i="287"/>
  <c r="V36" i="287"/>
  <c r="M36" i="287" s="1"/>
  <c r="O36" i="287"/>
  <c r="N36" i="287"/>
  <c r="K36" i="287"/>
  <c r="G36" i="287"/>
  <c r="O35" i="287"/>
  <c r="K35" i="287"/>
  <c r="AB34" i="287"/>
  <c r="V34" i="287"/>
  <c r="M34" i="287" s="1"/>
  <c r="U34" i="287"/>
  <c r="O34" i="287"/>
  <c r="K34" i="287"/>
  <c r="G34" i="287"/>
  <c r="AB33" i="287"/>
  <c r="AA33" i="287"/>
  <c r="V33" i="287"/>
  <c r="U33" i="287"/>
  <c r="Q33" i="287"/>
  <c r="O33" i="287"/>
  <c r="M33" i="287"/>
  <c r="N33" i="287" s="1"/>
  <c r="P33" i="287" s="1"/>
  <c r="K33" i="287"/>
  <c r="G33" i="287"/>
  <c r="AA32" i="287"/>
  <c r="V32" i="287"/>
  <c r="M32" i="287" s="1"/>
  <c r="U32" i="287"/>
  <c r="O32" i="287"/>
  <c r="K32" i="287"/>
  <c r="G32" i="287"/>
  <c r="V31" i="287"/>
  <c r="M31" i="287" s="1"/>
  <c r="U31" i="287"/>
  <c r="O31" i="287"/>
  <c r="K31" i="287"/>
  <c r="G31" i="287"/>
  <c r="V30" i="287"/>
  <c r="M30" i="287" s="1"/>
  <c r="U30" i="287"/>
  <c r="Q30" i="287"/>
  <c r="O30" i="287"/>
  <c r="N30" i="287"/>
  <c r="P30" i="287" s="1"/>
  <c r="K30" i="287"/>
  <c r="G30" i="287"/>
  <c r="V29" i="287"/>
  <c r="U29" i="287"/>
  <c r="O29" i="287"/>
  <c r="M29" i="287"/>
  <c r="K29" i="287"/>
  <c r="G29" i="287"/>
  <c r="V28" i="287"/>
  <c r="O28" i="287"/>
  <c r="M28" i="287"/>
  <c r="K28" i="287"/>
  <c r="G28" i="287"/>
  <c r="O27" i="287"/>
  <c r="M27" i="287"/>
  <c r="N27" i="287" s="1"/>
  <c r="G14" i="286" s="1"/>
  <c r="K27" i="287"/>
  <c r="AB26" i="287"/>
  <c r="AA26" i="287"/>
  <c r="V26" i="287"/>
  <c r="U26" i="287"/>
  <c r="O26" i="287"/>
  <c r="N26" i="287"/>
  <c r="Q26" i="287" s="1"/>
  <c r="M26" i="287"/>
  <c r="K26" i="287"/>
  <c r="P26" i="287" s="1"/>
  <c r="G26" i="287"/>
  <c r="V25" i="287"/>
  <c r="M25" i="287" s="1"/>
  <c r="U25" i="287"/>
  <c r="O25" i="287"/>
  <c r="K25" i="287"/>
  <c r="G25" i="287"/>
  <c r="AB24" i="287"/>
  <c r="V24" i="287"/>
  <c r="M24" i="287" s="1"/>
  <c r="O24" i="287"/>
  <c r="K24" i="287"/>
  <c r="G24" i="287"/>
  <c r="AB23" i="287"/>
  <c r="AA23" i="287"/>
  <c r="V23" i="287"/>
  <c r="U23" i="287"/>
  <c r="Q23" i="287"/>
  <c r="O23" i="287"/>
  <c r="M23" i="287"/>
  <c r="N23" i="287" s="1"/>
  <c r="P23" i="287" s="1"/>
  <c r="K23" i="287"/>
  <c r="G23" i="287"/>
  <c r="AA22" i="287"/>
  <c r="V22" i="287"/>
  <c r="M22" i="287" s="1"/>
  <c r="U22" i="287"/>
  <c r="O22" i="287"/>
  <c r="K22" i="287"/>
  <c r="G22" i="287"/>
  <c r="V21" i="287"/>
  <c r="M21" i="287" s="1"/>
  <c r="U21" i="287"/>
  <c r="O21" i="287"/>
  <c r="K21" i="287"/>
  <c r="G21" i="287"/>
  <c r="V20" i="287"/>
  <c r="M20" i="287" s="1"/>
  <c r="U20" i="287"/>
  <c r="Q20" i="287"/>
  <c r="O20" i="287"/>
  <c r="N20" i="287"/>
  <c r="P20" i="287" s="1"/>
  <c r="K20" i="287"/>
  <c r="G20" i="287"/>
  <c r="V19" i="287"/>
  <c r="M19" i="287" s="1"/>
  <c r="O19" i="287"/>
  <c r="N19" i="287"/>
  <c r="P19" i="287" s="1"/>
  <c r="K19" i="287"/>
  <c r="G19" i="287"/>
  <c r="O18" i="287"/>
  <c r="K18" i="287"/>
  <c r="F13" i="286" s="1"/>
  <c r="AB17" i="287"/>
  <c r="V17" i="287"/>
  <c r="U17" i="287"/>
  <c r="O17" i="287"/>
  <c r="M17" i="287"/>
  <c r="K17" i="287"/>
  <c r="G17" i="287"/>
  <c r="AB16" i="287"/>
  <c r="AA16" i="287"/>
  <c r="V16" i="287"/>
  <c r="O16" i="287"/>
  <c r="N16" i="287"/>
  <c r="Q16" i="287" s="1"/>
  <c r="M16" i="287"/>
  <c r="K16" i="287"/>
  <c r="P16" i="287" s="1"/>
  <c r="G16" i="287"/>
  <c r="V15" i="287"/>
  <c r="M15" i="287" s="1"/>
  <c r="U15" i="287"/>
  <c r="O15" i="287"/>
  <c r="K15" i="287"/>
  <c r="G15" i="287"/>
  <c r="V14" i="287"/>
  <c r="M14" i="287" s="1"/>
  <c r="O14" i="287"/>
  <c r="K14" i="287"/>
  <c r="G14" i="287"/>
  <c r="AB13" i="287"/>
  <c r="AC9" i="287" s="1"/>
  <c r="O13" i="287"/>
  <c r="K13" i="287"/>
  <c r="V12" i="287"/>
  <c r="M12" i="287" s="1"/>
  <c r="U12" i="287"/>
  <c r="Q12" i="287"/>
  <c r="O12" i="287"/>
  <c r="N12" i="287"/>
  <c r="P12" i="287" s="1"/>
  <c r="K12" i="287"/>
  <c r="G12" i="287"/>
  <c r="V11" i="287"/>
  <c r="U11" i="287"/>
  <c r="O11" i="287"/>
  <c r="M11" i="287"/>
  <c r="K11" i="287"/>
  <c r="G11" i="287"/>
  <c r="V10" i="287"/>
  <c r="U10" i="287"/>
  <c r="O10" i="287"/>
  <c r="M10" i="287"/>
  <c r="AB10" i="287" s="1"/>
  <c r="K10" i="287"/>
  <c r="G10" i="287"/>
  <c r="V9" i="287"/>
  <c r="O9" i="287"/>
  <c r="M9" i="287"/>
  <c r="M13" i="287" s="1"/>
  <c r="K9" i="287"/>
  <c r="G9" i="287"/>
  <c r="O8" i="287"/>
  <c r="M8" i="287"/>
  <c r="K8" i="287"/>
  <c r="V7" i="287"/>
  <c r="M7" i="287" s="1"/>
  <c r="U7" i="287"/>
  <c r="O7" i="287"/>
  <c r="K7" i="287"/>
  <c r="G7" i="287"/>
  <c r="AB6" i="287"/>
  <c r="V6" i="287"/>
  <c r="M6" i="287" s="1"/>
  <c r="U6" i="287"/>
  <c r="O6" i="287"/>
  <c r="K6" i="287"/>
  <c r="G6" i="287"/>
  <c r="AB5" i="287"/>
  <c r="V5" i="287"/>
  <c r="M5" i="287" s="1"/>
  <c r="O5" i="287"/>
  <c r="K5" i="287"/>
  <c r="G5" i="287"/>
  <c r="H2" i="287"/>
  <c r="F2" i="287"/>
  <c r="H1" i="287"/>
  <c r="F1" i="287"/>
  <c r="D1" i="287"/>
  <c r="M18" i="286"/>
  <c r="L18" i="286"/>
  <c r="K18" i="286"/>
  <c r="J18" i="286"/>
  <c r="I18" i="286"/>
  <c r="H18" i="286"/>
  <c r="G18" i="286"/>
  <c r="F18" i="286"/>
  <c r="E18" i="286"/>
  <c r="D18" i="286"/>
  <c r="M17" i="286"/>
  <c r="L17" i="286"/>
  <c r="K17" i="286"/>
  <c r="J17" i="286"/>
  <c r="I17" i="286"/>
  <c r="H17" i="286"/>
  <c r="G17" i="286"/>
  <c r="F17" i="286"/>
  <c r="E17" i="286"/>
  <c r="D17" i="286"/>
  <c r="M16" i="286"/>
  <c r="L16" i="286"/>
  <c r="K16" i="286"/>
  <c r="J16" i="286"/>
  <c r="I16" i="286"/>
  <c r="H16" i="286"/>
  <c r="G16" i="286"/>
  <c r="F16" i="286"/>
  <c r="E16" i="286"/>
  <c r="D16" i="286"/>
  <c r="M13" i="286"/>
  <c r="L13" i="286"/>
  <c r="K13" i="286"/>
  <c r="J13" i="286"/>
  <c r="I13" i="286"/>
  <c r="H13" i="286"/>
  <c r="G13" i="286"/>
  <c r="E13" i="286"/>
  <c r="D13" i="286"/>
  <c r="I3" i="286"/>
  <c r="F3" i="286"/>
  <c r="C3" i="286"/>
  <c r="E8" i="302" l="1"/>
  <c r="F6" i="286"/>
  <c r="G15" i="286"/>
  <c r="I6" i="286"/>
  <c r="G6" i="286"/>
  <c r="L15" i="300"/>
  <c r="I8" i="300" s="1"/>
  <c r="I7" i="300"/>
  <c r="E15" i="300"/>
  <c r="E7" i="300"/>
  <c r="G7" i="300"/>
  <c r="F7" i="300"/>
  <c r="N8" i="299"/>
  <c r="AA8" i="299"/>
  <c r="AB8" i="299"/>
  <c r="AC5" i="299" s="1"/>
  <c r="Q62" i="299"/>
  <c r="P62" i="299"/>
  <c r="Q53" i="299"/>
  <c r="P53" i="299"/>
  <c r="P10" i="299"/>
  <c r="Q10" i="299"/>
  <c r="Q70" i="299"/>
  <c r="P70" i="299"/>
  <c r="Q54" i="299"/>
  <c r="P54" i="299"/>
  <c r="P46" i="299"/>
  <c r="Q46" i="299"/>
  <c r="L14" i="298"/>
  <c r="L15" i="298" s="1"/>
  <c r="Q43" i="299"/>
  <c r="R34" i="299" s="1"/>
  <c r="P43" i="299"/>
  <c r="Q50" i="299"/>
  <c r="P50" i="299"/>
  <c r="Q16" i="299"/>
  <c r="P16" i="299"/>
  <c r="Q48" i="299"/>
  <c r="P48" i="299"/>
  <c r="Q72" i="299"/>
  <c r="P72" i="299"/>
  <c r="P19" i="299"/>
  <c r="Q19" i="299"/>
  <c r="K14" i="298"/>
  <c r="P33" i="299"/>
  <c r="Q33" i="299"/>
  <c r="R28" i="299" s="1"/>
  <c r="P11" i="299"/>
  <c r="Q11" i="299"/>
  <c r="Q22" i="299"/>
  <c r="P22" i="299"/>
  <c r="Q9" i="299"/>
  <c r="P9" i="299"/>
  <c r="Q64" i="299"/>
  <c r="P64" i="299"/>
  <c r="Q36" i="299"/>
  <c r="P36" i="299"/>
  <c r="P12" i="299"/>
  <c r="Q12" i="299"/>
  <c r="Q17" i="299"/>
  <c r="P17" i="299"/>
  <c r="Q42" i="299"/>
  <c r="P42" i="299"/>
  <c r="P69" i="299"/>
  <c r="Q69" i="299"/>
  <c r="Q26" i="299"/>
  <c r="P26" i="299"/>
  <c r="P35" i="299"/>
  <c r="Q35" i="299"/>
  <c r="AB18" i="299"/>
  <c r="AC14" i="299" s="1"/>
  <c r="AA18" i="299"/>
  <c r="N18" i="299"/>
  <c r="P65" i="299"/>
  <c r="J14" i="298"/>
  <c r="J15" i="298" s="1"/>
  <c r="Q65" i="299"/>
  <c r="R59" i="299" s="1"/>
  <c r="AB73" i="299"/>
  <c r="AC66" i="299" s="1"/>
  <c r="AA73" i="299"/>
  <c r="N73" i="299"/>
  <c r="P20" i="299"/>
  <c r="Q20" i="299"/>
  <c r="P66" i="299"/>
  <c r="Q66" i="299"/>
  <c r="N13" i="299"/>
  <c r="AA13" i="299"/>
  <c r="AB13" i="299"/>
  <c r="AC9" i="299" s="1"/>
  <c r="AB27" i="299"/>
  <c r="AC19" i="299" s="1"/>
  <c r="AA27" i="299"/>
  <c r="N27" i="299"/>
  <c r="P47" i="299"/>
  <c r="Q47" i="299"/>
  <c r="AB58" i="299"/>
  <c r="AC53" i="299" s="1"/>
  <c r="N58" i="299"/>
  <c r="AA58" i="299"/>
  <c r="Q63" i="299"/>
  <c r="P63" i="299"/>
  <c r="AB52" i="299"/>
  <c r="AC44" i="299" s="1"/>
  <c r="AA52" i="299"/>
  <c r="N52" i="299"/>
  <c r="P21" i="299"/>
  <c r="Q21" i="299"/>
  <c r="P21" i="297"/>
  <c r="Q21" i="297"/>
  <c r="P11" i="297"/>
  <c r="Q11" i="297"/>
  <c r="Q46" i="297"/>
  <c r="P46" i="297"/>
  <c r="Q67" i="297"/>
  <c r="P67" i="297"/>
  <c r="P35" i="297"/>
  <c r="Q35" i="297"/>
  <c r="Q20" i="297"/>
  <c r="P20" i="297"/>
  <c r="P10" i="297"/>
  <c r="Q10" i="297"/>
  <c r="P66" i="297"/>
  <c r="Q66" i="297"/>
  <c r="Q57" i="297"/>
  <c r="P57" i="297"/>
  <c r="Q44" i="297"/>
  <c r="P44" i="297"/>
  <c r="Q65" i="297"/>
  <c r="R59" i="297" s="1"/>
  <c r="Q28" i="297"/>
  <c r="P28" i="297"/>
  <c r="Q19" i="297"/>
  <c r="P19" i="297"/>
  <c r="N13" i="297"/>
  <c r="AB13" i="297"/>
  <c r="AC9" i="297" s="1"/>
  <c r="AA13" i="297"/>
  <c r="Q45" i="297"/>
  <c r="P45" i="297"/>
  <c r="Q12" i="297"/>
  <c r="P12" i="297"/>
  <c r="P69" i="297"/>
  <c r="Q69" i="297"/>
  <c r="Q31" i="297"/>
  <c r="P31" i="297"/>
  <c r="P68" i="297"/>
  <c r="Q68" i="297"/>
  <c r="P47" i="297"/>
  <c r="Q47" i="297"/>
  <c r="Q62" i="297"/>
  <c r="P62" i="297"/>
  <c r="Q42" i="297"/>
  <c r="P42" i="297"/>
  <c r="Q26" i="297"/>
  <c r="P26" i="297"/>
  <c r="Q16" i="297"/>
  <c r="P16" i="297"/>
  <c r="Q63" i="297"/>
  <c r="P63" i="297"/>
  <c r="Q73" i="297"/>
  <c r="P73" i="297"/>
  <c r="P72" i="297"/>
  <c r="Q72" i="297"/>
  <c r="Q71" i="297"/>
  <c r="P71" i="297"/>
  <c r="P70" i="297"/>
  <c r="Q70" i="297"/>
  <c r="AB74" i="297"/>
  <c r="AC66" i="297" s="1"/>
  <c r="AA74" i="297"/>
  <c r="N74" i="297"/>
  <c r="M14" i="296" s="1"/>
  <c r="M15" i="296" s="1"/>
  <c r="Q64" i="297"/>
  <c r="P64" i="297"/>
  <c r="AB65" i="297"/>
  <c r="AC59" i="297" s="1"/>
  <c r="AA65" i="297"/>
  <c r="Q59" i="297"/>
  <c r="P59" i="297"/>
  <c r="Q54" i="297"/>
  <c r="P54" i="297"/>
  <c r="Q53" i="297"/>
  <c r="P53" i="297"/>
  <c r="N58" i="297"/>
  <c r="Q58" i="297" s="1"/>
  <c r="R53" i="297" s="1"/>
  <c r="AB58" i="297"/>
  <c r="AC53" i="297" s="1"/>
  <c r="Q51" i="297"/>
  <c r="P51" i="297"/>
  <c r="P50" i="297"/>
  <c r="Q50" i="297"/>
  <c r="Q49" i="297"/>
  <c r="P49" i="297"/>
  <c r="P48" i="297"/>
  <c r="Q48" i="297"/>
  <c r="AB52" i="297"/>
  <c r="AC44" i="297" s="1"/>
  <c r="AA52" i="297"/>
  <c r="N52" i="297"/>
  <c r="Q43" i="297"/>
  <c r="R34" i="297" s="1"/>
  <c r="P43" i="297"/>
  <c r="Q37" i="297"/>
  <c r="P37" i="297"/>
  <c r="P36" i="297"/>
  <c r="Q36" i="297"/>
  <c r="Q34" i="297"/>
  <c r="P34" i="297"/>
  <c r="N33" i="297"/>
  <c r="AA33" i="297"/>
  <c r="AB33" i="297"/>
  <c r="AC28" i="297" s="1"/>
  <c r="G14" i="296"/>
  <c r="G15" i="296" s="1"/>
  <c r="Q27" i="297"/>
  <c r="R19" i="297" s="1"/>
  <c r="P27" i="297"/>
  <c r="Q23" i="297"/>
  <c r="P23" i="297"/>
  <c r="P22" i="297"/>
  <c r="Q22" i="297"/>
  <c r="Q17" i="297"/>
  <c r="P17" i="297"/>
  <c r="P13" i="297"/>
  <c r="E14" i="296"/>
  <c r="E15" i="296" s="1"/>
  <c r="Q13" i="297"/>
  <c r="R9" i="297" s="1"/>
  <c r="P9" i="297"/>
  <c r="Q9" i="297"/>
  <c r="AB8" i="297"/>
  <c r="AC5" i="297" s="1"/>
  <c r="AA8" i="297"/>
  <c r="N8" i="297"/>
  <c r="P51" i="295"/>
  <c r="Q51" i="295"/>
  <c r="Q20" i="295"/>
  <c r="P20" i="295"/>
  <c r="N13" i="295"/>
  <c r="AB13" i="295"/>
  <c r="AC9" i="295" s="1"/>
  <c r="AA13" i="295"/>
  <c r="Q9" i="295"/>
  <c r="P9" i="295"/>
  <c r="P71" i="295"/>
  <c r="Q71" i="295"/>
  <c r="Q50" i="295"/>
  <c r="P50" i="295"/>
  <c r="Q19" i="295"/>
  <c r="P19" i="295"/>
  <c r="D15" i="294"/>
  <c r="P72" i="295"/>
  <c r="Q72" i="295"/>
  <c r="Q52" i="295"/>
  <c r="P52" i="295"/>
  <c r="P68" i="295"/>
  <c r="Q68" i="295"/>
  <c r="Q31" i="295"/>
  <c r="P31" i="295"/>
  <c r="N60" i="295"/>
  <c r="AB60" i="295"/>
  <c r="AC55" i="295" s="1"/>
  <c r="AA60" i="295"/>
  <c r="P74" i="295"/>
  <c r="Q74" i="295"/>
  <c r="Q70" i="295"/>
  <c r="P70" i="295"/>
  <c r="P53" i="295"/>
  <c r="Q53" i="295"/>
  <c r="N34" i="295"/>
  <c r="AB34" i="295"/>
  <c r="AC28" i="295" s="1"/>
  <c r="AA34" i="295"/>
  <c r="P49" i="295"/>
  <c r="Q49" i="295"/>
  <c r="P33" i="295"/>
  <c r="Q33" i="295"/>
  <c r="P43" i="295"/>
  <c r="Q43" i="295"/>
  <c r="Q38" i="295"/>
  <c r="P38" i="295"/>
  <c r="Q28" i="295"/>
  <c r="P28" i="295"/>
  <c r="P21" i="295"/>
  <c r="Q21" i="295"/>
  <c r="P11" i="295"/>
  <c r="Q11" i="295"/>
  <c r="Q16" i="295"/>
  <c r="P16" i="295"/>
  <c r="P64" i="295"/>
  <c r="Q64" i="295"/>
  <c r="Q73" i="295"/>
  <c r="P73" i="295"/>
  <c r="AB76" i="295"/>
  <c r="AC68" i="295" s="1"/>
  <c r="AA76" i="295"/>
  <c r="N76" i="295"/>
  <c r="M14" i="294" s="1"/>
  <c r="M15" i="294" s="1"/>
  <c r="Q65" i="295"/>
  <c r="P65" i="295"/>
  <c r="Q56" i="295"/>
  <c r="P56" i="295"/>
  <c r="Q55" i="295"/>
  <c r="P55" i="295"/>
  <c r="AA54" i="295"/>
  <c r="N54" i="295"/>
  <c r="Q45" i="295"/>
  <c r="R35" i="295" s="1"/>
  <c r="P45" i="295"/>
  <c r="Q40" i="295"/>
  <c r="P40" i="295"/>
  <c r="P25" i="295"/>
  <c r="Q25" i="295"/>
  <c r="E6" i="286"/>
  <c r="Q19" i="287"/>
  <c r="N5" i="287"/>
  <c r="AA5" i="287"/>
  <c r="N6" i="287"/>
  <c r="AA6" i="287"/>
  <c r="N7" i="287"/>
  <c r="AB7" i="287"/>
  <c r="AA7" i="287"/>
  <c r="AB8" i="287"/>
  <c r="AC5" i="287" s="1"/>
  <c r="AA8" i="287"/>
  <c r="N8" i="287"/>
  <c r="D14" i="286" s="1"/>
  <c r="N13" i="287"/>
  <c r="AA13" i="287"/>
  <c r="AB11" i="287"/>
  <c r="AA11" i="287"/>
  <c r="N11" i="287"/>
  <c r="AB12" i="287"/>
  <c r="AA12" i="287"/>
  <c r="N14" i="287"/>
  <c r="M18" i="287"/>
  <c r="N18" i="287" s="1"/>
  <c r="F14" i="286" s="1"/>
  <c r="F15" i="286" s="1"/>
  <c r="AB14" i="287"/>
  <c r="AA14" i="287"/>
  <c r="N15" i="287"/>
  <c r="AB15" i="287"/>
  <c r="AA15" i="287"/>
  <c r="AA17" i="287"/>
  <c r="N17" i="287"/>
  <c r="AB19" i="287"/>
  <c r="AA19" i="287"/>
  <c r="AB20" i="287"/>
  <c r="AA20" i="287"/>
  <c r="N21" i="287"/>
  <c r="AB21" i="287"/>
  <c r="AA21" i="287"/>
  <c r="N22" i="287"/>
  <c r="AB22" i="287"/>
  <c r="N24" i="287"/>
  <c r="AA24" i="287"/>
  <c r="N25" i="287"/>
  <c r="AB25" i="287"/>
  <c r="AA25" i="287"/>
  <c r="AB27" i="287"/>
  <c r="AC19" i="287" s="1"/>
  <c r="AA27" i="287"/>
  <c r="Q27" i="287"/>
  <c r="R19" i="287" s="1"/>
  <c r="P27" i="287"/>
  <c r="AB28" i="287"/>
  <c r="AA28" i="287"/>
  <c r="M35" i="287"/>
  <c r="N28" i="287"/>
  <c r="AB29" i="287"/>
  <c r="AA29" i="287"/>
  <c r="N29" i="287"/>
  <c r="AB30" i="287"/>
  <c r="AA30" i="287"/>
  <c r="N31" i="287"/>
  <c r="AB31" i="287"/>
  <c r="AA31" i="287"/>
  <c r="N32" i="287"/>
  <c r="AB32" i="287"/>
  <c r="N34" i="287"/>
  <c r="AA34" i="287"/>
  <c r="Q36" i="287"/>
  <c r="P36" i="287"/>
  <c r="AB36" i="287"/>
  <c r="AA36" i="287"/>
  <c r="M44" i="287"/>
  <c r="Q37" i="287"/>
  <c r="P37" i="287"/>
  <c r="AB37" i="287"/>
  <c r="AA37" i="287"/>
  <c r="AB39" i="287"/>
  <c r="AA39" i="287"/>
  <c r="N39" i="287"/>
  <c r="AB40" i="287"/>
  <c r="AA40" i="287"/>
  <c r="N41" i="287"/>
  <c r="AB41" i="287"/>
  <c r="AA41" i="287"/>
  <c r="N42" i="287"/>
  <c r="AB42" i="287"/>
  <c r="P43" i="287"/>
  <c r="Q43" i="287"/>
  <c r="AB45" i="287"/>
  <c r="AA45" i="287"/>
  <c r="M53" i="287"/>
  <c r="Q45" i="287"/>
  <c r="P45" i="287"/>
  <c r="AB46" i="287"/>
  <c r="AA46" i="287"/>
  <c r="Q46" i="287"/>
  <c r="P46" i="287"/>
  <c r="Q47" i="287"/>
  <c r="P47" i="287"/>
  <c r="AB47" i="287"/>
  <c r="AA47" i="287"/>
  <c r="AB50" i="287"/>
  <c r="AA50" i="287"/>
  <c r="N50" i="287"/>
  <c r="N51" i="287"/>
  <c r="AB51" i="287"/>
  <c r="AA51" i="287"/>
  <c r="N52" i="287"/>
  <c r="AB52" i="287"/>
  <c r="M59" i="287"/>
  <c r="AA59" i="287" s="1"/>
  <c r="AA54" i="287"/>
  <c r="N54" i="287"/>
  <c r="AB54" i="287"/>
  <c r="AA55" i="287"/>
  <c r="N55" i="287"/>
  <c r="AB55" i="287"/>
  <c r="AB56" i="287"/>
  <c r="AA56" i="287"/>
  <c r="Q56" i="287"/>
  <c r="P56" i="287"/>
  <c r="Q57" i="287"/>
  <c r="P57" i="287"/>
  <c r="AB57" i="287"/>
  <c r="AA57" i="287"/>
  <c r="P60" i="287"/>
  <c r="Q60" i="287"/>
  <c r="P61" i="287"/>
  <c r="Q61" i="287"/>
  <c r="N62" i="287"/>
  <c r="AA62" i="287"/>
  <c r="N63" i="287"/>
  <c r="AB63" i="287"/>
  <c r="AA63" i="287"/>
  <c r="AA65" i="287"/>
  <c r="N65" i="287"/>
  <c r="AB65" i="287"/>
  <c r="P66" i="287"/>
  <c r="AB67" i="287"/>
  <c r="AA67" i="287"/>
  <c r="M73" i="287"/>
  <c r="N67" i="287"/>
  <c r="AB68" i="287"/>
  <c r="AA68" i="287"/>
  <c r="N68" i="287"/>
  <c r="N69" i="287"/>
  <c r="AB69" i="287"/>
  <c r="AA69" i="287"/>
  <c r="N70" i="287"/>
  <c r="AB70" i="287"/>
  <c r="P71" i="287"/>
  <c r="Q71" i="287"/>
  <c r="N72" i="287"/>
  <c r="AA72" i="287"/>
  <c r="N49" i="287"/>
  <c r="N9" i="287"/>
  <c r="N10" i="287"/>
  <c r="N38" i="287"/>
  <c r="N48" i="287"/>
  <c r="N58" i="287"/>
  <c r="M66" i="287"/>
  <c r="N66" i="287" s="1"/>
  <c r="J14" i="286" s="1"/>
  <c r="J15" i="286" s="1"/>
  <c r="AA49" i="287"/>
  <c r="AA9" i="287"/>
  <c r="AA10" i="287"/>
  <c r="AA38" i="287"/>
  <c r="AA48" i="287"/>
  <c r="AA58" i="287"/>
  <c r="AB9" i="287"/>
  <c r="O73" i="285"/>
  <c r="K73" i="285"/>
  <c r="AB72" i="285"/>
  <c r="AA72" i="285"/>
  <c r="V72" i="285"/>
  <c r="U72" i="285"/>
  <c r="O72" i="285"/>
  <c r="M72" i="285"/>
  <c r="N72" i="285" s="1"/>
  <c r="K72" i="285"/>
  <c r="G72" i="285"/>
  <c r="AB71" i="285"/>
  <c r="AA71" i="285"/>
  <c r="V71" i="285"/>
  <c r="U71" i="285"/>
  <c r="O71" i="285"/>
  <c r="N71" i="285"/>
  <c r="P71" i="285" s="1"/>
  <c r="M71" i="285"/>
  <c r="K71" i="285"/>
  <c r="G71" i="285"/>
  <c r="AA70" i="285"/>
  <c r="V70" i="285"/>
  <c r="U70" i="285"/>
  <c r="O70" i="285"/>
  <c r="M70" i="285"/>
  <c r="N70" i="285" s="1"/>
  <c r="K70" i="285"/>
  <c r="G70" i="285"/>
  <c r="AB69" i="285"/>
  <c r="AA69" i="285"/>
  <c r="V69" i="285"/>
  <c r="U69" i="285"/>
  <c r="O69" i="285"/>
  <c r="M69" i="285"/>
  <c r="N69" i="285" s="1"/>
  <c r="K69" i="285"/>
  <c r="G69" i="285"/>
  <c r="V68" i="285"/>
  <c r="M68" i="285" s="1"/>
  <c r="U68" i="285"/>
  <c r="O68" i="285"/>
  <c r="K68" i="285"/>
  <c r="G68" i="285"/>
  <c r="V67" i="285"/>
  <c r="M67" i="285" s="1"/>
  <c r="O67" i="285"/>
  <c r="K67" i="285"/>
  <c r="G67" i="285"/>
  <c r="O66" i="285"/>
  <c r="K66" i="285"/>
  <c r="AB65" i="285"/>
  <c r="AA65" i="285"/>
  <c r="V65" i="285"/>
  <c r="U65" i="285"/>
  <c r="O65" i="285"/>
  <c r="N65" i="285"/>
  <c r="Q65" i="285" s="1"/>
  <c r="M65" i="285"/>
  <c r="K65" i="285"/>
  <c r="G65" i="285"/>
  <c r="AB64" i="285"/>
  <c r="AA64" i="285"/>
  <c r="V64" i="285"/>
  <c r="U64" i="285"/>
  <c r="O64" i="285"/>
  <c r="M64" i="285"/>
  <c r="N64" i="285" s="1"/>
  <c r="K64" i="285"/>
  <c r="G64" i="285"/>
  <c r="AB63" i="285"/>
  <c r="AA63" i="285"/>
  <c r="V63" i="285"/>
  <c r="U63" i="285"/>
  <c r="O63" i="285"/>
  <c r="M63" i="285"/>
  <c r="N63" i="285" s="1"/>
  <c r="K63" i="285"/>
  <c r="G63" i="285"/>
  <c r="AB62" i="285"/>
  <c r="AA62" i="285"/>
  <c r="V62" i="285"/>
  <c r="U62" i="285"/>
  <c r="O62" i="285"/>
  <c r="M62" i="285"/>
  <c r="N62" i="285" s="1"/>
  <c r="K62" i="285"/>
  <c r="G62" i="285"/>
  <c r="AB61" i="285"/>
  <c r="AA61" i="285"/>
  <c r="V61" i="285"/>
  <c r="U61" i="285"/>
  <c r="O61" i="285"/>
  <c r="N61" i="285"/>
  <c r="P61" i="285" s="1"/>
  <c r="M61" i="285"/>
  <c r="K61" i="285"/>
  <c r="G61" i="285"/>
  <c r="AB60" i="285"/>
  <c r="AA60" i="285"/>
  <c r="V60" i="285"/>
  <c r="O60" i="285"/>
  <c r="N60" i="285"/>
  <c r="P60" i="285" s="1"/>
  <c r="M60" i="285"/>
  <c r="K60" i="285"/>
  <c r="G60" i="285"/>
  <c r="AB59" i="285"/>
  <c r="AA59" i="285"/>
  <c r="Q59" i="285"/>
  <c r="R54" i="285" s="1"/>
  <c r="O59" i="285"/>
  <c r="N59" i="285"/>
  <c r="P59" i="285" s="1"/>
  <c r="M59" i="285"/>
  <c r="K59" i="285"/>
  <c r="AB58" i="285"/>
  <c r="AA58" i="285"/>
  <c r="V58" i="285"/>
  <c r="U58" i="285"/>
  <c r="Q58" i="285"/>
  <c r="P58" i="285"/>
  <c r="O58" i="285"/>
  <c r="N58" i="285"/>
  <c r="M58" i="285"/>
  <c r="K58" i="285"/>
  <c r="G58" i="285"/>
  <c r="AB57" i="285"/>
  <c r="AA57" i="285"/>
  <c r="V57" i="285"/>
  <c r="U57" i="285"/>
  <c r="Q57" i="285"/>
  <c r="P57" i="285"/>
  <c r="O57" i="285"/>
  <c r="N57" i="285"/>
  <c r="M57" i="285"/>
  <c r="K57" i="285"/>
  <c r="G57" i="285"/>
  <c r="AB56" i="285"/>
  <c r="AA56" i="285"/>
  <c r="V56" i="285"/>
  <c r="O56" i="285"/>
  <c r="N56" i="285"/>
  <c r="Q56" i="285" s="1"/>
  <c r="M56" i="285"/>
  <c r="K56" i="285"/>
  <c r="G56" i="285"/>
  <c r="AB55" i="285"/>
  <c r="AA55" i="285"/>
  <c r="V55" i="285"/>
  <c r="U55" i="285"/>
  <c r="O55" i="285"/>
  <c r="N55" i="285"/>
  <c r="Q55" i="285" s="1"/>
  <c r="M55" i="285"/>
  <c r="K55" i="285"/>
  <c r="G55" i="285"/>
  <c r="AC54" i="285"/>
  <c r="AB54" i="285"/>
  <c r="AA54" i="285"/>
  <c r="V54" i="285"/>
  <c r="O54" i="285"/>
  <c r="N54" i="285"/>
  <c r="Q54" i="285" s="1"/>
  <c r="M54" i="285"/>
  <c r="K54" i="285"/>
  <c r="G54" i="285"/>
  <c r="O53" i="285"/>
  <c r="K53" i="285"/>
  <c r="AA52" i="285"/>
  <c r="V52" i="285"/>
  <c r="U52" i="285"/>
  <c r="O52" i="285"/>
  <c r="M52" i="285"/>
  <c r="N52" i="285" s="1"/>
  <c r="K52" i="285"/>
  <c r="G52" i="285"/>
  <c r="AB51" i="285"/>
  <c r="AA51" i="285"/>
  <c r="V51" i="285"/>
  <c r="U51" i="285"/>
  <c r="Q51" i="285"/>
  <c r="P51" i="285"/>
  <c r="O51" i="285"/>
  <c r="N51" i="285"/>
  <c r="M51" i="285"/>
  <c r="K51" i="285"/>
  <c r="G51" i="285"/>
  <c r="V50" i="285"/>
  <c r="M50" i="285" s="1"/>
  <c r="U50" i="285"/>
  <c r="O50" i="285"/>
  <c r="K50" i="285"/>
  <c r="G50" i="285"/>
  <c r="AB49" i="285"/>
  <c r="AA49" i="285"/>
  <c r="V49" i="285"/>
  <c r="U49" i="285"/>
  <c r="Q49" i="285"/>
  <c r="P49" i="285"/>
  <c r="O49" i="285"/>
  <c r="N49" i="285"/>
  <c r="M49" i="285"/>
  <c r="K49" i="285"/>
  <c r="G49" i="285"/>
  <c r="AB48" i="285"/>
  <c r="AA48" i="285"/>
  <c r="V48" i="285"/>
  <c r="U48" i="285"/>
  <c r="Q48" i="285"/>
  <c r="P48" i="285"/>
  <c r="O48" i="285"/>
  <c r="N48" i="285"/>
  <c r="M48" i="285"/>
  <c r="K48" i="285"/>
  <c r="G48" i="285"/>
  <c r="AB47" i="285"/>
  <c r="AA47" i="285"/>
  <c r="V47" i="285"/>
  <c r="U47" i="285"/>
  <c r="Q47" i="285"/>
  <c r="P47" i="285"/>
  <c r="O47" i="285"/>
  <c r="N47" i="285"/>
  <c r="M47" i="285"/>
  <c r="K47" i="285"/>
  <c r="G47" i="285"/>
  <c r="AB46" i="285"/>
  <c r="AA46" i="285"/>
  <c r="V46" i="285"/>
  <c r="U46" i="285"/>
  <c r="O46" i="285"/>
  <c r="N46" i="285"/>
  <c r="Q46" i="285" s="1"/>
  <c r="M46" i="285"/>
  <c r="K46" i="285"/>
  <c r="G46" i="285"/>
  <c r="AB45" i="285"/>
  <c r="AA45" i="285"/>
  <c r="V45" i="285"/>
  <c r="O45" i="285"/>
  <c r="N45" i="285"/>
  <c r="Q45" i="285" s="1"/>
  <c r="M45" i="285"/>
  <c r="K45" i="285"/>
  <c r="G45" i="285"/>
  <c r="O44" i="285"/>
  <c r="K44" i="285"/>
  <c r="AB43" i="285"/>
  <c r="AA43" i="285"/>
  <c r="V43" i="285"/>
  <c r="U43" i="285"/>
  <c r="O43" i="285"/>
  <c r="N43" i="285"/>
  <c r="P43" i="285" s="1"/>
  <c r="M43" i="285"/>
  <c r="K43" i="285"/>
  <c r="G43" i="285"/>
  <c r="AA42" i="285"/>
  <c r="V42" i="285"/>
  <c r="U42" i="285"/>
  <c r="O42" i="285"/>
  <c r="M42" i="285"/>
  <c r="N42" i="285" s="1"/>
  <c r="K42" i="285"/>
  <c r="G42" i="285"/>
  <c r="AB41" i="285"/>
  <c r="AA41" i="285"/>
  <c r="V41" i="285"/>
  <c r="U41" i="285"/>
  <c r="O41" i="285"/>
  <c r="M41" i="285"/>
  <c r="N41" i="285" s="1"/>
  <c r="K41" i="285"/>
  <c r="G41" i="285"/>
  <c r="V40" i="285"/>
  <c r="M40" i="285" s="1"/>
  <c r="U40" i="285"/>
  <c r="O40" i="285"/>
  <c r="K40" i="285"/>
  <c r="G40" i="285"/>
  <c r="AB39" i="285"/>
  <c r="AA39" i="285"/>
  <c r="V39" i="285"/>
  <c r="U39" i="285"/>
  <c r="Q39" i="285"/>
  <c r="P39" i="285"/>
  <c r="O39" i="285"/>
  <c r="N39" i="285"/>
  <c r="M39" i="285"/>
  <c r="K39" i="285"/>
  <c r="G39" i="285"/>
  <c r="AB38" i="285"/>
  <c r="AA38" i="285"/>
  <c r="V38" i="285"/>
  <c r="U38" i="285"/>
  <c r="Q38" i="285"/>
  <c r="P38" i="285"/>
  <c r="O38" i="285"/>
  <c r="N38" i="285"/>
  <c r="M38" i="285"/>
  <c r="K38" i="285"/>
  <c r="G38" i="285"/>
  <c r="AB37" i="285"/>
  <c r="AA37" i="285"/>
  <c r="V37" i="285"/>
  <c r="U37" i="285"/>
  <c r="Q37" i="285"/>
  <c r="P37" i="285"/>
  <c r="O37" i="285"/>
  <c r="N37" i="285"/>
  <c r="M37" i="285"/>
  <c r="K37" i="285"/>
  <c r="G37" i="285"/>
  <c r="AB36" i="285"/>
  <c r="AA36" i="285"/>
  <c r="V36" i="285"/>
  <c r="Q36" i="285"/>
  <c r="P36" i="285"/>
  <c r="O36" i="285"/>
  <c r="N36" i="285"/>
  <c r="M36" i="285"/>
  <c r="K36" i="285"/>
  <c r="G36" i="285"/>
  <c r="O35" i="285"/>
  <c r="K35" i="285"/>
  <c r="AB34" i="285"/>
  <c r="AA34" i="285"/>
  <c r="V34" i="285"/>
  <c r="U34" i="285"/>
  <c r="O34" i="285"/>
  <c r="M34" i="285"/>
  <c r="N34" i="285" s="1"/>
  <c r="K34" i="285"/>
  <c r="G34" i="285"/>
  <c r="AB33" i="285"/>
  <c r="AA33" i="285"/>
  <c r="V33" i="285"/>
  <c r="U33" i="285"/>
  <c r="O33" i="285"/>
  <c r="N33" i="285"/>
  <c r="P33" i="285" s="1"/>
  <c r="M33" i="285"/>
  <c r="K33" i="285"/>
  <c r="G33" i="285"/>
  <c r="AA32" i="285"/>
  <c r="V32" i="285"/>
  <c r="U32" i="285"/>
  <c r="O32" i="285"/>
  <c r="M32" i="285"/>
  <c r="N32" i="285" s="1"/>
  <c r="K32" i="285"/>
  <c r="G32" i="285"/>
  <c r="AA31" i="285"/>
  <c r="V31" i="285"/>
  <c r="U31" i="285"/>
  <c r="O31" i="285"/>
  <c r="M31" i="285"/>
  <c r="N31" i="285" s="1"/>
  <c r="K31" i="285"/>
  <c r="G31" i="285"/>
  <c r="V30" i="285"/>
  <c r="M30" i="285" s="1"/>
  <c r="U30" i="285"/>
  <c r="O30" i="285"/>
  <c r="K30" i="285"/>
  <c r="G30" i="285"/>
  <c r="V29" i="285"/>
  <c r="U29" i="285"/>
  <c r="Q29" i="285"/>
  <c r="P29" i="285"/>
  <c r="O29" i="285"/>
  <c r="N29" i="285"/>
  <c r="M29" i="285"/>
  <c r="AB29" i="285" s="1"/>
  <c r="K29" i="285"/>
  <c r="G29" i="285"/>
  <c r="V28" i="285"/>
  <c r="Q28" i="285"/>
  <c r="P28" i="285"/>
  <c r="O28" i="285"/>
  <c r="N28" i="285"/>
  <c r="M28" i="285"/>
  <c r="AB28" i="285" s="1"/>
  <c r="K28" i="285"/>
  <c r="G28" i="285"/>
  <c r="O27" i="285"/>
  <c r="K27" i="285"/>
  <c r="AB26" i="285"/>
  <c r="AA26" i="285"/>
  <c r="V26" i="285"/>
  <c r="U26" i="285"/>
  <c r="O26" i="285"/>
  <c r="M26" i="285"/>
  <c r="N26" i="285" s="1"/>
  <c r="K26" i="285"/>
  <c r="G26" i="285"/>
  <c r="V25" i="285"/>
  <c r="M25" i="285" s="1"/>
  <c r="U25" i="285"/>
  <c r="O25" i="285"/>
  <c r="K25" i="285"/>
  <c r="G25" i="285"/>
  <c r="AB24" i="285"/>
  <c r="AA24" i="285"/>
  <c r="V24" i="285"/>
  <c r="O24" i="285"/>
  <c r="M24" i="285"/>
  <c r="N24" i="285" s="1"/>
  <c r="K24" i="285"/>
  <c r="G24" i="285"/>
  <c r="AB23" i="285"/>
  <c r="AA23" i="285"/>
  <c r="V23" i="285"/>
  <c r="U23" i="285"/>
  <c r="O23" i="285"/>
  <c r="N23" i="285"/>
  <c r="P23" i="285" s="1"/>
  <c r="M23" i="285"/>
  <c r="K23" i="285"/>
  <c r="G23" i="285"/>
  <c r="AA22" i="285"/>
  <c r="V22" i="285"/>
  <c r="U22" i="285"/>
  <c r="O22" i="285"/>
  <c r="M22" i="285"/>
  <c r="N22" i="285" s="1"/>
  <c r="K22" i="285"/>
  <c r="G22" i="285"/>
  <c r="AA21" i="285"/>
  <c r="V21" i="285"/>
  <c r="U21" i="285"/>
  <c r="O21" i="285"/>
  <c r="M21" i="285"/>
  <c r="N21" i="285" s="1"/>
  <c r="K21" i="285"/>
  <c r="G21" i="285"/>
  <c r="V20" i="285"/>
  <c r="M20" i="285" s="1"/>
  <c r="U20" i="285"/>
  <c r="O20" i="285"/>
  <c r="K20" i="285"/>
  <c r="G20" i="285"/>
  <c r="V19" i="285"/>
  <c r="M19" i="285" s="1"/>
  <c r="O19" i="285"/>
  <c r="K19" i="285"/>
  <c r="G19" i="285"/>
  <c r="O18" i="285"/>
  <c r="K18" i="285"/>
  <c r="F13" i="284" s="1"/>
  <c r="AB17" i="285"/>
  <c r="AA17" i="285"/>
  <c r="V17" i="285"/>
  <c r="U17" i="285"/>
  <c r="O17" i="285"/>
  <c r="N17" i="285"/>
  <c r="Q17" i="285" s="1"/>
  <c r="M17" i="285"/>
  <c r="K17" i="285"/>
  <c r="G17" i="285"/>
  <c r="AB16" i="285"/>
  <c r="AA16" i="285"/>
  <c r="V16" i="285"/>
  <c r="O16" i="285"/>
  <c r="M16" i="285"/>
  <c r="N16" i="285" s="1"/>
  <c r="K16" i="285"/>
  <c r="G16" i="285"/>
  <c r="V15" i="285"/>
  <c r="M15" i="285" s="1"/>
  <c r="U15" i="285"/>
  <c r="O15" i="285"/>
  <c r="K15" i="285"/>
  <c r="G15" i="285"/>
  <c r="V14" i="285"/>
  <c r="M14" i="285" s="1"/>
  <c r="O14" i="285"/>
  <c r="K14" i="285"/>
  <c r="G14" i="285"/>
  <c r="O13" i="285"/>
  <c r="K13" i="285"/>
  <c r="V12" i="285"/>
  <c r="M12" i="285" s="1"/>
  <c r="U12" i="285"/>
  <c r="O12" i="285"/>
  <c r="K12" i="285"/>
  <c r="G12" i="285"/>
  <c r="V11" i="285"/>
  <c r="U11" i="285"/>
  <c r="Q11" i="285"/>
  <c r="P11" i="285"/>
  <c r="O11" i="285"/>
  <c r="N11" i="285"/>
  <c r="M11" i="285"/>
  <c r="AB11" i="285" s="1"/>
  <c r="K11" i="285"/>
  <c r="G11" i="285"/>
  <c r="AB10" i="285"/>
  <c r="AA10" i="285"/>
  <c r="V10" i="285"/>
  <c r="U10" i="285"/>
  <c r="P10" i="285"/>
  <c r="O10" i="285"/>
  <c r="N10" i="285"/>
  <c r="M10" i="285"/>
  <c r="K10" i="285"/>
  <c r="Q10" i="285" s="1"/>
  <c r="G10" i="285"/>
  <c r="AB9" i="285"/>
  <c r="AA9" i="285"/>
  <c r="V9" i="285"/>
  <c r="P9" i="285"/>
  <c r="O9" i="285"/>
  <c r="N9" i="285"/>
  <c r="M9" i="285"/>
  <c r="K9" i="285"/>
  <c r="Q9" i="285" s="1"/>
  <c r="G9" i="285"/>
  <c r="O8" i="285"/>
  <c r="K8" i="285"/>
  <c r="V7" i="285"/>
  <c r="M7" i="285" s="1"/>
  <c r="U7" i="285"/>
  <c r="O7" i="285"/>
  <c r="K7" i="285"/>
  <c r="G7" i="285"/>
  <c r="AB6" i="285"/>
  <c r="AA6" i="285"/>
  <c r="V6" i="285"/>
  <c r="U6" i="285"/>
  <c r="O6" i="285"/>
  <c r="M6" i="285"/>
  <c r="N6" i="285" s="1"/>
  <c r="K6" i="285"/>
  <c r="G6" i="285"/>
  <c r="AB5" i="285"/>
  <c r="AA5" i="285"/>
  <c r="V5" i="285"/>
  <c r="O5" i="285"/>
  <c r="M5" i="285"/>
  <c r="N5" i="285" s="1"/>
  <c r="K5" i="285"/>
  <c r="G5" i="285"/>
  <c r="H2" i="285"/>
  <c r="F2" i="285"/>
  <c r="H1" i="285"/>
  <c r="F1" i="285"/>
  <c r="D1" i="285"/>
  <c r="M18" i="284"/>
  <c r="L18" i="284"/>
  <c r="K18" i="284"/>
  <c r="J18" i="284"/>
  <c r="I18" i="284"/>
  <c r="H18" i="284"/>
  <c r="G18" i="284"/>
  <c r="F18" i="284"/>
  <c r="E18" i="284"/>
  <c r="D18" i="284"/>
  <c r="M17" i="284"/>
  <c r="L17" i="284"/>
  <c r="K17" i="284"/>
  <c r="J17" i="284"/>
  <c r="I17" i="284"/>
  <c r="H17" i="284"/>
  <c r="G17" i="284"/>
  <c r="F17" i="284"/>
  <c r="E17" i="284"/>
  <c r="D17" i="284"/>
  <c r="M16" i="284"/>
  <c r="L16" i="284"/>
  <c r="K16" i="284"/>
  <c r="J16" i="284"/>
  <c r="I16" i="284"/>
  <c r="H16" i="284"/>
  <c r="G16" i="284"/>
  <c r="F16" i="284"/>
  <c r="E16" i="284"/>
  <c r="D16" i="284"/>
  <c r="I14" i="284"/>
  <c r="M13" i="284"/>
  <c r="L13" i="284"/>
  <c r="K13" i="284"/>
  <c r="I6" i="284" s="1"/>
  <c r="J13" i="284"/>
  <c r="I13" i="284"/>
  <c r="H13" i="284"/>
  <c r="G13" i="284"/>
  <c r="E13" i="284"/>
  <c r="D13" i="284"/>
  <c r="I3" i="284"/>
  <c r="F3" i="284"/>
  <c r="C3" i="284"/>
  <c r="O65" i="283"/>
  <c r="K65" i="283"/>
  <c r="AB64" i="283"/>
  <c r="AA64" i="283"/>
  <c r="V64" i="283"/>
  <c r="U64" i="283"/>
  <c r="O64" i="283"/>
  <c r="N64" i="283"/>
  <c r="Q64" i="283" s="1"/>
  <c r="M64" i="283"/>
  <c r="K64" i="283"/>
  <c r="G64" i="283"/>
  <c r="AB63" i="283"/>
  <c r="AA63" i="283"/>
  <c r="V63" i="283"/>
  <c r="U63" i="283"/>
  <c r="O63" i="283"/>
  <c r="M63" i="283"/>
  <c r="N63" i="283" s="1"/>
  <c r="K63" i="283"/>
  <c r="G63" i="283"/>
  <c r="AB62" i="283"/>
  <c r="AA62" i="283"/>
  <c r="V62" i="283"/>
  <c r="U62" i="283"/>
  <c r="O62" i="283"/>
  <c r="M62" i="283"/>
  <c r="N62" i="283" s="1"/>
  <c r="K62" i="283"/>
  <c r="G62" i="283"/>
  <c r="AB61" i="283"/>
  <c r="AA61" i="283"/>
  <c r="V61" i="283"/>
  <c r="U61" i="283"/>
  <c r="O61" i="283"/>
  <c r="M61" i="283"/>
  <c r="N61" i="283" s="1"/>
  <c r="K61" i="283"/>
  <c r="G61" i="283"/>
  <c r="AB60" i="283"/>
  <c r="AA60" i="283"/>
  <c r="V60" i="283"/>
  <c r="O60" i="283"/>
  <c r="M60" i="283"/>
  <c r="N60" i="283" s="1"/>
  <c r="K60" i="283"/>
  <c r="G60" i="283"/>
  <c r="O59" i="283"/>
  <c r="M59" i="283"/>
  <c r="N59" i="283" s="1"/>
  <c r="K59" i="283"/>
  <c r="AB58" i="283"/>
  <c r="AA58" i="283"/>
  <c r="V58" i="283"/>
  <c r="U58" i="283"/>
  <c r="O58" i="283"/>
  <c r="N58" i="283"/>
  <c r="Q58" i="283" s="1"/>
  <c r="M58" i="283"/>
  <c r="K58" i="283"/>
  <c r="G58" i="283"/>
  <c r="AB57" i="283"/>
  <c r="AA57" i="283"/>
  <c r="V57" i="283"/>
  <c r="U57" i="283"/>
  <c r="Q57" i="283"/>
  <c r="O57" i="283"/>
  <c r="N57" i="283"/>
  <c r="P57" i="283" s="1"/>
  <c r="M57" i="283"/>
  <c r="K57" i="283"/>
  <c r="G57" i="283"/>
  <c r="AB56" i="283"/>
  <c r="AA56" i="283"/>
  <c r="V56" i="283"/>
  <c r="U56" i="283"/>
  <c r="P56" i="283"/>
  <c r="O56" i="283"/>
  <c r="N56" i="283"/>
  <c r="Q56" i="283" s="1"/>
  <c r="M56" i="283"/>
  <c r="K56" i="283"/>
  <c r="G56" i="283"/>
  <c r="AB55" i="283"/>
  <c r="AA55" i="283"/>
  <c r="V55" i="283"/>
  <c r="U55" i="283"/>
  <c r="O55" i="283"/>
  <c r="N55" i="283"/>
  <c r="Q55" i="283" s="1"/>
  <c r="M55" i="283"/>
  <c r="K55" i="283"/>
  <c r="G55" i="283"/>
  <c r="AB54" i="283"/>
  <c r="AA54" i="283"/>
  <c r="V54" i="283"/>
  <c r="U54" i="283"/>
  <c r="O54" i="283"/>
  <c r="N54" i="283"/>
  <c r="Q54" i="283" s="1"/>
  <c r="M54" i="283"/>
  <c r="K54" i="283"/>
  <c r="G54" i="283"/>
  <c r="AB53" i="283"/>
  <c r="AA53" i="283"/>
  <c r="V53" i="283"/>
  <c r="O53" i="283"/>
  <c r="N53" i="283"/>
  <c r="Q53" i="283" s="1"/>
  <c r="M53" i="283"/>
  <c r="K53" i="283"/>
  <c r="G53" i="283"/>
  <c r="AB52" i="283"/>
  <c r="AC47" i="283" s="1"/>
  <c r="AA52" i="283"/>
  <c r="O52" i="283"/>
  <c r="M52" i="283"/>
  <c r="N52" i="283" s="1"/>
  <c r="K52" i="283"/>
  <c r="AB51" i="283"/>
  <c r="AA51" i="283"/>
  <c r="V51" i="283"/>
  <c r="U51" i="283"/>
  <c r="O51" i="283"/>
  <c r="N51" i="283"/>
  <c r="P51" i="283" s="1"/>
  <c r="M51" i="283"/>
  <c r="K51" i="283"/>
  <c r="G51" i="283"/>
  <c r="AB50" i="283"/>
  <c r="AA50" i="283"/>
  <c r="V50" i="283"/>
  <c r="U50" i="283"/>
  <c r="O50" i="283"/>
  <c r="N50" i="283"/>
  <c r="P50" i="283" s="1"/>
  <c r="M50" i="283"/>
  <c r="K50" i="283"/>
  <c r="G50" i="283"/>
  <c r="AB49" i="283"/>
  <c r="AA49" i="283"/>
  <c r="V49" i="283"/>
  <c r="O49" i="283"/>
  <c r="N49" i="283"/>
  <c r="Q49" i="283" s="1"/>
  <c r="M49" i="283"/>
  <c r="K49" i="283"/>
  <c r="G49" i="283"/>
  <c r="AB48" i="283"/>
  <c r="AA48" i="283"/>
  <c r="V48" i="283"/>
  <c r="U48" i="283"/>
  <c r="O48" i="283"/>
  <c r="N48" i="283"/>
  <c r="Q48" i="283" s="1"/>
  <c r="M48" i="283"/>
  <c r="K48" i="283"/>
  <c r="G48" i="283"/>
  <c r="AB47" i="283"/>
  <c r="AA47" i="283"/>
  <c r="V47" i="283"/>
  <c r="O47" i="283"/>
  <c r="N47" i="283"/>
  <c r="Q47" i="283" s="1"/>
  <c r="M47" i="283"/>
  <c r="K47" i="283"/>
  <c r="G47" i="283"/>
  <c r="O46" i="283"/>
  <c r="K46" i="283"/>
  <c r="AB45" i="283"/>
  <c r="AA45" i="283"/>
  <c r="V45" i="283"/>
  <c r="U45" i="283"/>
  <c r="O45" i="283"/>
  <c r="M45" i="283"/>
  <c r="N45" i="283" s="1"/>
  <c r="K45" i="283"/>
  <c r="G45" i="283"/>
  <c r="AB44" i="283"/>
  <c r="AA44" i="283"/>
  <c r="V44" i="283"/>
  <c r="U44" i="283"/>
  <c r="Q44" i="283"/>
  <c r="O44" i="283"/>
  <c r="N44" i="283"/>
  <c r="P44" i="283" s="1"/>
  <c r="M44" i="283"/>
  <c r="K44" i="283"/>
  <c r="G44" i="283"/>
  <c r="AA43" i="283"/>
  <c r="V43" i="283"/>
  <c r="U43" i="283"/>
  <c r="O43" i="283"/>
  <c r="M43" i="283"/>
  <c r="N43" i="283" s="1"/>
  <c r="K43" i="283"/>
  <c r="G43" i="283"/>
  <c r="AB42" i="283"/>
  <c r="AA42" i="283"/>
  <c r="V42" i="283"/>
  <c r="U42" i="283"/>
  <c r="O42" i="283"/>
  <c r="M42" i="283"/>
  <c r="N42" i="283" s="1"/>
  <c r="K42" i="283"/>
  <c r="G42" i="283"/>
  <c r="AB41" i="283"/>
  <c r="AA41" i="283"/>
  <c r="V41" i="283"/>
  <c r="U41" i="283"/>
  <c r="O41" i="283"/>
  <c r="N41" i="283"/>
  <c r="Q41" i="283" s="1"/>
  <c r="M41" i="283"/>
  <c r="K41" i="283"/>
  <c r="G41" i="283"/>
  <c r="AB40" i="283"/>
  <c r="AA40" i="283"/>
  <c r="V40" i="283"/>
  <c r="O40" i="283"/>
  <c r="N40" i="283"/>
  <c r="P40" i="283" s="1"/>
  <c r="M40" i="283"/>
  <c r="K40" i="283"/>
  <c r="G40" i="283"/>
  <c r="O39" i="283"/>
  <c r="M39" i="283"/>
  <c r="AA39" i="283" s="1"/>
  <c r="K39" i="283"/>
  <c r="AB38" i="283"/>
  <c r="AA38" i="283"/>
  <c r="V38" i="283"/>
  <c r="U38" i="283"/>
  <c r="P38" i="283"/>
  <c r="O38" i="283"/>
  <c r="N38" i="283"/>
  <c r="Q38" i="283" s="1"/>
  <c r="M38" i="283"/>
  <c r="K38" i="283"/>
  <c r="G38" i="283"/>
  <c r="AB37" i="283"/>
  <c r="AA37" i="283"/>
  <c r="V37" i="283"/>
  <c r="U37" i="283"/>
  <c r="O37" i="283"/>
  <c r="N37" i="283"/>
  <c r="Q37" i="283" s="1"/>
  <c r="M37" i="283"/>
  <c r="K37" i="283"/>
  <c r="G37" i="283"/>
  <c r="AB36" i="283"/>
  <c r="AA36" i="283"/>
  <c r="V36" i="283"/>
  <c r="U36" i="283"/>
  <c r="O36" i="283"/>
  <c r="N36" i="283"/>
  <c r="Q36" i="283" s="1"/>
  <c r="M36" i="283"/>
  <c r="K36" i="283"/>
  <c r="G36" i="283"/>
  <c r="AB35" i="283"/>
  <c r="AA35" i="283"/>
  <c r="V35" i="283"/>
  <c r="U35" i="283"/>
  <c r="O35" i="283"/>
  <c r="M35" i="283"/>
  <c r="N35" i="283" s="1"/>
  <c r="K35" i="283"/>
  <c r="G35" i="283"/>
  <c r="AB34" i="283"/>
  <c r="AA34" i="283"/>
  <c r="V34" i="283"/>
  <c r="U34" i="283"/>
  <c r="O34" i="283"/>
  <c r="M34" i="283"/>
  <c r="N34" i="283" s="1"/>
  <c r="K34" i="283"/>
  <c r="G34" i="283"/>
  <c r="AB33" i="283"/>
  <c r="AA33" i="283"/>
  <c r="V33" i="283"/>
  <c r="O33" i="283"/>
  <c r="M33" i="283"/>
  <c r="N33" i="283" s="1"/>
  <c r="K33" i="283"/>
  <c r="G33" i="283"/>
  <c r="AB32" i="283"/>
  <c r="AA32" i="283"/>
  <c r="O32" i="283"/>
  <c r="N32" i="283"/>
  <c r="K14" i="282" s="1"/>
  <c r="M32" i="283"/>
  <c r="K32" i="283"/>
  <c r="AB31" i="283"/>
  <c r="AA31" i="283"/>
  <c r="V31" i="283"/>
  <c r="U31" i="283"/>
  <c r="O31" i="283"/>
  <c r="N31" i="283"/>
  <c r="Q31" i="283" s="1"/>
  <c r="M31" i="283"/>
  <c r="K31" i="283"/>
  <c r="G31" i="283"/>
  <c r="AB30" i="283"/>
  <c r="AA30" i="283"/>
  <c r="V30" i="283"/>
  <c r="U30" i="283"/>
  <c r="O30" i="283"/>
  <c r="N30" i="283"/>
  <c r="Q30" i="283" s="1"/>
  <c r="M30" i="283"/>
  <c r="K30" i="283"/>
  <c r="G30" i="283"/>
  <c r="AB29" i="283"/>
  <c r="AA29" i="283"/>
  <c r="V29" i="283"/>
  <c r="U29" i="283"/>
  <c r="Q29" i="283"/>
  <c r="P29" i="283"/>
  <c r="O29" i="283"/>
  <c r="N29" i="283"/>
  <c r="M29" i="283"/>
  <c r="K29" i="283"/>
  <c r="G29" i="283"/>
  <c r="AB28" i="283"/>
  <c r="AA28" i="283"/>
  <c r="V28" i="283"/>
  <c r="U28" i="283"/>
  <c r="P28" i="283"/>
  <c r="O28" i="283"/>
  <c r="N28" i="283"/>
  <c r="Q28" i="283" s="1"/>
  <c r="M28" i="283"/>
  <c r="K28" i="283"/>
  <c r="G28" i="283"/>
  <c r="AC27" i="283"/>
  <c r="AB27" i="283"/>
  <c r="AA27" i="283"/>
  <c r="V27" i="283"/>
  <c r="P27" i="283"/>
  <c r="O27" i="283"/>
  <c r="N27" i="283"/>
  <c r="Q27" i="283" s="1"/>
  <c r="M27" i="283"/>
  <c r="K27" i="283"/>
  <c r="G27" i="283"/>
  <c r="AB26" i="283"/>
  <c r="AA26" i="283"/>
  <c r="O26" i="283"/>
  <c r="M26" i="283"/>
  <c r="N26" i="283" s="1"/>
  <c r="K26" i="283"/>
  <c r="AA25" i="283"/>
  <c r="V25" i="283"/>
  <c r="U25" i="283"/>
  <c r="O25" i="283"/>
  <c r="M25" i="283"/>
  <c r="N25" i="283" s="1"/>
  <c r="K25" i="283"/>
  <c r="G25" i="283"/>
  <c r="AB24" i="283"/>
  <c r="V24" i="283"/>
  <c r="U24" i="283"/>
  <c r="O24" i="283"/>
  <c r="M24" i="283"/>
  <c r="AA24" i="283" s="1"/>
  <c r="K24" i="283"/>
  <c r="G24" i="283"/>
  <c r="AB23" i="283"/>
  <c r="AA23" i="283"/>
  <c r="V23" i="283"/>
  <c r="O23" i="283"/>
  <c r="N23" i="283"/>
  <c r="P23" i="283" s="1"/>
  <c r="M23" i="283"/>
  <c r="K23" i="283"/>
  <c r="G23" i="283"/>
  <c r="AB22" i="283"/>
  <c r="AA22" i="283"/>
  <c r="V22" i="283"/>
  <c r="U22" i="283"/>
  <c r="O22" i="283"/>
  <c r="N22" i="283"/>
  <c r="P22" i="283" s="1"/>
  <c r="M22" i="283"/>
  <c r="K22" i="283"/>
  <c r="G22" i="283"/>
  <c r="AB21" i="283"/>
  <c r="AA21" i="283"/>
  <c r="V21" i="283"/>
  <c r="U21" i="283"/>
  <c r="O21" i="283"/>
  <c r="N21" i="283"/>
  <c r="Q21" i="283" s="1"/>
  <c r="M21" i="283"/>
  <c r="K21" i="283"/>
  <c r="G21" i="283"/>
  <c r="AB20" i="283"/>
  <c r="AA20" i="283"/>
  <c r="V20" i="283"/>
  <c r="U20" i="283"/>
  <c r="O20" i="283"/>
  <c r="N20" i="283"/>
  <c r="Q20" i="283" s="1"/>
  <c r="M20" i="283"/>
  <c r="K20" i="283"/>
  <c r="G20" i="283"/>
  <c r="AB19" i="283"/>
  <c r="AA19" i="283"/>
  <c r="V19" i="283"/>
  <c r="U19" i="283"/>
  <c r="Q19" i="283"/>
  <c r="P19" i="283"/>
  <c r="O19" i="283"/>
  <c r="N19" i="283"/>
  <c r="M19" i="283"/>
  <c r="K19" i="283"/>
  <c r="G19" i="283"/>
  <c r="AC18" i="283"/>
  <c r="AB18" i="283"/>
  <c r="AA18" i="283"/>
  <c r="V18" i="283"/>
  <c r="Q18" i="283"/>
  <c r="O18" i="283"/>
  <c r="N18" i="283"/>
  <c r="P18" i="283" s="1"/>
  <c r="M18" i="283"/>
  <c r="K18" i="283"/>
  <c r="G18" i="283"/>
  <c r="O17" i="283"/>
  <c r="K17" i="283"/>
  <c r="AB16" i="283"/>
  <c r="AA16" i="283"/>
  <c r="V16" i="283"/>
  <c r="U16" i="283"/>
  <c r="Q16" i="283"/>
  <c r="O16" i="283"/>
  <c r="N16" i="283"/>
  <c r="P16" i="283" s="1"/>
  <c r="M16" i="283"/>
  <c r="K16" i="283"/>
  <c r="G16" i="283"/>
  <c r="V15" i="283"/>
  <c r="O15" i="283"/>
  <c r="M15" i="283"/>
  <c r="N15" i="283" s="1"/>
  <c r="K15" i="283"/>
  <c r="G15" i="283"/>
  <c r="AB14" i="283"/>
  <c r="V14" i="283"/>
  <c r="U14" i="283"/>
  <c r="O14" i="283"/>
  <c r="M14" i="283"/>
  <c r="AA14" i="283" s="1"/>
  <c r="K14" i="283"/>
  <c r="G14" i="283"/>
  <c r="AB13" i="283"/>
  <c r="V13" i="283"/>
  <c r="O13" i="283"/>
  <c r="M13" i="283"/>
  <c r="M17" i="283" s="1"/>
  <c r="K13" i="283"/>
  <c r="G13" i="283"/>
  <c r="AB12" i="283"/>
  <c r="AA12" i="283"/>
  <c r="O12" i="283"/>
  <c r="N12" i="283"/>
  <c r="Q12" i="283" s="1"/>
  <c r="R9" i="283" s="1"/>
  <c r="M12" i="283"/>
  <c r="K12" i="283"/>
  <c r="AB11" i="283"/>
  <c r="AA11" i="283"/>
  <c r="V11" i="283"/>
  <c r="U11" i="283"/>
  <c r="Q11" i="283"/>
  <c r="P11" i="283"/>
  <c r="O11" i="283"/>
  <c r="N11" i="283"/>
  <c r="M11" i="283"/>
  <c r="K11" i="283"/>
  <c r="G11" i="283"/>
  <c r="AB10" i="283"/>
  <c r="AA10" i="283"/>
  <c r="V10" i="283"/>
  <c r="U10" i="283"/>
  <c r="P10" i="283"/>
  <c r="O10" i="283"/>
  <c r="N10" i="283"/>
  <c r="Q10" i="283" s="1"/>
  <c r="M10" i="283"/>
  <c r="K10" i="283"/>
  <c r="G10" i="283"/>
  <c r="AC9" i="283"/>
  <c r="AB9" i="283"/>
  <c r="AA9" i="283"/>
  <c r="V9" i="283"/>
  <c r="P9" i="283"/>
  <c r="O9" i="283"/>
  <c r="N9" i="283"/>
  <c r="Q9" i="283" s="1"/>
  <c r="M9" i="283"/>
  <c r="K9" i="283"/>
  <c r="G9" i="283"/>
  <c r="AB8" i="283"/>
  <c r="AC5" i="283" s="1"/>
  <c r="AA8" i="283"/>
  <c r="O8" i="283"/>
  <c r="M8" i="283"/>
  <c r="N8" i="283" s="1"/>
  <c r="K8" i="283"/>
  <c r="AB7" i="283"/>
  <c r="V7" i="283"/>
  <c r="U7" i="283"/>
  <c r="Q7" i="283"/>
  <c r="P7" i="283"/>
  <c r="O7" i="283"/>
  <c r="N7" i="283"/>
  <c r="M7" i="283"/>
  <c r="AA7" i="283" s="1"/>
  <c r="K7" i="283"/>
  <c r="G7" i="283"/>
  <c r="AB6" i="283"/>
  <c r="V6" i="283"/>
  <c r="U6" i="283"/>
  <c r="O6" i="283"/>
  <c r="M6" i="283"/>
  <c r="AA6" i="283" s="1"/>
  <c r="K6" i="283"/>
  <c r="G6" i="283"/>
  <c r="V5" i="283"/>
  <c r="O5" i="283"/>
  <c r="M5" i="283"/>
  <c r="AB5" i="283" s="1"/>
  <c r="K5" i="283"/>
  <c r="G5" i="283"/>
  <c r="H2" i="283"/>
  <c r="H1" i="283"/>
  <c r="F1" i="283"/>
  <c r="F2" i="283" s="1"/>
  <c r="D1" i="283"/>
  <c r="M18" i="282"/>
  <c r="L18" i="282"/>
  <c r="K18" i="282"/>
  <c r="J18" i="282"/>
  <c r="I18" i="282"/>
  <c r="H18" i="282"/>
  <c r="G18" i="282"/>
  <c r="F18" i="282"/>
  <c r="E18" i="282"/>
  <c r="D18" i="282"/>
  <c r="M17" i="282"/>
  <c r="L17" i="282"/>
  <c r="K17" i="282"/>
  <c r="J17" i="282"/>
  <c r="I17" i="282"/>
  <c r="H17" i="282"/>
  <c r="G17" i="282"/>
  <c r="F17" i="282"/>
  <c r="E17" i="282"/>
  <c r="D17" i="282"/>
  <c r="M16" i="282"/>
  <c r="L16" i="282"/>
  <c r="K16" i="282"/>
  <c r="J16" i="282"/>
  <c r="I16" i="282"/>
  <c r="H16" i="282"/>
  <c r="G16" i="282"/>
  <c r="F16" i="282"/>
  <c r="E16" i="282"/>
  <c r="D16" i="282"/>
  <c r="E14" i="282"/>
  <c r="M13" i="282"/>
  <c r="L13" i="282"/>
  <c r="K13" i="282"/>
  <c r="J13" i="282"/>
  <c r="I13" i="282"/>
  <c r="H13" i="282"/>
  <c r="G13" i="282"/>
  <c r="F13" i="282"/>
  <c r="E13" i="282"/>
  <c r="D13" i="282"/>
  <c r="I3" i="282"/>
  <c r="F3" i="282"/>
  <c r="C3" i="282"/>
  <c r="I15" i="284" l="1"/>
  <c r="F6" i="284"/>
  <c r="G6" i="284"/>
  <c r="E6" i="284"/>
  <c r="F6" i="282"/>
  <c r="I6" i="282"/>
  <c r="E15" i="282"/>
  <c r="F8" i="300"/>
  <c r="G8" i="300"/>
  <c r="E8" i="300"/>
  <c r="Q52" i="299"/>
  <c r="R44" i="299" s="1"/>
  <c r="P52" i="299"/>
  <c r="H14" i="298"/>
  <c r="H15" i="298" s="1"/>
  <c r="P18" i="299"/>
  <c r="F14" i="298"/>
  <c r="F15" i="298" s="1"/>
  <c r="Q18" i="299"/>
  <c r="R14" i="299" s="1"/>
  <c r="Q13" i="299"/>
  <c r="R9" i="299" s="1"/>
  <c r="P13" i="299"/>
  <c r="E14" i="298"/>
  <c r="E15" i="298" s="1"/>
  <c r="P73" i="299"/>
  <c r="Q73" i="299"/>
  <c r="R66" i="299" s="1"/>
  <c r="M14" i="298"/>
  <c r="M15" i="298" s="1"/>
  <c r="G14" i="298"/>
  <c r="G15" i="298" s="1"/>
  <c r="Q27" i="299"/>
  <c r="R19" i="299" s="1"/>
  <c r="P27" i="299"/>
  <c r="K15" i="298"/>
  <c r="P58" i="299"/>
  <c r="I14" i="298"/>
  <c r="I15" i="298" s="1"/>
  <c r="Q58" i="299"/>
  <c r="R53" i="299" s="1"/>
  <c r="D2" i="299"/>
  <c r="D14" i="298"/>
  <c r="Q8" i="299"/>
  <c r="R5" i="299" s="1"/>
  <c r="P8" i="299"/>
  <c r="K14" i="296"/>
  <c r="Q33" i="297"/>
  <c r="R28" i="297" s="1"/>
  <c r="P33" i="297"/>
  <c r="P8" i="297"/>
  <c r="Q8" i="297"/>
  <c r="R5" i="297" s="1"/>
  <c r="D2" i="297"/>
  <c r="D14" i="296"/>
  <c r="Q52" i="297"/>
  <c r="R44" i="297" s="1"/>
  <c r="H14" i="296"/>
  <c r="H15" i="296" s="1"/>
  <c r="P52" i="297"/>
  <c r="I14" i="296"/>
  <c r="I15" i="296" s="1"/>
  <c r="P58" i="297"/>
  <c r="Q74" i="297"/>
  <c r="R66" i="297" s="1"/>
  <c r="P74" i="297"/>
  <c r="E14" i="294"/>
  <c r="Q13" i="295"/>
  <c r="R9" i="295" s="1"/>
  <c r="P13" i="295"/>
  <c r="D2" i="295"/>
  <c r="I14" i="294"/>
  <c r="I15" i="294" s="1"/>
  <c r="P60" i="295"/>
  <c r="Q60" i="295"/>
  <c r="R55" i="295" s="1"/>
  <c r="P34" i="295"/>
  <c r="Q34" i="295"/>
  <c r="R28" i="295" s="1"/>
  <c r="K14" i="294"/>
  <c r="Q54" i="295"/>
  <c r="R46" i="295" s="1"/>
  <c r="P54" i="295"/>
  <c r="H14" i="294"/>
  <c r="H15" i="294" s="1"/>
  <c r="Q76" i="295"/>
  <c r="R68" i="295" s="1"/>
  <c r="P76" i="295"/>
  <c r="Q48" i="287"/>
  <c r="P48" i="287"/>
  <c r="Q10" i="287"/>
  <c r="P10" i="287"/>
  <c r="Q38" i="287"/>
  <c r="P38" i="287"/>
  <c r="P49" i="287"/>
  <c r="Q49" i="287"/>
  <c r="D15" i="286"/>
  <c r="Q9" i="287"/>
  <c r="P9" i="287"/>
  <c r="P18" i="287"/>
  <c r="Q39" i="287"/>
  <c r="P39" i="287"/>
  <c r="Q28" i="287"/>
  <c r="P28" i="287"/>
  <c r="P67" i="287"/>
  <c r="Q67" i="287"/>
  <c r="P29" i="287"/>
  <c r="Q29" i="287"/>
  <c r="P50" i="287"/>
  <c r="Q50" i="287"/>
  <c r="Q18" i="287"/>
  <c r="R14" i="287" s="1"/>
  <c r="Q11" i="287"/>
  <c r="P11" i="287"/>
  <c r="P68" i="287"/>
  <c r="Q68" i="287"/>
  <c r="Q66" i="287"/>
  <c r="R60" i="287" s="1"/>
  <c r="Q22" i="287"/>
  <c r="P22" i="287"/>
  <c r="Q58" i="287"/>
  <c r="P58" i="287"/>
  <c r="Q32" i="287"/>
  <c r="P32" i="287"/>
  <c r="Q13" i="287"/>
  <c r="R9" i="287" s="1"/>
  <c r="P13" i="287"/>
  <c r="E14" i="286"/>
  <c r="E15" i="286" s="1"/>
  <c r="AB66" i="287"/>
  <c r="AC60" i="287" s="1"/>
  <c r="AA66" i="287"/>
  <c r="Q72" i="287"/>
  <c r="P72" i="287"/>
  <c r="Q70" i="287"/>
  <c r="P70" i="287"/>
  <c r="Q69" i="287"/>
  <c r="P69" i="287"/>
  <c r="AB73" i="287"/>
  <c r="AC67" i="287" s="1"/>
  <c r="AA73" i="287"/>
  <c r="N73" i="287"/>
  <c r="M14" i="286" s="1"/>
  <c r="M15" i="286" s="1"/>
  <c r="Q65" i="287"/>
  <c r="P65" i="287"/>
  <c r="Q63" i="287"/>
  <c r="P63" i="287"/>
  <c r="Q62" i="287"/>
  <c r="P62" i="287"/>
  <c r="Q55" i="287"/>
  <c r="P55" i="287"/>
  <c r="Q54" i="287"/>
  <c r="P54" i="287"/>
  <c r="AB59" i="287"/>
  <c r="AC54" i="287" s="1"/>
  <c r="N59" i="287"/>
  <c r="Q59" i="287" s="1"/>
  <c r="R54" i="287" s="1"/>
  <c r="Q52" i="287"/>
  <c r="P52" i="287"/>
  <c r="Q51" i="287"/>
  <c r="P51" i="287"/>
  <c r="N53" i="287"/>
  <c r="AB53" i="287"/>
  <c r="AC45" i="287" s="1"/>
  <c r="AA53" i="287"/>
  <c r="Q42" i="287"/>
  <c r="P42" i="287"/>
  <c r="Q41" i="287"/>
  <c r="P41" i="287"/>
  <c r="AA44" i="287"/>
  <c r="N44" i="287"/>
  <c r="L14" i="286" s="1"/>
  <c r="L15" i="286" s="1"/>
  <c r="AB44" i="287"/>
  <c r="AC36" i="287" s="1"/>
  <c r="Q34" i="287"/>
  <c r="P34" i="287"/>
  <c r="Q31" i="287"/>
  <c r="P31" i="287"/>
  <c r="AB35" i="287"/>
  <c r="AC28" i="287" s="1"/>
  <c r="AA35" i="287"/>
  <c r="N35" i="287"/>
  <c r="K14" i="286" s="1"/>
  <c r="Q25" i="287"/>
  <c r="P25" i="287"/>
  <c r="Q24" i="287"/>
  <c r="P24" i="287"/>
  <c r="Q21" i="287"/>
  <c r="P21" i="287"/>
  <c r="Q17" i="287"/>
  <c r="P17" i="287"/>
  <c r="Q15" i="287"/>
  <c r="P15" i="287"/>
  <c r="AB18" i="287"/>
  <c r="AC14" i="287" s="1"/>
  <c r="AA18" i="287"/>
  <c r="Q14" i="287"/>
  <c r="P14" i="287"/>
  <c r="Q8" i="287"/>
  <c r="R5" i="287" s="1"/>
  <c r="P8" i="287"/>
  <c r="Q7" i="287"/>
  <c r="P7" i="287"/>
  <c r="Q6" i="287"/>
  <c r="P6" i="287"/>
  <c r="Q5" i="287"/>
  <c r="P5" i="287"/>
  <c r="Q72" i="285"/>
  <c r="P72" i="285"/>
  <c r="M27" i="285"/>
  <c r="AB19" i="285"/>
  <c r="AA19" i="285"/>
  <c r="N19" i="285"/>
  <c r="N15" i="285"/>
  <c r="AB15" i="285"/>
  <c r="AA15" i="285"/>
  <c r="N7" i="285"/>
  <c r="M8" i="285"/>
  <c r="AB7" i="285"/>
  <c r="AA7" i="285"/>
  <c r="Q34" i="285"/>
  <c r="P34" i="285"/>
  <c r="Q16" i="285"/>
  <c r="P16" i="285"/>
  <c r="Q31" i="285"/>
  <c r="P31" i="285"/>
  <c r="Q64" i="285"/>
  <c r="P64" i="285"/>
  <c r="AB68" i="285"/>
  <c r="AA68" i="285"/>
  <c r="N68" i="285"/>
  <c r="Q6" i="285"/>
  <c r="P6" i="285"/>
  <c r="AB20" i="285"/>
  <c r="AA20" i="285"/>
  <c r="N20" i="285"/>
  <c r="N25" i="285"/>
  <c r="AB25" i="285"/>
  <c r="AA25" i="285"/>
  <c r="Q32" i="285"/>
  <c r="P32" i="285"/>
  <c r="AB30" i="285"/>
  <c r="AA30" i="285"/>
  <c r="N30" i="285"/>
  <c r="M13" i="285"/>
  <c r="AB12" i="285"/>
  <c r="AA12" i="285"/>
  <c r="N12" i="285"/>
  <c r="Q70" i="285"/>
  <c r="P70" i="285"/>
  <c r="Q63" i="285"/>
  <c r="P63" i="285"/>
  <c r="Q24" i="285"/>
  <c r="P24" i="285"/>
  <c r="M53" i="285"/>
  <c r="AB50" i="285"/>
  <c r="AA50" i="285"/>
  <c r="N50" i="285"/>
  <c r="Q62" i="285"/>
  <c r="P62" i="285"/>
  <c r="AB67" i="285"/>
  <c r="AA67" i="285"/>
  <c r="M73" i="285"/>
  <c r="N67" i="285"/>
  <c r="Q69" i="285"/>
  <c r="P69" i="285"/>
  <c r="N14" i="285"/>
  <c r="M18" i="285"/>
  <c r="AB14" i="285"/>
  <c r="AA14" i="285"/>
  <c r="Q21" i="285"/>
  <c r="P21" i="285"/>
  <c r="Q26" i="285"/>
  <c r="P26" i="285"/>
  <c r="Q42" i="285"/>
  <c r="P42" i="285"/>
  <c r="Q52" i="285"/>
  <c r="P52" i="285"/>
  <c r="Q41" i="285"/>
  <c r="P41" i="285"/>
  <c r="Q22" i="285"/>
  <c r="P22" i="285"/>
  <c r="Q5" i="285"/>
  <c r="P5" i="285"/>
  <c r="AB40" i="285"/>
  <c r="M44" i="285"/>
  <c r="AA40" i="285"/>
  <c r="N40" i="285"/>
  <c r="Q23" i="285"/>
  <c r="Q33" i="285"/>
  <c r="Q43" i="285"/>
  <c r="Q60" i="285"/>
  <c r="Q61" i="285"/>
  <c r="Q71" i="285"/>
  <c r="M66" i="285"/>
  <c r="AB22" i="285"/>
  <c r="AB32" i="285"/>
  <c r="M35" i="285"/>
  <c r="AB42" i="285"/>
  <c r="AB52" i="285"/>
  <c r="AB70" i="285"/>
  <c r="AB21" i="285"/>
  <c r="AB31" i="285"/>
  <c r="P45" i="285"/>
  <c r="P46" i="285"/>
  <c r="P56" i="285"/>
  <c r="AA11" i="285"/>
  <c r="P17" i="285"/>
  <c r="AA28" i="285"/>
  <c r="AA29" i="285"/>
  <c r="P54" i="285"/>
  <c r="P55" i="285"/>
  <c r="P65" i="285"/>
  <c r="N17" i="283"/>
  <c r="AB17" i="283"/>
  <c r="AC13" i="283" s="1"/>
  <c r="AA17" i="283"/>
  <c r="Q60" i="283"/>
  <c r="P60" i="283"/>
  <c r="P8" i="283"/>
  <c r="D14" i="282"/>
  <c r="Q8" i="283"/>
  <c r="R5" i="283" s="1"/>
  <c r="P26" i="283"/>
  <c r="G14" i="282"/>
  <c r="G15" i="282" s="1"/>
  <c r="Q26" i="283"/>
  <c r="R18" i="283" s="1"/>
  <c r="Q42" i="283"/>
  <c r="P42" i="283"/>
  <c r="Q33" i="283"/>
  <c r="P33" i="283"/>
  <c r="P45" i="283"/>
  <c r="Q45" i="283"/>
  <c r="Q62" i="283"/>
  <c r="P62" i="283"/>
  <c r="P35" i="283"/>
  <c r="Q35" i="283"/>
  <c r="Q61" i="283"/>
  <c r="P61" i="283"/>
  <c r="Q25" i="283"/>
  <c r="P25" i="283"/>
  <c r="Q52" i="283"/>
  <c r="R47" i="283" s="1"/>
  <c r="P52" i="283"/>
  <c r="I14" i="282"/>
  <c r="I15" i="282" s="1"/>
  <c r="J14" i="282"/>
  <c r="J15" i="282" s="1"/>
  <c r="P59" i="283"/>
  <c r="Q59" i="283"/>
  <c r="R53" i="283" s="1"/>
  <c r="K15" i="282"/>
  <c r="Q15" i="283"/>
  <c r="P15" i="283"/>
  <c r="Q34" i="283"/>
  <c r="P34" i="283"/>
  <c r="Q43" i="283"/>
  <c r="P43" i="283"/>
  <c r="P63" i="283"/>
  <c r="Q63" i="283"/>
  <c r="N5" i="283"/>
  <c r="N6" i="283"/>
  <c r="N13" i="283"/>
  <c r="N14" i="283"/>
  <c r="N24" i="283"/>
  <c r="Q40" i="283"/>
  <c r="Q51" i="283"/>
  <c r="G6" i="282"/>
  <c r="P12" i="283"/>
  <c r="AA15" i="283"/>
  <c r="P21" i="283"/>
  <c r="Q22" i="283"/>
  <c r="P31" i="283"/>
  <c r="P49" i="283"/>
  <c r="Q50" i="283"/>
  <c r="M65" i="283"/>
  <c r="Q23" i="283"/>
  <c r="AA5" i="283"/>
  <c r="AA13" i="283"/>
  <c r="AB15" i="283"/>
  <c r="P20" i="283"/>
  <c r="AB25" i="283"/>
  <c r="P30" i="283"/>
  <c r="AB43" i="283"/>
  <c r="M46" i="283"/>
  <c r="P47" i="283"/>
  <c r="P48" i="283"/>
  <c r="P58" i="283"/>
  <c r="AA59" i="283"/>
  <c r="P41" i="283"/>
  <c r="AB59" i="283"/>
  <c r="AC53" i="283" s="1"/>
  <c r="Q32" i="283"/>
  <c r="R27" i="283" s="1"/>
  <c r="P37" i="283"/>
  <c r="AB39" i="283"/>
  <c r="AC33" i="283" s="1"/>
  <c r="P55" i="283"/>
  <c r="E6" i="282"/>
  <c r="P32" i="283"/>
  <c r="P36" i="283"/>
  <c r="P53" i="283"/>
  <c r="P54" i="283"/>
  <c r="P64" i="283"/>
  <c r="N39" i="283"/>
  <c r="O65" i="281"/>
  <c r="K65" i="281"/>
  <c r="AA64" i="281"/>
  <c r="V64" i="281"/>
  <c r="M64" i="281" s="1"/>
  <c r="U64" i="281"/>
  <c r="O64" i="281"/>
  <c r="K64" i="281"/>
  <c r="G64" i="281"/>
  <c r="V63" i="281"/>
  <c r="M63" i="281" s="1"/>
  <c r="U63" i="281"/>
  <c r="O63" i="281"/>
  <c r="K63" i="281"/>
  <c r="G63" i="281"/>
  <c r="V62" i="281"/>
  <c r="M62" i="281" s="1"/>
  <c r="U62" i="281"/>
  <c r="O62" i="281"/>
  <c r="K62" i="281"/>
  <c r="G62" i="281"/>
  <c r="V61" i="281"/>
  <c r="M61" i="281" s="1"/>
  <c r="U61" i="281"/>
  <c r="O61" i="281"/>
  <c r="K61" i="281"/>
  <c r="G61" i="281"/>
  <c r="V60" i="281"/>
  <c r="M60" i="281" s="1"/>
  <c r="O60" i="281"/>
  <c r="K60" i="281"/>
  <c r="G60" i="281"/>
  <c r="O59" i="281"/>
  <c r="K59" i="281"/>
  <c r="V58" i="281"/>
  <c r="U58" i="281"/>
  <c r="O58" i="281"/>
  <c r="M58" i="281"/>
  <c r="AB58" i="281" s="1"/>
  <c r="K58" i="281"/>
  <c r="G58" i="281"/>
  <c r="AB57" i="281"/>
  <c r="V57" i="281"/>
  <c r="U57" i="281"/>
  <c r="O57" i="281"/>
  <c r="N57" i="281"/>
  <c r="Q57" i="281" s="1"/>
  <c r="M57" i="281"/>
  <c r="AA57" i="281" s="1"/>
  <c r="K57" i="281"/>
  <c r="G57" i="281"/>
  <c r="AA56" i="281"/>
  <c r="V56" i="281"/>
  <c r="U56" i="281"/>
  <c r="O56" i="281"/>
  <c r="M56" i="281"/>
  <c r="N56" i="281" s="1"/>
  <c r="K56" i="281"/>
  <c r="G56" i="281"/>
  <c r="AB55" i="281"/>
  <c r="V55" i="281"/>
  <c r="M55" i="281" s="1"/>
  <c r="U55" i="281"/>
  <c r="O55" i="281"/>
  <c r="K55" i="281"/>
  <c r="G55" i="281"/>
  <c r="AA54" i="281"/>
  <c r="V54" i="281"/>
  <c r="M54" i="281" s="1"/>
  <c r="U54" i="281"/>
  <c r="O54" i="281"/>
  <c r="K54" i="281"/>
  <c r="G54" i="281"/>
  <c r="AA53" i="281"/>
  <c r="V53" i="281"/>
  <c r="M53" i="281" s="1"/>
  <c r="O53" i="281"/>
  <c r="K53" i="281"/>
  <c r="G53" i="281"/>
  <c r="O52" i="281"/>
  <c r="K52" i="281"/>
  <c r="V51" i="281"/>
  <c r="U51" i="281"/>
  <c r="O51" i="281"/>
  <c r="M51" i="281"/>
  <c r="K51" i="281"/>
  <c r="G51" i="281"/>
  <c r="V50" i="281"/>
  <c r="U50" i="281"/>
  <c r="O50" i="281"/>
  <c r="N50" i="281"/>
  <c r="M50" i="281"/>
  <c r="AB50" i="281" s="1"/>
  <c r="K50" i="281"/>
  <c r="G50" i="281"/>
  <c r="V49" i="281"/>
  <c r="O49" i="281"/>
  <c r="M49" i="281"/>
  <c r="K49" i="281"/>
  <c r="G49" i="281"/>
  <c r="V48" i="281"/>
  <c r="U48" i="281"/>
  <c r="O48" i="281"/>
  <c r="M48" i="281"/>
  <c r="AB48" i="281" s="1"/>
  <c r="K48" i="281"/>
  <c r="G48" i="281"/>
  <c r="V47" i="281"/>
  <c r="O47" i="281"/>
  <c r="M47" i="281"/>
  <c r="AB47" i="281" s="1"/>
  <c r="K47" i="281"/>
  <c r="G47" i="281"/>
  <c r="O46" i="281"/>
  <c r="K46" i="281"/>
  <c r="V45" i="281"/>
  <c r="M45" i="281" s="1"/>
  <c r="U45" i="281"/>
  <c r="O45" i="281"/>
  <c r="K45" i="281"/>
  <c r="G45" i="281"/>
  <c r="V44" i="281"/>
  <c r="M44" i="281" s="1"/>
  <c r="U44" i="281"/>
  <c r="O44" i="281"/>
  <c r="K44" i="281"/>
  <c r="G44" i="281"/>
  <c r="V43" i="281"/>
  <c r="M43" i="281" s="1"/>
  <c r="U43" i="281"/>
  <c r="O43" i="281"/>
  <c r="K43" i="281"/>
  <c r="G43" i="281"/>
  <c r="V42" i="281"/>
  <c r="M42" i="281" s="1"/>
  <c r="U42" i="281"/>
  <c r="P42" i="281"/>
  <c r="O42" i="281"/>
  <c r="N42" i="281"/>
  <c r="Q42" i="281" s="1"/>
  <c r="K42" i="281"/>
  <c r="G42" i="281"/>
  <c r="V41" i="281"/>
  <c r="U41" i="281"/>
  <c r="O41" i="281"/>
  <c r="M41" i="281"/>
  <c r="K41" i="281"/>
  <c r="G41" i="281"/>
  <c r="V40" i="281"/>
  <c r="O40" i="281"/>
  <c r="M40" i="281"/>
  <c r="K40" i="281"/>
  <c r="G40" i="281"/>
  <c r="O39" i="281"/>
  <c r="K39" i="281"/>
  <c r="AA38" i="281"/>
  <c r="V38" i="281"/>
  <c r="U38" i="281"/>
  <c r="O38" i="281"/>
  <c r="M38" i="281"/>
  <c r="N38" i="281" s="1"/>
  <c r="K38" i="281"/>
  <c r="G38" i="281"/>
  <c r="AB37" i="281"/>
  <c r="V37" i="281"/>
  <c r="M37" i="281" s="1"/>
  <c r="U37" i="281"/>
  <c r="O37" i="281"/>
  <c r="K37" i="281"/>
  <c r="G37" i="281"/>
  <c r="AA36" i="281"/>
  <c r="V36" i="281"/>
  <c r="M36" i="281" s="1"/>
  <c r="U36" i="281"/>
  <c r="O36" i="281"/>
  <c r="K36" i="281"/>
  <c r="G36" i="281"/>
  <c r="V35" i="281"/>
  <c r="M35" i="281" s="1"/>
  <c r="U35" i="281"/>
  <c r="O35" i="281"/>
  <c r="K35" i="281"/>
  <c r="G35" i="281"/>
  <c r="V34" i="281"/>
  <c r="M34" i="281" s="1"/>
  <c r="U34" i="281"/>
  <c r="O34" i="281"/>
  <c r="K34" i="281"/>
  <c r="G34" i="281"/>
  <c r="V33" i="281"/>
  <c r="M33" i="281" s="1"/>
  <c r="O33" i="281"/>
  <c r="K33" i="281"/>
  <c r="G33" i="281"/>
  <c r="O32" i="281"/>
  <c r="M32" i="281"/>
  <c r="K32" i="281"/>
  <c r="V31" i="281"/>
  <c r="U31" i="281"/>
  <c r="O31" i="281"/>
  <c r="M31" i="281"/>
  <c r="K31" i="281"/>
  <c r="G31" i="281"/>
  <c r="V30" i="281"/>
  <c r="U30" i="281"/>
  <c r="O30" i="281"/>
  <c r="M30" i="281"/>
  <c r="AB30" i="281" s="1"/>
  <c r="K30" i="281"/>
  <c r="G30" i="281"/>
  <c r="AB29" i="281"/>
  <c r="V29" i="281"/>
  <c r="U29" i="281"/>
  <c r="O29" i="281"/>
  <c r="N29" i="281"/>
  <c r="Q29" i="281" s="1"/>
  <c r="M29" i="281"/>
  <c r="AA29" i="281" s="1"/>
  <c r="K29" i="281"/>
  <c r="G29" i="281"/>
  <c r="AA28" i="281"/>
  <c r="V28" i="281"/>
  <c r="U28" i="281"/>
  <c r="O28" i="281"/>
  <c r="M28" i="281"/>
  <c r="N28" i="281" s="1"/>
  <c r="K28" i="281"/>
  <c r="G28" i="281"/>
  <c r="AA27" i="281"/>
  <c r="V27" i="281"/>
  <c r="O27" i="281"/>
  <c r="M27" i="281"/>
  <c r="N27" i="281" s="1"/>
  <c r="K27" i="281"/>
  <c r="G27" i="281"/>
  <c r="O26" i="281"/>
  <c r="K26" i="281"/>
  <c r="V25" i="281"/>
  <c r="M25" i="281" s="1"/>
  <c r="U25" i="281"/>
  <c r="O25" i="281"/>
  <c r="K25" i="281"/>
  <c r="G25" i="281"/>
  <c r="V24" i="281"/>
  <c r="M24" i="281" s="1"/>
  <c r="U24" i="281"/>
  <c r="P24" i="281"/>
  <c r="O24" i="281"/>
  <c r="N24" i="281"/>
  <c r="Q24" i="281" s="1"/>
  <c r="K24" i="281"/>
  <c r="G24" i="281"/>
  <c r="V23" i="281"/>
  <c r="O23" i="281"/>
  <c r="M23" i="281"/>
  <c r="K23" i="281"/>
  <c r="G23" i="281"/>
  <c r="V22" i="281"/>
  <c r="U22" i="281"/>
  <c r="O22" i="281"/>
  <c r="N22" i="281"/>
  <c r="M22" i="281"/>
  <c r="AB22" i="281" s="1"/>
  <c r="K22" i="281"/>
  <c r="G22" i="281"/>
  <c r="V21" i="281"/>
  <c r="U21" i="281"/>
  <c r="O21" i="281"/>
  <c r="N21" i="281"/>
  <c r="M21" i="281"/>
  <c r="K21" i="281"/>
  <c r="G21" i="281"/>
  <c r="V20" i="281"/>
  <c r="U20" i="281"/>
  <c r="O20" i="281"/>
  <c r="M20" i="281"/>
  <c r="K20" i="281"/>
  <c r="G20" i="281"/>
  <c r="AB19" i="281"/>
  <c r="V19" i="281"/>
  <c r="U19" i="281"/>
  <c r="O19" i="281"/>
  <c r="N19" i="281"/>
  <c r="Q19" i="281" s="1"/>
  <c r="M19" i="281"/>
  <c r="AA19" i="281" s="1"/>
  <c r="K19" i="281"/>
  <c r="G19" i="281"/>
  <c r="AB18" i="281"/>
  <c r="V18" i="281"/>
  <c r="O18" i="281"/>
  <c r="N18" i="281"/>
  <c r="Q18" i="281" s="1"/>
  <c r="M18" i="281"/>
  <c r="AA18" i="281" s="1"/>
  <c r="K18" i="281"/>
  <c r="G18" i="281"/>
  <c r="O17" i="281"/>
  <c r="K17" i="281"/>
  <c r="V16" i="281"/>
  <c r="M16" i="281" s="1"/>
  <c r="U16" i="281"/>
  <c r="O16" i="281"/>
  <c r="K16" i="281"/>
  <c r="G16" i="281"/>
  <c r="V15" i="281"/>
  <c r="M15" i="281" s="1"/>
  <c r="O15" i="281"/>
  <c r="K15" i="281"/>
  <c r="G15" i="281"/>
  <c r="V14" i="281"/>
  <c r="M14" i="281" s="1"/>
  <c r="U14" i="281"/>
  <c r="O14" i="281"/>
  <c r="N14" i="281"/>
  <c r="Q14" i="281" s="1"/>
  <c r="K14" i="281"/>
  <c r="G14" i="281"/>
  <c r="V13" i="281"/>
  <c r="M13" i="281" s="1"/>
  <c r="Q13" i="281"/>
  <c r="P13" i="281"/>
  <c r="O13" i="281"/>
  <c r="N13" i="281"/>
  <c r="K13" i="281"/>
  <c r="G13" i="281"/>
  <c r="O12" i="281"/>
  <c r="N12" i="281"/>
  <c r="M12" i="281"/>
  <c r="K12" i="281"/>
  <c r="AB11" i="281"/>
  <c r="V11" i="281"/>
  <c r="U11" i="281"/>
  <c r="O11" i="281"/>
  <c r="N11" i="281"/>
  <c r="Q11" i="281" s="1"/>
  <c r="M11" i="281"/>
  <c r="AA11" i="281" s="1"/>
  <c r="K11" i="281"/>
  <c r="G11" i="281"/>
  <c r="AA10" i="281"/>
  <c r="V10" i="281"/>
  <c r="U10" i="281"/>
  <c r="O10" i="281"/>
  <c r="M10" i="281"/>
  <c r="N10" i="281" s="1"/>
  <c r="K10" i="281"/>
  <c r="G10" i="281"/>
  <c r="AA9" i="281"/>
  <c r="V9" i="281"/>
  <c r="O9" i="281"/>
  <c r="M9" i="281"/>
  <c r="N9" i="281" s="1"/>
  <c r="K9" i="281"/>
  <c r="G9" i="281"/>
  <c r="F1" i="281" s="1"/>
  <c r="F2" i="281" s="1"/>
  <c r="O8" i="281"/>
  <c r="K8" i="281"/>
  <c r="V7" i="281"/>
  <c r="M7" i="281" s="1"/>
  <c r="U7" i="281"/>
  <c r="O7" i="281"/>
  <c r="K7" i="281"/>
  <c r="G7" i="281"/>
  <c r="V6" i="281"/>
  <c r="M6" i="281" s="1"/>
  <c r="U6" i="281"/>
  <c r="Q6" i="281"/>
  <c r="O6" i="281"/>
  <c r="N6" i="281"/>
  <c r="P6" i="281" s="1"/>
  <c r="K6" i="281"/>
  <c r="G6" i="281"/>
  <c r="V5" i="281"/>
  <c r="M5" i="281" s="1"/>
  <c r="Q5" i="281"/>
  <c r="P5" i="281"/>
  <c r="O5" i="281"/>
  <c r="N5" i="281"/>
  <c r="K5" i="281"/>
  <c r="G5" i="281"/>
  <c r="H2" i="281"/>
  <c r="H1" i="281"/>
  <c r="D1" i="281"/>
  <c r="M18" i="280"/>
  <c r="L18" i="280"/>
  <c r="K18" i="280"/>
  <c r="J18" i="280"/>
  <c r="I18" i="280"/>
  <c r="H18" i="280"/>
  <c r="G18" i="280"/>
  <c r="F18" i="280"/>
  <c r="E18" i="280"/>
  <c r="D18" i="280"/>
  <c r="M17" i="280"/>
  <c r="L17" i="280"/>
  <c r="K17" i="280"/>
  <c r="J17" i="280"/>
  <c r="I17" i="280"/>
  <c r="H17" i="280"/>
  <c r="G17" i="280"/>
  <c r="F17" i="280"/>
  <c r="E17" i="280"/>
  <c r="D17" i="280"/>
  <c r="M16" i="280"/>
  <c r="L16" i="280"/>
  <c r="K16" i="280"/>
  <c r="J16" i="280"/>
  <c r="I16" i="280"/>
  <c r="H16" i="280"/>
  <c r="G16" i="280"/>
  <c r="F16" i="280"/>
  <c r="E16" i="280"/>
  <c r="D16" i="280"/>
  <c r="E14" i="280"/>
  <c r="M13" i="280"/>
  <c r="L13" i="280"/>
  <c r="K13" i="280"/>
  <c r="I6" i="280" s="1"/>
  <c r="J13" i="280"/>
  <c r="I13" i="280"/>
  <c r="H13" i="280"/>
  <c r="G13" i="280"/>
  <c r="F13" i="280"/>
  <c r="E13" i="280"/>
  <c r="D13" i="280"/>
  <c r="E6" i="280" s="1"/>
  <c r="I3" i="280"/>
  <c r="F3" i="280"/>
  <c r="C3" i="280"/>
  <c r="E15" i="280" l="1"/>
  <c r="P14" i="281"/>
  <c r="G7" i="298"/>
  <c r="F7" i="298"/>
  <c r="E7" i="298"/>
  <c r="D15" i="298"/>
  <c r="I7" i="298"/>
  <c r="I8" i="298"/>
  <c r="G7" i="296"/>
  <c r="F7" i="296"/>
  <c r="D15" i="296"/>
  <c r="E7" i="296"/>
  <c r="K15" i="296"/>
  <c r="I8" i="296" s="1"/>
  <c r="I7" i="296"/>
  <c r="K15" i="294"/>
  <c r="I8" i="294" s="1"/>
  <c r="I7" i="294"/>
  <c r="E15" i="294"/>
  <c r="E7" i="294"/>
  <c r="G7" i="294"/>
  <c r="F7" i="294"/>
  <c r="K15" i="286"/>
  <c r="I8" i="286" s="1"/>
  <c r="I7" i="286"/>
  <c r="D2" i="287"/>
  <c r="Q35" i="287"/>
  <c r="R28" i="287" s="1"/>
  <c r="P35" i="287"/>
  <c r="Q44" i="287"/>
  <c r="R36" i="287" s="1"/>
  <c r="P44" i="287"/>
  <c r="Q53" i="287"/>
  <c r="R45" i="287" s="1"/>
  <c r="P53" i="287"/>
  <c r="H14" i="286"/>
  <c r="H15" i="286" s="1"/>
  <c r="P59" i="287"/>
  <c r="I14" i="286"/>
  <c r="I15" i="286" s="1"/>
  <c r="Q73" i="287"/>
  <c r="R67" i="287" s="1"/>
  <c r="P73" i="287"/>
  <c r="Q14" i="285"/>
  <c r="P14" i="285"/>
  <c r="N53" i="285"/>
  <c r="AB53" i="285"/>
  <c r="AC45" i="285" s="1"/>
  <c r="AA53" i="285"/>
  <c r="Q68" i="285"/>
  <c r="P68" i="285"/>
  <c r="Q7" i="285"/>
  <c r="P7" i="285"/>
  <c r="Q40" i="285"/>
  <c r="P40" i="285"/>
  <c r="P67" i="285"/>
  <c r="Q67" i="285"/>
  <c r="AB8" i="285"/>
  <c r="AC5" i="285" s="1"/>
  <c r="AA8" i="285"/>
  <c r="N8" i="285"/>
  <c r="AB73" i="285"/>
  <c r="AC67" i="285" s="1"/>
  <c r="AA73" i="285"/>
  <c r="N73" i="285"/>
  <c r="AB35" i="285"/>
  <c r="AC28" i="285" s="1"/>
  <c r="AA35" i="285"/>
  <c r="N35" i="285"/>
  <c r="AA44" i="285"/>
  <c r="N44" i="285"/>
  <c r="AB44" i="285"/>
  <c r="AC36" i="285" s="1"/>
  <c r="Q15" i="285"/>
  <c r="P15" i="285"/>
  <c r="Q25" i="285"/>
  <c r="P25" i="285"/>
  <c r="Q19" i="285"/>
  <c r="P19" i="285"/>
  <c r="P12" i="285"/>
  <c r="Q12" i="285"/>
  <c r="P20" i="285"/>
  <c r="Q20" i="285"/>
  <c r="N66" i="285"/>
  <c r="AB66" i="285"/>
  <c r="AC60" i="285" s="1"/>
  <c r="AA66" i="285"/>
  <c r="Q50" i="285"/>
  <c r="P50" i="285"/>
  <c r="N27" i="285"/>
  <c r="AB27" i="285"/>
  <c r="AC19" i="285" s="1"/>
  <c r="AA27" i="285"/>
  <c r="AB13" i="285"/>
  <c r="AC9" i="285" s="1"/>
  <c r="N13" i="285"/>
  <c r="AA13" i="285"/>
  <c r="AB18" i="285"/>
  <c r="AC14" i="285" s="1"/>
  <c r="AA18" i="285"/>
  <c r="N18" i="285"/>
  <c r="Q30" i="285"/>
  <c r="P30" i="285"/>
  <c r="Q24" i="283"/>
  <c r="P24" i="283"/>
  <c r="AB65" i="283"/>
  <c r="AC60" i="283" s="1"/>
  <c r="AA65" i="283"/>
  <c r="N65" i="283"/>
  <c r="P14" i="283"/>
  <c r="Q14" i="283"/>
  <c r="Q13" i="283"/>
  <c r="P13" i="283"/>
  <c r="P6" i="283"/>
  <c r="Q6" i="283"/>
  <c r="D15" i="282"/>
  <c r="AA46" i="283"/>
  <c r="N46" i="283"/>
  <c r="AB46" i="283"/>
  <c r="AC40" i="283" s="1"/>
  <c r="Q5" i="283"/>
  <c r="P5" i="283"/>
  <c r="L14" i="282"/>
  <c r="Q39" i="283"/>
  <c r="R33" i="283" s="1"/>
  <c r="P39" i="283"/>
  <c r="Q17" i="283"/>
  <c r="R13" i="283" s="1"/>
  <c r="P17" i="283"/>
  <c r="F14" i="282"/>
  <c r="F15" i="282" s="1"/>
  <c r="G6" i="280"/>
  <c r="F6" i="280"/>
  <c r="M8" i="281"/>
  <c r="AB8" i="281" s="1"/>
  <c r="AC5" i="281" s="1"/>
  <c r="AB5" i="281"/>
  <c r="AA5" i="281"/>
  <c r="AB6" i="281"/>
  <c r="AA6" i="281"/>
  <c r="N7" i="281"/>
  <c r="AB7" i="281"/>
  <c r="AA7" i="281"/>
  <c r="Q9" i="281"/>
  <c r="P9" i="281"/>
  <c r="Q10" i="281"/>
  <c r="P10" i="281"/>
  <c r="AB12" i="281"/>
  <c r="AC9" i="281" s="1"/>
  <c r="AA12" i="281"/>
  <c r="Q12" i="281"/>
  <c r="R9" i="281" s="1"/>
  <c r="P12" i="281"/>
  <c r="M17" i="281"/>
  <c r="AA17" i="281" s="1"/>
  <c r="AB13" i="281"/>
  <c r="AA13" i="281"/>
  <c r="AB14" i="281"/>
  <c r="AA14" i="281"/>
  <c r="N15" i="281"/>
  <c r="AB15" i="281"/>
  <c r="AA15" i="281"/>
  <c r="N16" i="281"/>
  <c r="AB16" i="281"/>
  <c r="AA16" i="281"/>
  <c r="AB20" i="281"/>
  <c r="AA20" i="281"/>
  <c r="N20" i="281"/>
  <c r="AB21" i="281"/>
  <c r="AA21" i="281"/>
  <c r="Q21" i="281"/>
  <c r="P21" i="281"/>
  <c r="Q22" i="281"/>
  <c r="P22" i="281"/>
  <c r="AB23" i="281"/>
  <c r="AA23" i="281"/>
  <c r="N23" i="281"/>
  <c r="AB24" i="281"/>
  <c r="AA24" i="281"/>
  <c r="N25" i="281"/>
  <c r="AB25" i="281"/>
  <c r="AA25" i="281"/>
  <c r="Q27" i="281"/>
  <c r="P27" i="281"/>
  <c r="Q28" i="281"/>
  <c r="P28" i="281"/>
  <c r="AB31" i="281"/>
  <c r="AA31" i="281"/>
  <c r="N31" i="281"/>
  <c r="AB32" i="281"/>
  <c r="AC27" i="281" s="1"/>
  <c r="AA32" i="281"/>
  <c r="N32" i="281"/>
  <c r="K14" i="280" s="1"/>
  <c r="N33" i="281"/>
  <c r="AB33" i="281"/>
  <c r="M39" i="281"/>
  <c r="AA33" i="281"/>
  <c r="N34" i="281"/>
  <c r="AB34" i="281"/>
  <c r="AA34" i="281"/>
  <c r="N35" i="281"/>
  <c r="AA35" i="281"/>
  <c r="AB35" i="281"/>
  <c r="N36" i="281"/>
  <c r="AB36" i="281"/>
  <c r="N37" i="281"/>
  <c r="AA37" i="281"/>
  <c r="Q38" i="281"/>
  <c r="P38" i="281"/>
  <c r="AB40" i="281"/>
  <c r="AA40" i="281"/>
  <c r="M46" i="281"/>
  <c r="AB46" i="281" s="1"/>
  <c r="AC40" i="281" s="1"/>
  <c r="N40" i="281"/>
  <c r="AB41" i="281"/>
  <c r="AA41" i="281"/>
  <c r="N41" i="281"/>
  <c r="AB42" i="281"/>
  <c r="AA42" i="281"/>
  <c r="N43" i="281"/>
  <c r="AB43" i="281"/>
  <c r="AA43" i="281"/>
  <c r="N44" i="281"/>
  <c r="AB44" i="281"/>
  <c r="AA44" i="281"/>
  <c r="N45" i="281"/>
  <c r="AA45" i="281"/>
  <c r="AB45" i="281"/>
  <c r="AB49" i="281"/>
  <c r="AA49" i="281"/>
  <c r="N49" i="281"/>
  <c r="Q50" i="281"/>
  <c r="P50" i="281"/>
  <c r="AB51" i="281"/>
  <c r="AA51" i="281"/>
  <c r="N51" i="281"/>
  <c r="N53" i="281"/>
  <c r="AB53" i="281"/>
  <c r="M59" i="281"/>
  <c r="N59" i="281" s="1"/>
  <c r="J14" i="280" s="1"/>
  <c r="J15" i="280" s="1"/>
  <c r="N54" i="281"/>
  <c r="AB54" i="281"/>
  <c r="N55" i="281"/>
  <c r="AA55" i="281"/>
  <c r="Q56" i="281"/>
  <c r="P56" i="281"/>
  <c r="Q59" i="281"/>
  <c r="R53" i="281" s="1"/>
  <c r="N60" i="281"/>
  <c r="AB60" i="281"/>
  <c r="M65" i="281"/>
  <c r="AA60" i="281"/>
  <c r="N61" i="281"/>
  <c r="AB61" i="281"/>
  <c r="AA61" i="281"/>
  <c r="N62" i="281"/>
  <c r="AB62" i="281"/>
  <c r="AA62" i="281"/>
  <c r="N63" i="281"/>
  <c r="AA63" i="281"/>
  <c r="AB63" i="281"/>
  <c r="N64" i="281"/>
  <c r="AB64" i="281"/>
  <c r="AB9" i="281"/>
  <c r="AB10" i="281"/>
  <c r="AB27" i="281"/>
  <c r="AB28" i="281"/>
  <c r="AB38" i="281"/>
  <c r="AB56" i="281"/>
  <c r="N30" i="281"/>
  <c r="N47" i="281"/>
  <c r="N48" i="281"/>
  <c r="N58" i="281"/>
  <c r="P11" i="281"/>
  <c r="P18" i="281"/>
  <c r="P19" i="281"/>
  <c r="P29" i="281"/>
  <c r="P57" i="281"/>
  <c r="AA22" i="281"/>
  <c r="M26" i="281"/>
  <c r="AB26" i="281" s="1"/>
  <c r="AC18" i="281" s="1"/>
  <c r="AA50" i="281"/>
  <c r="AA30" i="281"/>
  <c r="AA47" i="281"/>
  <c r="AA48" i="281"/>
  <c r="M52" i="281"/>
  <c r="AA58" i="281"/>
  <c r="F8" i="286" l="1"/>
  <c r="G8" i="298"/>
  <c r="F8" i="298"/>
  <c r="E8" i="298"/>
  <c r="G8" i="296"/>
  <c r="F8" i="296"/>
  <c r="E8" i="296"/>
  <c r="G8" i="294"/>
  <c r="F8" i="294"/>
  <c r="E8" i="294"/>
  <c r="F7" i="286"/>
  <c r="E7" i="286"/>
  <c r="G8" i="286"/>
  <c r="E8" i="286"/>
  <c r="G7" i="286"/>
  <c r="Q44" i="285"/>
  <c r="R36" i="285" s="1"/>
  <c r="P44" i="285"/>
  <c r="L14" i="284"/>
  <c r="L15" i="284" s="1"/>
  <c r="Q66" i="285"/>
  <c r="R60" i="285" s="1"/>
  <c r="P66" i="285"/>
  <c r="J14" i="284"/>
  <c r="J15" i="284" s="1"/>
  <c r="Q27" i="285"/>
  <c r="R19" i="285" s="1"/>
  <c r="P27" i="285"/>
  <c r="G14" i="284"/>
  <c r="G15" i="284" s="1"/>
  <c r="Q35" i="285"/>
  <c r="R28" i="285" s="1"/>
  <c r="K14" i="284"/>
  <c r="P35" i="285"/>
  <c r="E14" i="284"/>
  <c r="E15" i="284" s="1"/>
  <c r="Q13" i="285"/>
  <c r="R9" i="285" s="1"/>
  <c r="P13" i="285"/>
  <c r="Q73" i="285"/>
  <c r="R67" i="285" s="1"/>
  <c r="P73" i="285"/>
  <c r="M14" i="284"/>
  <c r="M15" i="284" s="1"/>
  <c r="D14" i="284"/>
  <c r="Q8" i="285"/>
  <c r="R5" i="285" s="1"/>
  <c r="P8" i="285"/>
  <c r="D2" i="285"/>
  <c r="Q53" i="285"/>
  <c r="R45" i="285" s="1"/>
  <c r="P53" i="285"/>
  <c r="H14" i="284"/>
  <c r="H15" i="284" s="1"/>
  <c r="F14" i="284"/>
  <c r="F15" i="284" s="1"/>
  <c r="Q18" i="285"/>
  <c r="R14" i="285" s="1"/>
  <c r="P18" i="285"/>
  <c r="L15" i="282"/>
  <c r="Q46" i="283"/>
  <c r="R40" i="283" s="1"/>
  <c r="P46" i="283"/>
  <c r="H14" i="282"/>
  <c r="H15" i="282" s="1"/>
  <c r="E8" i="282" s="1"/>
  <c r="D2" i="283"/>
  <c r="P65" i="283"/>
  <c r="M14" i="282"/>
  <c r="M15" i="282" s="1"/>
  <c r="Q65" i="283"/>
  <c r="R60" i="283" s="1"/>
  <c r="K15" i="280"/>
  <c r="P60" i="281"/>
  <c r="Q60" i="281"/>
  <c r="P63" i="281"/>
  <c r="Q63" i="281"/>
  <c r="P15" i="281"/>
  <c r="Q15" i="281"/>
  <c r="P43" i="281"/>
  <c r="Q43" i="281"/>
  <c r="Q62" i="281"/>
  <c r="P62" i="281"/>
  <c r="Q33" i="281"/>
  <c r="P33" i="281"/>
  <c r="P25" i="281"/>
  <c r="Q25" i="281"/>
  <c r="P7" i="281"/>
  <c r="Q7" i="281"/>
  <c r="P61" i="281"/>
  <c r="Q61" i="281"/>
  <c r="P45" i="281"/>
  <c r="Q45" i="281"/>
  <c r="P35" i="281"/>
  <c r="Q35" i="281"/>
  <c r="Q16" i="281"/>
  <c r="P16" i="281"/>
  <c r="P59" i="281"/>
  <c r="Q44" i="281"/>
  <c r="P44" i="281"/>
  <c r="Q34" i="281"/>
  <c r="P34" i="281"/>
  <c r="N52" i="281"/>
  <c r="Q52" i="281" s="1"/>
  <c r="R47" i="281" s="1"/>
  <c r="AA52" i="281"/>
  <c r="AB52" i="281"/>
  <c r="AC47" i="281" s="1"/>
  <c r="N26" i="281"/>
  <c r="Q26" i="281" s="1"/>
  <c r="R18" i="281" s="1"/>
  <c r="AA26" i="281"/>
  <c r="Q58" i="281"/>
  <c r="P58" i="281"/>
  <c r="Q48" i="281"/>
  <c r="P48" i="281"/>
  <c r="Q47" i="281"/>
  <c r="P47" i="281"/>
  <c r="Q30" i="281"/>
  <c r="P30" i="281"/>
  <c r="Q64" i="281"/>
  <c r="P64" i="281"/>
  <c r="AB65" i="281"/>
  <c r="AC60" i="281" s="1"/>
  <c r="AA65" i="281"/>
  <c r="N65" i="281"/>
  <c r="M14" i="280" s="1"/>
  <c r="M15" i="280" s="1"/>
  <c r="Q55" i="281"/>
  <c r="P55" i="281"/>
  <c r="Q54" i="281"/>
  <c r="P54" i="281"/>
  <c r="AB59" i="281"/>
  <c r="AC53" i="281" s="1"/>
  <c r="AA59" i="281"/>
  <c r="Q53" i="281"/>
  <c r="P53" i="281"/>
  <c r="P51" i="281"/>
  <c r="Q51" i="281"/>
  <c r="Q49" i="281"/>
  <c r="P49" i="281"/>
  <c r="P41" i="281"/>
  <c r="Q41" i="281"/>
  <c r="P40" i="281"/>
  <c r="Q40" i="281"/>
  <c r="AA46" i="281"/>
  <c r="N46" i="281"/>
  <c r="Q37" i="281"/>
  <c r="P37" i="281"/>
  <c r="Q36" i="281"/>
  <c r="P36" i="281"/>
  <c r="AB39" i="281"/>
  <c r="AC33" i="281" s="1"/>
  <c r="AA39" i="281"/>
  <c r="N39" i="281"/>
  <c r="L14" i="280" s="1"/>
  <c r="L15" i="280" s="1"/>
  <c r="P32" i="281"/>
  <c r="Q32" i="281"/>
  <c r="R27" i="281" s="1"/>
  <c r="Q31" i="281"/>
  <c r="P31" i="281"/>
  <c r="P23" i="281"/>
  <c r="Q23" i="281"/>
  <c r="Q20" i="281"/>
  <c r="P20" i="281"/>
  <c r="N17" i="281"/>
  <c r="F14" i="280" s="1"/>
  <c r="F15" i="280" s="1"/>
  <c r="AB17" i="281"/>
  <c r="AC13" i="281" s="1"/>
  <c r="N8" i="281"/>
  <c r="AA8" i="281"/>
  <c r="I7" i="284" l="1"/>
  <c r="K15" i="284"/>
  <c r="I8" i="284" s="1"/>
  <c r="F7" i="284"/>
  <c r="G7" i="284"/>
  <c r="E7" i="284"/>
  <c r="D15" i="284"/>
  <c r="G7" i="282"/>
  <c r="E7" i="282"/>
  <c r="G8" i="282"/>
  <c r="I7" i="282"/>
  <c r="I8" i="282"/>
  <c r="F7" i="282"/>
  <c r="F8" i="282"/>
  <c r="I7" i="280"/>
  <c r="Q8" i="281"/>
  <c r="R5" i="281" s="1"/>
  <c r="D14" i="280"/>
  <c r="I8" i="280"/>
  <c r="P8" i="281"/>
  <c r="D2" i="281"/>
  <c r="Q17" i="281"/>
  <c r="R13" i="281" s="1"/>
  <c r="P17" i="281"/>
  <c r="Q39" i="281"/>
  <c r="R33" i="281" s="1"/>
  <c r="P39" i="281"/>
  <c r="Q46" i="281"/>
  <c r="R40" i="281" s="1"/>
  <c r="P46" i="281"/>
  <c r="H14" i="280"/>
  <c r="H15" i="280" s="1"/>
  <c r="Q65" i="281"/>
  <c r="R60" i="281" s="1"/>
  <c r="P65" i="281"/>
  <c r="P26" i="281"/>
  <c r="G14" i="280"/>
  <c r="G15" i="280" s="1"/>
  <c r="I14" i="280"/>
  <c r="I15" i="280" s="1"/>
  <c r="P52" i="281"/>
  <c r="G8" i="284" l="1"/>
  <c r="F8" i="284"/>
  <c r="E8" i="284"/>
  <c r="G7" i="280"/>
  <c r="D15" i="280"/>
  <c r="F7" i="280"/>
  <c r="E7" i="280"/>
  <c r="F8" i="280" l="1"/>
  <c r="E8" i="280"/>
  <c r="G8" i="280"/>
</calcChain>
</file>

<file path=xl/sharedStrings.xml><?xml version="1.0" encoding="utf-8"?>
<sst xmlns="http://schemas.openxmlformats.org/spreadsheetml/2006/main" count="10554" uniqueCount="1906">
  <si>
    <t>平均廠價</t>
  </si>
  <si>
    <t>生產時間</t>
    <rPh sb="0" eb="4">
      <t>カイシジカン</t>
    </rPh>
    <phoneticPr fontId="6"/>
  </si>
  <si>
    <t>換線、休息/分</t>
    <rPh sb="0" eb="2">
      <t>キリカエ</t>
    </rPh>
    <phoneticPr fontId="6"/>
  </si>
  <si>
    <t>開始</t>
    <rPh sb="0" eb="2">
      <t>カイシジカン</t>
    </rPh>
    <phoneticPr fontId="6"/>
  </si>
  <si>
    <t>結束</t>
    <rPh sb="0" eb="2">
      <t>シュウリョウジカン</t>
    </rPh>
    <phoneticPr fontId="6"/>
  </si>
  <si>
    <t>沙拉線一線</t>
  </si>
  <si>
    <t>沙拉線二線</t>
  </si>
  <si>
    <t>沙拉線三線</t>
  </si>
  <si>
    <t>三明治一線</t>
  </si>
  <si>
    <t>自動包裝線</t>
  </si>
  <si>
    <t>涼麵一線</t>
  </si>
  <si>
    <t>三明治四線</t>
  </si>
  <si>
    <t>自動包裝二線</t>
  </si>
  <si>
    <t>微波主食</t>
  </si>
  <si>
    <t>極上炙烤親子丼</t>
  </si>
  <si>
    <t>沙拉</t>
  </si>
  <si>
    <t>青醬優格雞肉握沙拉(113年)</t>
  </si>
  <si>
    <t>青檸烤雞握沙拉(113年)</t>
  </si>
  <si>
    <t>小菜、微波</t>
  </si>
  <si>
    <t>剝皮辣椒雞湯</t>
  </si>
  <si>
    <t>蔥鹽雞肉麵沙拉(114年)</t>
  </si>
  <si>
    <t>小吃</t>
  </si>
  <si>
    <t>古早味炒炊粉</t>
  </si>
  <si>
    <t>鐵板滑蛋炸豬排丼</t>
  </si>
  <si>
    <t>三明治</t>
  </si>
  <si>
    <t>肉鬆火腿三明治</t>
  </si>
  <si>
    <t>經典總匯三明治</t>
  </si>
  <si>
    <t>輕乳酪巧克力三明治</t>
  </si>
  <si>
    <t>鮪魚起司溏心蛋三明治</t>
  </si>
  <si>
    <t>醬燒烤雞三明治</t>
  </si>
  <si>
    <t>瘋狂起司三明治(113年)</t>
  </si>
  <si>
    <t>蛋蛋嘉年華三明治</t>
  </si>
  <si>
    <t>調理麵包</t>
  </si>
  <si>
    <t>豬肉起司蛋堡</t>
  </si>
  <si>
    <t>豬肉起司堡</t>
  </si>
  <si>
    <t>香雞蛋堡(112年)</t>
  </si>
  <si>
    <t>溏心蛋洋芋沙拉</t>
  </si>
  <si>
    <t>美式熱狗堡</t>
  </si>
  <si>
    <t>大麥雙蛋白豬肉堡</t>
  </si>
  <si>
    <t>黃金魚堡</t>
  </si>
  <si>
    <t>經典雙牛起司堡(113年)</t>
  </si>
  <si>
    <t>火腿起司蛋三明治</t>
  </si>
  <si>
    <t>雞蛋沙拉三明治</t>
  </si>
  <si>
    <t>排關平均</t>
  </si>
  <si>
    <t>實績平均</t>
  </si>
  <si>
    <t>達成率平均</t>
  </si>
  <si>
    <t>ET-55</t>
  </si>
  <si>
    <t>熱縮爐</t>
  </si>
  <si>
    <t>伺服包裝機</t>
  </si>
  <si>
    <t>厚蛋時蔬握沙拉</t>
  </si>
  <si>
    <t>好多菜三明治</t>
  </si>
  <si>
    <t>香鬆起司蛋三明治(114年)</t>
  </si>
  <si>
    <t/>
  </si>
  <si>
    <t>二配煸椒烘蛋飯</t>
  </si>
  <si>
    <t>二配金咖哩果香甘口咖哩飯</t>
  </si>
  <si>
    <t>二配川味麻婆燒豆腐燴飯</t>
  </si>
  <si>
    <t>二配極旨黑咖哩漢堡排飯</t>
  </si>
  <si>
    <t>二配金咖哩濃厚辛辣咖哩飯</t>
  </si>
  <si>
    <t>二配香拌海鮮醬肉絲蛋炒飯</t>
  </si>
  <si>
    <t>二配香辣醬蒜味香腸蛋炒飯</t>
  </si>
  <si>
    <t>二配粗飽系雞排炒飯</t>
  </si>
  <si>
    <t>美式起司巨牛堡</t>
  </si>
  <si>
    <t>藍莓優格三明治(114年)</t>
  </si>
  <si>
    <t>紅燒纖牛若風味燴飯</t>
  </si>
  <si>
    <t>哞哞奶香白醬火腿蛋堡</t>
  </si>
  <si>
    <t>莎莎烤雞麵沙拉</t>
  </si>
  <si>
    <t>稼動時間/分</t>
    <phoneticPr fontId="4" type="noConversion"/>
  </si>
  <si>
    <t>三重火腿三明治</t>
  </si>
  <si>
    <t>起司芋見肉鬆三明治</t>
  </si>
  <si>
    <t>實績</t>
    <phoneticPr fontId="3" type="noConversion"/>
  </si>
  <si>
    <t>沙拉三線</t>
    <phoneticPr fontId="3" type="noConversion"/>
  </si>
  <si>
    <t>開始</t>
    <phoneticPr fontId="3" type="noConversion"/>
  </si>
  <si>
    <t>三明治包裝機</t>
    <phoneticPr fontId="4" type="noConversion"/>
  </si>
  <si>
    <t>調理麵包</t>
    <phoneticPr fontId="4" type="noConversion"/>
  </si>
  <si>
    <t>星期五</t>
  </si>
  <si>
    <t>結束</t>
    <phoneticPr fontId="4" type="noConversion"/>
  </si>
  <si>
    <t>二配港式香滑嫩蛋牛肉燴飯</t>
  </si>
  <si>
    <t>水果派對三明治</t>
  </si>
  <si>
    <t>美式雞腿堡</t>
  </si>
  <si>
    <t>紐奧良風味烤雞鮮蔬三明治</t>
  </si>
  <si>
    <t>地瓜瓜握沙拉</t>
  </si>
  <si>
    <t>海老鰻魚丼滋丼</t>
  </si>
  <si>
    <t>平均</t>
    <phoneticPr fontId="4" type="noConversion"/>
  </si>
  <si>
    <t>二配黑胡椒素豬若飯</t>
  </si>
  <si>
    <t>超HOT雞腿堡(114年)</t>
  </si>
  <si>
    <t>二配美味蟹煲</t>
  </si>
  <si>
    <t>達成率平均</t>
    <phoneticPr fontId="4" type="noConversion"/>
  </si>
  <si>
    <t>沙拉線三線</t>
    <phoneticPr fontId="4" type="noConversion"/>
  </si>
  <si>
    <t>三明治二線</t>
    <phoneticPr fontId="4" type="noConversion"/>
  </si>
  <si>
    <t>自動包裝二線</t>
    <phoneticPr fontId="4" type="noConversion"/>
  </si>
  <si>
    <t>營業額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</si>
  <si>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</si>
  <si>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</si>
  <si>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</si>
  <si>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備註</t>
    <phoneticPr fontId="3" type="noConversion"/>
  </si>
  <si>
    <t>共用L型包裝機</t>
    <phoneticPr fontId="4" type="noConversion"/>
  </si>
  <si>
    <t>總生產量</t>
    <phoneticPr fontId="4" type="noConversion"/>
  </si>
  <si>
    <t>人時性差異分析</t>
    <phoneticPr fontId="4" type="noConversion"/>
  </si>
  <si>
    <t>日報登錄</t>
    <phoneticPr fontId="4" type="noConversion"/>
  </si>
  <si>
    <t>多次
生產</t>
    <phoneticPr fontId="4" type="noConversion"/>
  </si>
  <si>
    <t>產能/時</t>
    <phoneticPr fontId="4" type="noConversion"/>
  </si>
  <si>
    <t>人數</t>
    <phoneticPr fontId="4" type="noConversion"/>
  </si>
  <si>
    <t>達成率</t>
    <phoneticPr fontId="4" type="noConversion"/>
  </si>
  <si>
    <t>開始</t>
    <phoneticPr fontId="4" type="noConversion"/>
  </si>
  <si>
    <t>燴飯線</t>
    <phoneticPr fontId="4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</si>
  <si>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</si>
  <si>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</si>
  <si>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</si>
  <si>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</si>
  <si>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</si>
  <si>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4度C-各編組展開</t>
    <phoneticPr fontId="3" type="noConversion"/>
  </si>
  <si>
    <t>③三明治-各編組展開</t>
    <phoneticPr fontId="3" type="noConversion"/>
  </si>
  <si>
    <t xml:space="preserve">新豐廠四度C日報分析                              </t>
    <phoneticPr fontId="4" type="noConversion"/>
  </si>
  <si>
    <t>營業額</t>
    <phoneticPr fontId="7" type="noConversion"/>
  </si>
  <si>
    <t>產線配置圖</t>
    <phoneticPr fontId="4" type="noConversion"/>
  </si>
  <si>
    <t>分析說明</t>
    <phoneticPr fontId="4" type="noConversion"/>
  </si>
  <si>
    <t>人時性</t>
    <phoneticPr fontId="4" type="noConversion"/>
  </si>
  <si>
    <t>多次生產數</t>
    <phoneticPr fontId="4" type="noConversion"/>
  </si>
  <si>
    <t>品類</t>
    <phoneticPr fontId="4" type="noConversion"/>
  </si>
  <si>
    <t>品名</t>
    <phoneticPr fontId="3" type="noConversion"/>
  </si>
  <si>
    <t>生產量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</si>
  <si>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</si>
  <si>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</si>
  <si>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</si>
  <si>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人時性</t>
    <phoneticPr fontId="3" type="noConversion"/>
  </si>
  <si>
    <t>全溫層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</si>
  <si>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</si>
  <si>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</si>
  <si>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</si>
  <si>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</si>
  <si>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</si>
  <si>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燴飯線</t>
    <phoneticPr fontId="3" type="noConversion"/>
  </si>
  <si>
    <t>沙拉一線</t>
    <phoneticPr fontId="3" type="noConversion"/>
  </si>
  <si>
    <t>沙拉二線</t>
    <phoneticPr fontId="3" type="noConversion"/>
  </si>
  <si>
    <t>自動包裝線</t>
    <phoneticPr fontId="3" type="noConversion"/>
  </si>
  <si>
    <t>涼麵一線</t>
    <phoneticPr fontId="3" type="noConversion"/>
  </si>
  <si>
    <t>三明治四線</t>
    <phoneticPr fontId="3" type="noConversion"/>
  </si>
  <si>
    <t>三明治一線</t>
    <phoneticPr fontId="3" type="noConversion"/>
  </si>
  <si>
    <t>三明治二線</t>
    <phoneticPr fontId="3" type="noConversion"/>
  </si>
  <si>
    <t>自動包裝二線</t>
    <phoneticPr fontId="3" type="noConversion"/>
  </si>
  <si>
    <t>人時性</t>
    <phoneticPr fontId="4" type="noConversion"/>
  </si>
  <si>
    <t>排關</t>
    <phoneticPr fontId="3" type="noConversion"/>
  </si>
  <si>
    <t>達成率</t>
    <phoneticPr fontId="3" type="noConversion"/>
  </si>
  <si>
    <t>作業
時間</t>
    <phoneticPr fontId="3" type="noConversion"/>
  </si>
  <si>
    <t>結束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</si>
  <si>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</si>
  <si>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</si>
  <si>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</si>
  <si>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</si>
  <si>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</si>
  <si>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握沙拉</t>
    <phoneticPr fontId="4" type="noConversion"/>
  </si>
  <si>
    <t>調理麵包</t>
    <phoneticPr fontId="4" type="noConversion"/>
  </si>
  <si>
    <t>炒飯+沙拉</t>
    <phoneticPr fontId="4" type="noConversion"/>
  </si>
  <si>
    <t>出勤人數</t>
    <phoneticPr fontId="4" type="noConversion"/>
  </si>
  <si>
    <t>生產實績</t>
    <phoneticPr fontId="4" type="noConversion"/>
  </si>
  <si>
    <t>產能差異分析</t>
    <phoneticPr fontId="4" type="noConversion"/>
  </si>
  <si>
    <t>線別</t>
    <phoneticPr fontId="3" type="noConversion"/>
  </si>
  <si>
    <t>廠價</t>
    <phoneticPr fontId="7" type="noConversion"/>
  </si>
  <si>
    <t>營收</t>
    <phoneticPr fontId="7" type="noConversion"/>
  </si>
  <si>
    <t>達成率</t>
    <phoneticPr fontId="4" type="noConversion"/>
  </si>
  <si>
    <t>休息時間</t>
    <phoneticPr fontId="4" type="noConversion"/>
  </si>
  <si>
    <t>(新豐回填)</t>
    <phoneticPr fontId="4" type="noConversion"/>
  </si>
  <si>
    <t>產能/時</t>
    <phoneticPr fontId="4" type="noConversion"/>
  </si>
  <si>
    <t>燴飯線</t>
    <phoneticPr fontId="4" type="noConversion"/>
  </si>
  <si>
    <t>沙拉線一線</t>
    <phoneticPr fontId="4" type="noConversion"/>
  </si>
  <si>
    <t>平均</t>
    <phoneticPr fontId="4" type="noConversion"/>
  </si>
  <si>
    <t>沙拉線二線</t>
    <phoneticPr fontId="4" type="noConversion"/>
  </si>
  <si>
    <t>三明治一線</t>
    <phoneticPr fontId="4" type="noConversion"/>
  </si>
  <si>
    <t>三明治二線</t>
    <phoneticPr fontId="4" type="noConversion"/>
  </si>
  <si>
    <t>自動包裝線</t>
    <phoneticPr fontId="4" type="noConversion"/>
  </si>
  <si>
    <t>涼麵一線</t>
    <phoneticPr fontId="4" type="noConversion"/>
  </si>
  <si>
    <t>三明治四線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</si>
  <si>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</si>
  <si>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</si>
  <si>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</si>
  <si>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人時性</t>
    <phoneticPr fontId="3" type="noConversion"/>
  </si>
  <si>
    <t>全溫層</t>
    <phoneticPr fontId="3" type="noConversion"/>
  </si>
  <si>
    <t>※現行日本鮮食廠以達成率80%為基本(即為現行KPI)</t>
    <phoneticPr fontId="4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</si>
  <si>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</si>
  <si>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</si>
  <si>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</si>
  <si>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</si>
  <si>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</si>
  <si>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燴飯線</t>
    <phoneticPr fontId="3" type="noConversion"/>
  </si>
  <si>
    <t>沙拉一線</t>
    <phoneticPr fontId="3" type="noConversion"/>
  </si>
  <si>
    <t>沙拉一線</t>
    <phoneticPr fontId="3" type="noConversion"/>
  </si>
  <si>
    <t>沙拉二線</t>
    <phoneticPr fontId="3" type="noConversion"/>
  </si>
  <si>
    <t>自動包裝線</t>
    <phoneticPr fontId="3" type="noConversion"/>
  </si>
  <si>
    <t>涼麵一線</t>
    <phoneticPr fontId="3" type="noConversion"/>
  </si>
  <si>
    <t>三明治四線</t>
    <phoneticPr fontId="3" type="noConversion"/>
  </si>
  <si>
    <t>三明治一線</t>
    <phoneticPr fontId="3" type="noConversion"/>
  </si>
  <si>
    <t>三明治一線</t>
    <phoneticPr fontId="3" type="noConversion"/>
  </si>
  <si>
    <t>三明治二線</t>
    <phoneticPr fontId="3" type="noConversion"/>
  </si>
  <si>
    <t>自動包裝二線</t>
    <phoneticPr fontId="3" type="noConversion"/>
  </si>
  <si>
    <t>自動包裝二線</t>
    <phoneticPr fontId="3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</si>
  <si>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</si>
  <si>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</si>
  <si>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</si>
  <si>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</si>
  <si>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結束</t>
    <phoneticPr fontId="3" type="noConversion"/>
  </si>
  <si>
    <t>L型包裝機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</si>
  <si>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</si>
  <si>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</si>
  <si>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</si>
  <si>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</si>
  <si>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</si>
  <si>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</si>
  <si>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</si>
  <si>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</si>
  <si>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</si>
  <si>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</si>
  <si>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</si>
  <si>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產能差異分析</t>
    <phoneticPr fontId="4" type="noConversion"/>
  </si>
  <si>
    <t>星期六</t>
  </si>
  <si>
    <t>線別</t>
    <phoneticPr fontId="3" type="noConversion"/>
  </si>
  <si>
    <t>營收</t>
    <phoneticPr fontId="7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</si>
  <si>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</si>
  <si>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</si>
  <si>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</si>
  <si>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</si>
  <si>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</si>
  <si>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</si>
  <si>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</si>
  <si>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</si>
  <si>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</si>
  <si>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</si>
  <si>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溫層</t>
    <phoneticPr fontId="3" type="noConversion"/>
  </si>
  <si>
    <t>編組</t>
    <phoneticPr fontId="3" type="noConversion"/>
  </si>
  <si>
    <t>燴飯線</t>
    <phoneticPr fontId="3" type="noConversion"/>
  </si>
  <si>
    <t>沙拉三線</t>
    <phoneticPr fontId="3" type="noConversion"/>
  </si>
  <si>
    <t>涼麵一線</t>
    <phoneticPr fontId="3" type="noConversion"/>
  </si>
  <si>
    <t>三明治四線</t>
    <phoneticPr fontId="3" type="noConversion"/>
  </si>
  <si>
    <t>三明治二線</t>
    <phoneticPr fontId="3" type="noConversion"/>
  </si>
  <si>
    <t>排關</t>
    <phoneticPr fontId="3" type="noConversion"/>
  </si>
  <si>
    <t>達成率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</si>
  <si>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</si>
  <si>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</si>
  <si>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</si>
  <si>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</si>
  <si>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</si>
  <si>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</si>
  <si>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三明治包裝機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</si>
  <si>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</si>
  <si>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</si>
  <si>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</si>
  <si>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</si>
  <si>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</si>
  <si>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星期日</t>
  </si>
  <si>
    <t>多次生產數</t>
    <phoneticPr fontId="4" type="noConversion"/>
  </si>
  <si>
    <t>品名</t>
    <phoneticPr fontId="3" type="noConversion"/>
  </si>
  <si>
    <t>產能/時</t>
    <phoneticPr fontId="4" type="noConversion"/>
  </si>
  <si>
    <t>稼動時間/分</t>
    <phoneticPr fontId="4" type="noConversion"/>
  </si>
  <si>
    <t>(新豐回填)</t>
    <phoneticPr fontId="4" type="noConversion"/>
  </si>
  <si>
    <t>結束</t>
    <phoneticPr fontId="4" type="noConversion"/>
  </si>
  <si>
    <t>燴飯線</t>
    <phoneticPr fontId="4" type="noConversion"/>
  </si>
  <si>
    <t>平均</t>
    <phoneticPr fontId="4" type="noConversion"/>
  </si>
  <si>
    <t>三明治二線</t>
    <phoneticPr fontId="4" type="noConversion"/>
  </si>
  <si>
    <t>自動包裝線</t>
    <phoneticPr fontId="4" type="noConversion"/>
  </si>
  <si>
    <t>涼麵一線</t>
    <phoneticPr fontId="4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</si>
  <si>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</si>
  <si>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</si>
  <si>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</si>
  <si>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</si>
  <si>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4度C-各編組展開</t>
    <phoneticPr fontId="3" type="noConversion"/>
  </si>
  <si>
    <t>③三明治-各編組展開</t>
    <phoneticPr fontId="3" type="noConversion"/>
  </si>
  <si>
    <t>作業
時間</t>
    <phoneticPr fontId="3" type="noConversion"/>
  </si>
  <si>
    <t>開始</t>
    <phoneticPr fontId="3" type="noConversion"/>
  </si>
  <si>
    <t>配置人數</t>
    <phoneticPr fontId="3" type="noConversion"/>
  </si>
  <si>
    <t>握沙拉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</si>
  <si>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</si>
  <si>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</si>
  <si>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</si>
  <si>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</si>
  <si>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</si>
  <si>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</si>
  <si>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</si>
  <si>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</si>
  <si>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</si>
  <si>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</si>
  <si>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</si>
  <si>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星期一</t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</si>
  <si>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</si>
  <si>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</si>
  <si>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</si>
  <si>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</si>
  <si>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</si>
  <si>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</si>
  <si>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</si>
  <si>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</si>
  <si>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</si>
  <si>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</si>
  <si>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</si>
  <si>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</si>
  <si>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</si>
  <si>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</si>
  <si>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</si>
  <si>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</si>
  <si>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</si>
  <si>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</si>
  <si>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</si>
  <si>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</si>
  <si>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</si>
  <si>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</si>
  <si>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</si>
  <si>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</si>
  <si>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燴飯線</t>
    <phoneticPr fontId="4" type="noConversion"/>
  </si>
  <si>
    <t>燴飯線</t>
    <phoneticPr fontId="4" type="noConversion"/>
  </si>
  <si>
    <t>燴飯線</t>
    <phoneticPr fontId="4" type="noConversion"/>
  </si>
  <si>
    <t>平均</t>
    <phoneticPr fontId="4" type="noConversion"/>
  </si>
  <si>
    <t>沙拉線一線</t>
    <phoneticPr fontId="4" type="noConversion"/>
  </si>
  <si>
    <t>沙拉線二線</t>
    <phoneticPr fontId="4" type="noConversion"/>
  </si>
  <si>
    <t>沙拉線三線</t>
    <phoneticPr fontId="4" type="noConversion"/>
  </si>
  <si>
    <t>三明治一線</t>
    <phoneticPr fontId="4" type="noConversion"/>
  </si>
  <si>
    <t>平均</t>
    <phoneticPr fontId="4" type="noConversion"/>
  </si>
  <si>
    <t>三明治二線</t>
    <phoneticPr fontId="4" type="noConversion"/>
  </si>
  <si>
    <t>三明治二線</t>
    <phoneticPr fontId="4" type="noConversion"/>
  </si>
  <si>
    <t>自動包裝線</t>
    <phoneticPr fontId="4" type="noConversion"/>
  </si>
  <si>
    <t>涼麵一線</t>
    <phoneticPr fontId="4" type="noConversion"/>
  </si>
  <si>
    <t>三明治四線</t>
    <phoneticPr fontId="4" type="noConversion"/>
  </si>
  <si>
    <t>自動包裝二線</t>
    <phoneticPr fontId="4" type="noConversion"/>
  </si>
  <si>
    <t xml:space="preserve">新豐廠四度C日報分析                              </t>
    <phoneticPr fontId="4" type="noConversion"/>
  </si>
  <si>
    <t>日報登錄</t>
    <phoneticPr fontId="4" type="noConversion"/>
  </si>
  <si>
    <t>星期二</t>
  </si>
  <si>
    <t>線別</t>
    <phoneticPr fontId="3" type="noConversion"/>
  </si>
  <si>
    <t>廠價</t>
    <phoneticPr fontId="7" type="noConversion"/>
  </si>
  <si>
    <t>生產量</t>
    <phoneticPr fontId="4" type="noConversion"/>
  </si>
  <si>
    <t>多次
生產</t>
    <phoneticPr fontId="4" type="noConversion"/>
  </si>
  <si>
    <t>開始</t>
    <phoneticPr fontId="4" type="noConversion"/>
  </si>
  <si>
    <t>日式芥末蛋沙拉三明治</t>
  </si>
  <si>
    <t>➁</t>
    <phoneticPr fontId="4" type="noConversion"/>
  </si>
  <si>
    <t>全溫層</t>
    <phoneticPr fontId="3" type="noConversion"/>
  </si>
  <si>
    <t>4度C-各編組展開</t>
    <phoneticPr fontId="3" type="noConversion"/>
  </si>
  <si>
    <t>作業
時間</t>
    <phoneticPr fontId="3" type="noConversion"/>
  </si>
  <si>
    <t>次要應用設備</t>
    <phoneticPr fontId="3" type="noConversion"/>
  </si>
  <si>
    <t>圓盤機</t>
    <phoneticPr fontId="4" type="noConversion"/>
  </si>
  <si>
    <t>共用L型包裝機</t>
    <phoneticPr fontId="4" type="noConversion"/>
  </si>
  <si>
    <t>星期三</t>
  </si>
  <si>
    <t>星期四</t>
  </si>
  <si>
    <t>日期</t>
    <phoneticPr fontId="3" type="noConversion"/>
  </si>
  <si>
    <t>日期</t>
    <phoneticPr fontId="3" type="noConversion"/>
  </si>
  <si>
    <t>訂單量</t>
    <phoneticPr fontId="3" type="noConversion"/>
  </si>
  <si>
    <t>組合室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</si>
  <si>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</si>
  <si>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</si>
  <si>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➁4度C-各編組展開</t>
    <phoneticPr fontId="3" type="noConversion"/>
  </si>
  <si>
    <t>新豐6線</t>
  </si>
  <si>
    <t>新豐2線</t>
  </si>
  <si>
    <t>新豐5線</t>
  </si>
  <si>
    <t>新豐7線</t>
  </si>
  <si>
    <t>新豐3線</t>
  </si>
  <si>
    <t>新豐1線</t>
  </si>
  <si>
    <t>新豐10線</t>
  </si>
  <si>
    <t>新豐8線</t>
  </si>
  <si>
    <t>新豐9線</t>
  </si>
  <si>
    <t>新豐4線</t>
  </si>
  <si>
    <t>結束</t>
    <phoneticPr fontId="3" type="noConversion"/>
  </si>
  <si>
    <t>配置人數</t>
    <phoneticPr fontId="3" type="noConversion"/>
  </si>
  <si>
    <t>三明治包裝機</t>
    <phoneticPr fontId="4" type="noConversion"/>
  </si>
  <si>
    <t>炒飯+沙拉</t>
    <phoneticPr fontId="4" type="noConversion"/>
  </si>
  <si>
    <t>總生產量</t>
    <phoneticPr fontId="4" type="noConversion"/>
  </si>
  <si>
    <t>產線配置圖</t>
    <phoneticPr fontId="4" type="noConversion"/>
  </si>
  <si>
    <t>人時性差異分析</t>
    <phoneticPr fontId="4" type="noConversion"/>
  </si>
  <si>
    <t>品類</t>
    <phoneticPr fontId="4" type="noConversion"/>
  </si>
  <si>
    <t>生產量</t>
    <phoneticPr fontId="4" type="noConversion"/>
  </si>
  <si>
    <t>多次
生產</t>
    <phoneticPr fontId="4" type="noConversion"/>
  </si>
  <si>
    <t>達成率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</si>
  <si>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</si>
  <si>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</si>
  <si>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</si>
  <si>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</si>
  <si>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</si>
  <si>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</si>
  <si>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</si>
  <si>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</si>
  <si>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</si>
  <si>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</si>
  <si>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</si>
  <si>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</si>
  <si>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</si>
  <si>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</si>
  <si>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</si>
  <si>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</si>
  <si>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</si>
  <si>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</si>
  <si>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</si>
  <si>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</si>
  <si>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</si>
  <si>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</si>
  <si>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</si>
  <si>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日期</t>
    <phoneticPr fontId="3" type="noConversion"/>
  </si>
  <si>
    <t>營業額</t>
    <phoneticPr fontId="3" type="noConversion"/>
  </si>
  <si>
    <t>人時性</t>
    <phoneticPr fontId="3" type="noConversion"/>
  </si>
  <si>
    <t>➀</t>
    <phoneticPr fontId="4" type="noConversion"/>
  </si>
  <si>
    <t>➂</t>
    <phoneticPr fontId="4" type="noConversion"/>
  </si>
  <si>
    <t>組合室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</si>
  <si>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</si>
  <si>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</si>
  <si>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</si>
  <si>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</si>
  <si>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</si>
  <si>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</si>
  <si>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達成率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</si>
  <si>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</si>
  <si>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</si>
  <si>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</si>
  <si>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</si>
  <si>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</si>
  <si>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</si>
  <si>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</si>
  <si>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</si>
  <si>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</si>
  <si>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</si>
  <si>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</si>
  <si>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</si>
  <si>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</si>
  <si>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新豐6線</t>
    <phoneticPr fontId="4" type="noConversion"/>
  </si>
  <si>
    <t>人時性</t>
    <phoneticPr fontId="3" type="noConversion"/>
  </si>
  <si>
    <t>組合室</t>
    <phoneticPr fontId="3" type="noConversion"/>
  </si>
  <si>
    <t>全溫層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</si>
  <si>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</si>
  <si>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</si>
  <si>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</si>
  <si>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</si>
  <si>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</si>
  <si>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</si>
  <si>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</si>
  <si>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達成率</t>
    <phoneticPr fontId="3" type="noConversion"/>
  </si>
  <si>
    <t>作業
時間</t>
    <phoneticPr fontId="3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</si>
  <si>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</si>
  <si>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</si>
  <si>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</si>
  <si>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</si>
  <si>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</si>
  <si>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</si>
  <si>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</si>
  <si>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</si>
  <si>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</si>
  <si>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</si>
  <si>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</si>
  <si>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</si>
  <si>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</si>
  <si>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</si>
  <si>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</si>
  <si>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</si>
  <si>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</si>
  <si>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</si>
  <si>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</si>
  <si>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</si>
  <si>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</si>
  <si>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</si>
  <si>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人數</t>
    <phoneticPr fontId="4" type="noConversion"/>
  </si>
  <si>
    <t>產能/時</t>
    <phoneticPr fontId="4" type="noConversion"/>
  </si>
  <si>
    <t>人數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</si>
  <si>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</si>
  <si>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</si>
  <si>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</si>
  <si>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</si>
  <si>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</si>
  <si>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</si>
  <si>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</si>
  <si>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</si>
  <si>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</si>
  <si>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</si>
  <si>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</si>
  <si>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</si>
  <si>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</si>
  <si>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</si>
  <si>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</si>
  <si>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</si>
  <si>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</si>
  <si>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</si>
  <si>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</si>
  <si>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</si>
  <si>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</si>
  <si>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</si>
  <si>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</si>
  <si>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</si>
  <si>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</si>
  <si>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</si>
  <si>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</si>
  <si>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</si>
  <si>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</si>
  <si>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</si>
  <si>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</si>
  <si>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</si>
  <si>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</si>
  <si>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</si>
  <si>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</si>
  <si>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</si>
  <si>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</si>
  <si>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</si>
  <si>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</si>
  <si>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</si>
  <si>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</si>
  <si>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</si>
  <si>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</si>
  <si>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</si>
  <si>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</si>
  <si>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</si>
  <si>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</si>
  <si>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</si>
  <si>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</si>
  <si>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</si>
  <si>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</si>
  <si>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</si>
  <si>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</si>
  <si>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</si>
  <si>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</si>
  <si>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</si>
  <si>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</si>
  <si>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</si>
  <si>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</si>
  <si>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</si>
  <si>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</si>
  <si>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</si>
  <si>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</si>
  <si>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</si>
  <si>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</si>
  <si>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</si>
  <si>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</si>
  <si>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排關</t>
    <phoneticPr fontId="3" type="noConversion"/>
  </si>
  <si>
    <t>達成率</t>
    <phoneticPr fontId="3" type="noConversion"/>
  </si>
  <si>
    <t>作業
時間</t>
    <phoneticPr fontId="3" type="noConversion"/>
  </si>
  <si>
    <t>結束</t>
    <phoneticPr fontId="3" type="noConversion"/>
  </si>
  <si>
    <t>配置人數</t>
    <phoneticPr fontId="3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</si>
  <si>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</si>
  <si>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</si>
  <si>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</si>
  <si>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</si>
  <si>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</si>
  <si>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</si>
  <si>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</si>
  <si>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</si>
  <si>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</si>
  <si>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</si>
  <si>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</si>
  <si>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</si>
  <si>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</si>
  <si>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</si>
  <si>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</si>
  <si>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</si>
  <si>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</si>
  <si>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</si>
  <si>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</si>
  <si>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</si>
  <si>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</si>
  <si>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</si>
  <si>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</si>
  <si>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</si>
  <si>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</si>
  <si>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</si>
  <si>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</si>
  <si>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</si>
  <si>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</si>
  <si>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休息時間</t>
    <phoneticPr fontId="4" type="noConversion"/>
  </si>
  <si>
    <t>(新豐回填)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</si>
  <si>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</si>
  <si>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</si>
  <si>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</si>
  <si>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</si>
  <si>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</si>
  <si>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</si>
  <si>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</si>
  <si>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</si>
  <si>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</si>
  <si>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</si>
  <si>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</si>
  <si>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</si>
  <si>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</si>
  <si>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</si>
  <si>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</si>
  <si>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</si>
  <si>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</si>
  <si>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</si>
  <si>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</si>
  <si>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</si>
  <si>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</si>
  <si>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</si>
  <si>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</si>
  <si>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</si>
  <si>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➂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</si>
  <si>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</si>
  <si>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</si>
  <si>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</si>
  <si>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</si>
  <si>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</si>
  <si>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</si>
  <si>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</si>
  <si>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</si>
  <si>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</si>
  <si>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</si>
  <si>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</si>
  <si>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</si>
  <si>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</si>
  <si>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</si>
  <si>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</si>
  <si>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</si>
  <si>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</si>
  <si>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產能/時</t>
    <phoneticPr fontId="4" type="noConversion"/>
  </si>
  <si>
    <t>達成率</t>
    <phoneticPr fontId="4" type="noConversion"/>
  </si>
  <si>
    <t>稼動時間/分</t>
    <phoneticPr fontId="4" type="noConversion"/>
  </si>
  <si>
    <t>休息時間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</si>
  <si>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</si>
  <si>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</si>
  <si>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</si>
  <si>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</si>
  <si>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</si>
  <si>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</si>
  <si>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</si>
  <si>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</si>
  <si>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</si>
  <si>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</si>
  <si>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</si>
  <si>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</si>
  <si>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</si>
  <si>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</si>
  <si>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</si>
  <si>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</si>
  <si>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</si>
  <si>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</si>
  <si>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</si>
  <si>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</si>
  <si>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</si>
  <si>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</si>
  <si>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</si>
  <si>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</si>
  <si>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</si>
  <si>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新豐4線</t>
    <phoneticPr fontId="4" type="noConversion"/>
  </si>
  <si>
    <t>平均</t>
    <phoneticPr fontId="4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</si>
  <si>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</si>
  <si>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</si>
  <si>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</si>
  <si>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</si>
  <si>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</si>
  <si>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</si>
  <si>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</si>
  <si>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</si>
  <si>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全溫層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</si>
  <si>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</si>
  <si>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</si>
  <si>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</si>
  <si>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人時性</t>
    <phoneticPr fontId="4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</si>
  <si>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</si>
  <si>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</si>
  <si>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</si>
  <si>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</si>
  <si>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三明治包裝機</t>
    <phoneticPr fontId="4" type="noConversion"/>
  </si>
  <si>
    <t>次要應用設備</t>
    <phoneticPr fontId="3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</si>
  <si>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</si>
  <si>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</si>
  <si>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</si>
  <si>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</si>
  <si>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線別</t>
    <phoneticPr fontId="3" type="noConversion"/>
  </si>
  <si>
    <t>人時性</t>
    <phoneticPr fontId="4" type="noConversion"/>
  </si>
  <si>
    <t>休息時間</t>
    <phoneticPr fontId="4" type="noConversion"/>
  </si>
  <si>
    <t>達成率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</si>
  <si>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</si>
  <si>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</si>
  <si>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</si>
  <si>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</si>
  <si>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</si>
  <si>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</si>
  <si>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</si>
  <si>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</si>
  <si>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※現行日本鮮食廠以達成率80%為基本(即為現行KPI)</t>
    <phoneticPr fontId="4" type="noConversion"/>
  </si>
  <si>
    <t>➁4度C-各編組展開</t>
    <phoneticPr fontId="3" type="noConversion"/>
  </si>
  <si>
    <t>排關</t>
    <phoneticPr fontId="3" type="noConversion"/>
  </si>
  <si>
    <t>開始</t>
    <phoneticPr fontId="3" type="noConversion"/>
  </si>
  <si>
    <t>主要應用設備</t>
    <phoneticPr fontId="3" type="noConversion"/>
  </si>
  <si>
    <t>L型包裝機</t>
    <phoneticPr fontId="4" type="noConversion"/>
  </si>
  <si>
    <t>次要應用設備</t>
    <phoneticPr fontId="3" type="noConversion"/>
  </si>
  <si>
    <t>握沙拉</t>
    <phoneticPr fontId="4" type="noConversion"/>
  </si>
  <si>
    <t>共用L型包裝機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</si>
  <si>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</si>
  <si>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</si>
  <si>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</si>
  <si>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</si>
  <si>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生產量</t>
    <phoneticPr fontId="4" type="noConversion"/>
  </si>
  <si>
    <t>達成率平均</t>
    <phoneticPr fontId="4" type="noConversion"/>
  </si>
  <si>
    <t>新豐2線</t>
    <phoneticPr fontId="4" type="noConversion"/>
  </si>
  <si>
    <t>新豐7線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</si>
  <si>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</si>
  <si>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</si>
  <si>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</si>
  <si>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</si>
  <si>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營業額</t>
    <phoneticPr fontId="3" type="noConversion"/>
  </si>
  <si>
    <t>➂</t>
    <phoneticPr fontId="4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</si>
  <si>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</si>
  <si>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</si>
  <si>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</si>
  <si>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實績</t>
    <phoneticPr fontId="3" type="noConversion"/>
  </si>
  <si>
    <t>作業
時間</t>
    <phoneticPr fontId="3" type="noConversion"/>
  </si>
  <si>
    <t>開始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</si>
  <si>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</si>
  <si>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</si>
  <si>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</si>
  <si>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</si>
  <si>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</si>
  <si>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</si>
  <si>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握沙拉</t>
    <phoneticPr fontId="4" type="noConversion"/>
  </si>
  <si>
    <t>共用L型包裝機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</si>
  <si>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</si>
  <si>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</si>
  <si>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</si>
  <si>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</si>
  <si>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</si>
  <si>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</si>
  <si>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</si>
  <si>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</si>
  <si>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</si>
  <si>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</si>
  <si>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</si>
  <si>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</si>
  <si>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</si>
  <si>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</si>
  <si>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</si>
  <si>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</si>
  <si>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</si>
  <si>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</si>
  <si>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</si>
  <si>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</si>
  <si>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</si>
  <si>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</si>
  <si>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</si>
  <si>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</si>
  <si>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</si>
  <si>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</si>
  <si>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</si>
  <si>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</si>
  <si>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</si>
  <si>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</si>
  <si>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</si>
  <si>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</si>
  <si>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</si>
  <si>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</si>
  <si>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</si>
  <si>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</si>
  <si>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</si>
  <si>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</si>
  <si>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</si>
  <si>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</si>
  <si>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</si>
  <si>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</si>
  <si>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</si>
  <si>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人時性</t>
    <phoneticPr fontId="3" type="noConversion"/>
  </si>
  <si>
    <t>➀</t>
    <phoneticPr fontId="4" type="noConversion"/>
  </si>
  <si>
    <t>全溫層</t>
    <phoneticPr fontId="3" type="noConversion"/>
  </si>
  <si>
    <t>※現行日本鮮食廠以達成率80%為基本(即為現行KPI)</t>
    <phoneticPr fontId="4" type="noConversion"/>
  </si>
  <si>
    <t>結束</t>
    <phoneticPr fontId="3" type="noConversion"/>
  </si>
  <si>
    <t>配置人數</t>
    <phoneticPr fontId="3" type="noConversion"/>
  </si>
  <si>
    <t>多次
生產</t>
    <phoneticPr fontId="4" type="noConversion"/>
  </si>
  <si>
    <t>達成率</t>
    <phoneticPr fontId="4" type="noConversion"/>
  </si>
  <si>
    <t>新豐6線</t>
    <phoneticPr fontId="4" type="noConversion"/>
  </si>
  <si>
    <t>平均</t>
    <phoneticPr fontId="4" type="noConversion"/>
  </si>
  <si>
    <t>新豐7線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</si>
  <si>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</si>
  <si>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</si>
  <si>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</si>
  <si>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</si>
  <si>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</si>
  <si>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</si>
  <si>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溫層</t>
    <phoneticPr fontId="3" type="noConversion"/>
  </si>
  <si>
    <t>➁4度C-各編組展開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</si>
  <si>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</si>
  <si>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</si>
  <si>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</si>
  <si>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</si>
  <si>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</si>
  <si>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</si>
  <si>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</si>
  <si>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L型包裝機</t>
    <phoneticPr fontId="4" type="noConversion"/>
  </si>
  <si>
    <t>三明治包裝機</t>
    <phoneticPr fontId="4" type="noConversion"/>
  </si>
  <si>
    <t>圓盤機</t>
    <phoneticPr fontId="4" type="noConversion"/>
  </si>
  <si>
    <t>共用L型包裝機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</si>
  <si>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</si>
  <si>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</si>
  <si>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</si>
  <si>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</si>
  <si>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</si>
  <si>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</si>
  <si>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</si>
  <si>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</si>
  <si>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</si>
  <si>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</si>
  <si>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</si>
  <si>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</si>
  <si>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</si>
  <si>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</si>
  <si>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</si>
  <si>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</si>
  <si>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</si>
  <si>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</si>
  <si>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</si>
  <si>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</si>
  <si>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</si>
  <si>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</si>
  <si>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</si>
  <si>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</si>
  <si>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</si>
  <si>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</si>
  <si>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</si>
  <si>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</si>
  <si>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</si>
  <si>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</si>
  <si>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</si>
  <si>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</si>
  <si>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</si>
  <si>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</si>
  <si>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</si>
  <si>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</si>
  <si>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</si>
  <si>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</si>
  <si>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</si>
  <si>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</si>
  <si>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訂單量</t>
    <phoneticPr fontId="3" type="noConversion"/>
  </si>
  <si>
    <t>人時性</t>
    <phoneticPr fontId="3" type="noConversion"/>
  </si>
  <si>
    <t>項目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</si>
  <si>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</si>
  <si>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</si>
  <si>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</si>
  <si>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</si>
  <si>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</si>
  <si>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</si>
  <si>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➁4度C-各編組展開</t>
    <phoneticPr fontId="3" type="noConversion"/>
  </si>
  <si>
    <t>編組</t>
    <phoneticPr fontId="3" type="noConversion"/>
  </si>
  <si>
    <t>達成率</t>
    <phoneticPr fontId="3" type="noConversion"/>
  </si>
  <si>
    <t>配置人數</t>
    <phoneticPr fontId="3" type="noConversion"/>
  </si>
  <si>
    <t>主要應用設備</t>
    <phoneticPr fontId="3" type="noConversion"/>
  </si>
  <si>
    <t>三明治包裝機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</si>
  <si>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</si>
  <si>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</si>
  <si>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</si>
  <si>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</si>
  <si>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營業額</t>
    <phoneticPr fontId="7" type="noConversion"/>
  </si>
  <si>
    <t>人時性</t>
    <phoneticPr fontId="4" type="noConversion"/>
  </si>
  <si>
    <t>品名</t>
    <phoneticPr fontId="3" type="noConversion"/>
  </si>
  <si>
    <t>產能/時</t>
    <phoneticPr fontId="4" type="noConversion"/>
  </si>
  <si>
    <t>人數</t>
    <phoneticPr fontId="4" type="noConversion"/>
  </si>
  <si>
    <t>休息時間</t>
    <phoneticPr fontId="4" type="noConversion"/>
  </si>
  <si>
    <t>產能/時</t>
    <phoneticPr fontId="4" type="noConversion"/>
  </si>
  <si>
    <t>開始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</si>
  <si>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</si>
  <si>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</si>
  <si>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</si>
  <si>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</si>
  <si>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</si>
  <si>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</si>
  <si>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</si>
  <si>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</si>
  <si>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</si>
  <si>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</si>
  <si>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③三明治-各編組展開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</si>
  <si>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</si>
  <si>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</si>
  <si>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</si>
  <si>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</si>
  <si>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L型包裝機</t>
    <phoneticPr fontId="4" type="noConversion"/>
  </si>
  <si>
    <t>三明治包裝機</t>
    <phoneticPr fontId="4" type="noConversion"/>
  </si>
  <si>
    <t>備註</t>
    <phoneticPr fontId="3" type="noConversion"/>
  </si>
  <si>
    <t>總生產量</t>
    <phoneticPr fontId="4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</si>
  <si>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</si>
  <si>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</si>
  <si>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</si>
  <si>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</si>
  <si>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分析說明</t>
    <phoneticPr fontId="4" type="noConversion"/>
  </si>
  <si>
    <t>線別</t>
    <phoneticPr fontId="3" type="noConversion"/>
  </si>
  <si>
    <t>品類</t>
    <phoneticPr fontId="4" type="noConversion"/>
  </si>
  <si>
    <t>廠價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</si>
  <si>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</si>
  <si>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</si>
  <si>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</si>
  <si>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</si>
  <si>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</si>
  <si>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</si>
  <si>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達成率平均</t>
    <phoneticPr fontId="4" type="noConversion"/>
  </si>
  <si>
    <t>結束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</si>
  <si>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</si>
  <si>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</si>
  <si>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</si>
  <si>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</si>
  <si>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</si>
  <si>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</si>
  <si>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</si>
  <si>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</si>
  <si>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</si>
  <si>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</si>
  <si>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</si>
  <si>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</si>
  <si>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</si>
  <si>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</si>
  <si>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</si>
  <si>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</si>
  <si>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</si>
  <si>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</si>
  <si>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</si>
  <si>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</si>
  <si>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</si>
  <si>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</si>
  <si>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</si>
  <si>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</si>
  <si>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</si>
  <si>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</si>
  <si>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</si>
  <si>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</si>
  <si>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</si>
  <si>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</si>
  <si>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</si>
  <si>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</si>
  <si>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</si>
  <si>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</si>
  <si>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</si>
  <si>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</si>
  <si>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</si>
  <si>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</si>
  <si>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</si>
  <si>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</si>
  <si>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</si>
  <si>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</si>
  <si>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</si>
  <si>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</si>
  <si>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</si>
  <si>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</si>
  <si>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</si>
  <si>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</si>
  <si>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</si>
  <si>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</si>
  <si>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</si>
  <si>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</si>
  <si>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</si>
  <si>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</si>
  <si>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</si>
  <si>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</si>
  <si>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</si>
  <si>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</si>
  <si>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</si>
  <si>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</si>
  <si>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</si>
  <si>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</si>
  <si>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</si>
  <si>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</si>
  <si>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</si>
  <si>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</si>
  <si>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</si>
  <si>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</si>
  <si>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</si>
  <si>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</si>
  <si>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</si>
  <si>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</si>
  <si>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</si>
  <si>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</si>
  <si>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</si>
  <si>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</si>
  <si>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</si>
  <si>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</si>
  <si>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</si>
  <si>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</si>
  <si>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</si>
  <si>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</si>
  <si>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</si>
  <si>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</si>
  <si>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</si>
  <si>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</si>
  <si>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</si>
  <si>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</si>
  <si>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</si>
  <si>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</si>
  <si>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</si>
  <si>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</si>
  <si>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</si>
  <si>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總生產量</t>
    <phoneticPr fontId="4" type="noConversion"/>
  </si>
  <si>
    <t>營業額</t>
    <phoneticPr fontId="7" type="noConversion"/>
  </si>
  <si>
    <t>日報登錄</t>
    <phoneticPr fontId="4" type="noConversion"/>
  </si>
  <si>
    <t>分析說明</t>
    <phoneticPr fontId="4" type="noConversion"/>
  </si>
  <si>
    <t>人時性</t>
    <phoneticPr fontId="4" type="noConversion"/>
  </si>
  <si>
    <t>線別</t>
    <phoneticPr fontId="3" type="noConversion"/>
  </si>
  <si>
    <t>品名</t>
    <phoneticPr fontId="3" type="noConversion"/>
  </si>
  <si>
    <t>生產量</t>
    <phoneticPr fontId="4" type="noConversion"/>
  </si>
  <si>
    <t>人數</t>
    <phoneticPr fontId="4" type="noConversion"/>
  </si>
  <si>
    <t>產能/時</t>
    <phoneticPr fontId="4" type="noConversion"/>
  </si>
  <si>
    <t>人數</t>
    <phoneticPr fontId="4" type="noConversion"/>
  </si>
  <si>
    <t>人數</t>
    <phoneticPr fontId="4" type="noConversion"/>
  </si>
  <si>
    <t>達成率</t>
    <phoneticPr fontId="4" type="noConversion"/>
  </si>
  <si>
    <t>稼動時間/分</t>
    <phoneticPr fontId="4" type="noConversion"/>
  </si>
  <si>
    <t>休息時間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</si>
  <si>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</si>
  <si>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</si>
  <si>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</si>
  <si>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</si>
  <si>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新豐8線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</si>
  <si>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</si>
  <si>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</si>
  <si>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</si>
  <si>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</si>
  <si>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</si>
  <si>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</si>
  <si>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</si>
  <si>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</si>
  <si>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</si>
  <si>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</si>
  <si>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</si>
  <si>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</si>
  <si>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</si>
  <si>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</si>
  <si>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</si>
  <si>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</si>
  <si>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</si>
  <si>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</si>
  <si>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</si>
  <si>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</si>
  <si>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</si>
  <si>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</si>
  <si>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</si>
  <si>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</si>
  <si>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</si>
  <si>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</si>
  <si>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</si>
  <si>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</si>
  <si>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</si>
  <si>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</si>
  <si>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</si>
  <si>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</si>
  <si>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</si>
  <si>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</si>
  <si>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</si>
  <si>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</si>
  <si>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</si>
  <si>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</si>
  <si>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</si>
  <si>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</si>
  <si>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</si>
  <si>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</si>
  <si>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</si>
  <si>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</si>
  <si>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</si>
  <si>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</si>
  <si>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</si>
  <si>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</si>
  <si>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</si>
  <si>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</si>
  <si>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</si>
  <si>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</si>
  <si>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</si>
  <si>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</si>
  <si>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</si>
  <si>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</si>
  <si>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</si>
  <si>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</si>
  <si>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</si>
  <si>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</si>
  <si>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</si>
  <si>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</si>
  <si>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</si>
  <si>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</si>
  <si>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</si>
  <si>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</si>
  <si>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</si>
  <si>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</si>
  <si>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</si>
  <si>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</si>
  <si>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</si>
  <si>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</si>
  <si>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</si>
  <si>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</si>
  <si>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</si>
  <si>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</si>
  <si>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</si>
  <si>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</si>
  <si>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產能/時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</si>
  <si>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</si>
  <si>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</si>
  <si>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</si>
  <si>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</si>
  <si>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</si>
  <si>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</si>
  <si>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</si>
  <si>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</si>
  <si>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</si>
  <si>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</si>
  <si>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</si>
  <si>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龍蝦風味總匯三明治</t>
  </si>
  <si>
    <t>新豐3線</t>
    <phoneticPr fontId="4" type="noConversion"/>
  </si>
  <si>
    <t>泰式酸辣炸雞堡</t>
  </si>
  <si>
    <t>新豐1線</t>
    <phoneticPr fontId="4" type="noConversion"/>
  </si>
  <si>
    <t>新豐10線</t>
    <phoneticPr fontId="4" type="noConversion"/>
  </si>
  <si>
    <t>蠟筆小新餐盒</t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</si>
  <si>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</si>
  <si>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</si>
  <si>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</si>
  <si>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</si>
  <si>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</si>
  <si>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</si>
  <si>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</si>
  <si>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</si>
  <si>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</si>
  <si>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</si>
  <si>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</si>
  <si>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</si>
  <si>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</si>
  <si>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</si>
  <si>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</si>
  <si>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</si>
  <si>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</si>
  <si>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</si>
  <si>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</si>
  <si>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</si>
  <si>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</si>
  <si>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</si>
  <si>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</si>
  <si>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</si>
  <si>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</si>
  <si>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</si>
  <si>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</si>
  <si>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</si>
  <si>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</si>
  <si>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</si>
  <si>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</si>
  <si>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</si>
  <si>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</si>
  <si>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</si>
  <si>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</si>
  <si>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</si>
  <si>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營業額</t>
    <phoneticPr fontId="7" type="noConversion"/>
  </si>
  <si>
    <t>多次生產數</t>
    <phoneticPr fontId="4" type="noConversion"/>
  </si>
  <si>
    <t>稼動時間/分</t>
    <phoneticPr fontId="4" type="noConversion"/>
  </si>
  <si>
    <t>休息時間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</si>
  <si>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</si>
  <si>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</si>
  <si>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</si>
  <si>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</si>
  <si>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</si>
  <si>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</si>
  <si>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</si>
  <si>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新豐5線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</si>
  <si>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</si>
  <si>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</si>
  <si>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</si>
  <si>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</si>
  <si>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</si>
  <si>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</si>
  <si>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</si>
  <si>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</si>
  <si>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營業額</t>
    <phoneticPr fontId="3" type="noConversion"/>
  </si>
  <si>
    <t>人時性</t>
    <phoneticPr fontId="3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</si>
  <si>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</si>
  <si>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</si>
  <si>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</si>
  <si>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</si>
  <si>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</si>
  <si>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</si>
  <si>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</si>
  <si>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</si>
  <si>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</si>
  <si>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</si>
  <si>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</si>
  <si>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</si>
  <si>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</si>
  <si>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</si>
  <si>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</si>
  <si>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</si>
  <si>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</si>
  <si>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</si>
  <si>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</si>
  <si>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</si>
  <si>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</si>
  <si>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</si>
  <si>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</si>
  <si>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</si>
  <si>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握沙拉</t>
    <phoneticPr fontId="4" type="noConversion"/>
  </si>
  <si>
    <t>調理麵包</t>
    <phoneticPr fontId="4" type="noConversion"/>
  </si>
  <si>
    <t>炒飯+沙拉</t>
    <phoneticPr fontId="4" type="noConversion"/>
  </si>
  <si>
    <t>平均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</si>
  <si>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</si>
  <si>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</si>
  <si>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</si>
  <si>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新豐1線</t>
    <phoneticPr fontId="4" type="noConversion"/>
  </si>
  <si>
    <t>新豐1線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</si>
  <si>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</si>
  <si>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</si>
  <si>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</si>
  <si>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新豐9線</t>
    <phoneticPr fontId="4" type="noConversion"/>
  </si>
  <si>
    <t>新豐8線</t>
    <phoneticPr fontId="4" type="noConversion"/>
  </si>
  <si>
    <t>新豐8線</t>
    <phoneticPr fontId="4" type="noConversion"/>
  </si>
  <si>
    <t>新豐7線</t>
    <phoneticPr fontId="4" type="noConversion"/>
  </si>
  <si>
    <t>新豐5線</t>
    <phoneticPr fontId="4" type="noConversion"/>
  </si>
  <si>
    <t>新豐5線</t>
    <phoneticPr fontId="4" type="noConversion"/>
  </si>
  <si>
    <t>新豐2線</t>
    <phoneticPr fontId="4" type="noConversion"/>
  </si>
  <si>
    <t>平均</t>
    <phoneticPr fontId="4" type="noConversion"/>
  </si>
  <si>
    <t>新豐6線</t>
    <phoneticPr fontId="4" type="noConversion"/>
  </si>
  <si>
    <t>新豐6線</t>
    <phoneticPr fontId="4" type="noConversion"/>
  </si>
  <si>
    <t>結束</t>
    <phoneticPr fontId="4" type="noConversion"/>
  </si>
  <si>
    <t>休息時間</t>
    <phoneticPr fontId="4" type="noConversion"/>
  </si>
  <si>
    <t>稼動時間/分</t>
    <phoneticPr fontId="4" type="noConversion"/>
  </si>
  <si>
    <t>人數</t>
    <phoneticPr fontId="4" type="noConversion"/>
  </si>
  <si>
    <t>人數</t>
    <phoneticPr fontId="4" type="noConversion"/>
  </si>
  <si>
    <t>生產量</t>
    <phoneticPr fontId="4" type="noConversion"/>
  </si>
  <si>
    <t>廠價</t>
    <phoneticPr fontId="7" type="noConversion"/>
  </si>
  <si>
    <t>線別</t>
    <phoneticPr fontId="3" type="noConversion"/>
  </si>
  <si>
    <t>日報登錄</t>
    <phoneticPr fontId="4" type="noConversion"/>
  </si>
  <si>
    <t>出勤人數</t>
    <phoneticPr fontId="4" type="noConversion"/>
  </si>
  <si>
    <t>營業額</t>
    <phoneticPr fontId="7" type="noConversion"/>
  </si>
  <si>
    <t xml:space="preserve">新豐廠四度C日報分析                              </t>
    <phoneticPr fontId="4" type="noConversion"/>
  </si>
  <si>
    <t>調理麵包</t>
    <phoneticPr fontId="4" type="noConversion"/>
  </si>
  <si>
    <t>炒飯+沙拉</t>
    <phoneticPr fontId="4" type="noConversion"/>
  </si>
  <si>
    <t>圓盤機</t>
    <phoneticPr fontId="4" type="noConversion"/>
  </si>
  <si>
    <t>次要應用設備</t>
    <phoneticPr fontId="3" type="noConversion"/>
  </si>
  <si>
    <t>三明治包裝機</t>
    <phoneticPr fontId="4" type="noConversion"/>
  </si>
  <si>
    <t>三明治包裝機</t>
    <phoneticPr fontId="4" type="noConversion"/>
  </si>
  <si>
    <t>L型包裝機</t>
    <phoneticPr fontId="4" type="noConversion"/>
  </si>
  <si>
    <t>主要應用設備</t>
    <phoneticPr fontId="3" type="noConversion"/>
  </si>
  <si>
    <t>配置人數</t>
    <phoneticPr fontId="3" type="noConversion"/>
  </si>
  <si>
    <t>結束</t>
    <phoneticPr fontId="3" type="noConversion"/>
  </si>
  <si>
    <t>開始</t>
    <phoneticPr fontId="3" type="noConversion"/>
  </si>
  <si>
    <t>作業
時間</t>
    <phoneticPr fontId="3" type="noConversion"/>
  </si>
  <si>
    <t>達成率</t>
    <phoneticPr fontId="3" type="noConversion"/>
  </si>
  <si>
    <t>實績</t>
    <phoneticPr fontId="3" type="noConversion"/>
  </si>
  <si>
    <t>排關</t>
    <phoneticPr fontId="3" type="noConversion"/>
  </si>
  <si>
    <t>人時性</t>
    <phoneticPr fontId="4" type="noConversion"/>
  </si>
  <si>
    <t>編組</t>
    <phoneticPr fontId="3" type="noConversion"/>
  </si>
  <si>
    <t>③三明治-各編組展開</t>
    <phoneticPr fontId="4" type="noConversion"/>
  </si>
  <si>
    <t>➁4度C-各編組展開</t>
    <phoneticPr fontId="3" type="noConversion"/>
  </si>
  <si>
    <t>溫層</t>
    <phoneticPr fontId="3" type="noConversion"/>
  </si>
  <si>
    <t>※現行日本鮮食廠以達成率80%為基本(即為現行KPI)</t>
    <phoneticPr fontId="4" type="noConversion"/>
  </si>
  <si>
    <t>③三明治-各編組展開</t>
    <phoneticPr fontId="3" type="noConversion"/>
  </si>
  <si>
    <t>全溫層</t>
    <phoneticPr fontId="3" type="noConversion"/>
  </si>
  <si>
    <t>組合室</t>
    <phoneticPr fontId="3" type="noConversion"/>
  </si>
  <si>
    <t>➂</t>
    <phoneticPr fontId="4" type="noConversion"/>
  </si>
  <si>
    <t>➁</t>
    <phoneticPr fontId="4" type="noConversion"/>
  </si>
  <si>
    <t>➀</t>
    <phoneticPr fontId="4" type="noConversion"/>
  </si>
  <si>
    <t>項目</t>
    <phoneticPr fontId="4" type="noConversion"/>
  </si>
  <si>
    <t>人時性</t>
    <phoneticPr fontId="3" type="noConversion"/>
  </si>
  <si>
    <t>營業額</t>
    <phoneticPr fontId="3" type="noConversion"/>
  </si>
  <si>
    <t>訂單量</t>
    <phoneticPr fontId="3" type="noConversion"/>
  </si>
  <si>
    <t>日期</t>
    <phoneticPr fontId="3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</si>
  <si>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</si>
  <si>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</si>
  <si>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</si>
  <si>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</si>
  <si>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</si>
  <si>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</si>
  <si>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</si>
  <si>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平均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</si>
  <si>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</si>
  <si>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</si>
  <si>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</si>
  <si>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新豐3線</t>
    <phoneticPr fontId="4" type="noConversion"/>
  </si>
  <si>
    <t>新豐3線</t>
    <phoneticPr fontId="4" type="noConversion"/>
  </si>
  <si>
    <t>新豐9線</t>
    <phoneticPr fontId="4" type="noConversion"/>
  </si>
  <si>
    <t>新豐9線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</si>
  <si>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</si>
  <si>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</si>
  <si>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</si>
  <si>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</si>
  <si>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</si>
  <si>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新豐5線</t>
    <phoneticPr fontId="4" type="noConversion"/>
  </si>
  <si>
    <t>新豐2線</t>
    <phoneticPr fontId="4" type="noConversion"/>
  </si>
  <si>
    <t>新豐2線</t>
    <phoneticPr fontId="4" type="noConversion"/>
  </si>
  <si>
    <t>新豐6線</t>
    <phoneticPr fontId="4" type="noConversion"/>
  </si>
  <si>
    <t>結束</t>
    <phoneticPr fontId="4" type="noConversion"/>
  </si>
  <si>
    <t>開始</t>
    <phoneticPr fontId="4" type="noConversion"/>
  </si>
  <si>
    <t>達成率平均</t>
    <phoneticPr fontId="4" type="noConversion"/>
  </si>
  <si>
    <t>達成率</t>
    <phoneticPr fontId="4" type="noConversion"/>
  </si>
  <si>
    <t>產能/時</t>
    <phoneticPr fontId="4" type="noConversion"/>
  </si>
  <si>
    <t>(新豐回填)</t>
    <phoneticPr fontId="4" type="noConversion"/>
  </si>
  <si>
    <t>休息時間</t>
    <phoneticPr fontId="4" type="noConversion"/>
  </si>
  <si>
    <t>稼動時間/分</t>
    <phoneticPr fontId="4" type="noConversion"/>
  </si>
  <si>
    <t>達成率</t>
    <phoneticPr fontId="4" type="noConversion"/>
  </si>
  <si>
    <t>人時性</t>
    <phoneticPr fontId="4" type="noConversion"/>
  </si>
  <si>
    <t>人數</t>
    <phoneticPr fontId="4" type="noConversion"/>
  </si>
  <si>
    <t>人時性</t>
    <phoneticPr fontId="4" type="noConversion"/>
  </si>
  <si>
    <t>產能/時</t>
    <phoneticPr fontId="4" type="noConversion"/>
  </si>
  <si>
    <t>人數</t>
    <phoneticPr fontId="4" type="noConversion"/>
  </si>
  <si>
    <t>人時性</t>
    <phoneticPr fontId="4" type="noConversion"/>
  </si>
  <si>
    <t>人數</t>
    <phoneticPr fontId="4" type="noConversion"/>
  </si>
  <si>
    <t>多次
生產</t>
    <phoneticPr fontId="4" type="noConversion"/>
  </si>
  <si>
    <t>營收</t>
    <phoneticPr fontId="7" type="noConversion"/>
  </si>
  <si>
    <t>生產量</t>
    <phoneticPr fontId="4" type="noConversion"/>
  </si>
  <si>
    <t>廠價</t>
    <phoneticPr fontId="7" type="noConversion"/>
  </si>
  <si>
    <t>品名</t>
    <phoneticPr fontId="3" type="noConversion"/>
  </si>
  <si>
    <t>品類</t>
    <phoneticPr fontId="4" type="noConversion"/>
  </si>
  <si>
    <t>線別</t>
    <phoneticPr fontId="3" type="noConversion"/>
  </si>
  <si>
    <t>多次生產數</t>
    <phoneticPr fontId="4" type="noConversion"/>
  </si>
  <si>
    <t>產能差異分析</t>
    <phoneticPr fontId="4" type="noConversion"/>
  </si>
  <si>
    <t>分析說明</t>
    <phoneticPr fontId="4" type="noConversion"/>
  </si>
  <si>
    <t>日報登錄</t>
    <phoneticPr fontId="4" type="noConversion"/>
  </si>
  <si>
    <t>人時性差異分析</t>
    <phoneticPr fontId="4" type="noConversion"/>
  </si>
  <si>
    <t>生產實績</t>
    <phoneticPr fontId="4" type="noConversion"/>
  </si>
  <si>
    <t>產線配置圖</t>
    <phoneticPr fontId="4" type="noConversion"/>
  </si>
  <si>
    <t>出勤人數</t>
    <phoneticPr fontId="4" type="noConversion"/>
  </si>
  <si>
    <t>營業額</t>
    <phoneticPr fontId="7" type="noConversion"/>
  </si>
  <si>
    <t>總生產量</t>
    <phoneticPr fontId="4" type="noConversion"/>
  </si>
  <si>
    <t xml:space="preserve">新豐廠四度C日報分析                              </t>
    <phoneticPr fontId="4" type="noConversion"/>
  </si>
  <si>
    <t>調理麵包</t>
    <phoneticPr fontId="4" type="noConversion"/>
  </si>
  <si>
    <t>炒飯+沙拉</t>
    <phoneticPr fontId="4" type="noConversion"/>
  </si>
  <si>
    <t>共用L型包裝機</t>
    <phoneticPr fontId="4" type="noConversion"/>
  </si>
  <si>
    <t>握沙拉</t>
    <phoneticPr fontId="4" type="noConversion"/>
  </si>
  <si>
    <t>備註</t>
    <phoneticPr fontId="3" type="noConversion"/>
  </si>
  <si>
    <t>圓盤機</t>
    <phoneticPr fontId="4" type="noConversion"/>
  </si>
  <si>
    <t>次要應用設備</t>
    <phoneticPr fontId="3" type="noConversion"/>
  </si>
  <si>
    <t>三明治包裝機</t>
    <phoneticPr fontId="4" type="noConversion"/>
  </si>
  <si>
    <t>L型包裝機</t>
    <phoneticPr fontId="4" type="noConversion"/>
  </si>
  <si>
    <t>主要應用設備</t>
    <phoneticPr fontId="3" type="noConversion"/>
  </si>
  <si>
    <t>配置人數</t>
    <phoneticPr fontId="3" type="noConversion"/>
  </si>
  <si>
    <t>結束</t>
    <phoneticPr fontId="3" type="noConversion"/>
  </si>
  <si>
    <t>開始</t>
    <phoneticPr fontId="3" type="noConversion"/>
  </si>
  <si>
    <t>作業
時間</t>
    <phoneticPr fontId="3" type="noConversion"/>
  </si>
  <si>
    <t>達成率</t>
    <phoneticPr fontId="3" type="noConversion"/>
  </si>
  <si>
    <t>實績</t>
    <phoneticPr fontId="3" type="noConversion"/>
  </si>
  <si>
    <t>排關</t>
    <phoneticPr fontId="3" type="noConversion"/>
  </si>
  <si>
    <t>人時性</t>
    <phoneticPr fontId="4" type="noConversion"/>
  </si>
  <si>
    <t>編組</t>
    <phoneticPr fontId="3" type="noConversion"/>
  </si>
  <si>
    <t>③三明治-各編組展開</t>
    <phoneticPr fontId="4" type="noConversion"/>
  </si>
  <si>
    <t>➁4度C-各編組展開</t>
    <phoneticPr fontId="3" type="noConversion"/>
  </si>
  <si>
    <t>溫層</t>
    <phoneticPr fontId="3" type="noConversion"/>
  </si>
  <si>
    <t>※現行日本鮮食廠以達成率80%為基本(即為現行KPI)</t>
    <phoneticPr fontId="4" type="noConversion"/>
  </si>
  <si>
    <t>③三明治-各編組展開</t>
    <phoneticPr fontId="3" type="noConversion"/>
  </si>
  <si>
    <t>4度C-各編組展開</t>
    <phoneticPr fontId="3" type="noConversion"/>
  </si>
  <si>
    <t>全溫層</t>
    <phoneticPr fontId="3" type="noConversion"/>
  </si>
  <si>
    <t>組合室</t>
    <phoneticPr fontId="3" type="noConversion"/>
  </si>
  <si>
    <t>➂</t>
    <phoneticPr fontId="4" type="noConversion"/>
  </si>
  <si>
    <t>➁</t>
    <phoneticPr fontId="4" type="noConversion"/>
  </si>
  <si>
    <t>➀</t>
    <phoneticPr fontId="4" type="noConversion"/>
  </si>
  <si>
    <t>項目</t>
    <phoneticPr fontId="4" type="noConversion"/>
  </si>
  <si>
    <t>人時性</t>
    <phoneticPr fontId="3" type="noConversion"/>
  </si>
  <si>
    <t>營業額</t>
    <phoneticPr fontId="3" type="noConversion"/>
  </si>
  <si>
    <t>訂單量</t>
    <phoneticPr fontId="3" type="noConversion"/>
  </si>
  <si>
    <t>日期</t>
    <phoneticPr fontId="3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</si>
  <si>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</si>
  <si>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</si>
  <si>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</si>
  <si>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</si>
  <si>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➂</t>
    <phoneticPr fontId="4" type="noConversion"/>
  </si>
  <si>
    <t>組合室</t>
    <phoneticPr fontId="3" type="noConversion"/>
  </si>
  <si>
    <t>4度C-各編組展開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</si>
  <si>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</si>
  <si>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</si>
  <si>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</si>
  <si>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</si>
  <si>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</si>
  <si>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</si>
  <si>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</si>
  <si>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</si>
  <si>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</si>
  <si>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次要應用設備</t>
    <phoneticPr fontId="3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</si>
  <si>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</si>
  <si>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</si>
  <si>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</si>
  <si>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</si>
  <si>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</si>
  <si>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</si>
  <si>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</si>
  <si>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</si>
  <si>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</si>
  <si>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</si>
  <si>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</si>
  <si>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</si>
  <si>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</si>
  <si>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</si>
  <si>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</si>
  <si>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</si>
  <si>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</si>
  <si>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</si>
  <si>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</si>
  <si>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</si>
  <si>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</si>
  <si>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</si>
  <si>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</si>
  <si>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</si>
  <si>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</si>
  <si>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</si>
  <si>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</si>
  <si>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</si>
  <si>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</si>
  <si>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</si>
  <si>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</si>
  <si>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</si>
  <si>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</si>
  <si>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</si>
  <si>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</si>
  <si>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</si>
  <si>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</si>
  <si>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</si>
  <si>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</si>
  <si>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</si>
  <si>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</si>
  <si>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</si>
  <si>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</si>
  <si>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</si>
  <si>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</si>
  <si>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</si>
  <si>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</si>
  <si>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</si>
  <si>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</si>
  <si>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</si>
  <si>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</si>
  <si>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</si>
  <si>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</si>
  <si>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</si>
  <si>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</si>
  <si>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</si>
  <si>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</si>
  <si>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</si>
  <si>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</si>
  <si>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</si>
  <si>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</si>
  <si>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</si>
  <si>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</si>
  <si>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</si>
  <si>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</si>
  <si>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</si>
  <si>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</si>
  <si>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</si>
  <si>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</si>
  <si>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</si>
  <si>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</si>
  <si>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</si>
  <si>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</si>
  <si>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</si>
  <si>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</si>
  <si>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</si>
  <si>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</si>
  <si>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</si>
  <si>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</si>
  <si>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</si>
  <si>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</si>
  <si>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</si>
  <si>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</si>
  <si>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</si>
  <si>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</si>
  <si>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</si>
  <si>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</si>
  <si>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</si>
  <si>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</si>
  <si>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</si>
  <si>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</si>
  <si>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</si>
  <si>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</si>
  <si>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</si>
  <si>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</si>
  <si>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</si>
  <si>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</si>
  <si>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</si>
  <si>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</si>
  <si>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</si>
  <si>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</si>
  <si>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</si>
  <si>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</si>
  <si>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</si>
  <si>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</si>
  <si>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</si>
  <si>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</si>
  <si>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</si>
  <si>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</si>
  <si>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</si>
  <si>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</si>
  <si>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</si>
  <si>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</si>
  <si>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</si>
  <si>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</si>
  <si>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</si>
  <si>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</si>
  <si>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</si>
  <si>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</si>
  <si>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</si>
  <si>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</si>
  <si>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</si>
  <si>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</si>
  <si>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</si>
  <si>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</si>
  <si>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</si>
  <si>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</si>
  <si>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</si>
  <si>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</si>
  <si>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</si>
  <si>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</si>
  <si>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</si>
  <si>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</si>
  <si>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</si>
  <si>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</si>
  <si>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</si>
  <si>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</si>
  <si>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</si>
  <si>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</si>
  <si>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</si>
  <si>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</si>
  <si>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</si>
  <si>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</si>
  <si>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</si>
  <si>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</si>
  <si>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</si>
  <si>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</si>
  <si>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排關</t>
    <phoneticPr fontId="3" type="noConversion"/>
  </si>
  <si>
    <t>達成率</t>
    <phoneticPr fontId="3" type="noConversion"/>
  </si>
  <si>
    <t>作業
時間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</si>
  <si>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</si>
  <si>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</si>
  <si>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</si>
  <si>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</si>
  <si>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</si>
  <si>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備註</t>
    <phoneticPr fontId="3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</si>
  <si>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</si>
  <si>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</si>
  <si>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</si>
  <si>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</si>
  <si>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</si>
  <si>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</si>
  <si>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</si>
  <si>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</si>
  <si>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</si>
  <si>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</si>
  <si>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</si>
  <si>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</si>
  <si>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</si>
  <si>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</si>
  <si>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</si>
  <si>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</si>
  <si>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</si>
  <si>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</si>
  <si>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</si>
  <si>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</si>
  <si>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</si>
  <si>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</si>
  <si>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</si>
  <si>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</si>
  <si>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</si>
  <si>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</si>
  <si>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</si>
  <si>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</si>
  <si>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</si>
  <si>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</si>
  <si>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</si>
  <si>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</si>
  <si>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</si>
  <si>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</si>
  <si>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</si>
  <si>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</si>
  <si>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</si>
  <si>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</si>
  <si>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</si>
  <si>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</si>
  <si>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</si>
  <si>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</si>
  <si>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</si>
  <si>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</si>
  <si>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</si>
  <si>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新豐1線</t>
    <phoneticPr fontId="4" type="noConversion"/>
  </si>
  <si>
    <t>平均</t>
    <phoneticPr fontId="4" type="noConversion"/>
  </si>
  <si>
    <t>便當</t>
    <phoneticPr fontId="3" type="noConversion"/>
  </si>
  <si>
    <t>便當</t>
    <phoneticPr fontId="3" type="noConversion"/>
  </si>
  <si>
    <t>便當</t>
    <phoneticPr fontId="3" type="noConversion"/>
  </si>
  <si>
    <t>便當</t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</si>
  <si>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</si>
  <si>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</si>
  <si>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</si>
  <si>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</si>
  <si>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</si>
  <si>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</si>
  <si>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</si>
  <si>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</si>
  <si>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</si>
  <si>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</si>
  <si>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</si>
  <si>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</si>
  <si>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</si>
  <si>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</si>
  <si>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</si>
  <si>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</si>
  <si>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</si>
  <si>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</si>
  <si>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</si>
  <si>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</si>
  <si>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</si>
  <si>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</si>
  <si>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</si>
  <si>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</si>
  <si>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</si>
  <si>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</si>
  <si>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</si>
  <si>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</si>
  <si>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</si>
  <si>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</si>
  <si>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</si>
  <si>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</si>
  <si>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</si>
  <si>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</si>
  <si>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</si>
  <si>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</si>
  <si>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</si>
  <si>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</si>
  <si>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</si>
  <si>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</si>
  <si>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</si>
  <si>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</si>
  <si>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</si>
  <si>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</si>
  <si>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</si>
  <si>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</si>
  <si>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</si>
  <si>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</si>
  <si>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</si>
  <si>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</si>
  <si>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</si>
  <si>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</si>
  <si>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</si>
  <si>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</si>
  <si>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</si>
  <si>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</si>
  <si>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</si>
  <si>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</si>
  <si>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</si>
  <si>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</si>
  <si>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</si>
  <si>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</si>
  <si>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</si>
  <si>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</si>
  <si>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</si>
  <si>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</si>
  <si>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</si>
  <si>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</si>
  <si>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</si>
  <si>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</si>
  <si>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</si>
  <si>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</si>
  <si>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</si>
  <si>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</si>
  <si>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</si>
  <si>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</si>
  <si>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</si>
  <si>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</si>
  <si>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</si>
  <si>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</si>
  <si>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</si>
  <si>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</si>
  <si>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營業額</t>
    <phoneticPr fontId="3" type="noConversion"/>
  </si>
  <si>
    <t>人時性</t>
    <phoneticPr fontId="3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</si>
  <si>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</si>
  <si>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</si>
  <si>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</si>
  <si>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</si>
  <si>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</si>
  <si>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</si>
  <si>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</si>
  <si>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</si>
  <si>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</si>
  <si>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</si>
  <si>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</si>
  <si>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</si>
  <si>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</si>
  <si>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</si>
  <si>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</si>
  <si>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</si>
  <si>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</si>
  <si>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</si>
  <si>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</si>
  <si>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</si>
  <si>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</si>
  <si>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</si>
  <si>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</si>
  <si>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</si>
  <si>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</si>
  <si>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</si>
  <si>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</si>
  <si>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</si>
  <si>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</si>
  <si>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</si>
  <si>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</si>
  <si>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</si>
  <si>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</si>
  <si>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</si>
  <si>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</si>
  <si>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</si>
  <si>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</si>
  <si>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</si>
  <si>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</si>
  <si>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</si>
  <si>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</si>
  <si>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</si>
  <si>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</si>
  <si>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</si>
  <si>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</si>
  <si>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</si>
  <si>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</si>
  <si>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</si>
  <si>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</si>
  <si>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</si>
  <si>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</si>
  <si>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</si>
  <si>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</si>
  <si>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</si>
  <si>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</si>
  <si>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</si>
  <si>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產能/時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</si>
  <si>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</si>
  <si>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</si>
  <si>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</si>
  <si>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</si>
  <si>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新豐2線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</si>
  <si>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</si>
  <si>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</si>
  <si>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</si>
  <si>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</si>
  <si>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</si>
  <si>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</si>
  <si>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</si>
  <si>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</si>
  <si>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</si>
  <si>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</si>
  <si>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</si>
  <si>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</si>
  <si>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</si>
  <si>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t>新豐10線</t>
    <phoneticPr fontId="4" type="noConversion"/>
  </si>
  <si>
    <t>新豐10線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</si>
  <si>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</si>
  <si>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</si>
  <si>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</si>
  <si>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新豐3線</t>
    <phoneticPr fontId="4" type="noConversion"/>
  </si>
  <si>
    <t>新豐3線</t>
    <phoneticPr fontId="4" type="noConversion"/>
  </si>
  <si>
    <t>新豐9線</t>
    <phoneticPr fontId="4" type="noConversion"/>
  </si>
  <si>
    <t>新豐9線</t>
    <phoneticPr fontId="4" type="noConversion"/>
  </si>
  <si>
    <t>新豐8線</t>
    <phoneticPr fontId="4" type="noConversion"/>
  </si>
  <si>
    <t>新豐8線</t>
    <phoneticPr fontId="4" type="noConversion"/>
  </si>
  <si>
    <t>新豐7線</t>
    <phoneticPr fontId="4" type="noConversion"/>
  </si>
  <si>
    <t>新豐5線</t>
    <phoneticPr fontId="4" type="noConversion"/>
  </si>
  <si>
    <t>新豐5線</t>
    <phoneticPr fontId="4" type="noConversion"/>
  </si>
  <si>
    <t>新豐2線</t>
    <phoneticPr fontId="4" type="noConversion"/>
  </si>
  <si>
    <t>新豐2線</t>
    <phoneticPr fontId="4" type="noConversion"/>
  </si>
  <si>
    <t>新豐6線</t>
    <phoneticPr fontId="4" type="noConversion"/>
  </si>
  <si>
    <t>結束</t>
    <phoneticPr fontId="4" type="noConversion"/>
  </si>
  <si>
    <t>開始</t>
    <phoneticPr fontId="4" type="noConversion"/>
  </si>
  <si>
    <t>達成率平均</t>
    <phoneticPr fontId="4" type="noConversion"/>
  </si>
  <si>
    <t>產能/時</t>
    <phoneticPr fontId="4" type="noConversion"/>
  </si>
  <si>
    <t>稼動時間/分</t>
    <phoneticPr fontId="4" type="noConversion"/>
  </si>
  <si>
    <t>達成率</t>
    <phoneticPr fontId="4" type="noConversion"/>
  </si>
  <si>
    <t>人數</t>
    <phoneticPr fontId="4" type="noConversion"/>
  </si>
  <si>
    <t>人時性</t>
    <phoneticPr fontId="4" type="noConversion"/>
  </si>
  <si>
    <t>人時性</t>
    <phoneticPr fontId="4" type="noConversion"/>
  </si>
  <si>
    <t>線別</t>
    <phoneticPr fontId="3" type="noConversion"/>
  </si>
  <si>
    <t>分析說明</t>
    <phoneticPr fontId="4" type="noConversion"/>
  </si>
  <si>
    <t>日報登錄</t>
    <phoneticPr fontId="4" type="noConversion"/>
  </si>
  <si>
    <t>人時性差異分析</t>
    <phoneticPr fontId="4" type="noConversion"/>
  </si>
  <si>
    <t>產線配置圖</t>
    <phoneticPr fontId="4" type="noConversion"/>
  </si>
  <si>
    <t>握沙拉</t>
    <phoneticPr fontId="4" type="noConversion"/>
  </si>
  <si>
    <t>圓盤機</t>
    <phoneticPr fontId="4" type="noConversion"/>
  </si>
  <si>
    <t>三明治包裝機</t>
    <phoneticPr fontId="4" type="noConversion"/>
  </si>
  <si>
    <t>主要應用設備</t>
    <phoneticPr fontId="3" type="noConversion"/>
  </si>
  <si>
    <t>配置人數</t>
    <phoneticPr fontId="3" type="noConversion"/>
  </si>
  <si>
    <t>作業
時間</t>
    <phoneticPr fontId="3" type="noConversion"/>
  </si>
  <si>
    <t>排關</t>
    <phoneticPr fontId="3" type="noConversion"/>
  </si>
  <si>
    <t>人時性</t>
    <phoneticPr fontId="4" type="noConversion"/>
  </si>
  <si>
    <t>編組</t>
    <phoneticPr fontId="3" type="noConversion"/>
  </si>
  <si>
    <t>溫層</t>
    <phoneticPr fontId="3" type="noConversion"/>
  </si>
  <si>
    <t>4度C-各編組展開</t>
    <phoneticPr fontId="3" type="noConversion"/>
  </si>
  <si>
    <t>組合室</t>
    <phoneticPr fontId="3" type="noConversion"/>
  </si>
  <si>
    <t>➂</t>
    <phoneticPr fontId="4" type="noConversion"/>
  </si>
  <si>
    <t>➀</t>
    <phoneticPr fontId="4" type="noConversion"/>
  </si>
  <si>
    <t>人時性</t>
    <phoneticPr fontId="3" type="noConversion"/>
  </si>
  <si>
    <t>日期</t>
    <phoneticPr fontId="3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</si>
  <si>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</si>
  <si>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調理麵包</t>
    <phoneticPr fontId="4" type="noConversion"/>
  </si>
  <si>
    <t>炒飯+沙拉</t>
    <phoneticPr fontId="4" type="noConversion"/>
  </si>
  <si>
    <t>共用L型包裝機</t>
    <phoneticPr fontId="4" type="noConversion"/>
  </si>
  <si>
    <t>握沙拉</t>
    <phoneticPr fontId="4" type="noConversion"/>
  </si>
  <si>
    <t>備註</t>
    <phoneticPr fontId="3" type="noConversion"/>
  </si>
  <si>
    <t>次要應用設備</t>
    <phoneticPr fontId="3" type="noConversion"/>
  </si>
  <si>
    <t>三明治包裝機</t>
    <phoneticPr fontId="4" type="noConversion"/>
  </si>
  <si>
    <t>L型包裝機</t>
    <phoneticPr fontId="4" type="noConversion"/>
  </si>
  <si>
    <t>L型包裝機</t>
    <phoneticPr fontId="4" type="noConversion"/>
  </si>
  <si>
    <t>主要應用設備</t>
    <phoneticPr fontId="3" type="noConversion"/>
  </si>
  <si>
    <t>配置人數</t>
    <phoneticPr fontId="3" type="noConversion"/>
  </si>
  <si>
    <t>結束</t>
    <phoneticPr fontId="3" type="noConversion"/>
  </si>
  <si>
    <t>達成率</t>
    <phoneticPr fontId="3" type="noConversion"/>
  </si>
  <si>
    <t>實績</t>
    <phoneticPr fontId="3" type="noConversion"/>
  </si>
  <si>
    <t>排關</t>
    <phoneticPr fontId="3" type="noConversion"/>
  </si>
  <si>
    <t>人時性</t>
    <phoneticPr fontId="4" type="noConversion"/>
  </si>
  <si>
    <t>③三明治-各編組展開</t>
    <phoneticPr fontId="4" type="noConversion"/>
  </si>
  <si>
    <t>※現行日本鮮食廠以達成率80%為基本(即為現行KPI)</t>
    <phoneticPr fontId="4" type="noConversion"/>
  </si>
  <si>
    <t>③三明治-各編組展開</t>
    <phoneticPr fontId="3" type="noConversion"/>
  </si>
  <si>
    <t>全溫層</t>
    <phoneticPr fontId="3" type="noConversion"/>
  </si>
  <si>
    <t>組合室</t>
    <phoneticPr fontId="3" type="noConversion"/>
  </si>
  <si>
    <t>➁</t>
    <phoneticPr fontId="4" type="noConversion"/>
  </si>
  <si>
    <t>➀</t>
    <phoneticPr fontId="4" type="noConversion"/>
  </si>
  <si>
    <t>項目</t>
    <phoneticPr fontId="4" type="noConversion"/>
  </si>
  <si>
    <t>人時性</t>
    <phoneticPr fontId="3" type="noConversion"/>
  </si>
  <si>
    <t>營業額</t>
    <phoneticPr fontId="3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</si>
  <si>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</si>
  <si>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平均</t>
    <phoneticPr fontId="4" type="noConversion"/>
  </si>
  <si>
    <t>新豐4線</t>
    <phoneticPr fontId="4" type="noConversion"/>
  </si>
  <si>
    <t>新豐10線</t>
    <phoneticPr fontId="4" type="noConversion"/>
  </si>
  <si>
    <t>新豐1線</t>
    <phoneticPr fontId="4" type="noConversion"/>
  </si>
  <si>
    <t>新豐3線</t>
    <phoneticPr fontId="4" type="noConversion"/>
  </si>
  <si>
    <t>新豐9線</t>
    <phoneticPr fontId="4" type="noConversion"/>
  </si>
  <si>
    <t>新豐8線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</si>
  <si>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</si>
  <si>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</si>
  <si>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</si>
  <si>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</si>
  <si>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</si>
  <si>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</si>
  <si>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</si>
  <si>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</si>
  <si>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</si>
  <si>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</si>
  <si>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</si>
  <si>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</si>
  <si>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</si>
  <si>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</si>
  <si>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</si>
  <si>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</si>
  <si>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</si>
  <si>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</si>
  <si>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</si>
  <si>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</si>
  <si>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</si>
  <si>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</si>
  <si>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</si>
  <si>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</si>
  <si>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</si>
  <si>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</si>
  <si>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</si>
  <si>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</si>
  <si>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</si>
  <si>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</si>
  <si>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</si>
  <si>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</si>
  <si>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</si>
  <si>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</si>
  <si>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</si>
  <si>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</si>
  <si>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</si>
  <si>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</si>
  <si>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</si>
  <si>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</si>
  <si>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</si>
  <si>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</si>
  <si>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</si>
  <si>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</si>
  <si>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</si>
  <si>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</si>
  <si>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</si>
  <si>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</si>
  <si>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</si>
  <si>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</si>
  <si>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</si>
  <si>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</si>
  <si>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</si>
  <si>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</si>
  <si>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</si>
  <si>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</si>
  <si>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</si>
  <si>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</si>
  <si>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</si>
  <si>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</si>
  <si>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</si>
  <si>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</si>
  <si>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</si>
  <si>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</si>
  <si>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</si>
  <si>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</si>
  <si>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</si>
  <si>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</si>
  <si>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</si>
  <si>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</si>
  <si>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</si>
  <si>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</si>
  <si>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</si>
  <si>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</si>
  <si>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</si>
  <si>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</si>
  <si>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</si>
  <si>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</si>
  <si>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</si>
  <si>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</si>
  <si>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</si>
  <si>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</si>
  <si>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</si>
  <si>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</si>
  <si>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</si>
  <si>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日期</t>
    <phoneticPr fontId="3" type="noConversion"/>
  </si>
  <si>
    <t>訂單量</t>
    <phoneticPr fontId="3" type="noConversion"/>
  </si>
  <si>
    <t>人時性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</si>
  <si>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</si>
  <si>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</si>
  <si>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</si>
  <si>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</si>
  <si>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</si>
  <si>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</si>
  <si>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</si>
  <si>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</si>
  <si>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</si>
  <si>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開始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</si>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</sst>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76" formatCode="m&quot;月&quot;d&quot;日&quot;;@"/>
    <numFmt numFmtId="177" formatCode="0.0"/>
    <numFmt numFmtId="178" formatCode="0_ "/>
    <numFmt numFmtId="179" formatCode="0.0_ "/>
    <numFmt numFmtId="180" formatCode="0.0%"/>
    <numFmt numFmtId="181" formatCode="h:mm;@"/>
    <numFmt numFmtId="182" formatCode="_-* #,##0_-;\-* #,##0_-;_-* &quot;-&quot;??_-;_-@_-"/>
    <numFmt numFmtId="183" formatCode="0,000&quot;元&quot;"/>
  </numFmts>
  <fonts count="2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6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9"/>
      <name val="新細明體"/>
      <family val="1"/>
      <charset val="136"/>
    </font>
    <font>
      <sz val="18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sz val="11"/>
      <color theme="1"/>
      <name val="新細明體"/>
      <family val="2"/>
      <scheme val="minor"/>
    </font>
    <font>
      <b/>
      <sz val="12"/>
      <color rgb="FFFF0000"/>
      <name val="微軟正黑體"/>
      <family val="2"/>
      <charset val="136"/>
    </font>
    <font>
      <b/>
      <sz val="26"/>
      <color theme="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6"/>
      <color theme="1"/>
      <name val="Meiryo UI"/>
      <family val="2"/>
      <charset val="128"/>
    </font>
    <font>
      <b/>
      <sz val="18"/>
      <color theme="1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sz val="14"/>
      <color theme="5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</fonts>
  <fills count="1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6D1A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9">
    <xf numFmtId="0" fontId="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586">
    <xf numFmtId="0" fontId="0" fillId="0" borderId="0" xfId="0">
      <alignment vertical="center"/>
    </xf>
    <xf numFmtId="0" fontId="2" fillId="0" borderId="1" xfId="1" applyFont="1" applyBorder="1">
      <alignment vertical="center"/>
    </xf>
    <xf numFmtId="0" fontId="2" fillId="0" borderId="1" xfId="1" applyFont="1" applyBorder="1" applyAlignment="1">
      <alignment horizontal="left" vertical="center"/>
    </xf>
    <xf numFmtId="0" fontId="5" fillId="2" borderId="1" xfId="1" applyFont="1" applyFill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0" fontId="6" fillId="0" borderId="0" xfId="1" applyFont="1">
      <alignment vertical="center"/>
    </xf>
    <xf numFmtId="177" fontId="2" fillId="0" borderId="1" xfId="1" applyNumberFormat="1" applyFont="1" applyBorder="1" applyAlignment="1">
      <alignment horizontal="center" vertical="center"/>
    </xf>
    <xf numFmtId="177" fontId="9" fillId="0" borderId="1" xfId="1" applyNumberFormat="1" applyFont="1" applyBorder="1" applyAlignment="1">
      <alignment horizontal="center" vertical="center"/>
    </xf>
    <xf numFmtId="2" fontId="2" fillId="0" borderId="1" xfId="1" applyNumberFormat="1" applyFont="1" applyBorder="1">
      <alignment vertical="center"/>
    </xf>
    <xf numFmtId="177" fontId="6" fillId="0" borderId="1" xfId="1" applyNumberFormat="1" applyFont="1" applyBorder="1" applyAlignment="1">
      <alignment horizontal="center" vertical="center"/>
    </xf>
    <xf numFmtId="1" fontId="6" fillId="0" borderId="1" xfId="1" applyNumberFormat="1" applyFont="1" applyBorder="1" applyAlignment="1">
      <alignment horizontal="center" vertical="center"/>
    </xf>
    <xf numFmtId="178" fontId="6" fillId="0" borderId="1" xfId="1" applyNumberFormat="1" applyFont="1" applyBorder="1" applyAlignment="1">
      <alignment horizontal="center" vertical="center"/>
    </xf>
    <xf numFmtId="179" fontId="6" fillId="0" borderId="1" xfId="1" applyNumberFormat="1" applyFont="1" applyBorder="1" applyAlignment="1">
      <alignment horizontal="center" vertical="center"/>
    </xf>
    <xf numFmtId="0" fontId="6" fillId="0" borderId="1" xfId="1" applyFont="1" applyBorder="1">
      <alignment vertical="center"/>
    </xf>
    <xf numFmtId="20" fontId="6" fillId="0" borderId="1" xfId="1" applyNumberFormat="1" applyFont="1" applyBorder="1" applyAlignment="1">
      <alignment horizontal="center" vertical="center"/>
    </xf>
    <xf numFmtId="181" fontId="6" fillId="0" borderId="1" xfId="1" applyNumberFormat="1" applyFont="1" applyBorder="1" applyAlignment="1">
      <alignment horizontal="center" vertical="center"/>
    </xf>
    <xf numFmtId="177" fontId="6" fillId="0" borderId="1" xfId="1" applyNumberFormat="1" applyFont="1" applyFill="1" applyBorder="1" applyAlignment="1">
      <alignment horizontal="center" vertical="center"/>
    </xf>
    <xf numFmtId="1" fontId="6" fillId="3" borderId="1" xfId="1" applyNumberFormat="1" applyFont="1" applyFill="1" applyBorder="1" applyAlignment="1">
      <alignment horizontal="center" vertical="center"/>
    </xf>
    <xf numFmtId="1" fontId="6" fillId="0" borderId="1" xfId="1" applyNumberFormat="1" applyFont="1" applyFill="1" applyBorder="1" applyAlignment="1">
      <alignment horizontal="center" vertical="center"/>
    </xf>
    <xf numFmtId="0" fontId="9" fillId="0" borderId="0" xfId="1" applyFont="1">
      <alignment vertical="center"/>
    </xf>
    <xf numFmtId="0" fontId="6" fillId="0" borderId="0" xfId="1" applyFont="1" applyFill="1">
      <alignment vertical="center"/>
    </xf>
    <xf numFmtId="0" fontId="6" fillId="0" borderId="0" xfId="1" applyFont="1" applyAlignment="1">
      <alignment vertical="center" wrapText="1"/>
    </xf>
    <xf numFmtId="176" fontId="2" fillId="0" borderId="2" xfId="1" applyNumberFormat="1" applyFont="1" applyFill="1" applyBorder="1" applyAlignment="1">
      <alignment horizontal="left" vertical="center"/>
    </xf>
    <xf numFmtId="176" fontId="2" fillId="0" borderId="3" xfId="1" applyNumberFormat="1" applyFont="1" applyFill="1" applyBorder="1">
      <alignment vertical="center"/>
    </xf>
    <xf numFmtId="181" fontId="6" fillId="0" borderId="1" xfId="1" applyNumberFormat="1" applyFont="1" applyFill="1" applyBorder="1" applyAlignment="1">
      <alignment horizontal="center" vertical="center"/>
    </xf>
    <xf numFmtId="181" fontId="6" fillId="0" borderId="1" xfId="1" applyNumberFormat="1" applyFont="1" applyFill="1" applyBorder="1" applyAlignment="1">
      <alignment horizontal="left" vertical="center"/>
    </xf>
    <xf numFmtId="0" fontId="6" fillId="0" borderId="1" xfId="1" applyFont="1" applyFill="1" applyBorder="1" applyAlignment="1">
      <alignment horizontal="center"/>
    </xf>
    <xf numFmtId="3" fontId="6" fillId="0" borderId="1" xfId="1" applyNumberFormat="1" applyFont="1" applyFill="1" applyBorder="1" applyAlignment="1">
      <alignment horizontal="center" vertical="center"/>
    </xf>
    <xf numFmtId="0" fontId="14" fillId="0" borderId="0" xfId="5" applyFont="1" applyAlignment="1">
      <alignment vertical="center"/>
    </xf>
    <xf numFmtId="0" fontId="6" fillId="0" borderId="0" xfId="5" applyFont="1">
      <alignment vertical="center"/>
    </xf>
    <xf numFmtId="0" fontId="14" fillId="0" borderId="0" xfId="5" applyFont="1" applyBorder="1" applyAlignment="1">
      <alignment vertical="center"/>
    </xf>
    <xf numFmtId="0" fontId="6" fillId="0" borderId="8" xfId="6" applyFont="1" applyBorder="1">
      <alignment vertical="center"/>
    </xf>
    <xf numFmtId="0" fontId="6" fillId="0" borderId="0" xfId="6" applyFont="1" applyBorder="1">
      <alignment vertical="center"/>
    </xf>
    <xf numFmtId="0" fontId="6" fillId="0" borderId="0" xfId="6" applyFont="1">
      <alignment vertical="center"/>
    </xf>
    <xf numFmtId="0" fontId="19" fillId="0" borderId="0" xfId="6" applyFont="1" applyBorder="1" applyAlignment="1">
      <alignment vertical="center"/>
    </xf>
    <xf numFmtId="0" fontId="6" fillId="0" borderId="0" xfId="5" applyFont="1" applyAlignment="1">
      <alignment horizontal="center" vertical="center"/>
    </xf>
    <xf numFmtId="0" fontId="20" fillId="0" borderId="0" xfId="6" applyFont="1" applyBorder="1" applyAlignment="1">
      <alignment vertical="center"/>
    </xf>
    <xf numFmtId="0" fontId="2" fillId="0" borderId="0" xfId="6" applyFont="1">
      <alignment vertical="center"/>
    </xf>
    <xf numFmtId="0" fontId="6" fillId="0" borderId="14" xfId="5" applyFont="1" applyBorder="1" applyAlignment="1">
      <alignment horizontal="center" vertical="center"/>
    </xf>
    <xf numFmtId="0" fontId="6" fillId="0" borderId="15" xfId="5" applyFont="1" applyBorder="1" applyAlignment="1">
      <alignment horizontal="center" vertical="center"/>
    </xf>
    <xf numFmtId="0" fontId="6" fillId="0" borderId="16" xfId="5" applyFont="1" applyBorder="1" applyAlignment="1">
      <alignment horizontal="center" vertical="center"/>
    </xf>
    <xf numFmtId="0" fontId="9" fillId="0" borderId="17" xfId="5" applyFont="1" applyBorder="1" applyAlignment="1">
      <alignment horizontal="center" vertical="center" wrapText="1"/>
    </xf>
    <xf numFmtId="0" fontId="9" fillId="0" borderId="18" xfId="5" applyFont="1" applyBorder="1" applyAlignment="1">
      <alignment horizontal="center" vertical="center" wrapText="1"/>
    </xf>
    <xf numFmtId="0" fontId="9" fillId="0" borderId="19" xfId="5" applyFont="1" applyBorder="1" applyAlignment="1">
      <alignment horizontal="center" vertical="center" wrapText="1"/>
    </xf>
    <xf numFmtId="0" fontId="6" fillId="0" borderId="13" xfId="6" applyFont="1" applyBorder="1" applyAlignment="1">
      <alignment horizontal="center" vertical="center" wrapText="1"/>
    </xf>
    <xf numFmtId="177" fontId="6" fillId="0" borderId="20" xfId="5" applyNumberFormat="1" applyFont="1" applyFill="1" applyBorder="1" applyAlignment="1">
      <alignment horizontal="center" vertical="center" wrapText="1"/>
    </xf>
    <xf numFmtId="177" fontId="6" fillId="0" borderId="21" xfId="5" applyNumberFormat="1" applyFont="1" applyFill="1" applyBorder="1" applyAlignment="1">
      <alignment horizontal="center" vertical="center" wrapText="1"/>
    </xf>
    <xf numFmtId="177" fontId="6" fillId="0" borderId="18" xfId="5" applyNumberFormat="1" applyFont="1" applyFill="1" applyBorder="1" applyAlignment="1">
      <alignment horizontal="center" vertical="center" wrapText="1"/>
    </xf>
    <xf numFmtId="177" fontId="6" fillId="0" borderId="19" xfId="5" applyNumberFormat="1" applyFont="1" applyFill="1" applyBorder="1" applyAlignment="1">
      <alignment horizontal="center" vertical="center" wrapText="1"/>
    </xf>
    <xf numFmtId="177" fontId="6" fillId="0" borderId="22" xfId="5" applyNumberFormat="1" applyFont="1" applyFill="1" applyBorder="1" applyAlignment="1">
      <alignment horizontal="center" vertical="center" wrapText="1"/>
    </xf>
    <xf numFmtId="177" fontId="6" fillId="0" borderId="23" xfId="5" applyNumberFormat="1" applyFont="1" applyFill="1" applyBorder="1" applyAlignment="1">
      <alignment horizontal="center" vertical="center" wrapText="1"/>
    </xf>
    <xf numFmtId="0" fontId="22" fillId="0" borderId="13" xfId="6" applyFont="1" applyBorder="1" applyAlignment="1">
      <alignment horizontal="center" vertical="center" wrapText="1"/>
    </xf>
    <xf numFmtId="177" fontId="22" fillId="0" borderId="17" xfId="5" applyNumberFormat="1" applyFont="1" applyFill="1" applyBorder="1" applyAlignment="1">
      <alignment horizontal="center" vertical="center"/>
    </xf>
    <xf numFmtId="177" fontId="22" fillId="0" borderId="18" xfId="5" applyNumberFormat="1" applyFont="1" applyFill="1" applyBorder="1" applyAlignment="1">
      <alignment horizontal="center" vertical="center"/>
    </xf>
    <xf numFmtId="177" fontId="22" fillId="0" borderId="19" xfId="5" applyNumberFormat="1" applyFont="1" applyFill="1" applyBorder="1" applyAlignment="1">
      <alignment horizontal="center" vertical="center"/>
    </xf>
    <xf numFmtId="177" fontId="22" fillId="0" borderId="22" xfId="5" applyNumberFormat="1" applyFont="1" applyFill="1" applyBorder="1" applyAlignment="1">
      <alignment horizontal="center" vertical="center"/>
    </xf>
    <xf numFmtId="177" fontId="22" fillId="0" borderId="23" xfId="5" applyNumberFormat="1" applyFont="1" applyFill="1" applyBorder="1" applyAlignment="1">
      <alignment horizontal="center" vertical="center"/>
    </xf>
    <xf numFmtId="0" fontId="22" fillId="0" borderId="13" xfId="6" applyFont="1" applyBorder="1" applyAlignment="1">
      <alignment horizontal="center" vertical="center"/>
    </xf>
    <xf numFmtId="180" fontId="22" fillId="0" borderId="17" xfId="3" applyNumberFormat="1" applyFont="1" applyFill="1" applyBorder="1" applyAlignment="1">
      <alignment horizontal="center" vertical="center"/>
    </xf>
    <xf numFmtId="180" fontId="22" fillId="0" borderId="18" xfId="3" applyNumberFormat="1" applyFont="1" applyFill="1" applyBorder="1" applyAlignment="1">
      <alignment horizontal="center" vertical="center"/>
    </xf>
    <xf numFmtId="180" fontId="22" fillId="0" borderId="19" xfId="3" applyNumberFormat="1" applyFont="1" applyFill="1" applyBorder="1" applyAlignment="1">
      <alignment horizontal="center" vertical="center"/>
    </xf>
    <xf numFmtId="181" fontId="6" fillId="0" borderId="12" xfId="1" applyNumberFormat="1" applyFont="1" applyFill="1" applyBorder="1" applyAlignment="1">
      <alignment horizontal="center" vertical="center"/>
    </xf>
    <xf numFmtId="181" fontId="6" fillId="0" borderId="13" xfId="1" applyNumberFormat="1" applyFont="1" applyFill="1" applyBorder="1" applyAlignment="1">
      <alignment horizontal="center" vertical="center"/>
    </xf>
    <xf numFmtId="181" fontId="6" fillId="0" borderId="12" xfId="8" applyNumberFormat="1" applyFont="1" applyFill="1" applyBorder="1" applyAlignment="1">
      <alignment horizontal="center" vertical="center"/>
    </xf>
    <xf numFmtId="181" fontId="6" fillId="0" borderId="1" xfId="8" applyNumberFormat="1" applyFont="1" applyFill="1" applyBorder="1" applyAlignment="1">
      <alignment horizontal="center" vertical="center"/>
    </xf>
    <xf numFmtId="181" fontId="6" fillId="0" borderId="13" xfId="8" applyNumberFormat="1" applyFont="1" applyFill="1" applyBorder="1" applyAlignment="1">
      <alignment horizontal="center" vertical="center"/>
    </xf>
    <xf numFmtId="1" fontId="6" fillId="0" borderId="24" xfId="5" applyNumberFormat="1" applyFont="1" applyFill="1" applyBorder="1" applyAlignment="1">
      <alignment horizontal="center" vertical="center"/>
    </xf>
    <xf numFmtId="1" fontId="6" fillId="0" borderId="25" xfId="5" applyNumberFormat="1" applyFont="1" applyFill="1" applyBorder="1" applyAlignment="1">
      <alignment horizontal="center" vertical="center"/>
    </xf>
    <xf numFmtId="1" fontId="6" fillId="0" borderId="26" xfId="5" applyNumberFormat="1" applyFont="1" applyFill="1" applyBorder="1" applyAlignment="1">
      <alignment horizontal="center" vertical="center"/>
    </xf>
    <xf numFmtId="0" fontId="9" fillId="0" borderId="12" xfId="5" applyFont="1" applyBorder="1" applyAlignment="1">
      <alignment horizontal="center" vertical="center"/>
    </xf>
    <xf numFmtId="0" fontId="9" fillId="0" borderId="1" xfId="5" applyFont="1" applyBorder="1" applyAlignment="1">
      <alignment horizontal="center" vertical="center"/>
    </xf>
    <xf numFmtId="0" fontId="9" fillId="0" borderId="13" xfId="5" applyFont="1" applyBorder="1" applyAlignment="1">
      <alignment horizontal="center" vertical="center"/>
    </xf>
    <xf numFmtId="0" fontId="6" fillId="0" borderId="29" xfId="5" applyFont="1" applyBorder="1">
      <alignment vertical="center"/>
    </xf>
    <xf numFmtId="0" fontId="6" fillId="0" borderId="31" xfId="5" applyFont="1" applyBorder="1" applyAlignment="1">
      <alignment horizontal="center" vertical="center"/>
    </xf>
    <xf numFmtId="0" fontId="6" fillId="0" borderId="30" xfId="5" applyFont="1" applyBorder="1" applyAlignment="1">
      <alignment horizontal="center" vertical="center"/>
    </xf>
    <xf numFmtId="0" fontId="6" fillId="0" borderId="29" xfId="5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5" fillId="0" borderId="1" xfId="6" applyFont="1" applyBorder="1" applyAlignment="1">
      <alignment horizontal="center" vertical="center"/>
    </xf>
    <xf numFmtId="0" fontId="6" fillId="0" borderId="13" xfId="6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/>
    <xf numFmtId="180" fontId="6" fillId="0" borderId="1" xfId="3" applyNumberFormat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3" xfId="1" applyFont="1" applyFill="1" applyBorder="1" applyAlignment="1"/>
    <xf numFmtId="0" fontId="6" fillId="0" borderId="13" xfId="6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180" fontId="6" fillId="0" borderId="1" xfId="3" applyNumberFormat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6" fillId="0" borderId="13" xfId="6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/>
    <xf numFmtId="180" fontId="6" fillId="0" borderId="1" xfId="3" applyNumberFormat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3" xfId="1" applyFont="1" applyFill="1" applyBorder="1" applyAlignment="1"/>
    <xf numFmtId="0" fontId="6" fillId="0" borderId="13" xfId="6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180" fontId="6" fillId="0" borderId="1" xfId="3" applyNumberFormat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6" fillId="0" borderId="13" xfId="6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/>
    <xf numFmtId="180" fontId="6" fillId="0" borderId="1" xfId="3" applyNumberFormat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3" xfId="1" applyFont="1" applyFill="1" applyBorder="1" applyAlignment="1"/>
    <xf numFmtId="0" fontId="6" fillId="0" borderId="13" xfId="6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13" xfId="6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180" fontId="6" fillId="0" borderId="1" xfId="3" applyNumberFormat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3" xfId="6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1" xfId="1" applyFont="1" applyFill="1" applyBorder="1" applyAlignment="1"/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6" fillId="0" borderId="13" xfId="6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/>
    <xf numFmtId="180" fontId="6" fillId="0" borderId="1" xfId="3" applyNumberFormat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3" xfId="1" applyFont="1" applyFill="1" applyBorder="1" applyAlignment="1"/>
    <xf numFmtId="0" fontId="6" fillId="0" borderId="13" xfId="6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1" xfId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3" xfId="6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3" xfId="6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13" xfId="6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180" fontId="6" fillId="0" borderId="1" xfId="3" applyNumberFormat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6" fillId="0" borderId="13" xfId="6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/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3" xfId="6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1" xfId="1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14" borderId="0" xfId="5" applyFont="1" applyFill="1">
      <alignment vertical="center"/>
    </xf>
    <xf numFmtId="0" fontId="6" fillId="14" borderId="15" xfId="5" applyFont="1" applyFill="1" applyBorder="1" applyAlignment="1">
      <alignment horizontal="center" vertical="center"/>
    </xf>
    <xf numFmtId="0" fontId="9" fillId="14" borderId="18" xfId="5" applyFont="1" applyFill="1" applyBorder="1" applyAlignment="1">
      <alignment horizontal="center" vertical="center" wrapText="1"/>
    </xf>
    <xf numFmtId="177" fontId="6" fillId="14" borderId="18" xfId="5" applyNumberFormat="1" applyFont="1" applyFill="1" applyBorder="1" applyAlignment="1">
      <alignment horizontal="center" vertical="center" wrapText="1"/>
    </xf>
    <xf numFmtId="177" fontId="22" fillId="14" borderId="18" xfId="5" applyNumberFormat="1" applyFont="1" applyFill="1" applyBorder="1" applyAlignment="1">
      <alignment horizontal="center" vertical="center"/>
    </xf>
    <xf numFmtId="180" fontId="22" fillId="14" borderId="18" xfId="3" applyNumberFormat="1" applyFont="1" applyFill="1" applyBorder="1" applyAlignment="1">
      <alignment horizontal="center" vertical="center"/>
    </xf>
    <xf numFmtId="181" fontId="6" fillId="14" borderId="1" xfId="1" applyNumberFormat="1" applyFont="1" applyFill="1" applyBorder="1" applyAlignment="1">
      <alignment horizontal="center" vertical="center"/>
    </xf>
    <xf numFmtId="1" fontId="6" fillId="14" borderId="25" xfId="5" applyNumberFormat="1" applyFont="1" applyFill="1" applyBorder="1" applyAlignment="1">
      <alignment horizontal="center" vertical="center"/>
    </xf>
    <xf numFmtId="0" fontId="9" fillId="14" borderId="1" xfId="5" applyFont="1" applyFill="1" applyBorder="1" applyAlignment="1">
      <alignment horizontal="center" vertical="center"/>
    </xf>
    <xf numFmtId="0" fontId="6" fillId="14" borderId="31" xfId="5" applyFont="1" applyFill="1" applyBorder="1" applyAlignment="1">
      <alignment horizontal="center" vertical="center"/>
    </xf>
    <xf numFmtId="177" fontId="6" fillId="14" borderId="23" xfId="5" applyNumberFormat="1" applyFont="1" applyFill="1" applyBorder="1" applyAlignment="1">
      <alignment horizontal="center" vertical="center" wrapText="1"/>
    </xf>
    <xf numFmtId="177" fontId="22" fillId="14" borderId="23" xfId="5" applyNumberFormat="1" applyFont="1" applyFill="1" applyBorder="1" applyAlignment="1">
      <alignment horizontal="center" vertical="center"/>
    </xf>
    <xf numFmtId="181" fontId="6" fillId="14" borderId="1" xfId="8" applyNumberFormat="1" applyFont="1" applyFill="1" applyBorder="1" applyAlignment="1">
      <alignment horizontal="center" vertical="center"/>
    </xf>
    <xf numFmtId="0" fontId="14" fillId="0" borderId="0" xfId="5" applyFont="1" applyFill="1" applyAlignment="1">
      <alignment vertical="center"/>
    </xf>
    <xf numFmtId="0" fontId="14" fillId="0" borderId="0" xfId="5" applyFont="1" applyFill="1" applyBorder="1" applyAlignment="1">
      <alignment vertical="center"/>
    </xf>
    <xf numFmtId="0" fontId="6" fillId="0" borderId="0" xfId="6" applyFont="1" applyFill="1" applyBorder="1">
      <alignment vertical="center"/>
    </xf>
    <xf numFmtId="0" fontId="6" fillId="0" borderId="0" xfId="6" applyFont="1" applyFill="1">
      <alignment vertical="center"/>
    </xf>
    <xf numFmtId="0" fontId="6" fillId="0" borderId="0" xfId="5" applyFont="1" applyFill="1">
      <alignment vertical="center"/>
    </xf>
    <xf numFmtId="0" fontId="6" fillId="0" borderId="13" xfId="6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14" fillId="14" borderId="0" xfId="5" applyFont="1" applyFill="1" applyBorder="1" applyAlignment="1">
      <alignment vertical="center"/>
    </xf>
    <xf numFmtId="0" fontId="6" fillId="14" borderId="0" xfId="6" applyFont="1" applyFill="1" applyBorder="1">
      <alignment vertical="center"/>
    </xf>
    <xf numFmtId="0" fontId="6" fillId="14" borderId="0" xfId="6" applyFont="1" applyFill="1">
      <alignment vertical="center"/>
    </xf>
    <xf numFmtId="0" fontId="6" fillId="0" borderId="13" xfId="6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1" xfId="1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13" xfId="6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1" xfId="1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/>
    </xf>
    <xf numFmtId="176" fontId="2" fillId="14" borderId="3" xfId="1" applyNumberFormat="1" applyFont="1" applyFill="1" applyBorder="1">
      <alignment vertical="center"/>
    </xf>
    <xf numFmtId="176" fontId="2" fillId="14" borderId="2" xfId="1" applyNumberFormat="1" applyFont="1" applyFill="1" applyBorder="1" applyAlignment="1">
      <alignment horizontal="left" vertical="center"/>
    </xf>
    <xf numFmtId="1" fontId="2" fillId="0" borderId="1" xfId="1" applyNumberFormat="1" applyFont="1" applyFill="1" applyBorder="1" applyAlignment="1">
      <alignment horizontal="center" vertical="center"/>
    </xf>
    <xf numFmtId="0" fontId="6" fillId="0" borderId="13" xfId="6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180" fontId="6" fillId="0" borderId="1" xfId="3" applyNumberFormat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3" xfId="1" applyFont="1" applyFill="1" applyBorder="1" applyAlignment="1"/>
    <xf numFmtId="0" fontId="6" fillId="0" borderId="13" xfId="6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180" fontId="6" fillId="0" borderId="1" xfId="3" applyNumberFormat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5" fillId="0" borderId="1" xfId="6" applyFont="1" applyBorder="1" applyAlignment="1">
      <alignment horizontal="center" vertical="center"/>
    </xf>
    <xf numFmtId="0" fontId="6" fillId="0" borderId="13" xfId="6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3" xfId="1" applyFont="1" applyFill="1" applyBorder="1" applyAlignment="1"/>
    <xf numFmtId="0" fontId="6" fillId="0" borderId="1" xfId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6" fillId="0" borderId="13" xfId="6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/>
    <xf numFmtId="180" fontId="6" fillId="0" borderId="1" xfId="3" applyNumberFormat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3" xfId="1" applyFont="1" applyFill="1" applyBorder="1" applyAlignment="1"/>
    <xf numFmtId="0" fontId="6" fillId="0" borderId="1" xfId="1" applyFont="1" applyFill="1" applyBorder="1" applyAlignment="1">
      <alignment horizontal="center" vertical="center" wrapText="1"/>
    </xf>
    <xf numFmtId="0" fontId="6" fillId="0" borderId="13" xfId="6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180" fontId="6" fillId="0" borderId="1" xfId="3" applyNumberFormat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13" xfId="6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13" xfId="6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13" xfId="6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3" xfId="1" applyFont="1" applyFill="1" applyBorder="1" applyAlignment="1"/>
    <xf numFmtId="0" fontId="6" fillId="0" borderId="1" xfId="1" applyFont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3" xfId="6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180" fontId="6" fillId="0" borderId="1" xfId="3" applyNumberFormat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12" xfId="6" applyFont="1" applyBorder="1" applyAlignment="1">
      <alignment horizontal="center" vertical="center"/>
    </xf>
    <xf numFmtId="0" fontId="6" fillId="0" borderId="13" xfId="6" applyFont="1" applyBorder="1" applyAlignment="1">
      <alignment horizontal="center" vertical="center"/>
    </xf>
    <xf numFmtId="0" fontId="6" fillId="0" borderId="27" xfId="6" applyFont="1" applyBorder="1" applyAlignment="1">
      <alignment horizontal="center" vertical="center"/>
    </xf>
    <xf numFmtId="0" fontId="6" fillId="0" borderId="28" xfId="6" applyFont="1" applyBorder="1" applyAlignment="1">
      <alignment horizontal="center" vertical="center"/>
    </xf>
    <xf numFmtId="0" fontId="6" fillId="0" borderId="29" xfId="6" applyFont="1" applyBorder="1" applyAlignment="1">
      <alignment horizontal="center" vertical="center"/>
    </xf>
    <xf numFmtId="0" fontId="6" fillId="0" borderId="30" xfId="6" applyFont="1" applyBorder="1" applyAlignment="1">
      <alignment horizontal="center" vertical="center"/>
    </xf>
    <xf numFmtId="0" fontId="6" fillId="0" borderId="32" xfId="5" applyFont="1" applyBorder="1" applyAlignment="1">
      <alignment horizontal="center" vertical="center"/>
    </xf>
    <xf numFmtId="0" fontId="6" fillId="0" borderId="33" xfId="5" applyFont="1" applyBorder="1" applyAlignment="1">
      <alignment horizontal="center" vertical="center"/>
    </xf>
    <xf numFmtId="0" fontId="6" fillId="0" borderId="9" xfId="6" applyFont="1" applyBorder="1" applyAlignment="1">
      <alignment horizontal="center" vertical="center"/>
    </xf>
    <xf numFmtId="0" fontId="6" fillId="0" borderId="10" xfId="6" applyFont="1" applyBorder="1" applyAlignment="1">
      <alignment horizontal="center" vertical="center"/>
    </xf>
    <xf numFmtId="0" fontId="21" fillId="3" borderId="9" xfId="5" applyFont="1" applyFill="1" applyBorder="1" applyAlignment="1">
      <alignment horizontal="center" vertical="center"/>
    </xf>
    <xf numFmtId="0" fontId="21" fillId="3" borderId="11" xfId="5" applyFont="1" applyFill="1" applyBorder="1" applyAlignment="1">
      <alignment horizontal="center" vertical="center"/>
    </xf>
    <xf numFmtId="0" fontId="21" fillId="3" borderId="10" xfId="5" applyFont="1" applyFill="1" applyBorder="1" applyAlignment="1">
      <alignment horizontal="center" vertical="center"/>
    </xf>
    <xf numFmtId="0" fontId="21" fillId="5" borderId="9" xfId="5" applyFont="1" applyFill="1" applyBorder="1" applyAlignment="1">
      <alignment horizontal="center" vertical="center"/>
    </xf>
    <xf numFmtId="0" fontId="21" fillId="5" borderId="10" xfId="5" applyFont="1" applyFill="1" applyBorder="1" applyAlignment="1">
      <alignment horizontal="center" vertical="center"/>
    </xf>
    <xf numFmtId="0" fontId="2" fillId="0" borderId="12" xfId="6" applyFont="1" applyBorder="1" applyAlignment="1">
      <alignment horizontal="center" vertical="center" textRotation="255"/>
    </xf>
    <xf numFmtId="0" fontId="6" fillId="0" borderId="12" xfId="6" applyFont="1" applyBorder="1" applyAlignment="1">
      <alignment horizontal="center" vertical="center" wrapText="1"/>
    </xf>
    <xf numFmtId="0" fontId="18" fillId="0" borderId="1" xfId="6" applyFont="1" applyBorder="1" applyAlignment="1">
      <alignment horizontal="center" vertical="center"/>
    </xf>
    <xf numFmtId="177" fontId="18" fillId="6" borderId="1" xfId="6" applyNumberFormat="1" applyFont="1" applyFill="1" applyBorder="1" applyAlignment="1">
      <alignment horizontal="center" vertical="center"/>
    </xf>
    <xf numFmtId="0" fontId="18" fillId="6" borderId="1" xfId="6" applyFont="1" applyFill="1" applyBorder="1" applyAlignment="1">
      <alignment horizontal="center" vertical="center"/>
    </xf>
    <xf numFmtId="177" fontId="18" fillId="6" borderId="1" xfId="7" applyNumberFormat="1" applyFont="1" applyFill="1" applyBorder="1" applyAlignment="1">
      <alignment horizontal="center" vertical="center"/>
    </xf>
    <xf numFmtId="180" fontId="18" fillId="0" borderId="1" xfId="6" applyNumberFormat="1" applyFont="1" applyBorder="1" applyAlignment="1">
      <alignment horizontal="center" vertical="center"/>
    </xf>
    <xf numFmtId="180" fontId="18" fillId="0" borderId="1" xfId="3" applyNumberFormat="1" applyFont="1" applyFill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182" fontId="2" fillId="3" borderId="1" xfId="7" applyNumberFormat="1" applyFont="1" applyFill="1" applyBorder="1" applyAlignment="1">
      <alignment horizontal="center" vertical="center"/>
    </xf>
    <xf numFmtId="182" fontId="2" fillId="15" borderId="1" xfId="7" applyNumberFormat="1" applyFont="1" applyFill="1" applyBorder="1" applyAlignment="1">
      <alignment horizontal="center" vertical="center"/>
    </xf>
    <xf numFmtId="177" fontId="5" fillId="0" borderId="1" xfId="6" applyNumberFormat="1" applyFont="1" applyBorder="1" applyAlignment="1">
      <alignment horizontal="center" vertical="center"/>
    </xf>
    <xf numFmtId="177" fontId="5" fillId="0" borderId="1" xfId="7" applyNumberFormat="1" applyFont="1" applyBorder="1" applyAlignment="1">
      <alignment horizontal="center" vertical="center"/>
    </xf>
    <xf numFmtId="0" fontId="14" fillId="0" borderId="0" xfId="5" applyFont="1" applyAlignment="1">
      <alignment horizontal="center" vertical="center"/>
    </xf>
    <xf numFmtId="0" fontId="14" fillId="0" borderId="7" xfId="5" applyFont="1" applyBorder="1" applyAlignment="1">
      <alignment horizontal="center" vertical="center"/>
    </xf>
    <xf numFmtId="0" fontId="16" fillId="13" borderId="1" xfId="6" applyFont="1" applyFill="1" applyBorder="1" applyAlignment="1">
      <alignment horizontal="center" vertical="center"/>
    </xf>
    <xf numFmtId="182" fontId="5" fillId="0" borderId="1" xfId="7" applyNumberFormat="1" applyFont="1" applyBorder="1" applyAlignment="1">
      <alignment horizontal="center" vertical="center"/>
    </xf>
    <xf numFmtId="183" fontId="5" fillId="14" borderId="1" xfId="7" applyNumberFormat="1" applyFont="1" applyFill="1" applyBorder="1" applyAlignment="1">
      <alignment horizontal="center" vertical="center"/>
    </xf>
    <xf numFmtId="0" fontId="17" fillId="0" borderId="1" xfId="6" applyFont="1" applyBorder="1" applyAlignment="1">
      <alignment horizontal="center" vertical="center"/>
    </xf>
    <xf numFmtId="0" fontId="17" fillId="14" borderId="1" xfId="6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left" vertical="center"/>
    </xf>
    <xf numFmtId="0" fontId="6" fillId="0" borderId="1" xfId="1" applyFont="1" applyFill="1" applyBorder="1" applyAlignment="1"/>
    <xf numFmtId="0" fontId="10" fillId="6" borderId="1" xfId="1" applyFont="1" applyFill="1" applyBorder="1" applyAlignment="1">
      <alignment horizontal="center" vertical="center" wrapText="1"/>
    </xf>
    <xf numFmtId="0" fontId="13" fillId="6" borderId="1" xfId="1" applyFont="1" applyFill="1" applyBorder="1" applyAlignment="1">
      <alignment horizontal="center" vertical="center" wrapText="1"/>
    </xf>
    <xf numFmtId="180" fontId="6" fillId="0" borderId="1" xfId="3" applyNumberFormat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12" borderId="1" xfId="1" applyFont="1" applyFill="1" applyBorder="1" applyAlignment="1">
      <alignment horizontal="center" vertical="center" wrapText="1"/>
    </xf>
    <xf numFmtId="0" fontId="6" fillId="12" borderId="1" xfId="1" applyFont="1" applyFill="1" applyBorder="1" applyAlignment="1">
      <alignment horizontal="center" vertical="center"/>
    </xf>
    <xf numFmtId="0" fontId="6" fillId="0" borderId="2" xfId="1" applyFont="1" applyFill="1" applyBorder="1" applyAlignment="1"/>
    <xf numFmtId="0" fontId="6" fillId="0" borderId="3" xfId="1" applyFont="1" applyFill="1" applyBorder="1" applyAlignment="1"/>
    <xf numFmtId="0" fontId="6" fillId="7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 wrapText="1"/>
    </xf>
    <xf numFmtId="0" fontId="6" fillId="5" borderId="6" xfId="1" applyFont="1" applyFill="1" applyBorder="1" applyAlignment="1">
      <alignment horizontal="center" vertical="center" wrapText="1"/>
    </xf>
    <xf numFmtId="0" fontId="6" fillId="5" borderId="5" xfId="1" applyFont="1" applyFill="1" applyBorder="1" applyAlignment="1">
      <alignment horizontal="center" vertical="center" wrapText="1"/>
    </xf>
    <xf numFmtId="180" fontId="6" fillId="0" borderId="4" xfId="3" applyNumberFormat="1" applyFont="1" applyBorder="1" applyAlignment="1">
      <alignment horizontal="center" vertical="center"/>
    </xf>
    <xf numFmtId="180" fontId="6" fillId="0" borderId="6" xfId="3" applyNumberFormat="1" applyFont="1" applyBorder="1" applyAlignment="1">
      <alignment horizontal="center" vertical="center"/>
    </xf>
    <xf numFmtId="180" fontId="6" fillId="0" borderId="5" xfId="3" applyNumberFormat="1" applyFont="1" applyBorder="1" applyAlignment="1">
      <alignment horizontal="center" vertical="center"/>
    </xf>
    <xf numFmtId="0" fontId="6" fillId="11" borderId="1" xfId="1" applyFont="1" applyFill="1" applyBorder="1" applyAlignment="1">
      <alignment horizontal="center" vertical="center" wrapText="1"/>
    </xf>
    <xf numFmtId="0" fontId="6" fillId="11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left"/>
    </xf>
    <xf numFmtId="0" fontId="6" fillId="10" borderId="1" xfId="1" applyFont="1" applyFill="1" applyBorder="1" applyAlignment="1">
      <alignment horizontal="center" vertical="center" wrapText="1"/>
    </xf>
    <xf numFmtId="0" fontId="6" fillId="9" borderId="34" xfId="1" applyFont="1" applyFill="1" applyBorder="1" applyAlignment="1">
      <alignment horizontal="center" vertical="center" wrapText="1"/>
    </xf>
    <xf numFmtId="0" fontId="6" fillId="9" borderId="35" xfId="1" applyFont="1" applyFill="1" applyBorder="1" applyAlignment="1">
      <alignment horizontal="center" vertical="center" wrapText="1"/>
    </xf>
    <xf numFmtId="0" fontId="6" fillId="8" borderId="1" xfId="1" applyFont="1" applyFill="1" applyBorder="1" applyAlignment="1">
      <alignment horizontal="center" vertical="center" wrapText="1"/>
    </xf>
    <xf numFmtId="0" fontId="6" fillId="8" borderId="1" xfId="1" applyFont="1" applyFill="1" applyBorder="1" applyAlignment="1">
      <alignment horizontal="center" vertical="center"/>
    </xf>
    <xf numFmtId="0" fontId="6" fillId="0" borderId="2" xfId="2" applyFont="1" applyFill="1" applyBorder="1" applyAlignment="1">
      <alignment horizontal="left"/>
    </xf>
    <xf numFmtId="0" fontId="6" fillId="0" borderId="3" xfId="2" applyFont="1" applyFill="1" applyBorder="1" applyAlignment="1">
      <alignment horizontal="left"/>
    </xf>
    <xf numFmtId="0" fontId="6" fillId="3" borderId="1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/>
    </xf>
    <xf numFmtId="0" fontId="6" fillId="0" borderId="1" xfId="2" applyFont="1" applyFill="1" applyBorder="1" applyAlignment="1">
      <alignment horizontal="left"/>
    </xf>
    <xf numFmtId="0" fontId="6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6" borderId="1" xfId="1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center" vertical="center"/>
    </xf>
    <xf numFmtId="0" fontId="10" fillId="6" borderId="4" xfId="1" applyFont="1" applyFill="1" applyBorder="1" applyAlignment="1">
      <alignment horizontal="center" vertical="center" wrapText="1"/>
    </xf>
    <xf numFmtId="0" fontId="10" fillId="6" borderId="6" xfId="1" applyFont="1" applyFill="1" applyBorder="1" applyAlignment="1">
      <alignment horizontal="center" vertical="center" wrapText="1"/>
    </xf>
    <xf numFmtId="0" fontId="10" fillId="6" borderId="5" xfId="1" applyFont="1" applyFill="1" applyBorder="1" applyAlignment="1">
      <alignment horizontal="center" vertical="center" wrapText="1"/>
    </xf>
    <xf numFmtId="177" fontId="5" fillId="14" borderId="1" xfId="7" applyNumberFormat="1" applyFont="1" applyFill="1" applyBorder="1" applyAlignment="1">
      <alignment horizontal="center" vertical="center"/>
    </xf>
    <xf numFmtId="183" fontId="5" fillId="0" borderId="1" xfId="7" applyNumberFormat="1" applyFont="1" applyBorder="1" applyAlignment="1">
      <alignment horizontal="center" vertical="center"/>
    </xf>
    <xf numFmtId="182" fontId="2" fillId="5" borderId="1" xfId="7" applyNumberFormat="1" applyFont="1" applyFill="1" applyBorder="1" applyAlignment="1">
      <alignment horizontal="center" vertical="center"/>
    </xf>
    <xf numFmtId="0" fontId="21" fillId="5" borderId="11" xfId="5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left"/>
    </xf>
    <xf numFmtId="0" fontId="6" fillId="0" borderId="3" xfId="1" applyFont="1" applyFill="1" applyBorder="1" applyAlignment="1">
      <alignment horizontal="left"/>
    </xf>
  </cellXfs>
  <cellStyles count="9">
    <cellStyle name="一般" xfId="0" builtinId="0"/>
    <cellStyle name="一般 2 2" xfId="1"/>
    <cellStyle name="一般 2 2 2" xfId="6"/>
    <cellStyle name="一般 2 2 29" xfId="8"/>
    <cellStyle name="一般 2 4" xfId="2"/>
    <cellStyle name="一般 3" xfId="5"/>
    <cellStyle name="一般 48" xfId="4"/>
    <cellStyle name="千分位 2" xfId="7"/>
    <cellStyle name="百分比 2" xfId="3"/>
  </cellStyles>
  <dxfs count="1669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theme" Target="theme/theme1.xml"/><Relationship Id="rId68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69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/>
  <dimension ref="B1:Q28"/>
  <sheetViews>
    <sheetView tabSelected="1" zoomScale="70" zoomScaleNormal="70" workbookViewId="0">
      <selection activeCell="C3" sqref="C3:D3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521" t="s">
        <v>172</v>
      </c>
      <c r="C1" s="521"/>
      <c r="D1" s="521"/>
      <c r="E1" s="521"/>
      <c r="F1" s="521"/>
      <c r="G1" s="521"/>
      <c r="H1" s="521"/>
      <c r="I1" s="521"/>
      <c r="J1" s="521"/>
      <c r="K1" s="28"/>
      <c r="L1" s="28"/>
      <c r="M1" s="28"/>
      <c r="N1" s="28"/>
      <c r="O1" s="28"/>
      <c r="P1" s="28"/>
    </row>
    <row r="2" spans="2:17" ht="27.75" customHeight="1">
      <c r="B2" s="522"/>
      <c r="C2" s="522"/>
      <c r="D2" s="522"/>
      <c r="E2" s="522"/>
      <c r="F2" s="522"/>
      <c r="G2" s="522"/>
      <c r="H2" s="522"/>
      <c r="I2" s="522"/>
      <c r="J2" s="522"/>
      <c r="K2" s="30"/>
      <c r="L2" s="30"/>
      <c r="M2" s="30"/>
      <c r="N2" s="28"/>
      <c r="O2" s="28"/>
      <c r="P2" s="28"/>
    </row>
    <row r="3" spans="2:17" ht="46.5" customHeight="1">
      <c r="B3" s="479" t="s">
        <v>1876</v>
      </c>
      <c r="C3" s="523" t="str">
        <f>TEXT('0831 4度C'!A2,"yyyy.mm.ddaaaa")</f>
        <v>2025.08.31星期日</v>
      </c>
      <c r="D3" s="523"/>
      <c r="E3" s="479" t="s">
        <v>1877</v>
      </c>
      <c r="F3" s="524">
        <f>'0831 4度C'!D1</f>
        <v>177923</v>
      </c>
      <c r="G3" s="524"/>
      <c r="H3" s="479" t="s">
        <v>90</v>
      </c>
      <c r="I3" s="581">
        <f>'0831 4度C'!F1</f>
        <v>6112909.3899999987</v>
      </c>
      <c r="J3" s="581"/>
      <c r="K3" s="31"/>
      <c r="L3" s="32"/>
      <c r="M3" s="33"/>
      <c r="N3" s="33"/>
    </row>
    <row r="4" spans="2:17" ht="28.5" customHeight="1">
      <c r="B4" s="516" t="s">
        <v>1878</v>
      </c>
      <c r="C4" s="516" t="s">
        <v>105</v>
      </c>
      <c r="D4" s="516"/>
      <c r="E4" s="526" t="s">
        <v>221</v>
      </c>
      <c r="F4" s="526"/>
      <c r="G4" s="526" t="s">
        <v>222</v>
      </c>
      <c r="H4" s="526"/>
      <c r="I4" s="526" t="s">
        <v>108</v>
      </c>
      <c r="J4" s="526"/>
      <c r="L4" s="33"/>
      <c r="M4" s="33"/>
      <c r="N4" s="33"/>
    </row>
    <row r="5" spans="2:17" ht="28.5" customHeight="1">
      <c r="B5" s="516"/>
      <c r="C5" s="516" t="s">
        <v>109</v>
      </c>
      <c r="D5" s="516"/>
      <c r="E5" s="516" t="s">
        <v>125</v>
      </c>
      <c r="F5" s="516"/>
      <c r="G5" s="517" t="s">
        <v>331</v>
      </c>
      <c r="H5" s="517"/>
      <c r="I5" s="582" t="s">
        <v>1879</v>
      </c>
      <c r="J5" s="582"/>
      <c r="K5" s="33"/>
      <c r="L5" s="33"/>
      <c r="M5" s="33"/>
      <c r="N5" s="33"/>
    </row>
    <row r="6" spans="2:17" ht="28.5" customHeight="1">
      <c r="B6" s="516"/>
      <c r="C6" s="516" t="s">
        <v>43</v>
      </c>
      <c r="D6" s="516"/>
      <c r="E6" s="519">
        <f>AVERAGE(D13:M13)</f>
        <v>145.72901039274089</v>
      </c>
      <c r="F6" s="516">
        <f>AVERAGE(D27:O27,D13:J13)</f>
        <v>149.1830091275672</v>
      </c>
      <c r="G6" s="520">
        <f>AVERAGE(D13:J13)</f>
        <v>149.1830091275672</v>
      </c>
      <c r="H6" s="520"/>
      <c r="I6" s="520">
        <f>AVERAGE(K13:M13)</f>
        <v>137.66968001147941</v>
      </c>
      <c r="J6" s="520"/>
      <c r="K6" s="33"/>
      <c r="L6" s="33"/>
      <c r="M6" s="33"/>
      <c r="N6" s="33"/>
    </row>
    <row r="7" spans="2:17" ht="28.5" customHeight="1">
      <c r="B7" s="516"/>
      <c r="C7" s="510" t="s">
        <v>44</v>
      </c>
      <c r="D7" s="510"/>
      <c r="E7" s="511">
        <f>AVERAGE(D14:M14)</f>
        <v>136.81183635408217</v>
      </c>
      <c r="F7" s="512">
        <f>AVERAGE(D28:O28,D14:J14)</f>
        <v>140.20342415714921</v>
      </c>
      <c r="G7" s="513">
        <f>AVERAGE(D14:J14)</f>
        <v>140.20342415714921</v>
      </c>
      <c r="H7" s="513"/>
      <c r="I7" s="513">
        <f>AVERAGE(K14:M14)</f>
        <v>128.89813148025914</v>
      </c>
      <c r="J7" s="513"/>
      <c r="K7" s="33"/>
      <c r="L7" s="33"/>
      <c r="M7" s="33"/>
      <c r="N7" s="33"/>
    </row>
    <row r="8" spans="2:17" ht="28.5" customHeight="1">
      <c r="B8" s="516"/>
      <c r="C8" s="510" t="s">
        <v>45</v>
      </c>
      <c r="D8" s="510"/>
      <c r="E8" s="514">
        <f>AVERAGE(D15:M15)</f>
        <v>0.93827696657938664</v>
      </c>
      <c r="F8" s="510">
        <f>AVERAGE(D15:J15,D29:O29)</f>
        <v>0.93912102316389812</v>
      </c>
      <c r="G8" s="515">
        <f>AVERAGE(D15:J15)</f>
        <v>0.93912102316389812</v>
      </c>
      <c r="H8" s="515"/>
      <c r="I8" s="515">
        <f>AVERAGE(K15:M15)</f>
        <v>0.93630750121552619</v>
      </c>
      <c r="J8" s="515"/>
      <c r="K8" s="34" t="s">
        <v>1880</v>
      </c>
      <c r="L8" s="33"/>
      <c r="M8" s="33"/>
      <c r="N8" s="33"/>
    </row>
    <row r="9" spans="2:17" ht="28.5" customHeight="1" thickBot="1">
      <c r="H9" s="36"/>
      <c r="N9" s="33"/>
      <c r="O9" s="33"/>
      <c r="P9" s="33"/>
      <c r="Q9" s="33"/>
    </row>
    <row r="10" spans="2:17" ht="30" customHeight="1">
      <c r="B10" s="501" t="s">
        <v>1881</v>
      </c>
      <c r="C10" s="502"/>
      <c r="D10" s="503" t="s">
        <v>1882</v>
      </c>
      <c r="E10" s="504"/>
      <c r="F10" s="504"/>
      <c r="G10" s="504"/>
      <c r="H10" s="504"/>
      <c r="I10" s="504"/>
      <c r="J10" s="505"/>
      <c r="K10" s="506" t="s">
        <v>129</v>
      </c>
      <c r="L10" s="583"/>
      <c r="M10" s="507"/>
      <c r="P10" s="37"/>
      <c r="Q10" s="37"/>
    </row>
    <row r="11" spans="2:17" ht="17.25" customHeight="1">
      <c r="B11" s="493" t="s">
        <v>1883</v>
      </c>
      <c r="C11" s="494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39">
        <v>6</v>
      </c>
      <c r="J11" s="40">
        <v>7</v>
      </c>
      <c r="K11" s="38">
        <v>1</v>
      </c>
      <c r="L11" s="39">
        <v>2</v>
      </c>
      <c r="M11" s="40">
        <v>3</v>
      </c>
      <c r="P11" s="37"/>
      <c r="Q11" s="37"/>
    </row>
    <row r="12" spans="2:17" ht="34.15" customHeight="1">
      <c r="B12" s="493"/>
      <c r="C12" s="494"/>
      <c r="D12" s="41" t="s">
        <v>345</v>
      </c>
      <c r="E12" s="42" t="s">
        <v>346</v>
      </c>
      <c r="F12" s="42" t="s">
        <v>347</v>
      </c>
      <c r="G12" s="42" t="s">
        <v>348</v>
      </c>
      <c r="H12" s="42" t="s">
        <v>349</v>
      </c>
      <c r="I12" s="42" t="s">
        <v>350</v>
      </c>
      <c r="J12" s="43" t="s">
        <v>351</v>
      </c>
      <c r="K12" s="41" t="s">
        <v>352</v>
      </c>
      <c r="L12" s="42" t="s">
        <v>353</v>
      </c>
      <c r="M12" s="43" t="s">
        <v>354</v>
      </c>
    </row>
    <row r="13" spans="2:17" ht="40.15" customHeight="1">
      <c r="B13" s="508" t="s">
        <v>1884</v>
      </c>
      <c r="C13" s="44" t="s">
        <v>1885</v>
      </c>
      <c r="D13" s="45">
        <f>SUMIFS('0831 4度C'!$K:$K,'0831 4度C'!$A:$A,"新豐6線",'0831 4度C'!$B:$B,"平均")</f>
        <v>117.64705882352941</v>
      </c>
      <c r="E13" s="46">
        <f>SUMIFS('0831 4度C'!$K:$K,'0831 4度C'!$A:$A,"新豐2線",'0831 4度C'!$B:$B,"平均")</f>
        <v>83.333333333333329</v>
      </c>
      <c r="F13" s="47">
        <f>SUMIFS('0831 4度C'!$K:$K,'0831 4度C'!$A:$A,"新豐5線",'0831 4度C'!$B:$B,"平均")</f>
        <v>93.220338983050837</v>
      </c>
      <c r="G13" s="47">
        <f>SUMIFS('0831 4度C'!$K:$K,'0831 4度C'!$A:$A,"新豐7線",'0831 4度C'!$B:$B,"平均")</f>
        <v>116.50485436893203</v>
      </c>
      <c r="H13" s="47">
        <f>SUMIFS('0831 4度C'!$K:$K,'0831 4度C'!$A:$A,"新豐3線",'0831 4度C'!$B:$B,"平均")</f>
        <v>300</v>
      </c>
      <c r="I13" s="47">
        <f>SUMIFS('0831 4度C'!$K:$K,'0831 4度C'!$A:$A,"新豐1線",'0831 4度C'!$B:$B,"平均")</f>
        <v>114.4578313253012</v>
      </c>
      <c r="J13" s="48">
        <f>SUMIFS('0831 4度C'!$K:$K,'0831 4度C'!$A:$A,"新豐10線",'0831 4度C'!$B:$B,"平均")</f>
        <v>219.11764705882354</v>
      </c>
      <c r="K13" s="49">
        <f>SUMIFS('0831 4度C'!$K:$K,'0831 4度C'!$A:$A,"新豐8線",'0831 4度C'!$B:$B,"平均")</f>
        <v>140</v>
      </c>
      <c r="L13" s="50">
        <f>SUMIFS('0831 4度C'!$K:$K,'0831 4度C'!$A:$A,"新豐9線",'0831 4度C'!$B:$B,"平均")</f>
        <v>130.43478260869566</v>
      </c>
      <c r="M13" s="48">
        <f>SUMIFS('0831 4度C'!$K:$K,'0831 4度C'!$A:$A,"新豐4線",'0831 4度C'!$B:$B,"平均")</f>
        <v>142.57425742574259</v>
      </c>
    </row>
    <row r="14" spans="2:17" ht="39.6" customHeight="1">
      <c r="B14" s="508"/>
      <c r="C14" s="51" t="s">
        <v>1886</v>
      </c>
      <c r="D14" s="52">
        <f>SUMIFS('0831 4度C'!$N:$N,'0831 4度C'!$A:$A,"新豐6線",'0831 4度C'!$B:$B,"平均")</f>
        <v>111.02454944789822</v>
      </c>
      <c r="E14" s="53">
        <f>SUMIFS('0831 4度C'!$N:$N,'0831 4度C'!$A:$A,"新豐2線",'0831 4度C'!$B:$B,"平均")</f>
        <v>77.805499252682296</v>
      </c>
      <c r="F14" s="53">
        <f>SUMIFS('0831 4度C'!$N:$N,'0831 4度C'!$A:$A,"新豐5線",'0831 4度C'!$B:$B,"平均")</f>
        <v>87.243512608006498</v>
      </c>
      <c r="G14" s="53">
        <f>SUMIFS('0831 4度C'!$N:$N,'0831 4度C'!$A:$A,"新豐7線",'0831 4度C'!$B:$B,"平均")</f>
        <v>109.4430809741811</v>
      </c>
      <c r="H14" s="53">
        <f>SUMIFS('0831 4度C'!$N:$N,'0831 4度C'!$A:$A,"新豐3線",'0831 4度C'!$B:$B,"平均")</f>
        <v>282.18049368091363</v>
      </c>
      <c r="I14" s="53">
        <f>SUMIFS('0831 4度C'!$N:$N,'0831 4度C'!$A:$A,"新豐1線",'0831 4度C'!$B:$B,"平均")</f>
        <v>107.55259674317101</v>
      </c>
      <c r="J14" s="54">
        <f>SUMIFS('0831 4度C'!$N:$N,'0831 4度C'!$A:$A,"新豐10線",'0831 4度C'!$B:$B,"平均")</f>
        <v>206.17423639319185</v>
      </c>
      <c r="K14" s="55">
        <f>SUMIFS('0831 4度C'!$N:$N,'0831 4度C'!$A:$A,"新豐8線",'0831 4度C'!$B:$B,"平均")</f>
        <v>131.17920549839877</v>
      </c>
      <c r="L14" s="56">
        <f>SUMIFS('0831 4度C'!$N:$N,'0831 4度C'!$A:$A,"新豐9線",'0831 4度C'!$B:$B,"平均")</f>
        <v>122.20549888246804</v>
      </c>
      <c r="M14" s="54">
        <f>SUMIFS('0831 4度C'!$N:$N,'0831 4度C'!$A:$A,"新豐4線",'0831 4度C'!$B:$B,"平均")</f>
        <v>133.30969005991054</v>
      </c>
    </row>
    <row r="15" spans="2:17" ht="40.15" customHeight="1">
      <c r="B15" s="508"/>
      <c r="C15" s="57" t="s">
        <v>1887</v>
      </c>
      <c r="D15" s="58">
        <f>D14/D13</f>
        <v>0.9437086703071349</v>
      </c>
      <c r="E15" s="59">
        <f t="shared" ref="E15:M15" si="0">E14/E13</f>
        <v>0.93366599103218761</v>
      </c>
      <c r="F15" s="59">
        <f t="shared" si="0"/>
        <v>0.93588495343134248</v>
      </c>
      <c r="G15" s="59">
        <f t="shared" si="0"/>
        <v>0.93938644502838786</v>
      </c>
      <c r="H15" s="59">
        <f>H14/H13</f>
        <v>0.94060164560304538</v>
      </c>
      <c r="I15" s="59">
        <f>I14/I13</f>
        <v>0.93967005575612572</v>
      </c>
      <c r="J15" s="60">
        <f>J14/J13</f>
        <v>0.94092940098906341</v>
      </c>
      <c r="K15" s="58">
        <f>K14/K13</f>
        <v>0.93699432498856261</v>
      </c>
      <c r="L15" s="59">
        <f>L14/L13</f>
        <v>0.93690882476558823</v>
      </c>
      <c r="M15" s="60">
        <f t="shared" si="0"/>
        <v>0.93501935389242796</v>
      </c>
    </row>
    <row r="16" spans="2:17" ht="17.25" customHeight="1">
      <c r="B16" s="509" t="s">
        <v>198</v>
      </c>
      <c r="C16" s="478" t="s">
        <v>1888</v>
      </c>
      <c r="D16" s="61">
        <f>VLOOKUP("新豐6線",'0831 4度C'!$A:$T,19,0)</f>
        <v>0.70833333333333337</v>
      </c>
      <c r="E16" s="24">
        <f>VLOOKUP("新豐2線",'0831 4度C'!$A:$T,19,0)</f>
        <v>0.125</v>
      </c>
      <c r="F16" s="24">
        <f>VLOOKUP("新豐5線",'0831 4度C'!$A:$T,19,0)</f>
        <v>0.25</v>
      </c>
      <c r="G16" s="24">
        <f>VLOOKUP("新豐7線",'0831 4度C'!$A:$T,19,0)</f>
        <v>0.20833333333333334</v>
      </c>
      <c r="H16" s="24">
        <f>VLOOKUP("新豐3線",'0831 4度C'!$A:$T,19,0)</f>
        <v>0.125</v>
      </c>
      <c r="I16" s="24">
        <f>VLOOKUP("新豐1線",'0831 4度C'!$A:$T,19,0)</f>
        <v>0.29166666666666669</v>
      </c>
      <c r="J16" s="62">
        <f>VLOOKUP("新豐10線",'0831 4度C'!$A:$T,19,0)</f>
        <v>0.125</v>
      </c>
      <c r="K16" s="63">
        <f>VLOOKUP("新豐8線",'0831 4度C'!$A:$T,19,0)</f>
        <v>0.125</v>
      </c>
      <c r="L16" s="64">
        <f>VLOOKUP("新豐9線",'0831 4度C'!$A:$T,19,0)</f>
        <v>0.125</v>
      </c>
      <c r="M16" s="65">
        <f>VLOOKUP("新豐4線",'0831 4度C'!$A:$T,19,0)</f>
        <v>0.125</v>
      </c>
    </row>
    <row r="17" spans="2:13" ht="17.25" customHeight="1">
      <c r="B17" s="493"/>
      <c r="C17" s="478" t="s">
        <v>236</v>
      </c>
      <c r="D17" s="63">
        <f>LOOKUP(2,1/(('0831 4度C'!$A:$A="新豐6線")*('0831 4度C'!$T:$T&lt;&gt;"")),'0831 4度C'!$T:$T)</f>
        <v>0.84166666666666679</v>
      </c>
      <c r="E17" s="24">
        <f>LOOKUP(2,1/(('0831 4度C'!$A:$A="新豐2線")*('0831 4度C'!$T:$T&lt;&gt;"")),'0831 4度C'!$T:$T)</f>
        <v>0.68888888888888877</v>
      </c>
      <c r="F17" s="24">
        <f>LOOKUP(2,1/(('0831 4度C'!$A:$A="新豐5線")*('0831 4度C'!$T:$T&lt;&gt;"")),'0831 4度C'!$T:$T)</f>
        <v>0.84861111111111109</v>
      </c>
      <c r="G17" s="24">
        <f>LOOKUP(2,1/(('0831 4度C'!$A:$A="新豐7線")*('0831 4度C'!$T:$T&lt;&gt;"")),'0831 4度C'!$T:$T)</f>
        <v>0.80625000000000002</v>
      </c>
      <c r="H17" s="24">
        <f>LOOKUP(2,1/(('0831 4度C'!$A:$A="新豐3線")*('0831 4度C'!$T:$T&lt;&gt;"")),'0831 4度C'!$T:$T)</f>
        <v>0.59513888888888877</v>
      </c>
      <c r="I17" s="24">
        <f>LOOKUP(2,1/(('0831 4度C'!$A:$A="新豐1線")*('0831 4度C'!$T:$T&lt;&gt;"")),'0831 4度C'!$T:$T)</f>
        <v>0.85138888888888886</v>
      </c>
      <c r="J17" s="62">
        <f>LOOKUP(2,1/(('0831 4度C'!$A:$A="新豐10線")*('0831 4度C'!$T:$T&lt;&gt;"")),'0831 4度C'!$T:$T)</f>
        <v>0.45416666666666666</v>
      </c>
      <c r="K17" s="61">
        <f>LOOKUP(2,1/(('0831 4度C'!$A:$A="新豐8線")*('0831 4度C'!$T:$T&lt;&gt;"")),'0831 4度C'!$T:$T)</f>
        <v>0.67152777777777761</v>
      </c>
      <c r="L17" s="24">
        <f>LOOKUP(2,1/(('0831 4度C'!$A:$A="新豐9線")*('0831 4度C'!$T:$T&lt;&gt;"")),'0831 4度C'!$T:$T)</f>
        <v>0.76249999999999996</v>
      </c>
      <c r="M17" s="62">
        <f>LOOKUP(2,1/(('0831 4度C'!$A:$A="新豐4線")*('0831 4度C'!$T:$T&lt;&gt;"")),'0831 4度C'!$T:$T)</f>
        <v>0.66736111111111096</v>
      </c>
    </row>
    <row r="18" spans="2:13" ht="17.25" customHeight="1">
      <c r="B18" s="493" t="s">
        <v>1889</v>
      </c>
      <c r="C18" s="494"/>
      <c r="D18" s="66">
        <f>SUMIFS('0831 4度C'!$I:$I,'0831 4度C'!$A:$A,"新豐6線",'0831 4度C'!$B:$B,"平均")</f>
        <v>17</v>
      </c>
      <c r="E18" s="67">
        <f>SUMIFS('0831 4度C'!$I:$I,'0831 4度C'!$A:$A,"新豐2線",'0831 4度C'!$B:$B,"平均")</f>
        <v>18</v>
      </c>
      <c r="F18" s="67">
        <f>SUMIFS('0831 4度C'!$I:$I,'0831 4度C'!$A:$A,"新豐5線",'0831 4度C'!$B:$B,"平均")</f>
        <v>19.666666666666668</v>
      </c>
      <c r="G18" s="67">
        <f>SUMIFS('0831 4度C'!$I:$I,'0831 4度C'!$A:$A,"新豐7線",'0831 4度C'!$B:$B,"平均")</f>
        <v>17.166666666666668</v>
      </c>
      <c r="H18" s="67">
        <f>SUMIFS('0831 4度C'!$I:$I,'0831 4度C'!$A:$A,"新豐3線",'0831 4度C'!$B:$B,"平均")</f>
        <v>10</v>
      </c>
      <c r="I18" s="67">
        <f>SUMIFS('0831 4度C'!$I:$I,'0831 4度C'!$A:$A,"新豐1線",'0831 4度C'!$B:$B,"平均")</f>
        <v>16.600000000000001</v>
      </c>
      <c r="J18" s="68">
        <f>SUMIFS('0831 4度C'!$I:$I,'0831 4度C'!$A:$A,"新豐10線",'0831 4度C'!$B:$B,"平均")</f>
        <v>11.333333333333334</v>
      </c>
      <c r="K18" s="66">
        <f>SUMIFS('0831 4度C'!$I:$I,'0831 4度C'!$A:$A,"新豐8線",'0831 4度C'!$B:$B,"平均")</f>
        <v>17.142857142857142</v>
      </c>
      <c r="L18" s="67">
        <f>SUMIFS('0831 4度C'!$I:$I,'0831 4度C'!$A:$A,"新豐9線",'0831 4度C'!$B:$B,"平均")</f>
        <v>18.399999999999999</v>
      </c>
      <c r="M18" s="68">
        <f>SUMIFS('0831 4度C'!$I:$I,'0831 4度C'!$A:$A,"新豐4線",'0831 4度C'!$B:$B,"平均")</f>
        <v>16.833333333333332</v>
      </c>
    </row>
    <row r="19" spans="2:13" ht="17.25" customHeight="1">
      <c r="B19" s="495" t="s">
        <v>1890</v>
      </c>
      <c r="C19" s="496"/>
      <c r="D19" s="69" t="s">
        <v>46</v>
      </c>
      <c r="E19" s="70" t="s">
        <v>47</v>
      </c>
      <c r="F19" s="70" t="s">
        <v>1891</v>
      </c>
      <c r="G19" s="70" t="s">
        <v>1892</v>
      </c>
      <c r="H19" s="70" t="s">
        <v>48</v>
      </c>
      <c r="I19" s="70" t="s">
        <v>46</v>
      </c>
      <c r="J19" s="71" t="s">
        <v>48</v>
      </c>
      <c r="K19" s="69" t="s">
        <v>1893</v>
      </c>
      <c r="L19" s="70" t="s">
        <v>72</v>
      </c>
      <c r="M19" s="71" t="s">
        <v>1894</v>
      </c>
    </row>
    <row r="20" spans="2:13" ht="17.25" customHeight="1">
      <c r="B20" s="495" t="s">
        <v>1895</v>
      </c>
      <c r="C20" s="496"/>
      <c r="D20" s="69"/>
      <c r="E20" s="70"/>
      <c r="F20" s="70" t="s">
        <v>202</v>
      </c>
      <c r="G20" s="70" t="s">
        <v>46</v>
      </c>
      <c r="H20" s="70"/>
      <c r="I20" s="70"/>
      <c r="J20" s="71"/>
      <c r="K20" s="69"/>
      <c r="L20" s="70"/>
      <c r="M20" s="71"/>
    </row>
    <row r="21" spans="2:13" ht="17.25" customHeight="1" thickBot="1">
      <c r="B21" s="497" t="s">
        <v>1896</v>
      </c>
      <c r="C21" s="498"/>
      <c r="D21" s="72"/>
      <c r="E21" s="73" t="s">
        <v>1897</v>
      </c>
      <c r="F21" s="499" t="s">
        <v>1898</v>
      </c>
      <c r="G21" s="500"/>
      <c r="H21" s="73" t="s">
        <v>1899</v>
      </c>
      <c r="I21" s="73" t="s">
        <v>1900</v>
      </c>
      <c r="J21" s="74" t="s">
        <v>1899</v>
      </c>
      <c r="K21" s="75"/>
      <c r="L21" s="73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8:C18"/>
    <mergeCell ref="B19:C19"/>
    <mergeCell ref="B20:C20"/>
    <mergeCell ref="B21:C21"/>
    <mergeCell ref="F21:G21"/>
    <mergeCell ref="B10:C10"/>
    <mergeCell ref="D10:J10"/>
    <mergeCell ref="K10:M10"/>
    <mergeCell ref="B11:C12"/>
    <mergeCell ref="B13:B15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E5:F5"/>
    <mergeCell ref="G5:H5"/>
    <mergeCell ref="I5:J5"/>
    <mergeCell ref="C6:D6"/>
    <mergeCell ref="E6:F6"/>
    <mergeCell ref="G6:H6"/>
    <mergeCell ref="I6:J6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</mergeCells>
  <phoneticPr fontId="3" type="noConversion"/>
  <conditionalFormatting sqref="D15:M15">
    <cfRule type="cellIs" dxfId="5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1">
    <pageSetUpPr fitToPage="1"/>
  </sheetPr>
  <dimension ref="A1:AC73"/>
  <sheetViews>
    <sheetView zoomScale="80" zoomScaleNormal="80" workbookViewId="0">
      <pane ySplit="4" topLeftCell="A56" activePane="bottomLeft" state="frozen"/>
      <selection activeCell="C3" sqref="C3:D3"/>
      <selection pane="bottomLeft" activeCell="C3" sqref="C3:D4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320</v>
      </c>
      <c r="B1" s="1"/>
      <c r="C1" s="2" t="s">
        <v>96</v>
      </c>
      <c r="D1" s="3">
        <f>SUM(F5:F72)</f>
        <v>177923</v>
      </c>
      <c r="E1" s="480" t="s">
        <v>272</v>
      </c>
      <c r="F1" s="1">
        <f>SUM(G5:G72)</f>
        <v>6112909.3899999987</v>
      </c>
      <c r="G1" s="1" t="s">
        <v>153</v>
      </c>
      <c r="H1" s="4">
        <f>L8+L13+L52+L58+L17+L65+L32+L43+L24+L72</f>
        <v>162.14285714285714</v>
      </c>
      <c r="I1" s="572" t="s">
        <v>274</v>
      </c>
      <c r="J1" s="572"/>
      <c r="K1" s="572"/>
      <c r="L1" s="572" t="s">
        <v>154</v>
      </c>
      <c r="M1" s="572"/>
      <c r="N1" s="572"/>
      <c r="O1" s="572" t="s">
        <v>97</v>
      </c>
      <c r="P1" s="572"/>
      <c r="Q1" s="572"/>
      <c r="R1" s="572"/>
      <c r="S1" s="572" t="s">
        <v>277</v>
      </c>
      <c r="T1" s="572"/>
      <c r="U1" s="572"/>
      <c r="V1" s="572"/>
      <c r="W1" s="572"/>
      <c r="X1" s="572"/>
      <c r="Y1" s="572" t="s">
        <v>278</v>
      </c>
      <c r="Z1" s="572"/>
      <c r="AA1" s="572" t="s">
        <v>155</v>
      </c>
      <c r="AB1" s="573"/>
      <c r="AC1" s="573"/>
    </row>
    <row r="2" spans="1:29" ht="26.25" customHeight="1">
      <c r="A2" s="22">
        <v>45900</v>
      </c>
      <c r="B2" s="23" t="s">
        <v>247</v>
      </c>
      <c r="C2" s="2" t="s">
        <v>281</v>
      </c>
      <c r="D2" s="6">
        <f>AVERAGE(N8,N13,N52,N58,N17,N65,N24,N32,N43,N72)</f>
        <v>136.81183635408217</v>
      </c>
      <c r="E2" s="7" t="s">
        <v>0</v>
      </c>
      <c r="F2" s="8">
        <f>F1/D1</f>
        <v>34.357049903609983</v>
      </c>
      <c r="G2" s="1" t="s">
        <v>282</v>
      </c>
      <c r="H2" s="491">
        <f>COUNT(H5:H72)</f>
        <v>9</v>
      </c>
      <c r="I2" s="572"/>
      <c r="J2" s="572"/>
      <c r="K2" s="572"/>
      <c r="L2" s="572"/>
      <c r="M2" s="572"/>
      <c r="N2" s="572"/>
      <c r="O2" s="572"/>
      <c r="P2" s="572"/>
      <c r="Q2" s="572"/>
      <c r="R2" s="572"/>
      <c r="S2" s="572"/>
      <c r="T2" s="572"/>
      <c r="U2" s="572"/>
      <c r="V2" s="572"/>
      <c r="W2" s="572"/>
      <c r="X2" s="572"/>
      <c r="Y2" s="572"/>
      <c r="Z2" s="572"/>
      <c r="AA2" s="573"/>
      <c r="AB2" s="573"/>
      <c r="AC2" s="573"/>
    </row>
    <row r="3" spans="1:29" ht="23.25" customHeight="1">
      <c r="A3" s="528" t="s">
        <v>156</v>
      </c>
      <c r="B3" s="528" t="s">
        <v>284</v>
      </c>
      <c r="C3" s="528" t="s">
        <v>249</v>
      </c>
      <c r="D3" s="528"/>
      <c r="E3" s="570" t="s">
        <v>157</v>
      </c>
      <c r="F3" s="528" t="s">
        <v>287</v>
      </c>
      <c r="G3" s="570" t="s">
        <v>158</v>
      </c>
      <c r="H3" s="563" t="s">
        <v>289</v>
      </c>
      <c r="I3" s="561" t="s">
        <v>101</v>
      </c>
      <c r="J3" s="566" t="s">
        <v>250</v>
      </c>
      <c r="K3" s="568" t="s">
        <v>281</v>
      </c>
      <c r="L3" s="561" t="s">
        <v>101</v>
      </c>
      <c r="M3" s="566" t="s">
        <v>250</v>
      </c>
      <c r="N3" s="568" t="s">
        <v>281</v>
      </c>
      <c r="O3" s="561" t="s">
        <v>101</v>
      </c>
      <c r="P3" s="568" t="s">
        <v>281</v>
      </c>
      <c r="Q3" s="567" t="s">
        <v>159</v>
      </c>
      <c r="R3" s="542" t="s">
        <v>86</v>
      </c>
      <c r="S3" s="569" t="s">
        <v>1</v>
      </c>
      <c r="T3" s="569"/>
      <c r="U3" s="563" t="s">
        <v>2</v>
      </c>
      <c r="V3" s="563" t="s">
        <v>66</v>
      </c>
      <c r="W3" s="528" t="s">
        <v>160</v>
      </c>
      <c r="X3" s="528"/>
      <c r="Y3" s="564" t="s">
        <v>252</v>
      </c>
      <c r="Z3" s="565"/>
      <c r="AA3" s="566" t="s">
        <v>250</v>
      </c>
      <c r="AB3" s="567" t="s">
        <v>159</v>
      </c>
      <c r="AC3" s="542" t="s">
        <v>86</v>
      </c>
    </row>
    <row r="4" spans="1:29">
      <c r="A4" s="528"/>
      <c r="B4" s="528"/>
      <c r="C4" s="528"/>
      <c r="D4" s="528"/>
      <c r="E4" s="571"/>
      <c r="F4" s="528"/>
      <c r="G4" s="571"/>
      <c r="H4" s="563"/>
      <c r="I4" s="561"/>
      <c r="J4" s="566"/>
      <c r="K4" s="568"/>
      <c r="L4" s="561"/>
      <c r="M4" s="566"/>
      <c r="N4" s="568"/>
      <c r="O4" s="561"/>
      <c r="P4" s="568"/>
      <c r="Q4" s="567"/>
      <c r="R4" s="542"/>
      <c r="S4" s="490" t="s">
        <v>3</v>
      </c>
      <c r="T4" s="490" t="s">
        <v>4</v>
      </c>
      <c r="U4" s="563"/>
      <c r="V4" s="563"/>
      <c r="W4" s="480" t="s">
        <v>303</v>
      </c>
      <c r="X4" s="480" t="s">
        <v>75</v>
      </c>
      <c r="Y4" s="565"/>
      <c r="Z4" s="565"/>
      <c r="AA4" s="566"/>
      <c r="AB4" s="567"/>
      <c r="AC4" s="542"/>
    </row>
    <row r="5" spans="1:29">
      <c r="A5" s="560" t="s">
        <v>367</v>
      </c>
      <c r="B5" s="26" t="s">
        <v>13</v>
      </c>
      <c r="C5" s="562" t="s">
        <v>53</v>
      </c>
      <c r="D5" s="562"/>
      <c r="E5" s="26">
        <v>46.93</v>
      </c>
      <c r="F5" s="490">
        <v>1086</v>
      </c>
      <c r="G5" s="480">
        <f>E5*F5</f>
        <v>50965.98</v>
      </c>
      <c r="H5" s="492" t="s">
        <v>52</v>
      </c>
      <c r="I5" s="488">
        <v>17</v>
      </c>
      <c r="J5" s="18">
        <v>2000</v>
      </c>
      <c r="K5" s="9">
        <f>J5/I5</f>
        <v>117.64705882352941</v>
      </c>
      <c r="L5" s="488">
        <v>17</v>
      </c>
      <c r="M5" s="10">
        <f>F5/V5*60</f>
        <v>1916.4705882352919</v>
      </c>
      <c r="N5" s="9">
        <f>M5/L5</f>
        <v>112.73356401384069</v>
      </c>
      <c r="O5" s="11">
        <f t="shared" ref="O5:O7" si="0">L5-I5</f>
        <v>0</v>
      </c>
      <c r="P5" s="12">
        <f t="shared" ref="P5:P7" si="1">N5-K5</f>
        <v>-4.9134948096887143</v>
      </c>
      <c r="Q5" s="482">
        <f>N5/K5</f>
        <v>0.95823529411764596</v>
      </c>
      <c r="R5" s="533">
        <f>Q8</f>
        <v>0.9437086703071349</v>
      </c>
      <c r="S5" s="24">
        <v>0.70833333333333337</v>
      </c>
      <c r="T5" s="24">
        <v>0.73194444444444451</v>
      </c>
      <c r="U5" s="480"/>
      <c r="V5" s="489">
        <f>(T5-S5)*24*60</f>
        <v>34.000000000000043</v>
      </c>
      <c r="W5" s="14"/>
      <c r="X5" s="13"/>
      <c r="Y5" s="528"/>
      <c r="Z5" s="528"/>
      <c r="AA5" s="11">
        <f t="shared" ref="AA5:AA68" si="2">M5-J5</f>
        <v>-83.529411764708129</v>
      </c>
      <c r="AB5" s="482">
        <f t="shared" ref="AB5:AB7" si="3">M5/J5</f>
        <v>0.95823529411764596</v>
      </c>
      <c r="AC5" s="533">
        <f>AB8</f>
        <v>0.9437086703071349</v>
      </c>
    </row>
    <row r="6" spans="1:29">
      <c r="A6" s="561" t="s">
        <v>367</v>
      </c>
      <c r="B6" s="26" t="s">
        <v>13</v>
      </c>
      <c r="C6" s="562" t="s">
        <v>55</v>
      </c>
      <c r="D6" s="562"/>
      <c r="E6" s="26">
        <v>50.49</v>
      </c>
      <c r="F6" s="490">
        <v>2314</v>
      </c>
      <c r="G6" s="480">
        <f t="shared" ref="G6:G7" si="4">E6*F6</f>
        <v>116833.86</v>
      </c>
      <c r="H6" s="492" t="s">
        <v>52</v>
      </c>
      <c r="I6" s="488">
        <v>16</v>
      </c>
      <c r="J6" s="18">
        <v>2000</v>
      </c>
      <c r="K6" s="9">
        <f t="shared" ref="K6:K7" si="5">J6/I6</f>
        <v>125</v>
      </c>
      <c r="L6" s="488">
        <v>16</v>
      </c>
      <c r="M6" s="10">
        <f>F6/V6*60</f>
        <v>1876.2162162162147</v>
      </c>
      <c r="N6" s="9">
        <f t="shared" ref="N6:N7" si="6">M6/L6</f>
        <v>117.26351351351342</v>
      </c>
      <c r="O6" s="11">
        <f t="shared" si="0"/>
        <v>0</v>
      </c>
      <c r="P6" s="12">
        <f t="shared" si="1"/>
        <v>-7.7364864864865837</v>
      </c>
      <c r="Q6" s="482">
        <f t="shared" ref="Q6:Q7" si="7">N6/K6</f>
        <v>0.9381081081081073</v>
      </c>
      <c r="R6" s="533"/>
      <c r="S6" s="24">
        <v>0.7368055555555556</v>
      </c>
      <c r="T6" s="24">
        <v>0.78819444444444453</v>
      </c>
      <c r="U6" s="480">
        <f>(S6-T5)*24*60</f>
        <v>6.9999999999999751</v>
      </c>
      <c r="V6" s="489">
        <f>(T6-S6)*24*60</f>
        <v>74.000000000000057</v>
      </c>
      <c r="W6" s="14"/>
      <c r="X6" s="14"/>
      <c r="Y6" s="528"/>
      <c r="Z6" s="528"/>
      <c r="AA6" s="11">
        <f t="shared" si="2"/>
        <v>-123.78378378378534</v>
      </c>
      <c r="AB6" s="482">
        <f t="shared" si="3"/>
        <v>0.9381081081081073</v>
      </c>
      <c r="AC6" s="533"/>
    </row>
    <row r="7" spans="1:29">
      <c r="A7" s="561" t="s">
        <v>367</v>
      </c>
      <c r="B7" s="26" t="s">
        <v>13</v>
      </c>
      <c r="C7" s="558" t="s">
        <v>76</v>
      </c>
      <c r="D7" s="559"/>
      <c r="E7" s="26">
        <v>50.67</v>
      </c>
      <c r="F7" s="490">
        <v>2150</v>
      </c>
      <c r="G7" s="480">
        <f t="shared" si="4"/>
        <v>108940.5</v>
      </c>
      <c r="H7" s="492" t="s">
        <v>52</v>
      </c>
      <c r="I7" s="488">
        <v>18</v>
      </c>
      <c r="J7" s="18">
        <v>2000</v>
      </c>
      <c r="K7" s="9">
        <f t="shared" si="5"/>
        <v>111.11111111111111</v>
      </c>
      <c r="L7" s="488">
        <v>18</v>
      </c>
      <c r="M7" s="10">
        <f t="shared" ref="M7" si="8">F7/V7*60</f>
        <v>1869.5652173913024</v>
      </c>
      <c r="N7" s="9">
        <f t="shared" si="6"/>
        <v>103.8647342995168</v>
      </c>
      <c r="O7" s="11">
        <f t="shared" si="0"/>
        <v>0</v>
      </c>
      <c r="P7" s="12">
        <f t="shared" si="1"/>
        <v>-7.2463768115943168</v>
      </c>
      <c r="Q7" s="482">
        <f t="shared" si="7"/>
        <v>0.93478260869565111</v>
      </c>
      <c r="R7" s="533"/>
      <c r="S7" s="24">
        <v>0.79375000000000007</v>
      </c>
      <c r="T7" s="24">
        <v>0.84166666666666679</v>
      </c>
      <c r="U7" s="480">
        <f t="shared" ref="U7" si="9">(S7-T6)*24*60</f>
        <v>7.9999999999999716</v>
      </c>
      <c r="V7" s="489">
        <f t="shared" ref="V7" si="10">(T7-S7)*24*60</f>
        <v>69.000000000000071</v>
      </c>
      <c r="W7" s="14"/>
      <c r="X7" s="14"/>
      <c r="Y7" s="536"/>
      <c r="Z7" s="537"/>
      <c r="AA7" s="11">
        <f t="shared" si="2"/>
        <v>-130.43478260869756</v>
      </c>
      <c r="AB7" s="482">
        <f t="shared" si="3"/>
        <v>0.93478260869565122</v>
      </c>
      <c r="AC7" s="533"/>
    </row>
    <row r="8" spans="1:29">
      <c r="A8" s="561" t="s">
        <v>367</v>
      </c>
      <c r="B8" s="26" t="s">
        <v>82</v>
      </c>
      <c r="C8" s="530"/>
      <c r="D8" s="530"/>
      <c r="E8" s="481"/>
      <c r="F8" s="16"/>
      <c r="G8" s="9"/>
      <c r="H8" s="490"/>
      <c r="I8" s="17">
        <v>17</v>
      </c>
      <c r="J8" s="18">
        <v>2000</v>
      </c>
      <c r="K8" s="9">
        <f>J8/I8</f>
        <v>117.64705882352941</v>
      </c>
      <c r="L8" s="17">
        <v>17</v>
      </c>
      <c r="M8" s="10">
        <f>AVERAGE(M5:M7)</f>
        <v>1887.4173406142697</v>
      </c>
      <c r="N8" s="9">
        <f>M8/L8</f>
        <v>111.02454944789822</v>
      </c>
      <c r="O8" s="11">
        <f>L8-I8</f>
        <v>0</v>
      </c>
      <c r="P8" s="12">
        <f>N8-K8</f>
        <v>-6.6225093756311821</v>
      </c>
      <c r="Q8" s="482">
        <f>N8/K8</f>
        <v>0.9437086703071349</v>
      </c>
      <c r="R8" s="533"/>
      <c r="S8" s="24"/>
      <c r="T8" s="24"/>
      <c r="U8" s="480"/>
      <c r="V8" s="489"/>
      <c r="W8" s="9"/>
      <c r="X8" s="9"/>
      <c r="Y8" s="528"/>
      <c r="Z8" s="528"/>
      <c r="AA8" s="11">
        <f t="shared" si="2"/>
        <v>-112.58265938573027</v>
      </c>
      <c r="AB8" s="482">
        <f>M8/J8</f>
        <v>0.9437086703071349</v>
      </c>
      <c r="AC8" s="533"/>
    </row>
    <row r="9" spans="1:29" ht="15.75" customHeight="1">
      <c r="A9" s="531" t="s">
        <v>371</v>
      </c>
      <c r="B9" s="26" t="s">
        <v>15</v>
      </c>
      <c r="C9" s="558" t="s">
        <v>16</v>
      </c>
      <c r="D9" s="559"/>
      <c r="E9" s="26">
        <v>39.619999999999997</v>
      </c>
      <c r="F9" s="490">
        <v>5211</v>
      </c>
      <c r="G9" s="480">
        <f t="shared" ref="G9:G12" si="11">E9*F9</f>
        <v>206459.81999999998</v>
      </c>
      <c r="H9" s="492" t="s">
        <v>52</v>
      </c>
      <c r="I9" s="488">
        <v>19</v>
      </c>
      <c r="J9" s="18">
        <v>1500</v>
      </c>
      <c r="K9" s="9">
        <f t="shared" ref="K9:K12" si="12">J9/I9</f>
        <v>78.94736842105263</v>
      </c>
      <c r="L9" s="488">
        <v>19</v>
      </c>
      <c r="M9" s="10">
        <f t="shared" ref="M9:M12" si="13">F9/V9*60</f>
        <v>1402.0627802690583</v>
      </c>
      <c r="N9" s="9">
        <f t="shared" ref="N9:N12" si="14">M9/L9</f>
        <v>73.792777908897804</v>
      </c>
      <c r="O9" s="11">
        <f t="shared" ref="O9:O12" si="15">L9-I9</f>
        <v>0</v>
      </c>
      <c r="P9" s="12">
        <f>N9-K9</f>
        <v>-5.1545905121548259</v>
      </c>
      <c r="Q9" s="482">
        <f>N9/K9</f>
        <v>0.93470852017937223</v>
      </c>
      <c r="R9" s="533">
        <f>Q13</f>
        <v>0.93366599103218761</v>
      </c>
      <c r="S9" s="24">
        <v>0.125</v>
      </c>
      <c r="T9" s="24">
        <v>0.27986111111111112</v>
      </c>
      <c r="U9" s="480"/>
      <c r="V9" s="489">
        <f t="shared" ref="V9:V12" si="16">(T9-S9)*24*60</f>
        <v>223</v>
      </c>
      <c r="W9" s="14">
        <f>T9</f>
        <v>0.27986111111111112</v>
      </c>
      <c r="X9" s="14">
        <f>S10</f>
        <v>0.3</v>
      </c>
      <c r="Y9" s="528"/>
      <c r="Z9" s="528"/>
      <c r="AA9" s="11">
        <f t="shared" si="2"/>
        <v>-97.937219730941706</v>
      </c>
      <c r="AB9" s="482">
        <f>M9/J9</f>
        <v>0.93470852017937223</v>
      </c>
      <c r="AC9" s="533">
        <f>AB13</f>
        <v>0.9336659910321875</v>
      </c>
    </row>
    <row r="10" spans="1:29" ht="15.75" customHeight="1">
      <c r="A10" s="531" t="s">
        <v>371</v>
      </c>
      <c r="B10" s="26" t="s">
        <v>15</v>
      </c>
      <c r="C10" s="558" t="s">
        <v>17</v>
      </c>
      <c r="D10" s="559"/>
      <c r="E10" s="26">
        <v>39.799999999999997</v>
      </c>
      <c r="F10" s="490">
        <v>3000</v>
      </c>
      <c r="G10" s="480">
        <f t="shared" si="11"/>
        <v>119399.99999999999</v>
      </c>
      <c r="H10" s="492">
        <v>2</v>
      </c>
      <c r="I10" s="488">
        <v>17</v>
      </c>
      <c r="J10" s="18">
        <v>1500</v>
      </c>
      <c r="K10" s="9">
        <f t="shared" si="12"/>
        <v>88.235294117647058</v>
      </c>
      <c r="L10" s="488">
        <v>17</v>
      </c>
      <c r="M10" s="10">
        <f t="shared" si="13"/>
        <v>1395.348837209302</v>
      </c>
      <c r="N10" s="9">
        <f t="shared" si="14"/>
        <v>82.079343365253067</v>
      </c>
      <c r="O10" s="11">
        <f t="shared" si="15"/>
        <v>0</v>
      </c>
      <c r="P10" s="12">
        <f t="shared" ref="P10:P12" si="17">N10-K10</f>
        <v>-6.1559507523939914</v>
      </c>
      <c r="Q10" s="482">
        <f t="shared" ref="Q10:Q12" si="18">N10/K10</f>
        <v>0.93023255813953476</v>
      </c>
      <c r="R10" s="533"/>
      <c r="S10" s="24">
        <v>0.3</v>
      </c>
      <c r="T10" s="24">
        <v>0.38958333333333334</v>
      </c>
      <c r="U10" s="480">
        <f>(S10-T9)*24*60</f>
        <v>28.999999999999979</v>
      </c>
      <c r="V10" s="489">
        <f t="shared" si="16"/>
        <v>129.00000000000003</v>
      </c>
      <c r="W10" s="14"/>
      <c r="X10" s="14"/>
      <c r="Y10" s="528"/>
      <c r="Z10" s="528"/>
      <c r="AA10" s="11">
        <f t="shared" si="2"/>
        <v>-104.65116279069798</v>
      </c>
      <c r="AB10" s="482">
        <f t="shared" ref="AB10:AB24" si="19">M10/J10</f>
        <v>0.93023255813953465</v>
      </c>
      <c r="AC10" s="533"/>
    </row>
    <row r="11" spans="1:29" ht="15.75" customHeight="1">
      <c r="A11" s="531" t="s">
        <v>371</v>
      </c>
      <c r="B11" s="26" t="s">
        <v>15</v>
      </c>
      <c r="C11" s="558" t="s">
        <v>80</v>
      </c>
      <c r="D11" s="559"/>
      <c r="E11" s="26">
        <v>39.29</v>
      </c>
      <c r="F11" s="490">
        <v>4252</v>
      </c>
      <c r="G11" s="480">
        <f t="shared" si="11"/>
        <v>167061.07999999999</v>
      </c>
      <c r="H11" s="492" t="s">
        <v>52</v>
      </c>
      <c r="I11" s="488">
        <v>19</v>
      </c>
      <c r="J11" s="18">
        <v>1500</v>
      </c>
      <c r="K11" s="9">
        <f t="shared" si="12"/>
        <v>78.94736842105263</v>
      </c>
      <c r="L11" s="488">
        <v>19</v>
      </c>
      <c r="M11" s="10">
        <f t="shared" si="13"/>
        <v>1401.7582417582423</v>
      </c>
      <c r="N11" s="9">
        <f t="shared" si="14"/>
        <v>73.776749566223273</v>
      </c>
      <c r="O11" s="11">
        <f t="shared" si="15"/>
        <v>0</v>
      </c>
      <c r="P11" s="12">
        <f t="shared" si="17"/>
        <v>-5.1706188548293568</v>
      </c>
      <c r="Q11" s="482">
        <f t="shared" si="18"/>
        <v>0.9345054945054948</v>
      </c>
      <c r="R11" s="533"/>
      <c r="S11" s="24">
        <v>0.39444444444444443</v>
      </c>
      <c r="T11" s="24">
        <v>0.52083333333333326</v>
      </c>
      <c r="U11" s="480">
        <f t="shared" ref="U11:U12" si="20">(S11-T10)*24*60</f>
        <v>6.9999999999999751</v>
      </c>
      <c r="V11" s="489">
        <f t="shared" si="16"/>
        <v>181.99999999999991</v>
      </c>
      <c r="W11" s="14">
        <f>T11</f>
        <v>0.52083333333333326</v>
      </c>
      <c r="X11" s="14">
        <f>S12</f>
        <v>0.56111111111111101</v>
      </c>
      <c r="Y11" s="528"/>
      <c r="Z11" s="528"/>
      <c r="AA11" s="11">
        <f t="shared" si="2"/>
        <v>-98.24175824175768</v>
      </c>
      <c r="AB11" s="482">
        <f t="shared" si="19"/>
        <v>0.93450549450549492</v>
      </c>
      <c r="AC11" s="533"/>
    </row>
    <row r="12" spans="1:29" ht="15.75" customHeight="1">
      <c r="A12" s="531" t="s">
        <v>371</v>
      </c>
      <c r="B12" s="26" t="s">
        <v>15</v>
      </c>
      <c r="C12" s="558" t="s">
        <v>17</v>
      </c>
      <c r="D12" s="559"/>
      <c r="E12" s="26">
        <v>39.799999999999997</v>
      </c>
      <c r="F12" s="490">
        <v>4302</v>
      </c>
      <c r="G12" s="480">
        <f t="shared" si="11"/>
        <v>171219.59999999998</v>
      </c>
      <c r="H12" s="492" t="s">
        <v>52</v>
      </c>
      <c r="I12" s="488">
        <v>17</v>
      </c>
      <c r="J12" s="18">
        <v>1500</v>
      </c>
      <c r="K12" s="9">
        <f t="shared" si="12"/>
        <v>88.235294117647058</v>
      </c>
      <c r="L12" s="488">
        <v>17</v>
      </c>
      <c r="M12" s="10">
        <f t="shared" si="13"/>
        <v>1402.8260869565217</v>
      </c>
      <c r="N12" s="9">
        <f t="shared" si="14"/>
        <v>82.519181585677757</v>
      </c>
      <c r="O12" s="11">
        <f t="shared" si="15"/>
        <v>0</v>
      </c>
      <c r="P12" s="12">
        <f t="shared" si="17"/>
        <v>-5.7161125319693014</v>
      </c>
      <c r="Q12" s="482">
        <f t="shared" si="18"/>
        <v>0.93521739130434789</v>
      </c>
      <c r="R12" s="533"/>
      <c r="S12" s="24">
        <v>0.56111111111111101</v>
      </c>
      <c r="T12" s="24">
        <v>0.68888888888888877</v>
      </c>
      <c r="U12" s="480">
        <f t="shared" si="20"/>
        <v>57.999999999999957</v>
      </c>
      <c r="V12" s="489">
        <f t="shared" si="16"/>
        <v>184</v>
      </c>
      <c r="W12" s="14"/>
      <c r="X12" s="14"/>
      <c r="Y12" s="528"/>
      <c r="Z12" s="528"/>
      <c r="AA12" s="11">
        <f t="shared" si="2"/>
        <v>-97.173913043478251</v>
      </c>
      <c r="AB12" s="482">
        <f t="shared" si="19"/>
        <v>0.93521739130434778</v>
      </c>
      <c r="AC12" s="533"/>
    </row>
    <row r="13" spans="1:29" ht="16.5" customHeight="1">
      <c r="A13" s="531" t="s">
        <v>371</v>
      </c>
      <c r="B13" s="26" t="s">
        <v>82</v>
      </c>
      <c r="C13" s="530"/>
      <c r="D13" s="530"/>
      <c r="E13" s="481"/>
      <c r="F13" s="18"/>
      <c r="G13" s="10"/>
      <c r="H13" s="490"/>
      <c r="I13" s="17">
        <v>18</v>
      </c>
      <c r="J13" s="18">
        <v>1500</v>
      </c>
      <c r="K13" s="9">
        <f>J13/I13</f>
        <v>83.333333333333329</v>
      </c>
      <c r="L13" s="17">
        <v>18</v>
      </c>
      <c r="M13" s="10">
        <f>AVERAGE(M9:M12)</f>
        <v>1400.4989865482812</v>
      </c>
      <c r="N13" s="9">
        <f>M13/L13</f>
        <v>77.805499252682296</v>
      </c>
      <c r="O13" s="11">
        <f>L13-I13</f>
        <v>0</v>
      </c>
      <c r="P13" s="12">
        <f>N13-K13</f>
        <v>-5.5278340806510329</v>
      </c>
      <c r="Q13" s="482">
        <f>N13/K13</f>
        <v>0.93366599103218761</v>
      </c>
      <c r="R13" s="533"/>
      <c r="S13" s="24"/>
      <c r="T13" s="24"/>
      <c r="U13" s="9"/>
      <c r="V13" s="489"/>
      <c r="W13" s="9"/>
      <c r="X13" s="9"/>
      <c r="Y13" s="528"/>
      <c r="Z13" s="528"/>
      <c r="AA13" s="11">
        <f t="shared" si="2"/>
        <v>-99.501013451718791</v>
      </c>
      <c r="AB13" s="482">
        <f t="shared" si="19"/>
        <v>0.9336659910321875</v>
      </c>
      <c r="AC13" s="533"/>
    </row>
    <row r="14" spans="1:29" ht="16.5" customHeight="1">
      <c r="A14" s="556" t="s">
        <v>468</v>
      </c>
      <c r="B14" s="490" t="s">
        <v>21</v>
      </c>
      <c r="C14" s="552" t="s">
        <v>19</v>
      </c>
      <c r="D14" s="552"/>
      <c r="E14" s="26">
        <v>41</v>
      </c>
      <c r="F14" s="490">
        <v>2041</v>
      </c>
      <c r="G14" s="480">
        <f t="shared" ref="G14:G16" si="21">E14*F14</f>
        <v>83681</v>
      </c>
      <c r="H14" s="492" t="s">
        <v>52</v>
      </c>
      <c r="I14" s="488">
        <v>26</v>
      </c>
      <c r="J14" s="18">
        <v>1500</v>
      </c>
      <c r="K14" s="9">
        <f>J14/I14</f>
        <v>57.692307692307693</v>
      </c>
      <c r="L14" s="488">
        <v>26</v>
      </c>
      <c r="M14" s="10">
        <f>F14/V14*60</f>
        <v>1407.5862068965516</v>
      </c>
      <c r="N14" s="9">
        <f t="shared" ref="N14:N23" si="22">M14/L14</f>
        <v>54.137931034482754</v>
      </c>
      <c r="O14" s="11">
        <f t="shared" ref="O14" si="23">L14-I14</f>
        <v>0</v>
      </c>
      <c r="P14" s="12">
        <f t="shared" ref="P14" si="24">N14-K14</f>
        <v>-3.5543766578249389</v>
      </c>
      <c r="Q14" s="482">
        <f>N14/K14</f>
        <v>0.93839080459770108</v>
      </c>
      <c r="R14" s="533">
        <f>Q17</f>
        <v>0.93588495343134248</v>
      </c>
      <c r="S14" s="24">
        <v>0.25</v>
      </c>
      <c r="T14" s="24">
        <v>0.31041666666666667</v>
      </c>
      <c r="U14" s="480"/>
      <c r="V14" s="489">
        <f>(T14-S14)*24*60</f>
        <v>87.000000000000014</v>
      </c>
      <c r="W14" s="15"/>
      <c r="X14" s="15"/>
      <c r="Y14" s="528"/>
      <c r="Z14" s="528"/>
      <c r="AA14" s="11">
        <f t="shared" si="2"/>
        <v>-92.41379310344837</v>
      </c>
      <c r="AB14" s="482">
        <f t="shared" si="19"/>
        <v>0.93839080459770108</v>
      </c>
      <c r="AC14" s="533">
        <f>AB17</f>
        <v>0.93588495343134259</v>
      </c>
    </row>
    <row r="15" spans="1:29" ht="16.5" customHeight="1">
      <c r="A15" s="557" t="s">
        <v>468</v>
      </c>
      <c r="B15" s="490" t="s">
        <v>13</v>
      </c>
      <c r="C15" s="552" t="s">
        <v>57</v>
      </c>
      <c r="D15" s="552"/>
      <c r="E15" s="26">
        <v>50.98</v>
      </c>
      <c r="F15" s="490">
        <v>2924</v>
      </c>
      <c r="G15" s="480">
        <f t="shared" si="21"/>
        <v>149065.51999999999</v>
      </c>
      <c r="H15" s="492" t="s">
        <v>52</v>
      </c>
      <c r="I15" s="488">
        <v>17</v>
      </c>
      <c r="J15" s="18">
        <v>2000</v>
      </c>
      <c r="K15" s="9">
        <f>J15/I15</f>
        <v>117.64705882352941</v>
      </c>
      <c r="L15" s="488">
        <v>17</v>
      </c>
      <c r="M15" s="10">
        <f>F15/V15*60</f>
        <v>1866.3829787234047</v>
      </c>
      <c r="N15" s="9">
        <f t="shared" si="22"/>
        <v>109.78723404255322</v>
      </c>
      <c r="O15" s="11">
        <f>L15-I15</f>
        <v>0</v>
      </c>
      <c r="P15" s="12">
        <f>N15-K15</f>
        <v>-7.859824780976183</v>
      </c>
      <c r="Q15" s="482">
        <f>N15/K15</f>
        <v>0.93319148936170249</v>
      </c>
      <c r="R15" s="533"/>
      <c r="S15" s="24">
        <v>0.70833333333333337</v>
      </c>
      <c r="T15" s="24">
        <v>0.77361111111111114</v>
      </c>
      <c r="U15" s="480" t="str">
        <f>IF(S15=TIME(17,0,0),"",(S15-T14)*24*60)</f>
        <v/>
      </c>
      <c r="V15" s="489">
        <f>(T15-S15)*24*60</f>
        <v>93.999999999999986</v>
      </c>
      <c r="W15" s="14"/>
      <c r="X15" s="14"/>
      <c r="Y15" s="528"/>
      <c r="Z15" s="528"/>
      <c r="AA15" s="11">
        <f t="shared" si="2"/>
        <v>-133.61702127659532</v>
      </c>
      <c r="AB15" s="482">
        <f t="shared" si="19"/>
        <v>0.93319148936170238</v>
      </c>
      <c r="AC15" s="533"/>
    </row>
    <row r="16" spans="1:29" ht="16.5" customHeight="1">
      <c r="A16" s="557" t="s">
        <v>468</v>
      </c>
      <c r="B16" s="490" t="s">
        <v>13</v>
      </c>
      <c r="C16" s="552" t="s">
        <v>54</v>
      </c>
      <c r="D16" s="552"/>
      <c r="E16" s="26">
        <v>50.92</v>
      </c>
      <c r="F16" s="490">
        <v>3216</v>
      </c>
      <c r="G16" s="480">
        <f t="shared" si="21"/>
        <v>163758.72</v>
      </c>
      <c r="H16" s="492" t="s">
        <v>52</v>
      </c>
      <c r="I16" s="488">
        <v>16</v>
      </c>
      <c r="J16" s="18">
        <v>2000</v>
      </c>
      <c r="K16" s="9">
        <f t="shared" ref="K16" si="25">J16/I16</f>
        <v>125</v>
      </c>
      <c r="L16" s="488">
        <v>16</v>
      </c>
      <c r="M16" s="10">
        <f t="shared" ref="M16" si="26">F16/V16*60</f>
        <v>1873.398058252428</v>
      </c>
      <c r="N16" s="9">
        <f t="shared" si="22"/>
        <v>117.08737864077675</v>
      </c>
      <c r="O16" s="11">
        <f t="shared" ref="O16" si="27">L16-I16</f>
        <v>0</v>
      </c>
      <c r="P16" s="12">
        <f t="shared" ref="P16" si="28">N16-K16</f>
        <v>-7.9126213592232517</v>
      </c>
      <c r="Q16" s="482">
        <f t="shared" ref="Q16:Q23" si="29">N16/K16</f>
        <v>0.93669902912621394</v>
      </c>
      <c r="R16" s="533"/>
      <c r="S16" s="24">
        <v>0.77708333333333335</v>
      </c>
      <c r="T16" s="24">
        <v>0.84861111111111109</v>
      </c>
      <c r="U16" s="480">
        <f t="shared" ref="U16" si="30">IF(S16=TIME(17,0,0),"",(S16-T15)*24*60)</f>
        <v>4.9999999999999822</v>
      </c>
      <c r="V16" s="489">
        <f t="shared" ref="V16" si="31">(T16-S16)*24*60</f>
        <v>102.99999999999996</v>
      </c>
      <c r="W16" s="14"/>
      <c r="X16" s="14"/>
      <c r="Y16" s="528"/>
      <c r="Z16" s="528"/>
      <c r="AA16" s="11">
        <f t="shared" si="2"/>
        <v>-126.60194174757203</v>
      </c>
      <c r="AB16" s="482">
        <f t="shared" si="19"/>
        <v>0.93669902912621394</v>
      </c>
      <c r="AC16" s="533"/>
    </row>
    <row r="17" spans="1:29" ht="16.5" customHeight="1">
      <c r="A17" s="557" t="s">
        <v>468</v>
      </c>
      <c r="B17" s="26" t="s">
        <v>82</v>
      </c>
      <c r="C17" s="530"/>
      <c r="D17" s="530"/>
      <c r="E17" s="481"/>
      <c r="F17" s="16"/>
      <c r="G17" s="9"/>
      <c r="H17" s="490"/>
      <c r="I17" s="17">
        <v>19.666666666666668</v>
      </c>
      <c r="J17" s="18">
        <v>1833.3333333333333</v>
      </c>
      <c r="K17" s="9">
        <f>J17/I17</f>
        <v>93.220338983050837</v>
      </c>
      <c r="L17" s="17">
        <v>19.666666666666668</v>
      </c>
      <c r="M17" s="10">
        <f>AVERAGE(M14:M16)</f>
        <v>1715.7890812907947</v>
      </c>
      <c r="N17" s="9">
        <f t="shared" si="22"/>
        <v>87.243512608006498</v>
      </c>
      <c r="O17" s="11">
        <f>L17-I17</f>
        <v>0</v>
      </c>
      <c r="P17" s="12">
        <f>N17-K17</f>
        <v>-5.9768263750443396</v>
      </c>
      <c r="Q17" s="482">
        <f t="shared" si="29"/>
        <v>0.93588495343134248</v>
      </c>
      <c r="R17" s="533"/>
      <c r="S17" s="24"/>
      <c r="T17" s="24"/>
      <c r="U17" s="480"/>
      <c r="V17" s="489"/>
      <c r="W17" s="9"/>
      <c r="X17" s="9"/>
      <c r="Y17" s="528"/>
      <c r="Z17" s="528"/>
      <c r="AA17" s="11">
        <f t="shared" si="2"/>
        <v>-117.54425204253857</v>
      </c>
      <c r="AB17" s="482">
        <f t="shared" si="19"/>
        <v>0.93588495343134259</v>
      </c>
      <c r="AC17" s="533"/>
    </row>
    <row r="18" spans="1:29" ht="15.75" customHeight="1">
      <c r="A18" s="554" t="s">
        <v>375</v>
      </c>
      <c r="B18" s="26" t="s">
        <v>21</v>
      </c>
      <c r="C18" s="552" t="s">
        <v>22</v>
      </c>
      <c r="D18" s="552"/>
      <c r="E18" s="26">
        <v>43.14</v>
      </c>
      <c r="F18" s="490">
        <v>1597</v>
      </c>
      <c r="G18" s="480">
        <f t="shared" ref="G18:G23" si="32">E18*F18</f>
        <v>68894.58</v>
      </c>
      <c r="H18" s="492" t="s">
        <v>52</v>
      </c>
      <c r="I18" s="488">
        <v>17</v>
      </c>
      <c r="J18" s="18">
        <v>2000</v>
      </c>
      <c r="K18" s="9">
        <f t="shared" ref="K18:K24" si="33">J18/I18</f>
        <v>117.64705882352941</v>
      </c>
      <c r="L18" s="488">
        <v>17</v>
      </c>
      <c r="M18" s="10">
        <f t="shared" ref="M18:M23" si="34">F18/V18*60</f>
        <v>1878.823529411764</v>
      </c>
      <c r="N18" s="9">
        <f t="shared" si="22"/>
        <v>110.51903114186847</v>
      </c>
      <c r="O18" s="11">
        <f t="shared" ref="O18:O23" si="35">L18-I18</f>
        <v>0</v>
      </c>
      <c r="P18" s="12">
        <f t="shared" ref="P18:P23" si="36">N18-K18</f>
        <v>-7.1280276816609387</v>
      </c>
      <c r="Q18" s="482">
        <f t="shared" si="29"/>
        <v>0.93941176470588206</v>
      </c>
      <c r="R18" s="533">
        <f>Q24</f>
        <v>0.93938644502838786</v>
      </c>
      <c r="S18" s="24">
        <v>0.20833333333333334</v>
      </c>
      <c r="T18" s="24">
        <v>0.24375000000000002</v>
      </c>
      <c r="U18" s="480"/>
      <c r="V18" s="489">
        <f>(T18-S18)*24*60</f>
        <v>51.000000000000021</v>
      </c>
      <c r="W18" s="15"/>
      <c r="X18" s="15"/>
      <c r="Y18" s="528"/>
      <c r="Z18" s="528"/>
      <c r="AA18" s="11">
        <f t="shared" si="2"/>
        <v>-121.17647058823604</v>
      </c>
      <c r="AB18" s="482">
        <f t="shared" si="19"/>
        <v>0.93941176470588195</v>
      </c>
      <c r="AC18" s="533">
        <f>AB24</f>
        <v>0.93938644502838786</v>
      </c>
    </row>
    <row r="19" spans="1:29" ht="15.75" customHeight="1">
      <c r="A19" s="555" t="s">
        <v>375</v>
      </c>
      <c r="B19" s="26" t="s">
        <v>13</v>
      </c>
      <c r="C19" s="552" t="s">
        <v>23</v>
      </c>
      <c r="D19" s="552"/>
      <c r="E19" s="26">
        <v>57.73</v>
      </c>
      <c r="F19" s="490">
        <v>2970</v>
      </c>
      <c r="G19" s="480">
        <f t="shared" si="32"/>
        <v>171458.09999999998</v>
      </c>
      <c r="H19" s="492" t="s">
        <v>52</v>
      </c>
      <c r="I19" s="488">
        <v>16</v>
      </c>
      <c r="J19" s="18">
        <v>2000</v>
      </c>
      <c r="K19" s="9">
        <f t="shared" si="33"/>
        <v>125</v>
      </c>
      <c r="L19" s="488">
        <v>16</v>
      </c>
      <c r="M19" s="10">
        <f t="shared" si="34"/>
        <v>1875.78947368421</v>
      </c>
      <c r="N19" s="9">
        <f t="shared" si="22"/>
        <v>117.23684210526312</v>
      </c>
      <c r="O19" s="11">
        <f t="shared" si="35"/>
        <v>0</v>
      </c>
      <c r="P19" s="12">
        <f t="shared" si="36"/>
        <v>-7.763157894736878</v>
      </c>
      <c r="Q19" s="482">
        <f t="shared" si="29"/>
        <v>0.937894736842105</v>
      </c>
      <c r="R19" s="533"/>
      <c r="S19" s="24">
        <v>0.24861111111111114</v>
      </c>
      <c r="T19" s="24">
        <v>0.31458333333333338</v>
      </c>
      <c r="U19" s="480">
        <f>IF(S19=TIME(17,0,0),"",(S19-T18)*24*60)</f>
        <v>7.0000000000000151</v>
      </c>
      <c r="V19" s="489">
        <f t="shared" ref="V19:V23" si="37">(T19-S19)*24*60</f>
        <v>95.000000000000028</v>
      </c>
      <c r="W19" s="14"/>
      <c r="X19" s="480"/>
      <c r="Y19" s="528"/>
      <c r="Z19" s="528"/>
      <c r="AA19" s="11">
        <f t="shared" si="2"/>
        <v>-124.21052631579005</v>
      </c>
      <c r="AB19" s="482">
        <f t="shared" si="19"/>
        <v>0.937894736842105</v>
      </c>
      <c r="AC19" s="533"/>
    </row>
    <row r="20" spans="1:29" ht="15.75" customHeight="1">
      <c r="A20" s="555" t="s">
        <v>375</v>
      </c>
      <c r="B20" s="26" t="s">
        <v>13</v>
      </c>
      <c r="C20" s="552" t="s">
        <v>14</v>
      </c>
      <c r="D20" s="552"/>
      <c r="E20" s="26">
        <v>53.68</v>
      </c>
      <c r="F20" s="490">
        <v>2021</v>
      </c>
      <c r="G20" s="480">
        <f t="shared" si="32"/>
        <v>108487.28</v>
      </c>
      <c r="H20" s="492" t="s">
        <v>52</v>
      </c>
      <c r="I20" s="488">
        <v>17</v>
      </c>
      <c r="J20" s="18">
        <v>2000</v>
      </c>
      <c r="K20" s="9">
        <f t="shared" si="33"/>
        <v>117.64705882352941</v>
      </c>
      <c r="L20" s="488">
        <v>17</v>
      </c>
      <c r="M20" s="10">
        <f t="shared" si="34"/>
        <v>1865.538461538461</v>
      </c>
      <c r="N20" s="9">
        <f t="shared" si="22"/>
        <v>109.73755656108594</v>
      </c>
      <c r="O20" s="11">
        <f t="shared" si="35"/>
        <v>0</v>
      </c>
      <c r="P20" s="12">
        <f t="shared" si="36"/>
        <v>-7.9095022624434677</v>
      </c>
      <c r="Q20" s="482">
        <f t="shared" si="29"/>
        <v>0.93276923076923057</v>
      </c>
      <c r="R20" s="533"/>
      <c r="S20" s="24">
        <v>0.32013888888888892</v>
      </c>
      <c r="T20" s="24">
        <v>0.36527777777777781</v>
      </c>
      <c r="U20" s="480">
        <f t="shared" ref="U20:U23" si="38">IF(S20=TIME(17,0,0),"",(S20-T19)*24*60)</f>
        <v>7.9999999999999716</v>
      </c>
      <c r="V20" s="489">
        <f t="shared" si="37"/>
        <v>65.000000000000014</v>
      </c>
      <c r="W20" s="14"/>
      <c r="X20" s="480"/>
      <c r="Y20" s="528"/>
      <c r="Z20" s="528"/>
      <c r="AA20" s="11">
        <f t="shared" si="2"/>
        <v>-134.46153846153902</v>
      </c>
      <c r="AB20" s="482">
        <f t="shared" si="19"/>
        <v>0.93276923076923046</v>
      </c>
      <c r="AC20" s="533"/>
    </row>
    <row r="21" spans="1:29" ht="15.75" customHeight="1">
      <c r="A21" s="555" t="s">
        <v>375</v>
      </c>
      <c r="B21" s="26" t="s">
        <v>13</v>
      </c>
      <c r="C21" s="552" t="s">
        <v>81</v>
      </c>
      <c r="D21" s="552"/>
      <c r="E21" s="26">
        <v>58.17</v>
      </c>
      <c r="F21" s="490">
        <v>1838</v>
      </c>
      <c r="G21" s="480">
        <f t="shared" si="32"/>
        <v>106916.46</v>
      </c>
      <c r="H21" s="492" t="s">
        <v>52</v>
      </c>
      <c r="I21" s="488">
        <v>18</v>
      </c>
      <c r="J21" s="18">
        <v>2000</v>
      </c>
      <c r="K21" s="9">
        <f t="shared" si="33"/>
        <v>111.11111111111111</v>
      </c>
      <c r="L21" s="488">
        <v>18</v>
      </c>
      <c r="M21" s="10">
        <f t="shared" si="34"/>
        <v>1869.1525423728806</v>
      </c>
      <c r="N21" s="9">
        <f t="shared" si="22"/>
        <v>103.84180790960448</v>
      </c>
      <c r="O21" s="11">
        <f t="shared" si="35"/>
        <v>0</v>
      </c>
      <c r="P21" s="12">
        <f t="shared" si="36"/>
        <v>-7.2693032015066308</v>
      </c>
      <c r="Q21" s="482">
        <f t="shared" si="29"/>
        <v>0.93457627118644038</v>
      </c>
      <c r="R21" s="533"/>
      <c r="S21" s="24">
        <v>0.36944444444444446</v>
      </c>
      <c r="T21" s="24">
        <v>0.41041666666666671</v>
      </c>
      <c r="U21" s="480">
        <f t="shared" si="38"/>
        <v>5.9999999999999787</v>
      </c>
      <c r="V21" s="489">
        <f t="shared" si="37"/>
        <v>59.000000000000028</v>
      </c>
      <c r="W21" s="14"/>
      <c r="X21" s="480"/>
      <c r="Y21" s="528"/>
      <c r="Z21" s="528"/>
      <c r="AA21" s="11">
        <f t="shared" si="2"/>
        <v>-130.84745762711941</v>
      </c>
      <c r="AB21" s="482">
        <f t="shared" si="19"/>
        <v>0.93457627118644027</v>
      </c>
      <c r="AC21" s="533"/>
    </row>
    <row r="22" spans="1:29" ht="15.75" customHeight="1">
      <c r="A22" s="555" t="s">
        <v>375</v>
      </c>
      <c r="B22" s="26" t="s">
        <v>13</v>
      </c>
      <c r="C22" s="552" t="s">
        <v>85</v>
      </c>
      <c r="D22" s="552"/>
      <c r="E22" s="26">
        <v>54.09</v>
      </c>
      <c r="F22" s="490">
        <v>3666</v>
      </c>
      <c r="G22" s="480">
        <f t="shared" si="32"/>
        <v>198293.94</v>
      </c>
      <c r="H22" s="492" t="s">
        <v>52</v>
      </c>
      <c r="I22" s="488">
        <v>20</v>
      </c>
      <c r="J22" s="18">
        <v>2000</v>
      </c>
      <c r="K22" s="9">
        <f t="shared" si="33"/>
        <v>100</v>
      </c>
      <c r="L22" s="488">
        <v>20</v>
      </c>
      <c r="M22" s="10">
        <f t="shared" si="34"/>
        <v>1879.9999999999991</v>
      </c>
      <c r="N22" s="9">
        <f t="shared" si="22"/>
        <v>93.999999999999957</v>
      </c>
      <c r="O22" s="11">
        <f t="shared" si="35"/>
        <v>0</v>
      </c>
      <c r="P22" s="12">
        <f t="shared" si="36"/>
        <v>-6.0000000000000426</v>
      </c>
      <c r="Q22" s="482">
        <f t="shared" si="29"/>
        <v>0.93999999999999961</v>
      </c>
      <c r="R22" s="533"/>
      <c r="S22" s="24">
        <v>0.70833333333333337</v>
      </c>
      <c r="T22" s="24">
        <v>0.78958333333333341</v>
      </c>
      <c r="U22" s="480" t="str">
        <f t="shared" si="38"/>
        <v/>
      </c>
      <c r="V22" s="489">
        <f t="shared" si="37"/>
        <v>117.00000000000006</v>
      </c>
      <c r="W22" s="14"/>
      <c r="X22" s="480"/>
      <c r="Y22" s="528"/>
      <c r="Z22" s="528"/>
      <c r="AA22" s="11">
        <f t="shared" si="2"/>
        <v>-120.00000000000091</v>
      </c>
      <c r="AB22" s="482">
        <f t="shared" si="19"/>
        <v>0.9399999999999995</v>
      </c>
      <c r="AC22" s="533"/>
    </row>
    <row r="23" spans="1:29" ht="15.75" customHeight="1">
      <c r="A23" s="555" t="s">
        <v>375</v>
      </c>
      <c r="B23" s="26" t="s">
        <v>13</v>
      </c>
      <c r="C23" s="552" t="s">
        <v>56</v>
      </c>
      <c r="D23" s="552"/>
      <c r="E23" s="26">
        <v>53.27</v>
      </c>
      <c r="F23" s="490">
        <v>571</v>
      </c>
      <c r="G23" s="480">
        <f t="shared" si="32"/>
        <v>30417.170000000002</v>
      </c>
      <c r="H23" s="492" t="s">
        <v>52</v>
      </c>
      <c r="I23" s="488">
        <v>15</v>
      </c>
      <c r="J23" s="18">
        <v>2000</v>
      </c>
      <c r="K23" s="9">
        <f t="shared" si="33"/>
        <v>133.33333333333334</v>
      </c>
      <c r="L23" s="488">
        <v>15</v>
      </c>
      <c r="M23" s="10">
        <f t="shared" si="34"/>
        <v>1903.3333333333401</v>
      </c>
      <c r="N23" s="9">
        <f t="shared" si="22"/>
        <v>126.88888888888934</v>
      </c>
      <c r="O23" s="11">
        <f t="shared" si="35"/>
        <v>0</v>
      </c>
      <c r="P23" s="12">
        <f t="shared" si="36"/>
        <v>-6.4444444444440023</v>
      </c>
      <c r="Q23" s="482">
        <f t="shared" si="29"/>
        <v>0.95166666666666999</v>
      </c>
      <c r="R23" s="533"/>
      <c r="S23" s="24">
        <v>0.79375000000000007</v>
      </c>
      <c r="T23" s="24">
        <v>0.80625000000000002</v>
      </c>
      <c r="U23" s="480">
        <f t="shared" si="38"/>
        <v>5.9999999999999787</v>
      </c>
      <c r="V23" s="489">
        <f t="shared" si="37"/>
        <v>17.999999999999936</v>
      </c>
      <c r="W23" s="14"/>
      <c r="X23" s="15"/>
      <c r="Y23" s="528"/>
      <c r="Z23" s="528"/>
      <c r="AA23" s="11">
        <f t="shared" si="2"/>
        <v>-96.666666666659921</v>
      </c>
      <c r="AB23" s="482">
        <f t="shared" si="19"/>
        <v>0.95166666666666999</v>
      </c>
      <c r="AC23" s="533"/>
    </row>
    <row r="24" spans="1:29" ht="15.75" customHeight="1">
      <c r="A24" s="555" t="s">
        <v>375</v>
      </c>
      <c r="B24" s="26" t="s">
        <v>82</v>
      </c>
      <c r="C24" s="530"/>
      <c r="D24" s="530"/>
      <c r="E24" s="481"/>
      <c r="F24" s="490"/>
      <c r="G24" s="480"/>
      <c r="H24" s="490"/>
      <c r="I24" s="17">
        <v>17.166666666666668</v>
      </c>
      <c r="J24" s="18">
        <v>2000</v>
      </c>
      <c r="K24" s="9">
        <f t="shared" si="33"/>
        <v>116.50485436893203</v>
      </c>
      <c r="L24" s="17">
        <v>17.166666666666668</v>
      </c>
      <c r="M24" s="10">
        <f>AVERAGE(M18:M23)</f>
        <v>1878.7728900567756</v>
      </c>
      <c r="N24" s="9">
        <f>M24/L24</f>
        <v>109.4430809741811</v>
      </c>
      <c r="O24" s="11">
        <f>L24-I24</f>
        <v>0</v>
      </c>
      <c r="P24" s="12">
        <f>N24-K24</f>
        <v>-7.0617733947509294</v>
      </c>
      <c r="Q24" s="482">
        <f>N24/K24</f>
        <v>0.93938644502838786</v>
      </c>
      <c r="R24" s="533"/>
      <c r="S24" s="24"/>
      <c r="T24" s="24"/>
      <c r="U24" s="9"/>
      <c r="V24" s="489"/>
      <c r="W24" s="9"/>
      <c r="X24" s="9"/>
      <c r="Y24" s="528"/>
      <c r="Z24" s="528"/>
      <c r="AA24" s="11">
        <f t="shared" si="2"/>
        <v>-121.22710994322438</v>
      </c>
      <c r="AB24" s="482">
        <f t="shared" si="19"/>
        <v>0.93938644502838786</v>
      </c>
      <c r="AC24" s="533"/>
    </row>
    <row r="25" spans="1:29" ht="15.75" customHeight="1">
      <c r="A25" s="553" t="s">
        <v>377</v>
      </c>
      <c r="B25" s="26" t="s">
        <v>24</v>
      </c>
      <c r="C25" s="552" t="s">
        <v>26</v>
      </c>
      <c r="D25" s="552"/>
      <c r="E25" s="26">
        <v>26.2</v>
      </c>
      <c r="F25" s="490">
        <v>4467</v>
      </c>
      <c r="G25" s="480">
        <f t="shared" ref="G25:G31" si="39">E25*F25</f>
        <v>117035.4</v>
      </c>
      <c r="H25" s="492" t="s">
        <v>52</v>
      </c>
      <c r="I25" s="488">
        <v>20</v>
      </c>
      <c r="J25" s="18">
        <v>2400</v>
      </c>
      <c r="K25" s="9">
        <f>J25/I25</f>
        <v>120</v>
      </c>
      <c r="L25" s="488">
        <v>20</v>
      </c>
      <c r="M25" s="10">
        <f t="shared" ref="M25:M31" si="40">F25/V25*60</f>
        <v>2233.5000000000005</v>
      </c>
      <c r="N25" s="9">
        <f t="shared" ref="N25:N31" si="41">M25/L25</f>
        <v>111.67500000000003</v>
      </c>
      <c r="O25" s="11">
        <f t="shared" ref="O25:O31" si="42">L25-I25</f>
        <v>0</v>
      </c>
      <c r="P25" s="12">
        <f t="shared" ref="P25:P31" si="43">N25-K25</f>
        <v>-8.3249999999999744</v>
      </c>
      <c r="Q25" s="482">
        <f t="shared" ref="Q25:Q31" si="44">N25/K25</f>
        <v>0.93062500000000026</v>
      </c>
      <c r="R25" s="533">
        <f>Q32</f>
        <v>0.93699432498856261</v>
      </c>
      <c r="S25" s="24">
        <v>0.125</v>
      </c>
      <c r="T25" s="24">
        <v>0.20833333333333331</v>
      </c>
      <c r="U25" s="480"/>
      <c r="V25" s="489">
        <f t="shared" ref="V25:V31" si="45">(T25-S25)*24*60</f>
        <v>119.99999999999997</v>
      </c>
      <c r="W25" s="14">
        <f>T25</f>
        <v>0.20833333333333331</v>
      </c>
      <c r="X25" s="14">
        <f>S26</f>
        <v>0.22847222222222222</v>
      </c>
      <c r="Y25" s="528"/>
      <c r="Z25" s="528"/>
      <c r="AA25" s="11">
        <f t="shared" si="2"/>
        <v>-166.49999999999955</v>
      </c>
      <c r="AB25" s="482">
        <f>M25/J25</f>
        <v>0.93062500000000015</v>
      </c>
      <c r="AC25" s="533">
        <f>AB32</f>
        <v>0.9369943249885625</v>
      </c>
    </row>
    <row r="26" spans="1:29" ht="15.75" customHeight="1">
      <c r="A26" s="553" t="s">
        <v>377</v>
      </c>
      <c r="B26" s="26" t="s">
        <v>24</v>
      </c>
      <c r="C26" s="552" t="s">
        <v>79</v>
      </c>
      <c r="D26" s="552"/>
      <c r="E26" s="26">
        <v>31.29</v>
      </c>
      <c r="F26" s="490">
        <v>4000</v>
      </c>
      <c r="G26" s="480">
        <f t="shared" si="39"/>
        <v>125160</v>
      </c>
      <c r="H26" s="492">
        <v>2</v>
      </c>
      <c r="I26" s="488">
        <v>16</v>
      </c>
      <c r="J26" s="18">
        <v>2400</v>
      </c>
      <c r="K26" s="9">
        <f t="shared" ref="K26:K32" si="46">J26/I26</f>
        <v>150</v>
      </c>
      <c r="L26" s="488">
        <v>16</v>
      </c>
      <c r="M26" s="10">
        <f t="shared" si="40"/>
        <v>2242.9906542056078</v>
      </c>
      <c r="N26" s="9">
        <f t="shared" si="41"/>
        <v>140.18691588785049</v>
      </c>
      <c r="O26" s="11">
        <f t="shared" si="42"/>
        <v>0</v>
      </c>
      <c r="P26" s="12">
        <f t="shared" si="43"/>
        <v>-9.8130841121495109</v>
      </c>
      <c r="Q26" s="482">
        <f t="shared" si="44"/>
        <v>0.93457943925233655</v>
      </c>
      <c r="R26" s="533"/>
      <c r="S26" s="24">
        <v>0.22847222222222222</v>
      </c>
      <c r="T26" s="24">
        <v>0.30277777777777776</v>
      </c>
      <c r="U26" s="480">
        <f>(S26-T25)*24*60</f>
        <v>29.000000000000018</v>
      </c>
      <c r="V26" s="489">
        <f t="shared" si="45"/>
        <v>106.99999999999999</v>
      </c>
      <c r="W26" s="14"/>
      <c r="X26" s="14"/>
      <c r="Y26" s="528"/>
      <c r="Z26" s="528"/>
      <c r="AA26" s="11">
        <f t="shared" si="2"/>
        <v>-157.00934579439217</v>
      </c>
      <c r="AB26" s="482">
        <f t="shared" ref="AB26:AB31" si="47">M26/J26</f>
        <v>0.93457943925233655</v>
      </c>
      <c r="AC26" s="533"/>
    </row>
    <row r="27" spans="1:29" ht="15.75" customHeight="1">
      <c r="A27" s="553" t="s">
        <v>377</v>
      </c>
      <c r="B27" s="26" t="s">
        <v>24</v>
      </c>
      <c r="C27" s="552" t="s">
        <v>68</v>
      </c>
      <c r="D27" s="552"/>
      <c r="E27" s="26">
        <v>24.25</v>
      </c>
      <c r="F27" s="490">
        <v>4732</v>
      </c>
      <c r="G27" s="480">
        <f t="shared" si="39"/>
        <v>114751</v>
      </c>
      <c r="H27" s="492" t="s">
        <v>52</v>
      </c>
      <c r="I27" s="488">
        <v>18</v>
      </c>
      <c r="J27" s="18">
        <v>2400</v>
      </c>
      <c r="K27" s="9">
        <f t="shared" si="46"/>
        <v>133.33333333333334</v>
      </c>
      <c r="L27" s="488">
        <v>18</v>
      </c>
      <c r="M27" s="10">
        <f t="shared" si="40"/>
        <v>2253.333333333333</v>
      </c>
      <c r="N27" s="9">
        <f t="shared" si="41"/>
        <v>125.18518518518516</v>
      </c>
      <c r="O27" s="11">
        <f t="shared" si="42"/>
        <v>0</v>
      </c>
      <c r="P27" s="12">
        <f t="shared" si="43"/>
        <v>-8.1481481481481808</v>
      </c>
      <c r="Q27" s="482">
        <f t="shared" si="44"/>
        <v>0.93888888888888866</v>
      </c>
      <c r="R27" s="533"/>
      <c r="S27" s="24">
        <v>0.30763888888888885</v>
      </c>
      <c r="T27" s="24">
        <v>0.39513888888888887</v>
      </c>
      <c r="U27" s="480">
        <f t="shared" ref="U27:U31" si="48">(S27-T26)*24*60</f>
        <v>6.9999999999999751</v>
      </c>
      <c r="V27" s="489">
        <f t="shared" si="45"/>
        <v>126.00000000000003</v>
      </c>
      <c r="W27" s="14"/>
      <c r="X27" s="14"/>
      <c r="Y27" s="528"/>
      <c r="Z27" s="528"/>
      <c r="AA27" s="11">
        <f t="shared" si="2"/>
        <v>-146.66666666666697</v>
      </c>
      <c r="AB27" s="482">
        <f t="shared" si="47"/>
        <v>0.93888888888888877</v>
      </c>
      <c r="AC27" s="533"/>
    </row>
    <row r="28" spans="1:29" ht="15.75" customHeight="1">
      <c r="A28" s="553" t="s">
        <v>377</v>
      </c>
      <c r="B28" s="26" t="s">
        <v>24</v>
      </c>
      <c r="C28" s="552" t="s">
        <v>62</v>
      </c>
      <c r="D28" s="552"/>
      <c r="E28" s="26">
        <v>22.35</v>
      </c>
      <c r="F28" s="490">
        <v>1920</v>
      </c>
      <c r="G28" s="480">
        <f t="shared" si="39"/>
        <v>42912</v>
      </c>
      <c r="H28" s="492" t="s">
        <v>52</v>
      </c>
      <c r="I28" s="488">
        <v>16</v>
      </c>
      <c r="J28" s="18">
        <v>2400</v>
      </c>
      <c r="K28" s="9">
        <f t="shared" si="46"/>
        <v>150</v>
      </c>
      <c r="L28" s="488">
        <v>16</v>
      </c>
      <c r="M28" s="10">
        <f t="shared" si="40"/>
        <v>2258.8235294117658</v>
      </c>
      <c r="N28" s="9">
        <f t="shared" si="41"/>
        <v>141.17647058823536</v>
      </c>
      <c r="O28" s="11">
        <f t="shared" si="42"/>
        <v>0</v>
      </c>
      <c r="P28" s="12">
        <f t="shared" si="43"/>
        <v>-8.823529411764639</v>
      </c>
      <c r="Q28" s="482">
        <f t="shared" si="44"/>
        <v>0.94117647058823573</v>
      </c>
      <c r="R28" s="533"/>
      <c r="S28" s="24">
        <v>0.39861111111111108</v>
      </c>
      <c r="T28" s="24">
        <v>0.43402777777777773</v>
      </c>
      <c r="U28" s="480">
        <f t="shared" si="48"/>
        <v>4.9999999999999822</v>
      </c>
      <c r="V28" s="489">
        <f t="shared" si="45"/>
        <v>50.999999999999979</v>
      </c>
      <c r="W28" s="14"/>
      <c r="X28" s="14"/>
      <c r="Y28" s="528"/>
      <c r="Z28" s="528"/>
      <c r="AA28" s="11">
        <f t="shared" si="2"/>
        <v>-141.17647058823422</v>
      </c>
      <c r="AB28" s="482">
        <f t="shared" si="47"/>
        <v>0.94117647058823573</v>
      </c>
      <c r="AC28" s="533"/>
    </row>
    <row r="29" spans="1:29" ht="15.75" customHeight="1">
      <c r="A29" s="553" t="s">
        <v>377</v>
      </c>
      <c r="B29" s="26" t="s">
        <v>24</v>
      </c>
      <c r="C29" s="552" t="s">
        <v>328</v>
      </c>
      <c r="D29" s="552"/>
      <c r="E29" s="26">
        <v>25.98</v>
      </c>
      <c r="F29" s="490">
        <v>3000</v>
      </c>
      <c r="G29" s="480">
        <f t="shared" si="39"/>
        <v>77940</v>
      </c>
      <c r="H29" s="492">
        <v>2</v>
      </c>
      <c r="I29" s="488">
        <v>17</v>
      </c>
      <c r="J29" s="18">
        <v>2400</v>
      </c>
      <c r="K29" s="9">
        <f t="shared" si="46"/>
        <v>141.1764705882353</v>
      </c>
      <c r="L29" s="488">
        <v>17</v>
      </c>
      <c r="M29" s="10">
        <f t="shared" si="40"/>
        <v>2250.0000000000014</v>
      </c>
      <c r="N29" s="9">
        <f t="shared" si="41"/>
        <v>132.35294117647067</v>
      </c>
      <c r="O29" s="11">
        <f t="shared" si="42"/>
        <v>0</v>
      </c>
      <c r="P29" s="12">
        <f t="shared" si="43"/>
        <v>-8.823529411764639</v>
      </c>
      <c r="Q29" s="482">
        <f t="shared" si="44"/>
        <v>0.93750000000000044</v>
      </c>
      <c r="R29" s="533"/>
      <c r="S29" s="24">
        <v>0.43958333333333327</v>
      </c>
      <c r="T29" s="24">
        <v>0.4951388888888888</v>
      </c>
      <c r="U29" s="480">
        <f t="shared" si="48"/>
        <v>7.9999999999999716</v>
      </c>
      <c r="V29" s="489">
        <f t="shared" si="45"/>
        <v>79.999999999999957</v>
      </c>
      <c r="W29" s="14">
        <f>T29</f>
        <v>0.4951388888888888</v>
      </c>
      <c r="X29" s="14">
        <f>S30</f>
        <v>0.53611111111111098</v>
      </c>
      <c r="Y29" s="528"/>
      <c r="Z29" s="528"/>
      <c r="AA29" s="11">
        <f t="shared" si="2"/>
        <v>-149.99999999999864</v>
      </c>
      <c r="AB29" s="482">
        <f t="shared" si="47"/>
        <v>0.93750000000000056</v>
      </c>
      <c r="AC29" s="533"/>
    </row>
    <row r="30" spans="1:29" ht="15.75" customHeight="1">
      <c r="A30" s="553" t="s">
        <v>377</v>
      </c>
      <c r="B30" s="26" t="s">
        <v>24</v>
      </c>
      <c r="C30" s="552" t="s">
        <v>79</v>
      </c>
      <c r="D30" s="552"/>
      <c r="E30" s="26">
        <v>31.29</v>
      </c>
      <c r="F30" s="490">
        <v>5475</v>
      </c>
      <c r="G30" s="480">
        <f t="shared" si="39"/>
        <v>171312.75</v>
      </c>
      <c r="H30" s="492" t="s">
        <v>52</v>
      </c>
      <c r="I30" s="488">
        <v>16</v>
      </c>
      <c r="J30" s="18">
        <v>2400</v>
      </c>
      <c r="K30" s="9">
        <f t="shared" si="46"/>
        <v>150</v>
      </c>
      <c r="L30" s="488">
        <v>16</v>
      </c>
      <c r="M30" s="10">
        <f t="shared" si="40"/>
        <v>2250.0000000000005</v>
      </c>
      <c r="N30" s="9">
        <f t="shared" si="41"/>
        <v>140.62500000000003</v>
      </c>
      <c r="O30" s="11">
        <f t="shared" si="42"/>
        <v>0</v>
      </c>
      <c r="P30" s="12">
        <f t="shared" si="43"/>
        <v>-9.3749999999999716</v>
      </c>
      <c r="Q30" s="482">
        <f t="shared" si="44"/>
        <v>0.93750000000000022</v>
      </c>
      <c r="R30" s="533"/>
      <c r="S30" s="24">
        <v>0.53611111111111098</v>
      </c>
      <c r="T30" s="24">
        <v>0.63749999999999984</v>
      </c>
      <c r="U30" s="480">
        <f t="shared" si="48"/>
        <v>58.99999999999995</v>
      </c>
      <c r="V30" s="489">
        <f t="shared" si="45"/>
        <v>145.99999999999997</v>
      </c>
      <c r="W30" s="14"/>
      <c r="X30" s="14"/>
      <c r="Y30" s="528"/>
      <c r="Z30" s="528"/>
      <c r="AA30" s="11">
        <f t="shared" si="2"/>
        <v>-149.99999999999955</v>
      </c>
      <c r="AB30" s="482">
        <f t="shared" si="47"/>
        <v>0.93750000000000022</v>
      </c>
      <c r="AC30" s="533"/>
    </row>
    <row r="31" spans="1:29" ht="15.75" customHeight="1">
      <c r="A31" s="553" t="s">
        <v>377</v>
      </c>
      <c r="B31" s="26" t="s">
        <v>24</v>
      </c>
      <c r="C31" s="552" t="s">
        <v>328</v>
      </c>
      <c r="D31" s="552"/>
      <c r="E31" s="26">
        <v>25.98</v>
      </c>
      <c r="F31" s="490">
        <v>1577</v>
      </c>
      <c r="G31" s="480">
        <f t="shared" si="39"/>
        <v>40970.46</v>
      </c>
      <c r="H31" s="492" t="s">
        <v>52</v>
      </c>
      <c r="I31" s="488">
        <v>17</v>
      </c>
      <c r="J31" s="18">
        <v>2400</v>
      </c>
      <c r="K31" s="9">
        <f t="shared" si="46"/>
        <v>141.1764705882353</v>
      </c>
      <c r="L31" s="488">
        <v>17</v>
      </c>
      <c r="M31" s="10">
        <f t="shared" si="40"/>
        <v>2252.8571428571422</v>
      </c>
      <c r="N31" s="9">
        <f t="shared" si="41"/>
        <v>132.52100840336129</v>
      </c>
      <c r="O31" s="11">
        <f t="shared" si="42"/>
        <v>0</v>
      </c>
      <c r="P31" s="12">
        <f t="shared" si="43"/>
        <v>-8.6554621848740112</v>
      </c>
      <c r="Q31" s="482">
        <f t="shared" si="44"/>
        <v>0.93869047619047574</v>
      </c>
      <c r="R31" s="533"/>
      <c r="S31" s="24">
        <v>0.64236111111111094</v>
      </c>
      <c r="T31" s="24">
        <v>0.67152777777777761</v>
      </c>
      <c r="U31" s="480">
        <f t="shared" si="48"/>
        <v>6.9999999999999751</v>
      </c>
      <c r="V31" s="489">
        <f t="shared" si="45"/>
        <v>42.000000000000014</v>
      </c>
      <c r="W31" s="14"/>
      <c r="X31" s="14"/>
      <c r="Y31" s="528"/>
      <c r="Z31" s="528"/>
      <c r="AA31" s="11">
        <f t="shared" si="2"/>
        <v>-147.14285714285779</v>
      </c>
      <c r="AB31" s="482">
        <f t="shared" si="47"/>
        <v>0.93869047619047596</v>
      </c>
      <c r="AC31" s="533"/>
    </row>
    <row r="32" spans="1:29" ht="15.75" customHeight="1">
      <c r="A32" s="553" t="s">
        <v>377</v>
      </c>
      <c r="B32" s="26" t="s">
        <v>82</v>
      </c>
      <c r="C32" s="530"/>
      <c r="D32" s="530"/>
      <c r="E32" s="481"/>
      <c r="F32" s="490"/>
      <c r="G32" s="480"/>
      <c r="H32" s="490"/>
      <c r="I32" s="17">
        <v>17.142857142857142</v>
      </c>
      <c r="J32" s="18">
        <v>2400</v>
      </c>
      <c r="K32" s="9">
        <f t="shared" si="46"/>
        <v>140</v>
      </c>
      <c r="L32" s="17">
        <v>17.142857142857142</v>
      </c>
      <c r="M32" s="10">
        <f>AVERAGE(M25:M31)</f>
        <v>2248.7863799725501</v>
      </c>
      <c r="N32" s="9">
        <f>M32/L32</f>
        <v>131.17920549839877</v>
      </c>
      <c r="O32" s="11">
        <f>L32-I32</f>
        <v>0</v>
      </c>
      <c r="P32" s="12">
        <f>N32-K32</f>
        <v>-8.8207945016012275</v>
      </c>
      <c r="Q32" s="482">
        <f>N32/K32</f>
        <v>0.93699432498856261</v>
      </c>
      <c r="R32" s="533"/>
      <c r="S32" s="24"/>
      <c r="T32" s="24"/>
      <c r="U32" s="480"/>
      <c r="V32" s="489"/>
      <c r="W32" s="480"/>
      <c r="X32" s="480"/>
      <c r="Y32" s="528"/>
      <c r="Z32" s="528"/>
      <c r="AA32" s="11">
        <f t="shared" si="2"/>
        <v>-151.21362002744991</v>
      </c>
      <c r="AB32" s="482">
        <f>M32/J32</f>
        <v>0.9369943249885625</v>
      </c>
      <c r="AC32" s="533"/>
    </row>
    <row r="33" spans="1:29" ht="15.75" customHeight="1">
      <c r="A33" s="550" t="s">
        <v>380</v>
      </c>
      <c r="B33" s="26" t="s">
        <v>24</v>
      </c>
      <c r="C33" s="529" t="s">
        <v>28</v>
      </c>
      <c r="D33" s="529"/>
      <c r="E33" s="26">
        <v>26.2</v>
      </c>
      <c r="F33" s="490">
        <v>3000</v>
      </c>
      <c r="G33" s="480">
        <f t="shared" ref="G33:G42" si="49">E33*F33</f>
        <v>78600</v>
      </c>
      <c r="H33" s="492">
        <v>2</v>
      </c>
      <c r="I33" s="488">
        <v>18</v>
      </c>
      <c r="J33" s="18">
        <v>2400</v>
      </c>
      <c r="K33" s="9">
        <f>J33/I33</f>
        <v>133.33333333333334</v>
      </c>
      <c r="L33" s="488">
        <v>18</v>
      </c>
      <c r="M33" s="10">
        <f>F33/V33*60</f>
        <v>2250</v>
      </c>
      <c r="N33" s="9">
        <f>M33/L33</f>
        <v>125</v>
      </c>
      <c r="O33" s="11">
        <f t="shared" ref="O33:O42" si="50">L33-I33</f>
        <v>0</v>
      </c>
      <c r="P33" s="12">
        <f t="shared" ref="P33:P52" si="51">N33-K33</f>
        <v>-8.3333333333333428</v>
      </c>
      <c r="Q33" s="482">
        <f t="shared" ref="Q33:Q47" si="52">N33/K33</f>
        <v>0.93749999999999989</v>
      </c>
      <c r="R33" s="533">
        <f>Q43</f>
        <v>0.93690882476558823</v>
      </c>
      <c r="S33" s="24">
        <v>0.125</v>
      </c>
      <c r="T33" s="24">
        <v>0.18055555555555555</v>
      </c>
      <c r="U33" s="480"/>
      <c r="V33" s="489">
        <f t="shared" ref="V33:V42" si="53">(T33-S33)*24*60</f>
        <v>80</v>
      </c>
      <c r="W33" s="15">
        <f>T33</f>
        <v>0.18055555555555555</v>
      </c>
      <c r="X33" s="15">
        <f>S34</f>
        <v>0.19930555555555557</v>
      </c>
      <c r="Y33" s="528"/>
      <c r="Z33" s="528"/>
      <c r="AA33" s="11">
        <f t="shared" si="2"/>
        <v>-150</v>
      </c>
      <c r="AB33" s="482">
        <f>M33/J33</f>
        <v>0.9375</v>
      </c>
      <c r="AC33" s="533">
        <f>AB43</f>
        <v>0.93690882476558823</v>
      </c>
    </row>
    <row r="34" spans="1:29" ht="15.75" customHeight="1">
      <c r="A34" s="550" t="s">
        <v>380</v>
      </c>
      <c r="B34" s="26" t="s">
        <v>24</v>
      </c>
      <c r="C34" s="529" t="s">
        <v>30</v>
      </c>
      <c r="D34" s="529"/>
      <c r="E34" s="26">
        <v>24.45</v>
      </c>
      <c r="F34" s="490">
        <v>2445</v>
      </c>
      <c r="G34" s="480">
        <f t="shared" si="49"/>
        <v>59780.25</v>
      </c>
      <c r="H34" s="492" t="s">
        <v>52</v>
      </c>
      <c r="I34" s="488">
        <v>20</v>
      </c>
      <c r="J34" s="18">
        <v>2400</v>
      </c>
      <c r="K34" s="9">
        <f t="shared" ref="K34:K51" si="54">J34/I34</f>
        <v>120</v>
      </c>
      <c r="L34" s="488">
        <v>20</v>
      </c>
      <c r="M34" s="10">
        <f t="shared" ref="M34:M42" si="55">F34/V34*60</f>
        <v>2256.9230769230762</v>
      </c>
      <c r="N34" s="9">
        <f t="shared" ref="N34:N42" si="56">M34/L34</f>
        <v>112.84615384615381</v>
      </c>
      <c r="O34" s="11">
        <f t="shared" si="50"/>
        <v>0</v>
      </c>
      <c r="P34" s="12">
        <f t="shared" si="51"/>
        <v>-7.1538461538461888</v>
      </c>
      <c r="Q34" s="482">
        <f t="shared" si="52"/>
        <v>0.94038461538461504</v>
      </c>
      <c r="R34" s="533"/>
      <c r="S34" s="24">
        <v>0.19930555555555557</v>
      </c>
      <c r="T34" s="24">
        <v>0.24444444444444446</v>
      </c>
      <c r="U34" s="480">
        <f>(S34-T33)*24*60</f>
        <v>27.000000000000025</v>
      </c>
      <c r="V34" s="489">
        <f t="shared" si="53"/>
        <v>65.000000000000014</v>
      </c>
      <c r="W34" s="480"/>
      <c r="X34" s="480"/>
      <c r="Y34" s="528"/>
      <c r="Z34" s="528"/>
      <c r="AA34" s="11">
        <f t="shared" si="2"/>
        <v>-143.07692307692378</v>
      </c>
      <c r="AB34" s="482">
        <f t="shared" ref="AB34:AB65" si="57">M34/J34</f>
        <v>0.94038461538461504</v>
      </c>
      <c r="AC34" s="533"/>
    </row>
    <row r="35" spans="1:29">
      <c r="A35" s="551" t="s">
        <v>380</v>
      </c>
      <c r="B35" s="26" t="s">
        <v>24</v>
      </c>
      <c r="C35" s="529" t="s">
        <v>29</v>
      </c>
      <c r="D35" s="529"/>
      <c r="E35" s="26">
        <v>26.39</v>
      </c>
      <c r="F35" s="490">
        <v>4000</v>
      </c>
      <c r="G35" s="480">
        <f t="shared" si="49"/>
        <v>105560</v>
      </c>
      <c r="H35" s="492">
        <v>2</v>
      </c>
      <c r="I35" s="488">
        <v>19</v>
      </c>
      <c r="J35" s="18">
        <v>2400</v>
      </c>
      <c r="K35" s="9">
        <f t="shared" si="54"/>
        <v>126.31578947368421</v>
      </c>
      <c r="L35" s="488">
        <v>19</v>
      </c>
      <c r="M35" s="10">
        <f t="shared" si="55"/>
        <v>2242.9906542056078</v>
      </c>
      <c r="N35" s="9">
        <f t="shared" si="56"/>
        <v>118.052139695032</v>
      </c>
      <c r="O35" s="11">
        <f t="shared" si="50"/>
        <v>0</v>
      </c>
      <c r="P35" s="12">
        <f t="shared" si="51"/>
        <v>-8.2636497786522085</v>
      </c>
      <c r="Q35" s="482">
        <f t="shared" si="52"/>
        <v>0.93457943925233666</v>
      </c>
      <c r="R35" s="533"/>
      <c r="S35" s="24">
        <v>0.24930555555555559</v>
      </c>
      <c r="T35" s="24">
        <v>0.32361111111111113</v>
      </c>
      <c r="U35" s="480">
        <f t="shared" ref="U35:U42" si="58">(S35-T34)*24*60</f>
        <v>7.0000000000000151</v>
      </c>
      <c r="V35" s="489">
        <f t="shared" si="53"/>
        <v>106.99999999999999</v>
      </c>
      <c r="W35" s="480"/>
      <c r="X35" s="480"/>
      <c r="Y35" s="528"/>
      <c r="Z35" s="528"/>
      <c r="AA35" s="11">
        <f t="shared" si="2"/>
        <v>-157.00934579439217</v>
      </c>
      <c r="AB35" s="482">
        <f t="shared" si="57"/>
        <v>0.93457943925233655</v>
      </c>
      <c r="AC35" s="533"/>
    </row>
    <row r="36" spans="1:29">
      <c r="A36" s="551" t="s">
        <v>380</v>
      </c>
      <c r="B36" s="26" t="s">
        <v>24</v>
      </c>
      <c r="C36" s="529" t="s">
        <v>27</v>
      </c>
      <c r="D36" s="529"/>
      <c r="E36" s="26">
        <v>20.52</v>
      </c>
      <c r="F36" s="490">
        <v>3752</v>
      </c>
      <c r="G36" s="480">
        <f t="shared" si="49"/>
        <v>76991.039999999994</v>
      </c>
      <c r="H36" s="492" t="s">
        <v>52</v>
      </c>
      <c r="I36" s="488">
        <v>18</v>
      </c>
      <c r="J36" s="18">
        <v>2400</v>
      </c>
      <c r="K36" s="9">
        <f t="shared" si="54"/>
        <v>133.33333333333334</v>
      </c>
      <c r="L36" s="488">
        <v>18</v>
      </c>
      <c r="M36" s="10">
        <f t="shared" si="55"/>
        <v>2251.1999999999989</v>
      </c>
      <c r="N36" s="9">
        <f t="shared" si="56"/>
        <v>125.06666666666661</v>
      </c>
      <c r="O36" s="11">
        <f t="shared" si="50"/>
        <v>0</v>
      </c>
      <c r="P36" s="12">
        <f t="shared" si="51"/>
        <v>-8.2666666666667368</v>
      </c>
      <c r="Q36" s="482">
        <f t="shared" si="52"/>
        <v>0.9379999999999995</v>
      </c>
      <c r="R36" s="533"/>
      <c r="S36" s="24">
        <v>0.32777777777777778</v>
      </c>
      <c r="T36" s="24">
        <v>0.39722222222222225</v>
      </c>
      <c r="U36" s="480">
        <f t="shared" si="58"/>
        <v>5.9999999999999787</v>
      </c>
      <c r="V36" s="489">
        <f t="shared" si="53"/>
        <v>100.00000000000004</v>
      </c>
      <c r="W36" s="14"/>
      <c r="X36" s="14"/>
      <c r="Y36" s="528"/>
      <c r="Z36" s="528"/>
      <c r="AA36" s="11">
        <f t="shared" si="2"/>
        <v>-148.80000000000109</v>
      </c>
      <c r="AB36" s="482">
        <f t="shared" si="57"/>
        <v>0.9379999999999995</v>
      </c>
      <c r="AC36" s="533"/>
    </row>
    <row r="37" spans="1:29">
      <c r="A37" s="551" t="s">
        <v>380</v>
      </c>
      <c r="B37" s="26" t="s">
        <v>24</v>
      </c>
      <c r="C37" s="529" t="s">
        <v>50</v>
      </c>
      <c r="D37" s="529"/>
      <c r="E37" s="26">
        <v>26.2</v>
      </c>
      <c r="F37" s="490">
        <v>3000</v>
      </c>
      <c r="G37" s="480">
        <f t="shared" si="49"/>
        <v>78600</v>
      </c>
      <c r="H37" s="492">
        <v>2</v>
      </c>
      <c r="I37" s="488">
        <v>19</v>
      </c>
      <c r="J37" s="18">
        <v>2400</v>
      </c>
      <c r="K37" s="9">
        <f t="shared" si="54"/>
        <v>126.31578947368421</v>
      </c>
      <c r="L37" s="488">
        <v>19</v>
      </c>
      <c r="M37" s="10">
        <f t="shared" si="55"/>
        <v>2249.9999999999991</v>
      </c>
      <c r="N37" s="9">
        <f t="shared" si="56"/>
        <v>118.4210526315789</v>
      </c>
      <c r="O37" s="11">
        <f t="shared" si="50"/>
        <v>0</v>
      </c>
      <c r="P37" s="12">
        <f t="shared" si="51"/>
        <v>-7.8947368421053028</v>
      </c>
      <c r="Q37" s="482">
        <f t="shared" si="52"/>
        <v>0.93749999999999967</v>
      </c>
      <c r="R37" s="533"/>
      <c r="S37" s="24">
        <v>0.40208333333333335</v>
      </c>
      <c r="T37" s="24">
        <v>0.45763888888888893</v>
      </c>
      <c r="U37" s="480">
        <f t="shared" si="58"/>
        <v>6.9999999999999751</v>
      </c>
      <c r="V37" s="489">
        <f t="shared" si="53"/>
        <v>80.000000000000028</v>
      </c>
      <c r="W37" s="14"/>
      <c r="X37" s="14"/>
      <c r="Y37" s="528"/>
      <c r="Z37" s="528"/>
      <c r="AA37" s="11">
        <f t="shared" si="2"/>
        <v>-150.00000000000091</v>
      </c>
      <c r="AB37" s="482">
        <f t="shared" si="57"/>
        <v>0.93749999999999967</v>
      </c>
      <c r="AC37" s="533"/>
    </row>
    <row r="38" spans="1:29">
      <c r="A38" s="551" t="s">
        <v>380</v>
      </c>
      <c r="B38" s="26" t="s">
        <v>24</v>
      </c>
      <c r="C38" s="529" t="s">
        <v>1079</v>
      </c>
      <c r="D38" s="529"/>
      <c r="E38" s="26">
        <v>25.98</v>
      </c>
      <c r="F38" s="490">
        <v>2700</v>
      </c>
      <c r="G38" s="480">
        <f t="shared" si="49"/>
        <v>70146</v>
      </c>
      <c r="H38" s="492">
        <v>2</v>
      </c>
      <c r="I38" s="488">
        <v>17</v>
      </c>
      <c r="J38" s="18">
        <v>2400</v>
      </c>
      <c r="K38" s="9">
        <f t="shared" si="54"/>
        <v>141.1764705882353</v>
      </c>
      <c r="L38" s="488">
        <v>17</v>
      </c>
      <c r="M38" s="10">
        <f t="shared" si="55"/>
        <v>2249.9999999999982</v>
      </c>
      <c r="N38" s="9">
        <f t="shared" si="56"/>
        <v>132.35294117647049</v>
      </c>
      <c r="O38" s="11">
        <f t="shared" si="50"/>
        <v>0</v>
      </c>
      <c r="P38" s="12">
        <f t="shared" si="51"/>
        <v>-8.8235294117648095</v>
      </c>
      <c r="Q38" s="482">
        <f t="shared" si="52"/>
        <v>0.93749999999999922</v>
      </c>
      <c r="R38" s="533"/>
      <c r="S38" s="24">
        <v>0.46180555555555558</v>
      </c>
      <c r="T38" s="24">
        <v>0.51180555555555562</v>
      </c>
      <c r="U38" s="480">
        <f t="shared" si="58"/>
        <v>5.9999999999999787</v>
      </c>
      <c r="V38" s="489">
        <f t="shared" si="53"/>
        <v>72.000000000000057</v>
      </c>
      <c r="W38" s="14">
        <f>T38</f>
        <v>0.51180555555555562</v>
      </c>
      <c r="X38" s="14">
        <f>S39</f>
        <v>0.55277777777777781</v>
      </c>
      <c r="Y38" s="528"/>
      <c r="Z38" s="528"/>
      <c r="AA38" s="11">
        <f t="shared" si="2"/>
        <v>-150.00000000000182</v>
      </c>
      <c r="AB38" s="482">
        <f t="shared" si="57"/>
        <v>0.93749999999999922</v>
      </c>
      <c r="AC38" s="533"/>
    </row>
    <row r="39" spans="1:29">
      <c r="A39" s="551" t="s">
        <v>380</v>
      </c>
      <c r="B39" s="26" t="s">
        <v>24</v>
      </c>
      <c r="C39" s="529" t="s">
        <v>28</v>
      </c>
      <c r="D39" s="529"/>
      <c r="E39" s="26">
        <v>26.2</v>
      </c>
      <c r="F39" s="490">
        <v>4153</v>
      </c>
      <c r="G39" s="480">
        <f t="shared" si="49"/>
        <v>108808.59999999999</v>
      </c>
      <c r="H39" s="492" t="s">
        <v>52</v>
      </c>
      <c r="I39" s="488">
        <v>18</v>
      </c>
      <c r="J39" s="18">
        <v>2400</v>
      </c>
      <c r="K39" s="9">
        <f t="shared" si="54"/>
        <v>133.33333333333334</v>
      </c>
      <c r="L39" s="488">
        <v>18</v>
      </c>
      <c r="M39" s="10">
        <f t="shared" si="55"/>
        <v>2244.8648648648632</v>
      </c>
      <c r="N39" s="9">
        <f t="shared" si="56"/>
        <v>124.71471471471462</v>
      </c>
      <c r="O39" s="11">
        <f t="shared" si="50"/>
        <v>0</v>
      </c>
      <c r="P39" s="12">
        <f t="shared" si="51"/>
        <v>-8.6186186186187257</v>
      </c>
      <c r="Q39" s="482">
        <f t="shared" si="52"/>
        <v>0.93536036036035952</v>
      </c>
      <c r="R39" s="533"/>
      <c r="S39" s="24">
        <v>0.55277777777777781</v>
      </c>
      <c r="T39" s="24">
        <v>0.6298611111111112</v>
      </c>
      <c r="U39" s="480">
        <f t="shared" si="58"/>
        <v>58.99999999999995</v>
      </c>
      <c r="V39" s="489">
        <f t="shared" si="53"/>
        <v>111.00000000000009</v>
      </c>
      <c r="W39" s="14"/>
      <c r="X39" s="14"/>
      <c r="Y39" s="536"/>
      <c r="Z39" s="537"/>
      <c r="AA39" s="11">
        <f t="shared" si="2"/>
        <v>-155.13513513513681</v>
      </c>
      <c r="AB39" s="482">
        <f t="shared" si="57"/>
        <v>0.93536036036035963</v>
      </c>
      <c r="AC39" s="533"/>
    </row>
    <row r="40" spans="1:29">
      <c r="A40" s="551" t="s">
        <v>380</v>
      </c>
      <c r="B40" s="26" t="s">
        <v>24</v>
      </c>
      <c r="C40" s="529" t="s">
        <v>29</v>
      </c>
      <c r="D40" s="529"/>
      <c r="E40" s="26">
        <v>26.39</v>
      </c>
      <c r="F40" s="490">
        <v>2437</v>
      </c>
      <c r="G40" s="480">
        <f t="shared" si="49"/>
        <v>64312.43</v>
      </c>
      <c r="H40" s="492" t="s">
        <v>52</v>
      </c>
      <c r="I40" s="488">
        <v>19</v>
      </c>
      <c r="J40" s="18">
        <v>2400</v>
      </c>
      <c r="K40" s="9">
        <f t="shared" si="54"/>
        <v>126.31578947368421</v>
      </c>
      <c r="L40" s="488">
        <v>19</v>
      </c>
      <c r="M40" s="10">
        <f t="shared" si="55"/>
        <v>2249.5384615384642</v>
      </c>
      <c r="N40" s="9">
        <f t="shared" si="56"/>
        <v>118.39676113360338</v>
      </c>
      <c r="O40" s="11">
        <f t="shared" si="50"/>
        <v>0</v>
      </c>
      <c r="P40" s="12">
        <f t="shared" si="51"/>
        <v>-7.9190283400808283</v>
      </c>
      <c r="Q40" s="482">
        <f t="shared" si="52"/>
        <v>0.9373076923076934</v>
      </c>
      <c r="R40" s="533"/>
      <c r="S40" s="24">
        <v>0.63333333333333341</v>
      </c>
      <c r="T40" s="24">
        <v>0.67847222222222225</v>
      </c>
      <c r="U40" s="480">
        <f t="shared" si="58"/>
        <v>4.9999999999999822</v>
      </c>
      <c r="V40" s="489">
        <f t="shared" si="53"/>
        <v>64.999999999999929</v>
      </c>
      <c r="W40" s="14"/>
      <c r="X40" s="14"/>
      <c r="Y40" s="536"/>
      <c r="Z40" s="537"/>
      <c r="AA40" s="11">
        <f t="shared" si="2"/>
        <v>-150.46153846153584</v>
      </c>
      <c r="AB40" s="482">
        <f t="shared" si="57"/>
        <v>0.9373076923076934</v>
      </c>
      <c r="AC40" s="533"/>
    </row>
    <row r="41" spans="1:29">
      <c r="A41" s="551" t="s">
        <v>380</v>
      </c>
      <c r="B41" s="26" t="s">
        <v>24</v>
      </c>
      <c r="C41" s="529" t="s">
        <v>50</v>
      </c>
      <c r="D41" s="529"/>
      <c r="E41" s="26">
        <v>26.2</v>
      </c>
      <c r="F41" s="490">
        <v>2126</v>
      </c>
      <c r="G41" s="480">
        <f t="shared" si="49"/>
        <v>55701.2</v>
      </c>
      <c r="H41" s="492" t="s">
        <v>52</v>
      </c>
      <c r="I41" s="488">
        <v>19</v>
      </c>
      <c r="J41" s="18">
        <v>2400</v>
      </c>
      <c r="K41" s="9">
        <f t="shared" si="54"/>
        <v>126.31578947368421</v>
      </c>
      <c r="L41" s="488">
        <v>19</v>
      </c>
      <c r="M41" s="10">
        <f t="shared" si="55"/>
        <v>2237.8947368421072</v>
      </c>
      <c r="N41" s="9">
        <f t="shared" si="56"/>
        <v>117.78393351800564</v>
      </c>
      <c r="O41" s="11">
        <f t="shared" si="50"/>
        <v>0</v>
      </c>
      <c r="P41" s="12">
        <f t="shared" si="51"/>
        <v>-8.5318559556785658</v>
      </c>
      <c r="Q41" s="482">
        <f t="shared" si="52"/>
        <v>0.93245614035087798</v>
      </c>
      <c r="R41" s="533"/>
      <c r="S41" s="24">
        <v>0.68263888888888891</v>
      </c>
      <c r="T41" s="24">
        <v>0.72222222222222221</v>
      </c>
      <c r="U41" s="480">
        <f t="shared" si="58"/>
        <v>5.9999999999999787</v>
      </c>
      <c r="V41" s="489">
        <f t="shared" si="53"/>
        <v>56.999999999999957</v>
      </c>
      <c r="W41" s="14"/>
      <c r="X41" s="14"/>
      <c r="Y41" s="536"/>
      <c r="Z41" s="537"/>
      <c r="AA41" s="11">
        <f t="shared" si="2"/>
        <v>-162.10526315789275</v>
      </c>
      <c r="AB41" s="482">
        <f t="shared" si="57"/>
        <v>0.93245614035087798</v>
      </c>
      <c r="AC41" s="533"/>
    </row>
    <row r="42" spans="1:29">
      <c r="A42" s="551" t="s">
        <v>380</v>
      </c>
      <c r="B42" s="26" t="s">
        <v>24</v>
      </c>
      <c r="C42" s="529" t="s">
        <v>1079</v>
      </c>
      <c r="D42" s="529"/>
      <c r="E42" s="26">
        <v>25.98</v>
      </c>
      <c r="F42" s="490">
        <v>1877</v>
      </c>
      <c r="G42" s="480">
        <f t="shared" si="49"/>
        <v>48764.46</v>
      </c>
      <c r="H42" s="492" t="s">
        <v>52</v>
      </c>
      <c r="I42" s="488">
        <v>17</v>
      </c>
      <c r="J42" s="18">
        <v>2400</v>
      </c>
      <c r="K42" s="9">
        <f t="shared" si="54"/>
        <v>141.1764705882353</v>
      </c>
      <c r="L42" s="488">
        <v>17</v>
      </c>
      <c r="M42" s="10">
        <f t="shared" si="55"/>
        <v>2252.400000000001</v>
      </c>
      <c r="N42" s="9">
        <f t="shared" si="56"/>
        <v>132.49411764705889</v>
      </c>
      <c r="O42" s="11">
        <f t="shared" si="50"/>
        <v>0</v>
      </c>
      <c r="P42" s="12">
        <f t="shared" si="51"/>
        <v>-8.6823529411764184</v>
      </c>
      <c r="Q42" s="482">
        <f t="shared" si="52"/>
        <v>0.93850000000000033</v>
      </c>
      <c r="R42" s="533"/>
      <c r="S42" s="24">
        <v>0.72777777777777775</v>
      </c>
      <c r="T42" s="24">
        <v>0.76249999999999996</v>
      </c>
      <c r="U42" s="480">
        <f t="shared" si="58"/>
        <v>7.9999999999999716</v>
      </c>
      <c r="V42" s="489">
        <f t="shared" si="53"/>
        <v>49.999999999999986</v>
      </c>
      <c r="W42" s="14"/>
      <c r="X42" s="14"/>
      <c r="Y42" s="536"/>
      <c r="Z42" s="537"/>
      <c r="AA42" s="11">
        <f t="shared" si="2"/>
        <v>-147.599999999999</v>
      </c>
      <c r="AB42" s="482">
        <f t="shared" si="57"/>
        <v>0.93850000000000044</v>
      </c>
      <c r="AC42" s="533"/>
    </row>
    <row r="43" spans="1:29">
      <c r="A43" s="551" t="s">
        <v>380</v>
      </c>
      <c r="B43" s="16" t="s">
        <v>82</v>
      </c>
      <c r="C43" s="530"/>
      <c r="D43" s="530"/>
      <c r="E43" s="481"/>
      <c r="F43" s="16"/>
      <c r="G43" s="9"/>
      <c r="H43" s="490"/>
      <c r="I43" s="17">
        <v>18.399999999999999</v>
      </c>
      <c r="J43" s="18">
        <v>2400</v>
      </c>
      <c r="K43" s="9">
        <f t="shared" si="54"/>
        <v>130.43478260869566</v>
      </c>
      <c r="L43" s="17">
        <v>18.399999999999999</v>
      </c>
      <c r="M43" s="10">
        <f>AVERAGE(M33:M42)</f>
        <v>2248.5811794374117</v>
      </c>
      <c r="N43" s="9">
        <f>M43/L43</f>
        <v>122.20549888246804</v>
      </c>
      <c r="O43" s="11">
        <f>L43-I43</f>
        <v>0</v>
      </c>
      <c r="P43" s="12">
        <f t="shared" si="51"/>
        <v>-8.2292837262276208</v>
      </c>
      <c r="Q43" s="482">
        <f t="shared" si="52"/>
        <v>0.93690882476558823</v>
      </c>
      <c r="R43" s="533"/>
      <c r="S43" s="24"/>
      <c r="T43" s="24"/>
      <c r="U43" s="9"/>
      <c r="V43" s="489"/>
      <c r="W43" s="9"/>
      <c r="X43" s="9"/>
      <c r="Y43" s="528"/>
      <c r="Z43" s="528"/>
      <c r="AA43" s="11">
        <f t="shared" si="2"/>
        <v>-151.41882056258828</v>
      </c>
      <c r="AB43" s="482">
        <f t="shared" si="57"/>
        <v>0.93690882476558823</v>
      </c>
      <c r="AC43" s="533"/>
    </row>
    <row r="44" spans="1:29" ht="15.75" customHeight="1">
      <c r="A44" s="544" t="s">
        <v>381</v>
      </c>
      <c r="B44" s="26" t="s">
        <v>32</v>
      </c>
      <c r="C44" s="534" t="s">
        <v>34</v>
      </c>
      <c r="D44" s="535"/>
      <c r="E44" s="26">
        <v>21.13</v>
      </c>
      <c r="F44" s="490">
        <v>5146</v>
      </c>
      <c r="G44" s="480">
        <f t="shared" ref="G44:G51" si="59">E44*F44</f>
        <v>108734.98</v>
      </c>
      <c r="H44" s="492" t="s">
        <v>52</v>
      </c>
      <c r="I44" s="488">
        <v>10</v>
      </c>
      <c r="J44" s="18">
        <v>3000</v>
      </c>
      <c r="K44" s="9">
        <f t="shared" si="54"/>
        <v>300</v>
      </c>
      <c r="L44" s="488">
        <v>10</v>
      </c>
      <c r="M44" s="10">
        <f t="shared" ref="M44:M45" si="60">F44/V44*60</f>
        <v>2806.9090909090905</v>
      </c>
      <c r="N44" s="10">
        <f t="shared" ref="N44:N52" si="61">M44/L44</f>
        <v>280.69090909090903</v>
      </c>
      <c r="O44" s="11">
        <f t="shared" ref="O44:O52" si="62">L44-I44</f>
        <v>0</v>
      </c>
      <c r="P44" s="12">
        <f t="shared" si="51"/>
        <v>-19.309090909090969</v>
      </c>
      <c r="Q44" s="482">
        <f t="shared" si="52"/>
        <v>0.93563636363636349</v>
      </c>
      <c r="R44" s="547">
        <f>Q52</f>
        <v>0.94060164560304538</v>
      </c>
      <c r="S44" s="24">
        <v>0.125</v>
      </c>
      <c r="T44" s="24">
        <v>0.2013888888888889</v>
      </c>
      <c r="U44" s="15"/>
      <c r="V44" s="489">
        <f t="shared" ref="V44:V51" si="63">(T44-S44)*24*60</f>
        <v>110.00000000000001</v>
      </c>
      <c r="W44" s="14">
        <f>T44</f>
        <v>0.2013888888888889</v>
      </c>
      <c r="X44" s="14">
        <f>S45</f>
        <v>0.22013888888888891</v>
      </c>
      <c r="Y44" s="536"/>
      <c r="Z44" s="537"/>
      <c r="AA44" s="11">
        <f t="shared" si="2"/>
        <v>-193.09090909090946</v>
      </c>
      <c r="AB44" s="482">
        <f t="shared" si="57"/>
        <v>0.93563636363636349</v>
      </c>
      <c r="AC44" s="547">
        <f>AB52</f>
        <v>0.94060164560304549</v>
      </c>
    </row>
    <row r="45" spans="1:29" ht="15.75" customHeight="1">
      <c r="A45" s="545" t="s">
        <v>381</v>
      </c>
      <c r="B45" s="26" t="s">
        <v>32</v>
      </c>
      <c r="C45" s="534" t="s">
        <v>33</v>
      </c>
      <c r="D45" s="535"/>
      <c r="E45" s="26">
        <v>27.17</v>
      </c>
      <c r="F45" s="490">
        <v>3800</v>
      </c>
      <c r="G45" s="480">
        <f t="shared" si="59"/>
        <v>103246</v>
      </c>
      <c r="H45" s="492">
        <v>2</v>
      </c>
      <c r="I45" s="488">
        <v>10</v>
      </c>
      <c r="J45" s="18">
        <v>3000</v>
      </c>
      <c r="K45" s="9">
        <f t="shared" si="54"/>
        <v>300</v>
      </c>
      <c r="L45" s="488">
        <v>10</v>
      </c>
      <c r="M45" s="10">
        <f t="shared" si="60"/>
        <v>2814.8148148148152</v>
      </c>
      <c r="N45" s="10">
        <f t="shared" si="61"/>
        <v>281.48148148148152</v>
      </c>
      <c r="O45" s="11">
        <f t="shared" si="62"/>
        <v>0</v>
      </c>
      <c r="P45" s="12">
        <f t="shared" si="51"/>
        <v>-18.518518518518476</v>
      </c>
      <c r="Q45" s="482">
        <f t="shared" si="52"/>
        <v>0.93827160493827177</v>
      </c>
      <c r="R45" s="548"/>
      <c r="S45" s="24">
        <v>0.22013888888888891</v>
      </c>
      <c r="T45" s="24">
        <v>0.27638888888888891</v>
      </c>
      <c r="U45" s="480">
        <f>(S45-T44)*24*60</f>
        <v>27.000000000000025</v>
      </c>
      <c r="V45" s="489">
        <f t="shared" si="63"/>
        <v>80.999999999999986</v>
      </c>
      <c r="W45" s="14"/>
      <c r="X45" s="14"/>
      <c r="Y45" s="536"/>
      <c r="Z45" s="537"/>
      <c r="AA45" s="11">
        <f t="shared" si="2"/>
        <v>-185.18518518518476</v>
      </c>
      <c r="AB45" s="482">
        <f t="shared" si="57"/>
        <v>0.93827160493827177</v>
      </c>
      <c r="AC45" s="548"/>
    </row>
    <row r="46" spans="1:29" ht="15.75" customHeight="1">
      <c r="A46" s="545" t="s">
        <v>381</v>
      </c>
      <c r="B46" s="26" t="s">
        <v>32</v>
      </c>
      <c r="C46" s="534" t="s">
        <v>40</v>
      </c>
      <c r="D46" s="535"/>
      <c r="E46" s="26">
        <v>35.119999999999997</v>
      </c>
      <c r="F46" s="490">
        <v>4842</v>
      </c>
      <c r="G46" s="480">
        <f t="shared" si="59"/>
        <v>170051.03999999998</v>
      </c>
      <c r="H46" s="492" t="s">
        <v>52</v>
      </c>
      <c r="I46" s="488">
        <v>10</v>
      </c>
      <c r="J46" s="18">
        <v>3000</v>
      </c>
      <c r="K46" s="9">
        <f t="shared" si="54"/>
        <v>300</v>
      </c>
      <c r="L46" s="488">
        <v>10</v>
      </c>
      <c r="M46" s="10">
        <f>F46/V46*60</f>
        <v>2793.4615384615377</v>
      </c>
      <c r="N46" s="10">
        <f t="shared" si="61"/>
        <v>279.34615384615375</v>
      </c>
      <c r="O46" s="11">
        <f t="shared" si="62"/>
        <v>0</v>
      </c>
      <c r="P46" s="12">
        <f t="shared" si="51"/>
        <v>-20.653846153846246</v>
      </c>
      <c r="Q46" s="482">
        <f t="shared" si="52"/>
        <v>0.93115384615384589</v>
      </c>
      <c r="R46" s="548"/>
      <c r="S46" s="24">
        <v>0.27986111111111112</v>
      </c>
      <c r="T46" s="24">
        <v>0.35208333333333336</v>
      </c>
      <c r="U46" s="480">
        <f t="shared" ref="U46:U51" si="64">(S46-T45)*24*60</f>
        <v>4.9999999999999822</v>
      </c>
      <c r="V46" s="489">
        <f t="shared" si="63"/>
        <v>104.00000000000003</v>
      </c>
      <c r="W46" s="14"/>
      <c r="X46" s="14"/>
      <c r="Y46" s="536"/>
      <c r="Z46" s="537"/>
      <c r="AA46" s="11">
        <f t="shared" si="2"/>
        <v>-206.53846153846234</v>
      </c>
      <c r="AB46" s="482">
        <f t="shared" si="57"/>
        <v>0.93115384615384589</v>
      </c>
      <c r="AC46" s="548"/>
    </row>
    <row r="47" spans="1:29" ht="15.75" customHeight="1">
      <c r="A47" s="545" t="s">
        <v>381</v>
      </c>
      <c r="B47" s="26" t="s">
        <v>32</v>
      </c>
      <c r="C47" s="534" t="s">
        <v>61</v>
      </c>
      <c r="D47" s="535"/>
      <c r="E47" s="26">
        <v>40.18</v>
      </c>
      <c r="F47" s="490">
        <v>1926</v>
      </c>
      <c r="G47" s="480">
        <f t="shared" si="59"/>
        <v>77386.679999999993</v>
      </c>
      <c r="H47" s="492" t="s">
        <v>52</v>
      </c>
      <c r="I47" s="488">
        <v>10</v>
      </c>
      <c r="J47" s="18">
        <v>3000</v>
      </c>
      <c r="K47" s="9">
        <f t="shared" si="54"/>
        <v>300</v>
      </c>
      <c r="L47" s="488">
        <v>10</v>
      </c>
      <c r="M47" s="10">
        <f t="shared" ref="M47:M51" si="65">F47/V47*60</f>
        <v>2818.5365853658527</v>
      </c>
      <c r="N47" s="10">
        <f t="shared" si="61"/>
        <v>281.85365853658527</v>
      </c>
      <c r="O47" s="11">
        <f t="shared" si="62"/>
        <v>0</v>
      </c>
      <c r="P47" s="12">
        <f t="shared" si="51"/>
        <v>-18.146341463414728</v>
      </c>
      <c r="Q47" s="482">
        <f t="shared" si="52"/>
        <v>0.93951219512195094</v>
      </c>
      <c r="R47" s="548"/>
      <c r="S47" s="24">
        <v>0.35555555555555557</v>
      </c>
      <c r="T47" s="24">
        <v>0.3840277777777778</v>
      </c>
      <c r="U47" s="480">
        <f t="shared" si="64"/>
        <v>4.9999999999999822</v>
      </c>
      <c r="V47" s="489">
        <f t="shared" si="63"/>
        <v>41.000000000000014</v>
      </c>
      <c r="W47" s="14"/>
      <c r="X47" s="14"/>
      <c r="Y47" s="536"/>
      <c r="Z47" s="537"/>
      <c r="AA47" s="11">
        <f t="shared" si="2"/>
        <v>-181.46341463414728</v>
      </c>
      <c r="AB47" s="482">
        <f t="shared" si="57"/>
        <v>0.93951219512195094</v>
      </c>
      <c r="AC47" s="548"/>
    </row>
    <row r="48" spans="1:29" ht="15.75" customHeight="1">
      <c r="A48" s="545" t="s">
        <v>381</v>
      </c>
      <c r="B48" s="26" t="s">
        <v>32</v>
      </c>
      <c r="C48" s="534" t="s">
        <v>64</v>
      </c>
      <c r="D48" s="535"/>
      <c r="E48" s="26">
        <v>28.5</v>
      </c>
      <c r="F48" s="490">
        <v>1160</v>
      </c>
      <c r="G48" s="480">
        <f t="shared" si="59"/>
        <v>33060</v>
      </c>
      <c r="H48" s="492" t="s">
        <v>52</v>
      </c>
      <c r="I48" s="488">
        <v>10</v>
      </c>
      <c r="J48" s="18">
        <v>3000</v>
      </c>
      <c r="K48" s="9">
        <f t="shared" si="54"/>
        <v>300</v>
      </c>
      <c r="L48" s="488">
        <v>10</v>
      </c>
      <c r="M48" s="10">
        <f t="shared" si="65"/>
        <v>2900.0000000000009</v>
      </c>
      <c r="N48" s="10">
        <f t="shared" si="61"/>
        <v>290.00000000000011</v>
      </c>
      <c r="O48" s="11">
        <f t="shared" si="62"/>
        <v>0</v>
      </c>
      <c r="P48" s="12">
        <f t="shared" si="51"/>
        <v>-9.9999999999998863</v>
      </c>
      <c r="Q48" s="482">
        <f>N48/K48</f>
        <v>0.96666666666666701</v>
      </c>
      <c r="R48" s="548"/>
      <c r="S48" s="24">
        <v>0.38750000000000001</v>
      </c>
      <c r="T48" s="24">
        <v>0.40416666666666667</v>
      </c>
      <c r="U48" s="480">
        <f t="shared" si="64"/>
        <v>4.9999999999999822</v>
      </c>
      <c r="V48" s="489">
        <f t="shared" si="63"/>
        <v>23.999999999999993</v>
      </c>
      <c r="W48" s="14"/>
      <c r="X48" s="14"/>
      <c r="Y48" s="536"/>
      <c r="Z48" s="537"/>
      <c r="AA48" s="11">
        <f t="shared" si="2"/>
        <v>-99.999999999999091</v>
      </c>
      <c r="AB48" s="482">
        <f t="shared" si="57"/>
        <v>0.96666666666666701</v>
      </c>
      <c r="AC48" s="548"/>
    </row>
    <row r="49" spans="1:29" ht="15.75" customHeight="1">
      <c r="A49" s="545" t="s">
        <v>381</v>
      </c>
      <c r="B49" s="26" t="s">
        <v>32</v>
      </c>
      <c r="C49" s="534" t="s">
        <v>78</v>
      </c>
      <c r="D49" s="535"/>
      <c r="E49" s="26">
        <v>35.869999999999997</v>
      </c>
      <c r="F49" s="490">
        <v>3328</v>
      </c>
      <c r="G49" s="480">
        <f t="shared" si="59"/>
        <v>119375.35999999999</v>
      </c>
      <c r="H49" s="492" t="s">
        <v>52</v>
      </c>
      <c r="I49" s="488">
        <v>10</v>
      </c>
      <c r="J49" s="18">
        <v>3000</v>
      </c>
      <c r="K49" s="9">
        <f t="shared" si="54"/>
        <v>300</v>
      </c>
      <c r="L49" s="488">
        <v>10</v>
      </c>
      <c r="M49" s="10">
        <f t="shared" si="65"/>
        <v>2812.3943661971834</v>
      </c>
      <c r="N49" s="10">
        <f t="shared" si="61"/>
        <v>281.23943661971833</v>
      </c>
      <c r="O49" s="11">
        <f t="shared" si="62"/>
        <v>0</v>
      </c>
      <c r="P49" s="12">
        <f t="shared" si="51"/>
        <v>-18.760563380281667</v>
      </c>
      <c r="Q49" s="482">
        <f t="shared" ref="Q49:Q52" si="66">N49/K49</f>
        <v>0.93746478873239447</v>
      </c>
      <c r="R49" s="548"/>
      <c r="S49" s="24">
        <v>0.40833333333333333</v>
      </c>
      <c r="T49" s="24">
        <v>0.45763888888888887</v>
      </c>
      <c r="U49" s="480">
        <f t="shared" si="64"/>
        <v>5.9999999999999787</v>
      </c>
      <c r="V49" s="489">
        <f t="shared" si="63"/>
        <v>70.999999999999986</v>
      </c>
      <c r="W49" s="14"/>
      <c r="X49" s="14"/>
      <c r="Y49" s="536"/>
      <c r="Z49" s="537"/>
      <c r="AA49" s="11">
        <f t="shared" si="2"/>
        <v>-187.60563380281656</v>
      </c>
      <c r="AB49" s="482">
        <f t="shared" si="57"/>
        <v>0.93746478873239447</v>
      </c>
      <c r="AC49" s="548"/>
    </row>
    <row r="50" spans="1:29" ht="15.75" customHeight="1">
      <c r="A50" s="545" t="s">
        <v>381</v>
      </c>
      <c r="B50" s="26" t="s">
        <v>32</v>
      </c>
      <c r="C50" s="534" t="s">
        <v>1081</v>
      </c>
      <c r="D50" s="535"/>
      <c r="E50" s="26">
        <v>36.14</v>
      </c>
      <c r="F50" s="490">
        <v>3447</v>
      </c>
      <c r="G50" s="480">
        <f t="shared" si="59"/>
        <v>124574.58</v>
      </c>
      <c r="H50" s="492" t="s">
        <v>52</v>
      </c>
      <c r="I50" s="488">
        <v>10</v>
      </c>
      <c r="J50" s="18">
        <v>3000</v>
      </c>
      <c r="K50" s="9">
        <f t="shared" si="54"/>
        <v>300</v>
      </c>
      <c r="L50" s="488">
        <v>10</v>
      </c>
      <c r="M50" s="10">
        <f t="shared" si="65"/>
        <v>2833.1506849315074</v>
      </c>
      <c r="N50" s="10">
        <f t="shared" si="61"/>
        <v>283.31506849315076</v>
      </c>
      <c r="O50" s="11">
        <f t="shared" si="62"/>
        <v>0</v>
      </c>
      <c r="P50" s="12">
        <f t="shared" si="51"/>
        <v>-16.684931506849239</v>
      </c>
      <c r="Q50" s="482">
        <f t="shared" si="66"/>
        <v>0.94438356164383586</v>
      </c>
      <c r="R50" s="548"/>
      <c r="S50" s="24">
        <v>0.46319444444444441</v>
      </c>
      <c r="T50" s="24">
        <v>0.51388888888888884</v>
      </c>
      <c r="U50" s="480">
        <f t="shared" si="64"/>
        <v>7.9999999999999716</v>
      </c>
      <c r="V50" s="489">
        <f t="shared" si="63"/>
        <v>72.999999999999986</v>
      </c>
      <c r="W50" s="14">
        <f>T50</f>
        <v>0.51388888888888884</v>
      </c>
      <c r="X50" s="14">
        <f>S51</f>
        <v>0.55486111111111103</v>
      </c>
      <c r="Y50" s="536"/>
      <c r="Z50" s="537"/>
      <c r="AA50" s="11">
        <f t="shared" si="2"/>
        <v>-166.84931506849261</v>
      </c>
      <c r="AB50" s="482">
        <f t="shared" si="57"/>
        <v>0.94438356164383574</v>
      </c>
      <c r="AC50" s="548"/>
    </row>
    <row r="51" spans="1:29" ht="15.75" customHeight="1">
      <c r="A51" s="545" t="s">
        <v>381</v>
      </c>
      <c r="B51" s="26" t="s">
        <v>32</v>
      </c>
      <c r="C51" s="534" t="s">
        <v>33</v>
      </c>
      <c r="D51" s="535"/>
      <c r="E51" s="26">
        <v>27.17</v>
      </c>
      <c r="F51" s="490">
        <v>2702</v>
      </c>
      <c r="G51" s="480">
        <f t="shared" si="59"/>
        <v>73413.340000000011</v>
      </c>
      <c r="H51" s="492" t="s">
        <v>52</v>
      </c>
      <c r="I51" s="488">
        <v>10</v>
      </c>
      <c r="J51" s="18">
        <v>3000</v>
      </c>
      <c r="K51" s="9">
        <f t="shared" si="54"/>
        <v>300</v>
      </c>
      <c r="L51" s="488">
        <v>10</v>
      </c>
      <c r="M51" s="10">
        <f t="shared" si="65"/>
        <v>2795.1724137931055</v>
      </c>
      <c r="N51" s="10">
        <f t="shared" si="61"/>
        <v>279.51724137931058</v>
      </c>
      <c r="O51" s="11">
        <f t="shared" si="62"/>
        <v>0</v>
      </c>
      <c r="P51" s="12">
        <f t="shared" si="51"/>
        <v>-20.482758620689424</v>
      </c>
      <c r="Q51" s="482">
        <f t="shared" si="66"/>
        <v>0.93172413793103526</v>
      </c>
      <c r="R51" s="548"/>
      <c r="S51" s="24">
        <v>0.55486111111111103</v>
      </c>
      <c r="T51" s="24">
        <v>0.59513888888888877</v>
      </c>
      <c r="U51" s="480">
        <f t="shared" si="64"/>
        <v>58.99999999999995</v>
      </c>
      <c r="V51" s="489">
        <f t="shared" si="63"/>
        <v>57.999999999999957</v>
      </c>
      <c r="W51" s="14"/>
      <c r="X51" s="14"/>
      <c r="Y51" s="536"/>
      <c r="Z51" s="537"/>
      <c r="AA51" s="11">
        <f t="shared" si="2"/>
        <v>-204.82758620689447</v>
      </c>
      <c r="AB51" s="482">
        <f t="shared" si="57"/>
        <v>0.93172413793103515</v>
      </c>
      <c r="AC51" s="548"/>
    </row>
    <row r="52" spans="1:29" ht="15.75" customHeight="1">
      <c r="A52" s="546" t="s">
        <v>1901</v>
      </c>
      <c r="B52" s="26" t="s">
        <v>82</v>
      </c>
      <c r="C52" s="540"/>
      <c r="D52" s="541"/>
      <c r="E52" s="487"/>
      <c r="F52" s="490"/>
      <c r="G52" s="480"/>
      <c r="H52" s="490"/>
      <c r="I52" s="17">
        <v>10</v>
      </c>
      <c r="J52" s="18">
        <v>3000</v>
      </c>
      <c r="K52" s="9">
        <f>J52/I52</f>
        <v>300</v>
      </c>
      <c r="L52" s="17">
        <v>10</v>
      </c>
      <c r="M52" s="10">
        <f>AVERAGE(M44:M51)</f>
        <v>2821.8049368091365</v>
      </c>
      <c r="N52" s="9">
        <f t="shared" si="61"/>
        <v>282.18049368091363</v>
      </c>
      <c r="O52" s="11">
        <f t="shared" si="62"/>
        <v>0</v>
      </c>
      <c r="P52" s="12">
        <f t="shared" si="51"/>
        <v>-17.819506319086372</v>
      </c>
      <c r="Q52" s="482">
        <f t="shared" si="66"/>
        <v>0.94060164560304538</v>
      </c>
      <c r="R52" s="549"/>
      <c r="S52" s="24"/>
      <c r="T52" s="24"/>
      <c r="U52" s="480"/>
      <c r="V52" s="489"/>
      <c r="W52" s="14"/>
      <c r="X52" s="14"/>
      <c r="Y52" s="536"/>
      <c r="Z52" s="537"/>
      <c r="AA52" s="11">
        <f t="shared" si="2"/>
        <v>-178.19506319086349</v>
      </c>
      <c r="AB52" s="482">
        <f t="shared" si="57"/>
        <v>0.94060164560304549</v>
      </c>
      <c r="AC52" s="549"/>
    </row>
    <row r="53" spans="1:29" ht="15.75" customHeight="1">
      <c r="A53" s="542" t="s">
        <v>383</v>
      </c>
      <c r="B53" s="26" t="s">
        <v>15</v>
      </c>
      <c r="C53" s="529" t="s">
        <v>20</v>
      </c>
      <c r="D53" s="529"/>
      <c r="E53" s="26">
        <v>46</v>
      </c>
      <c r="F53" s="27">
        <v>3619</v>
      </c>
      <c r="G53" s="480">
        <f t="shared" ref="G53:G57" si="67">E53*F53</f>
        <v>166474</v>
      </c>
      <c r="H53" s="492" t="s">
        <v>52</v>
      </c>
      <c r="I53" s="488">
        <v>17</v>
      </c>
      <c r="J53" s="18">
        <v>2000</v>
      </c>
      <c r="K53" s="9">
        <f t="shared" ref="K53:K57" si="68">J53/I53</f>
        <v>117.64705882352941</v>
      </c>
      <c r="L53" s="488">
        <v>17</v>
      </c>
      <c r="M53" s="10">
        <f t="shared" ref="M53:M57" si="69">F53/V53*60</f>
        <v>1871.8965517241381</v>
      </c>
      <c r="N53" s="10">
        <f>M53/L53</f>
        <v>110.11156186612577</v>
      </c>
      <c r="O53" s="11">
        <f>L53-I53</f>
        <v>0</v>
      </c>
      <c r="P53" s="12">
        <f>N53-K53</f>
        <v>-7.5354969574036375</v>
      </c>
      <c r="Q53" s="482">
        <f>N53/K53</f>
        <v>0.93594827586206908</v>
      </c>
      <c r="R53" s="533">
        <f>Q58</f>
        <v>0.93967005575612572</v>
      </c>
      <c r="S53" s="24">
        <v>0.29166666666666669</v>
      </c>
      <c r="T53" s="24">
        <v>0.37222222222222223</v>
      </c>
      <c r="U53" s="15"/>
      <c r="V53" s="489">
        <f t="shared" ref="V53:V57" si="70">(T53-S53)*24*60</f>
        <v>115.99999999999999</v>
      </c>
      <c r="W53" s="15"/>
      <c r="X53" s="15"/>
      <c r="Y53" s="528"/>
      <c r="Z53" s="528"/>
      <c r="AA53" s="11">
        <f t="shared" si="2"/>
        <v>-128.10344827586187</v>
      </c>
      <c r="AB53" s="482">
        <f t="shared" si="57"/>
        <v>0.93594827586206908</v>
      </c>
      <c r="AC53" s="533">
        <f>AB58</f>
        <v>0.93967005575612572</v>
      </c>
    </row>
    <row r="54" spans="1:29" ht="15.75" customHeight="1">
      <c r="A54" s="542" t="s">
        <v>383</v>
      </c>
      <c r="B54" s="26" t="s">
        <v>15</v>
      </c>
      <c r="C54" s="529" t="s">
        <v>65</v>
      </c>
      <c r="D54" s="529"/>
      <c r="E54" s="26">
        <v>46</v>
      </c>
      <c r="F54" s="27">
        <v>3796</v>
      </c>
      <c r="G54" s="480">
        <f t="shared" si="67"/>
        <v>174616</v>
      </c>
      <c r="H54" s="492" t="s">
        <v>52</v>
      </c>
      <c r="I54" s="488">
        <v>18</v>
      </c>
      <c r="J54" s="18">
        <v>2000</v>
      </c>
      <c r="K54" s="9">
        <f t="shared" si="68"/>
        <v>111.11111111111111</v>
      </c>
      <c r="L54" s="488">
        <v>18</v>
      </c>
      <c r="M54" s="10">
        <f t="shared" si="69"/>
        <v>1866.8852459016398</v>
      </c>
      <c r="N54" s="10">
        <f t="shared" ref="N54:N57" si="71">M54/L54</f>
        <v>103.71584699453554</v>
      </c>
      <c r="O54" s="11">
        <f t="shared" ref="O54:O57" si="72">L54-I54</f>
        <v>0</v>
      </c>
      <c r="P54" s="12">
        <f t="shared" ref="P54:P57" si="73">N54-K54</f>
        <v>-7.395264116575575</v>
      </c>
      <c r="Q54" s="482">
        <f t="shared" ref="Q54:Q57" si="74">N54/K54</f>
        <v>0.93344262295081981</v>
      </c>
      <c r="R54" s="533"/>
      <c r="S54" s="24">
        <v>0.37638888888888888</v>
      </c>
      <c r="T54" s="24">
        <v>0.46111111111111108</v>
      </c>
      <c r="U54" s="480">
        <f>IF(S54=TIME(17,0,0),"",(S54-T53)*24*60)</f>
        <v>5.9999999999999787</v>
      </c>
      <c r="V54" s="489">
        <f t="shared" si="70"/>
        <v>121.99999999999997</v>
      </c>
      <c r="W54" s="14"/>
      <c r="X54" s="14"/>
      <c r="Y54" s="528"/>
      <c r="Z54" s="528"/>
      <c r="AA54" s="11">
        <f t="shared" si="2"/>
        <v>-133.11475409836021</v>
      </c>
      <c r="AB54" s="482">
        <f t="shared" si="57"/>
        <v>0.93344262295081992</v>
      </c>
      <c r="AC54" s="533"/>
    </row>
    <row r="55" spans="1:29" ht="15.75" customHeight="1">
      <c r="A55" s="542" t="s">
        <v>1902</v>
      </c>
      <c r="B55" s="26" t="s">
        <v>13</v>
      </c>
      <c r="C55" s="534" t="s">
        <v>59</v>
      </c>
      <c r="D55" s="535"/>
      <c r="E55" s="26">
        <v>55.56</v>
      </c>
      <c r="F55" s="27">
        <v>2380</v>
      </c>
      <c r="G55" s="480">
        <f t="shared" si="67"/>
        <v>132232.80000000002</v>
      </c>
      <c r="H55" s="492" t="s">
        <v>52</v>
      </c>
      <c r="I55" s="488">
        <v>17</v>
      </c>
      <c r="J55" s="18">
        <v>2000</v>
      </c>
      <c r="K55" s="9">
        <f t="shared" si="68"/>
        <v>117.64705882352941</v>
      </c>
      <c r="L55" s="488">
        <v>17</v>
      </c>
      <c r="M55" s="10">
        <f t="shared" si="69"/>
        <v>1878.9473684210514</v>
      </c>
      <c r="N55" s="10">
        <f t="shared" si="71"/>
        <v>110.52631578947361</v>
      </c>
      <c r="O55" s="11">
        <f t="shared" si="72"/>
        <v>0</v>
      </c>
      <c r="P55" s="12">
        <f t="shared" si="73"/>
        <v>-7.120743034055792</v>
      </c>
      <c r="Q55" s="482">
        <f t="shared" si="74"/>
        <v>0.93947368421052579</v>
      </c>
      <c r="R55" s="533"/>
      <c r="S55" s="24">
        <v>0.70833333333333337</v>
      </c>
      <c r="T55" s="24">
        <v>0.76111111111111118</v>
      </c>
      <c r="U55" s="480" t="str">
        <f t="shared" ref="U55:U57" si="75">IF(S55=TIME(17,0,0),"",(S55-T54)*24*60)</f>
        <v/>
      </c>
      <c r="V55" s="489">
        <f t="shared" si="70"/>
        <v>76.000000000000057</v>
      </c>
      <c r="W55" s="14"/>
      <c r="X55" s="14"/>
      <c r="Y55" s="485"/>
      <c r="Z55" s="486"/>
      <c r="AA55" s="11">
        <f t="shared" si="2"/>
        <v>-121.05263157894865</v>
      </c>
      <c r="AB55" s="482">
        <f t="shared" si="57"/>
        <v>0.93947368421052568</v>
      </c>
      <c r="AC55" s="533"/>
    </row>
    <row r="56" spans="1:29" ht="15.75" customHeight="1">
      <c r="A56" s="542" t="s">
        <v>383</v>
      </c>
      <c r="B56" s="26" t="s">
        <v>13</v>
      </c>
      <c r="C56" s="483" t="s">
        <v>58</v>
      </c>
      <c r="D56" s="484"/>
      <c r="E56" s="26">
        <v>55.32</v>
      </c>
      <c r="F56" s="27">
        <v>1734</v>
      </c>
      <c r="G56" s="480">
        <f t="shared" si="67"/>
        <v>95924.88</v>
      </c>
      <c r="H56" s="492" t="s">
        <v>52</v>
      </c>
      <c r="I56" s="488">
        <v>15</v>
      </c>
      <c r="J56" s="18">
        <v>2000</v>
      </c>
      <c r="K56" s="9">
        <f t="shared" si="68"/>
        <v>133.33333333333334</v>
      </c>
      <c r="L56" s="488">
        <v>15</v>
      </c>
      <c r="M56" s="10">
        <f t="shared" si="69"/>
        <v>1891.6363636363649</v>
      </c>
      <c r="N56" s="10">
        <f t="shared" si="71"/>
        <v>126.10909090909099</v>
      </c>
      <c r="O56" s="11">
        <f t="shared" si="72"/>
        <v>0</v>
      </c>
      <c r="P56" s="12">
        <f t="shared" si="73"/>
        <v>-7.2242424242423482</v>
      </c>
      <c r="Q56" s="482">
        <f t="shared" si="74"/>
        <v>0.94581818181818245</v>
      </c>
      <c r="R56" s="533"/>
      <c r="S56" s="24">
        <v>0.76527777777777783</v>
      </c>
      <c r="T56" s="24">
        <v>0.80347222222222225</v>
      </c>
      <c r="U56" s="480">
        <f t="shared" si="75"/>
        <v>5.9999999999999787</v>
      </c>
      <c r="V56" s="489">
        <f t="shared" si="70"/>
        <v>54.999999999999964</v>
      </c>
      <c r="W56" s="14"/>
      <c r="X56" s="14"/>
      <c r="Y56" s="485"/>
      <c r="Z56" s="486"/>
      <c r="AA56" s="11">
        <f t="shared" si="2"/>
        <v>-108.36363636363512</v>
      </c>
      <c r="AB56" s="482">
        <f t="shared" si="57"/>
        <v>0.94581818181818245</v>
      </c>
      <c r="AC56" s="533"/>
    </row>
    <row r="57" spans="1:29" ht="15.75" customHeight="1">
      <c r="A57" s="542" t="s">
        <v>383</v>
      </c>
      <c r="B57" s="26" t="s">
        <v>13</v>
      </c>
      <c r="C57" s="483" t="s">
        <v>60</v>
      </c>
      <c r="D57" s="484"/>
      <c r="E57" s="26">
        <v>57.73</v>
      </c>
      <c r="F57" s="27">
        <v>1512</v>
      </c>
      <c r="G57" s="480">
        <f t="shared" si="67"/>
        <v>87287.76</v>
      </c>
      <c r="H57" s="492" t="s">
        <v>52</v>
      </c>
      <c r="I57" s="488">
        <v>16</v>
      </c>
      <c r="J57" s="18">
        <v>1500</v>
      </c>
      <c r="K57" s="9">
        <f t="shared" si="68"/>
        <v>93.75</v>
      </c>
      <c r="L57" s="488">
        <v>16</v>
      </c>
      <c r="M57" s="10">
        <f t="shared" si="69"/>
        <v>1417.5000000000016</v>
      </c>
      <c r="N57" s="10">
        <f t="shared" si="71"/>
        <v>88.593750000000099</v>
      </c>
      <c r="O57" s="11">
        <f t="shared" si="72"/>
        <v>0</v>
      </c>
      <c r="P57" s="12">
        <f t="shared" si="73"/>
        <v>-5.1562499999999005</v>
      </c>
      <c r="Q57" s="482">
        <f t="shared" si="74"/>
        <v>0.94500000000000106</v>
      </c>
      <c r="R57" s="533"/>
      <c r="S57" s="24">
        <v>0.80694444444444446</v>
      </c>
      <c r="T57" s="24">
        <v>0.85138888888888886</v>
      </c>
      <c r="U57" s="480">
        <f t="shared" si="75"/>
        <v>4.9999999999999822</v>
      </c>
      <c r="V57" s="489">
        <f t="shared" si="70"/>
        <v>63.999999999999929</v>
      </c>
      <c r="W57" s="14"/>
      <c r="X57" s="14"/>
      <c r="Y57" s="485"/>
      <c r="Z57" s="486"/>
      <c r="AA57" s="11">
        <f t="shared" si="2"/>
        <v>-82.499999999998408</v>
      </c>
      <c r="AB57" s="482">
        <f t="shared" si="57"/>
        <v>0.94500000000000106</v>
      </c>
      <c r="AC57" s="533"/>
    </row>
    <row r="58" spans="1:29">
      <c r="A58" s="543" t="s">
        <v>383</v>
      </c>
      <c r="B58" s="26" t="s">
        <v>82</v>
      </c>
      <c r="C58" s="530"/>
      <c r="D58" s="530"/>
      <c r="E58" s="481"/>
      <c r="F58" s="16"/>
      <c r="G58" s="9"/>
      <c r="H58" s="490"/>
      <c r="I58" s="17">
        <v>16.600000000000001</v>
      </c>
      <c r="J58" s="18">
        <v>1900</v>
      </c>
      <c r="K58" s="9">
        <f>J58/I58</f>
        <v>114.4578313253012</v>
      </c>
      <c r="L58" s="17">
        <v>16.600000000000001</v>
      </c>
      <c r="M58" s="10">
        <f>AVERAGE(M53:M57)</f>
        <v>1785.3731059366389</v>
      </c>
      <c r="N58" s="9">
        <f>M58/L58</f>
        <v>107.55259674317101</v>
      </c>
      <c r="O58" s="11">
        <f>L58-I58</f>
        <v>0</v>
      </c>
      <c r="P58" s="12">
        <f>N58-K58</f>
        <v>-6.9052345821301913</v>
      </c>
      <c r="Q58" s="482">
        <f>N58/K58</f>
        <v>0.93967005575612572</v>
      </c>
      <c r="R58" s="533"/>
      <c r="S58" s="25"/>
      <c r="T58" s="24"/>
      <c r="U58" s="9"/>
      <c r="V58" s="489"/>
      <c r="W58" s="9"/>
      <c r="X58" s="9"/>
      <c r="Y58" s="528"/>
      <c r="Z58" s="528"/>
      <c r="AA58" s="11">
        <f t="shared" si="2"/>
        <v>-114.62689406336108</v>
      </c>
      <c r="AB58" s="482">
        <f t="shared" si="57"/>
        <v>0.93967005575612572</v>
      </c>
      <c r="AC58" s="533"/>
    </row>
    <row r="59" spans="1:29" ht="15.75" customHeight="1">
      <c r="A59" s="538" t="s">
        <v>493</v>
      </c>
      <c r="B59" s="490" t="s">
        <v>1549</v>
      </c>
      <c r="C59" s="529" t="s">
        <v>1084</v>
      </c>
      <c r="D59" s="529"/>
      <c r="E59" s="26">
        <v>84.51</v>
      </c>
      <c r="F59" s="27">
        <v>3271</v>
      </c>
      <c r="G59" s="480">
        <f t="shared" ref="G59:G64" si="76">E59*F59</f>
        <v>276432.21000000002</v>
      </c>
      <c r="H59" s="492" t="s">
        <v>52</v>
      </c>
      <c r="I59" s="488">
        <v>17</v>
      </c>
      <c r="J59" s="18">
        <v>2400</v>
      </c>
      <c r="K59" s="9">
        <f t="shared" ref="K59:K64" si="77">J59/I59</f>
        <v>141.1764705882353</v>
      </c>
      <c r="L59" s="17">
        <v>17</v>
      </c>
      <c r="M59" s="10">
        <f t="shared" ref="M59:M64" si="78">F59/V59*60</f>
        <v>2255.8620689655172</v>
      </c>
      <c r="N59" s="9">
        <f>M59/L59</f>
        <v>132.69776876267747</v>
      </c>
      <c r="O59" s="11">
        <f t="shared" ref="O59:O64" si="79">L59-I59</f>
        <v>0</v>
      </c>
      <c r="P59" s="12">
        <f t="shared" ref="P59:P64" si="80">N59-K59</f>
        <v>-8.4787018255578346</v>
      </c>
      <c r="Q59" s="482">
        <f>N59/K59</f>
        <v>0.939942528735632</v>
      </c>
      <c r="R59" s="533">
        <f>Q65</f>
        <v>0.94092940098906341</v>
      </c>
      <c r="S59" s="24">
        <v>0.125</v>
      </c>
      <c r="T59" s="24">
        <v>0.18541666666666667</v>
      </c>
      <c r="U59" s="480"/>
      <c r="V59" s="489">
        <f t="shared" ref="V59:V64" si="81">(T59-S59)*24*60</f>
        <v>87.000000000000014</v>
      </c>
      <c r="W59" s="15"/>
      <c r="X59" s="15"/>
      <c r="Y59" s="528"/>
      <c r="Z59" s="528"/>
      <c r="AA59" s="11">
        <f t="shared" si="2"/>
        <v>-144.13793103448279</v>
      </c>
      <c r="AB59" s="482">
        <f t="shared" si="57"/>
        <v>0.93994252873563222</v>
      </c>
      <c r="AC59" s="533">
        <f>AB65</f>
        <v>0.94092940098906352</v>
      </c>
    </row>
    <row r="60" spans="1:29" ht="15.75" customHeight="1">
      <c r="A60" s="538" t="s">
        <v>1903</v>
      </c>
      <c r="B60" s="490" t="s">
        <v>32</v>
      </c>
      <c r="C60" s="529" t="s">
        <v>35</v>
      </c>
      <c r="D60" s="529"/>
      <c r="E60" s="26">
        <v>26.78</v>
      </c>
      <c r="F60" s="27">
        <v>2778</v>
      </c>
      <c r="G60" s="480">
        <f t="shared" si="76"/>
        <v>74394.84</v>
      </c>
      <c r="H60" s="492" t="s">
        <v>52</v>
      </c>
      <c r="I60" s="488">
        <v>10</v>
      </c>
      <c r="J60" s="18">
        <v>3000</v>
      </c>
      <c r="K60" s="9">
        <f t="shared" si="77"/>
        <v>300</v>
      </c>
      <c r="L60" s="17">
        <v>10</v>
      </c>
      <c r="M60" s="10">
        <f t="shared" si="78"/>
        <v>2825.0847457627119</v>
      </c>
      <c r="N60" s="9">
        <f t="shared" ref="N60:N64" si="82">M60/L60</f>
        <v>282.50847457627117</v>
      </c>
      <c r="O60" s="11">
        <f t="shared" si="79"/>
        <v>0</v>
      </c>
      <c r="P60" s="12">
        <f t="shared" si="80"/>
        <v>-17.491525423728831</v>
      </c>
      <c r="Q60" s="482">
        <f t="shared" ref="Q60:Q64" si="83">N60/K60</f>
        <v>0.94169491525423721</v>
      </c>
      <c r="R60" s="533"/>
      <c r="S60" s="24">
        <v>0.1902777777777778</v>
      </c>
      <c r="T60" s="24">
        <v>0.23125000000000001</v>
      </c>
      <c r="U60" s="480">
        <f>(S60-T59)*24*60</f>
        <v>7.0000000000000151</v>
      </c>
      <c r="V60" s="489">
        <f t="shared" si="81"/>
        <v>58.999999999999993</v>
      </c>
      <c r="W60" s="480"/>
      <c r="X60" s="480"/>
      <c r="Y60" s="528"/>
      <c r="Z60" s="528"/>
      <c r="AA60" s="11">
        <f t="shared" si="2"/>
        <v>-174.91525423728808</v>
      </c>
      <c r="AB60" s="482">
        <f t="shared" si="57"/>
        <v>0.94169491525423732</v>
      </c>
      <c r="AC60" s="533"/>
    </row>
    <row r="61" spans="1:29" ht="15.75" customHeight="1">
      <c r="A61" s="538" t="s">
        <v>493</v>
      </c>
      <c r="B61" s="490" t="s">
        <v>32</v>
      </c>
      <c r="C61" s="529" t="s">
        <v>39</v>
      </c>
      <c r="D61" s="529"/>
      <c r="E61" s="26">
        <v>35.369999999999997</v>
      </c>
      <c r="F61" s="27">
        <v>1721</v>
      </c>
      <c r="G61" s="480">
        <f t="shared" si="76"/>
        <v>60871.77</v>
      </c>
      <c r="H61" s="492" t="s">
        <v>52</v>
      </c>
      <c r="I61" s="488">
        <v>10</v>
      </c>
      <c r="J61" s="18">
        <v>3000</v>
      </c>
      <c r="K61" s="9">
        <f t="shared" si="77"/>
        <v>300</v>
      </c>
      <c r="L61" s="17">
        <v>10</v>
      </c>
      <c r="M61" s="10">
        <f t="shared" si="78"/>
        <v>2868.3333333333339</v>
      </c>
      <c r="N61" s="9">
        <f t="shared" si="82"/>
        <v>286.83333333333337</v>
      </c>
      <c r="O61" s="11">
        <f t="shared" si="79"/>
        <v>0</v>
      </c>
      <c r="P61" s="12">
        <f t="shared" si="80"/>
        <v>-13.166666666666629</v>
      </c>
      <c r="Q61" s="482">
        <f t="shared" si="83"/>
        <v>0.95611111111111124</v>
      </c>
      <c r="R61" s="533"/>
      <c r="S61" s="24">
        <v>0.23680555555555557</v>
      </c>
      <c r="T61" s="24">
        <v>0.26180555555555557</v>
      </c>
      <c r="U61" s="480">
        <f t="shared" ref="U61:U64" si="84">(S61-T60)*24*60</f>
        <v>8.0000000000000107</v>
      </c>
      <c r="V61" s="489">
        <f t="shared" si="81"/>
        <v>35.999999999999993</v>
      </c>
      <c r="W61" s="480"/>
      <c r="X61" s="480"/>
      <c r="Y61" s="528"/>
      <c r="Z61" s="528"/>
      <c r="AA61" s="11">
        <f t="shared" si="2"/>
        <v>-131.66666666666606</v>
      </c>
      <c r="AB61" s="482">
        <f t="shared" si="57"/>
        <v>0.95611111111111136</v>
      </c>
      <c r="AC61" s="533"/>
    </row>
    <row r="62" spans="1:29" ht="15.75" customHeight="1">
      <c r="A62" s="538" t="s">
        <v>493</v>
      </c>
      <c r="B62" s="490" t="s">
        <v>15</v>
      </c>
      <c r="C62" s="529" t="s">
        <v>36</v>
      </c>
      <c r="D62" s="529"/>
      <c r="E62" s="26">
        <v>26.97</v>
      </c>
      <c r="F62" s="27">
        <v>3635</v>
      </c>
      <c r="G62" s="480">
        <f t="shared" si="76"/>
        <v>98035.95</v>
      </c>
      <c r="H62" s="492" t="s">
        <v>52</v>
      </c>
      <c r="I62" s="488">
        <v>8</v>
      </c>
      <c r="J62" s="18">
        <v>1500</v>
      </c>
      <c r="K62" s="9">
        <f t="shared" si="77"/>
        <v>187.5</v>
      </c>
      <c r="L62" s="17">
        <v>8</v>
      </c>
      <c r="M62" s="10">
        <f t="shared" si="78"/>
        <v>1398.0769230769231</v>
      </c>
      <c r="N62" s="9">
        <f t="shared" si="82"/>
        <v>174.75961538461539</v>
      </c>
      <c r="O62" s="11">
        <f t="shared" si="79"/>
        <v>0</v>
      </c>
      <c r="P62" s="12">
        <f t="shared" si="80"/>
        <v>-12.740384615384613</v>
      </c>
      <c r="Q62" s="482">
        <f t="shared" si="83"/>
        <v>0.93205128205128207</v>
      </c>
      <c r="R62" s="533"/>
      <c r="S62" s="24">
        <v>0.26597222222222222</v>
      </c>
      <c r="T62" s="24">
        <v>0.37430555555555556</v>
      </c>
      <c r="U62" s="480">
        <f t="shared" si="84"/>
        <v>5.9999999999999787</v>
      </c>
      <c r="V62" s="489">
        <f t="shared" si="81"/>
        <v>156</v>
      </c>
      <c r="W62" s="480"/>
      <c r="X62" s="480"/>
      <c r="Y62" s="528"/>
      <c r="Z62" s="528"/>
      <c r="AA62" s="11">
        <f t="shared" si="2"/>
        <v>-101.92307692307691</v>
      </c>
      <c r="AB62" s="482">
        <f t="shared" si="57"/>
        <v>0.93205128205128207</v>
      </c>
      <c r="AC62" s="533"/>
    </row>
    <row r="63" spans="1:29">
      <c r="A63" s="539" t="s">
        <v>493</v>
      </c>
      <c r="B63" s="490" t="s">
        <v>32</v>
      </c>
      <c r="C63" s="529" t="s">
        <v>37</v>
      </c>
      <c r="D63" s="529"/>
      <c r="E63" s="26">
        <v>35.119999999999997</v>
      </c>
      <c r="F63" s="27">
        <v>1282</v>
      </c>
      <c r="G63" s="480">
        <f t="shared" si="76"/>
        <v>45023.839999999997</v>
      </c>
      <c r="H63" s="492" t="s">
        <v>52</v>
      </c>
      <c r="I63" s="488">
        <v>13</v>
      </c>
      <c r="J63" s="18">
        <v>2000</v>
      </c>
      <c r="K63" s="9">
        <f t="shared" si="77"/>
        <v>153.84615384615384</v>
      </c>
      <c r="L63" s="17">
        <v>13</v>
      </c>
      <c r="M63" s="10">
        <f t="shared" si="78"/>
        <v>1876.0975609756092</v>
      </c>
      <c r="N63" s="9">
        <f t="shared" si="82"/>
        <v>144.31519699812378</v>
      </c>
      <c r="O63" s="11">
        <f t="shared" si="79"/>
        <v>0</v>
      </c>
      <c r="P63" s="12">
        <f t="shared" si="80"/>
        <v>-9.5309568480300584</v>
      </c>
      <c r="Q63" s="482">
        <f t="shared" si="83"/>
        <v>0.9380487804878046</v>
      </c>
      <c r="R63" s="533"/>
      <c r="S63" s="24">
        <v>0.37777777777777777</v>
      </c>
      <c r="T63" s="24">
        <v>0.40625</v>
      </c>
      <c r="U63" s="480">
        <f t="shared" si="84"/>
        <v>4.9999999999999822</v>
      </c>
      <c r="V63" s="489">
        <f t="shared" si="81"/>
        <v>41.000000000000014</v>
      </c>
      <c r="W63" s="14"/>
      <c r="X63" s="14"/>
      <c r="Y63" s="528"/>
      <c r="Z63" s="528"/>
      <c r="AA63" s="11">
        <f t="shared" si="2"/>
        <v>-123.90243902439079</v>
      </c>
      <c r="AB63" s="482">
        <f t="shared" si="57"/>
        <v>0.9380487804878046</v>
      </c>
      <c r="AC63" s="533"/>
    </row>
    <row r="64" spans="1:29" ht="15" customHeight="1">
      <c r="A64" s="539" t="s">
        <v>493</v>
      </c>
      <c r="B64" s="490" t="s">
        <v>32</v>
      </c>
      <c r="C64" s="534" t="s">
        <v>84</v>
      </c>
      <c r="D64" s="535"/>
      <c r="E64" s="26">
        <v>35.869999999999997</v>
      </c>
      <c r="F64" s="27">
        <v>2843</v>
      </c>
      <c r="G64" s="480">
        <f t="shared" si="76"/>
        <v>101978.40999999999</v>
      </c>
      <c r="H64" s="492" t="s">
        <v>52</v>
      </c>
      <c r="I64" s="488">
        <v>10</v>
      </c>
      <c r="J64" s="18">
        <v>3000</v>
      </c>
      <c r="K64" s="9">
        <f t="shared" si="77"/>
        <v>300</v>
      </c>
      <c r="L64" s="17">
        <v>10</v>
      </c>
      <c r="M64" s="10">
        <f t="shared" si="78"/>
        <v>2796.3934426229498</v>
      </c>
      <c r="N64" s="9">
        <f t="shared" si="82"/>
        <v>279.63934426229497</v>
      </c>
      <c r="O64" s="11">
        <f t="shared" si="79"/>
        <v>0</v>
      </c>
      <c r="P64" s="12">
        <f t="shared" si="80"/>
        <v>-20.360655737705031</v>
      </c>
      <c r="Q64" s="482">
        <f t="shared" si="83"/>
        <v>0.93213114754098325</v>
      </c>
      <c r="R64" s="533"/>
      <c r="S64" s="24">
        <v>0.41180555555555554</v>
      </c>
      <c r="T64" s="24">
        <v>0.45416666666666666</v>
      </c>
      <c r="U64" s="480">
        <f t="shared" si="84"/>
        <v>7.9999999999999716</v>
      </c>
      <c r="V64" s="489">
        <f t="shared" si="81"/>
        <v>61.000000000000021</v>
      </c>
      <c r="W64" s="480"/>
      <c r="X64" s="480"/>
      <c r="Y64" s="536"/>
      <c r="Z64" s="537"/>
      <c r="AA64" s="11">
        <f t="shared" si="2"/>
        <v>-203.60655737705019</v>
      </c>
      <c r="AB64" s="482">
        <f t="shared" si="57"/>
        <v>0.93213114754098325</v>
      </c>
      <c r="AC64" s="533"/>
    </row>
    <row r="65" spans="1:29">
      <c r="A65" s="539" t="s">
        <v>493</v>
      </c>
      <c r="B65" s="26" t="s">
        <v>82</v>
      </c>
      <c r="C65" s="530"/>
      <c r="D65" s="530"/>
      <c r="E65" s="481"/>
      <c r="F65" s="16"/>
      <c r="G65" s="9"/>
      <c r="H65" s="490"/>
      <c r="I65" s="17">
        <v>11.333333333333334</v>
      </c>
      <c r="J65" s="18">
        <v>2483.3333333333335</v>
      </c>
      <c r="K65" s="9">
        <f>J65/I65</f>
        <v>219.11764705882354</v>
      </c>
      <c r="L65" s="17">
        <v>11.333333333333334</v>
      </c>
      <c r="M65" s="10">
        <f>AVERAGE(M59:M64)</f>
        <v>2336.6413457895078</v>
      </c>
      <c r="N65" s="9">
        <f>M65/L65</f>
        <v>206.17423639319185</v>
      </c>
      <c r="O65" s="11">
        <f>L65-I65</f>
        <v>0</v>
      </c>
      <c r="P65" s="12">
        <f>N65-K65</f>
        <v>-12.943410665631689</v>
      </c>
      <c r="Q65" s="482">
        <f>N65/K65</f>
        <v>0.94092940098906341</v>
      </c>
      <c r="R65" s="533"/>
      <c r="S65" s="24"/>
      <c r="T65" s="24"/>
      <c r="U65" s="9"/>
      <c r="V65" s="489"/>
      <c r="W65" s="9"/>
      <c r="X65" s="9"/>
      <c r="Y65" s="528"/>
      <c r="Z65" s="528"/>
      <c r="AA65" s="11">
        <f t="shared" si="2"/>
        <v>-146.69198754382569</v>
      </c>
      <c r="AB65" s="482">
        <f t="shared" si="57"/>
        <v>0.94092940098906352</v>
      </c>
      <c r="AC65" s="533"/>
    </row>
    <row r="66" spans="1:29" ht="15.75" customHeight="1">
      <c r="A66" s="531" t="s">
        <v>387</v>
      </c>
      <c r="B66" s="490" t="s">
        <v>24</v>
      </c>
      <c r="C66" s="529" t="s">
        <v>67</v>
      </c>
      <c r="D66" s="529"/>
      <c r="E66" s="26">
        <v>32.03</v>
      </c>
      <c r="F66" s="490">
        <v>1013</v>
      </c>
      <c r="G66" s="480">
        <f t="shared" ref="G66:G71" si="85">E66*F66</f>
        <v>32446.39</v>
      </c>
      <c r="H66" s="492" t="s">
        <v>52</v>
      </c>
      <c r="I66" s="488">
        <v>19</v>
      </c>
      <c r="J66" s="18">
        <v>2400</v>
      </c>
      <c r="K66" s="9">
        <f t="shared" ref="K66:K68" si="86">J66/I66</f>
        <v>126.31578947368421</v>
      </c>
      <c r="L66" s="17">
        <v>19</v>
      </c>
      <c r="M66" s="10">
        <f>F66/V66*60</f>
        <v>2251.1111111111122</v>
      </c>
      <c r="N66" s="9">
        <f t="shared" ref="N66:N71" si="87">M66/L66</f>
        <v>118.47953216374275</v>
      </c>
      <c r="O66" s="11">
        <f t="shared" ref="O66:O71" si="88">L66-I66</f>
        <v>0</v>
      </c>
      <c r="P66" s="12">
        <f t="shared" ref="P66:P71" si="89">N66-K66</f>
        <v>-7.836257309941459</v>
      </c>
      <c r="Q66" s="482">
        <f>N66/K66</f>
        <v>0.93796296296296344</v>
      </c>
      <c r="R66" s="533">
        <f>Q72</f>
        <v>0.93501935389242796</v>
      </c>
      <c r="S66" s="24">
        <v>0.125</v>
      </c>
      <c r="T66" s="24">
        <v>0.14374999999999999</v>
      </c>
      <c r="U66" s="15"/>
      <c r="V66" s="489">
        <f t="shared" ref="V66:V71" si="90">(T66-S66)*24*60</f>
        <v>26.999999999999986</v>
      </c>
      <c r="W66" s="14">
        <f>T66</f>
        <v>0.14374999999999999</v>
      </c>
      <c r="X66" s="14">
        <f>S67</f>
        <v>0.16319444444444445</v>
      </c>
      <c r="Y66" s="528"/>
      <c r="Z66" s="528"/>
      <c r="AA66" s="11">
        <f t="shared" si="2"/>
        <v>-148.88888888888778</v>
      </c>
      <c r="AB66" s="482">
        <f>M66/J66</f>
        <v>0.93796296296296344</v>
      </c>
      <c r="AC66" s="533">
        <f>AB72</f>
        <v>0.93501935389242796</v>
      </c>
    </row>
    <row r="67" spans="1:29" ht="15.75" customHeight="1">
      <c r="A67" s="531" t="s">
        <v>1904</v>
      </c>
      <c r="B67" s="490" t="s">
        <v>24</v>
      </c>
      <c r="C67" s="529" t="s">
        <v>51</v>
      </c>
      <c r="D67" s="529"/>
      <c r="E67" s="26">
        <v>20.2</v>
      </c>
      <c r="F67" s="490">
        <v>3157</v>
      </c>
      <c r="G67" s="480">
        <f t="shared" si="85"/>
        <v>63771.399999999994</v>
      </c>
      <c r="H67" s="492" t="s">
        <v>52</v>
      </c>
      <c r="I67" s="488">
        <v>19</v>
      </c>
      <c r="J67" s="18">
        <v>2400</v>
      </c>
      <c r="K67" s="9">
        <f t="shared" si="86"/>
        <v>126.31578947368421</v>
      </c>
      <c r="L67" s="17">
        <v>19</v>
      </c>
      <c r="M67" s="10">
        <f t="shared" ref="M67:M71" si="91">F67/V67*60</f>
        <v>2255.0000000000005</v>
      </c>
      <c r="N67" s="9">
        <f t="shared" si="87"/>
        <v>118.68421052631581</v>
      </c>
      <c r="O67" s="11">
        <f t="shared" si="88"/>
        <v>0</v>
      </c>
      <c r="P67" s="12">
        <f t="shared" si="89"/>
        <v>-7.6315789473683964</v>
      </c>
      <c r="Q67" s="482">
        <f t="shared" ref="Q67:Q72" si="92">N67/K67</f>
        <v>0.93958333333333355</v>
      </c>
      <c r="R67" s="533"/>
      <c r="S67" s="24">
        <v>0.16319444444444445</v>
      </c>
      <c r="T67" s="24">
        <v>0.22152777777777777</v>
      </c>
      <c r="U67" s="480">
        <f>(S67-T66)*24*60</f>
        <v>28.000000000000021</v>
      </c>
      <c r="V67" s="489">
        <f t="shared" si="90"/>
        <v>83.999999999999986</v>
      </c>
      <c r="W67" s="14"/>
      <c r="X67" s="14"/>
      <c r="Y67" s="528"/>
      <c r="Z67" s="528"/>
      <c r="AA67" s="11">
        <f t="shared" si="2"/>
        <v>-144.99999999999955</v>
      </c>
      <c r="AB67" s="482">
        <f t="shared" ref="AB67:AB72" si="93">M67/J67</f>
        <v>0.93958333333333355</v>
      </c>
      <c r="AC67" s="533"/>
    </row>
    <row r="68" spans="1:29" ht="15.75" customHeight="1">
      <c r="A68" s="531" t="s">
        <v>387</v>
      </c>
      <c r="B68" s="490" t="s">
        <v>24</v>
      </c>
      <c r="C68" s="529" t="s">
        <v>41</v>
      </c>
      <c r="D68" s="529"/>
      <c r="E68" s="26">
        <v>19.02</v>
      </c>
      <c r="F68" s="490">
        <v>6000</v>
      </c>
      <c r="G68" s="480">
        <f t="shared" si="85"/>
        <v>114120</v>
      </c>
      <c r="H68" s="492">
        <v>2</v>
      </c>
      <c r="I68" s="488">
        <v>15</v>
      </c>
      <c r="J68" s="18">
        <v>2400</v>
      </c>
      <c r="K68" s="9">
        <f t="shared" si="86"/>
        <v>160</v>
      </c>
      <c r="L68" s="17">
        <v>15</v>
      </c>
      <c r="M68" s="10">
        <f t="shared" si="91"/>
        <v>2236.0248447204967</v>
      </c>
      <c r="N68" s="9">
        <f t="shared" si="87"/>
        <v>149.06832298136644</v>
      </c>
      <c r="O68" s="11">
        <f t="shared" si="88"/>
        <v>0</v>
      </c>
      <c r="P68" s="12">
        <f t="shared" si="89"/>
        <v>-10.931677018633565</v>
      </c>
      <c r="Q68" s="482">
        <f t="shared" si="92"/>
        <v>0.93167701863354024</v>
      </c>
      <c r="R68" s="533"/>
      <c r="S68" s="24">
        <v>0.22569444444444445</v>
      </c>
      <c r="T68" s="24">
        <v>0.33750000000000002</v>
      </c>
      <c r="U68" s="480">
        <f t="shared" ref="U68:U71" si="94">(S68-T67)*24*60</f>
        <v>6.0000000000000187</v>
      </c>
      <c r="V68" s="489">
        <f t="shared" si="90"/>
        <v>161</v>
      </c>
      <c r="W68" s="14"/>
      <c r="X68" s="14"/>
      <c r="Y68" s="528"/>
      <c r="Z68" s="528"/>
      <c r="AA68" s="11">
        <f t="shared" si="2"/>
        <v>-163.97515527950327</v>
      </c>
      <c r="AB68" s="482">
        <f t="shared" si="93"/>
        <v>0.93167701863354035</v>
      </c>
      <c r="AC68" s="533"/>
    </row>
    <row r="69" spans="1:29" ht="15.75" customHeight="1">
      <c r="A69" s="531" t="s">
        <v>387</v>
      </c>
      <c r="B69" s="490" t="s">
        <v>24</v>
      </c>
      <c r="C69" s="529" t="s">
        <v>42</v>
      </c>
      <c r="D69" s="529"/>
      <c r="E69" s="26">
        <v>25</v>
      </c>
      <c r="F69" s="490">
        <v>4588</v>
      </c>
      <c r="G69" s="480">
        <f t="shared" si="85"/>
        <v>114700</v>
      </c>
      <c r="H69" s="492" t="s">
        <v>52</v>
      </c>
      <c r="I69" s="488">
        <v>15</v>
      </c>
      <c r="J69" s="18">
        <v>2400</v>
      </c>
      <c r="K69" s="9">
        <f>J69/I69</f>
        <v>160</v>
      </c>
      <c r="L69" s="17">
        <v>15</v>
      </c>
      <c r="M69" s="10">
        <f t="shared" si="91"/>
        <v>2238.0487804878057</v>
      </c>
      <c r="N69" s="9">
        <f t="shared" si="87"/>
        <v>149.2032520325204</v>
      </c>
      <c r="O69" s="11">
        <f t="shared" si="88"/>
        <v>0</v>
      </c>
      <c r="P69" s="12">
        <f t="shared" si="89"/>
        <v>-10.796747967479604</v>
      </c>
      <c r="Q69" s="482">
        <f t="shared" si="92"/>
        <v>0.93252032520325245</v>
      </c>
      <c r="R69" s="533"/>
      <c r="S69" s="24">
        <v>0.34305555555555556</v>
      </c>
      <c r="T69" s="24">
        <v>0.4284722222222222</v>
      </c>
      <c r="U69" s="480">
        <f t="shared" si="94"/>
        <v>7.9999999999999716</v>
      </c>
      <c r="V69" s="489">
        <f t="shared" si="90"/>
        <v>122.99999999999996</v>
      </c>
      <c r="W69" s="14"/>
      <c r="X69" s="14"/>
      <c r="Y69" s="528"/>
      <c r="Z69" s="528"/>
      <c r="AA69" s="11">
        <f t="shared" ref="AA69:AA86" si="95">M69-J69</f>
        <v>-161.95121951219426</v>
      </c>
      <c r="AB69" s="482">
        <f t="shared" si="93"/>
        <v>0.93252032520325234</v>
      </c>
      <c r="AC69" s="533"/>
    </row>
    <row r="70" spans="1:29" ht="15.75" customHeight="1">
      <c r="A70" s="531" t="s">
        <v>387</v>
      </c>
      <c r="B70" s="490" t="s">
        <v>24</v>
      </c>
      <c r="C70" s="529" t="s">
        <v>25</v>
      </c>
      <c r="D70" s="529"/>
      <c r="E70" s="26">
        <v>20.52</v>
      </c>
      <c r="F70" s="490">
        <v>4875</v>
      </c>
      <c r="G70" s="480">
        <f t="shared" si="85"/>
        <v>100035</v>
      </c>
      <c r="H70" s="492" t="s">
        <v>52</v>
      </c>
      <c r="I70" s="488">
        <v>18</v>
      </c>
      <c r="J70" s="18">
        <v>2400</v>
      </c>
      <c r="K70" s="9">
        <f t="shared" ref="K70:K72" si="96">J70/I70</f>
        <v>133.33333333333334</v>
      </c>
      <c r="L70" s="17">
        <v>18</v>
      </c>
      <c r="M70" s="10">
        <f t="shared" si="91"/>
        <v>2250.0000000000009</v>
      </c>
      <c r="N70" s="9">
        <f t="shared" si="87"/>
        <v>125.00000000000006</v>
      </c>
      <c r="O70" s="11">
        <f t="shared" si="88"/>
        <v>0</v>
      </c>
      <c r="P70" s="12">
        <f t="shared" si="89"/>
        <v>-8.333333333333286</v>
      </c>
      <c r="Q70" s="482">
        <f t="shared" si="92"/>
        <v>0.93750000000000033</v>
      </c>
      <c r="R70" s="533"/>
      <c r="S70" s="24">
        <v>0.43194444444444441</v>
      </c>
      <c r="T70" s="24">
        <v>0.52222222222222214</v>
      </c>
      <c r="U70" s="480">
        <f t="shared" si="94"/>
        <v>4.9999999999999822</v>
      </c>
      <c r="V70" s="489">
        <f t="shared" si="90"/>
        <v>129.99999999999994</v>
      </c>
      <c r="W70" s="14">
        <f>T70</f>
        <v>0.52222222222222214</v>
      </c>
      <c r="X70" s="14">
        <f>S71</f>
        <v>0.56388888888888877</v>
      </c>
      <c r="Y70" s="528"/>
      <c r="Z70" s="528"/>
      <c r="AA70" s="11">
        <f t="shared" si="95"/>
        <v>-149.99999999999909</v>
      </c>
      <c r="AB70" s="482">
        <f t="shared" si="93"/>
        <v>0.93750000000000033</v>
      </c>
      <c r="AC70" s="533"/>
    </row>
    <row r="71" spans="1:29" ht="15.75" customHeight="1">
      <c r="A71" s="531" t="s">
        <v>1905</v>
      </c>
      <c r="B71" s="490" t="s">
        <v>24</v>
      </c>
      <c r="C71" s="529" t="s">
        <v>41</v>
      </c>
      <c r="D71" s="529"/>
      <c r="E71" s="26">
        <v>19.02</v>
      </c>
      <c r="F71" s="490">
        <v>5548</v>
      </c>
      <c r="G71" s="480">
        <f t="shared" si="85"/>
        <v>105522.95999999999</v>
      </c>
      <c r="H71" s="492" t="s">
        <v>52</v>
      </c>
      <c r="I71" s="488">
        <v>15</v>
      </c>
      <c r="J71" s="18">
        <v>2400</v>
      </c>
      <c r="K71" s="9">
        <f t="shared" si="96"/>
        <v>160</v>
      </c>
      <c r="L71" s="17">
        <v>15</v>
      </c>
      <c r="M71" s="10">
        <f t="shared" si="91"/>
        <v>2234.0939597315441</v>
      </c>
      <c r="N71" s="9">
        <f t="shared" si="87"/>
        <v>148.93959731543629</v>
      </c>
      <c r="O71" s="11">
        <f t="shared" si="88"/>
        <v>0</v>
      </c>
      <c r="P71" s="12">
        <f t="shared" si="89"/>
        <v>-11.060402684563712</v>
      </c>
      <c r="Q71" s="482">
        <f t="shared" si="92"/>
        <v>0.93087248322147675</v>
      </c>
      <c r="R71" s="533"/>
      <c r="S71" s="24">
        <v>0.56388888888888877</v>
      </c>
      <c r="T71" s="24">
        <v>0.66736111111111096</v>
      </c>
      <c r="U71" s="480">
        <f t="shared" si="94"/>
        <v>59.999999999999943</v>
      </c>
      <c r="V71" s="489">
        <f t="shared" si="90"/>
        <v>148.99999999999994</v>
      </c>
      <c r="W71" s="14"/>
      <c r="X71" s="14"/>
      <c r="Y71" s="528"/>
      <c r="Z71" s="528"/>
      <c r="AA71" s="11">
        <f t="shared" si="95"/>
        <v>-165.90604026845585</v>
      </c>
      <c r="AB71" s="482">
        <f t="shared" si="93"/>
        <v>0.93087248322147675</v>
      </c>
      <c r="AC71" s="533"/>
    </row>
    <row r="72" spans="1:29" ht="16.5" customHeight="1">
      <c r="A72" s="532" t="s">
        <v>387</v>
      </c>
      <c r="B72" s="26" t="s">
        <v>82</v>
      </c>
      <c r="C72" s="530"/>
      <c r="D72" s="530"/>
      <c r="E72" s="481"/>
      <c r="F72" s="16"/>
      <c r="G72" s="9"/>
      <c r="H72" s="490"/>
      <c r="I72" s="17">
        <v>16.833333333333332</v>
      </c>
      <c r="J72" s="18">
        <v>2400</v>
      </c>
      <c r="K72" s="9">
        <f t="shared" si="96"/>
        <v>142.57425742574259</v>
      </c>
      <c r="L72" s="17">
        <v>16.833333333333332</v>
      </c>
      <c r="M72" s="10">
        <f>AVERAGE(M66:M71)</f>
        <v>2244.0464493418272</v>
      </c>
      <c r="N72" s="9">
        <f>M72/L72</f>
        <v>133.30969005991054</v>
      </c>
      <c r="O72" s="11">
        <f>L72-I72</f>
        <v>0</v>
      </c>
      <c r="P72" s="12">
        <f>N72-K72</f>
        <v>-9.2645673658320504</v>
      </c>
      <c r="Q72" s="482">
        <f t="shared" si="92"/>
        <v>0.93501935389242796</v>
      </c>
      <c r="R72" s="533"/>
      <c r="S72" s="24"/>
      <c r="T72" s="24"/>
      <c r="U72" s="9"/>
      <c r="V72" s="489"/>
      <c r="W72" s="9"/>
      <c r="X72" s="9"/>
      <c r="Y72" s="528"/>
      <c r="Z72" s="528"/>
      <c r="AA72" s="11">
        <f t="shared" si="95"/>
        <v>-155.95355065817284</v>
      </c>
      <c r="AB72" s="482">
        <f t="shared" si="93"/>
        <v>0.93501935389242796</v>
      </c>
      <c r="AC72" s="533"/>
    </row>
    <row r="73" spans="1:29">
      <c r="D73" s="19"/>
      <c r="E73" s="19"/>
    </row>
  </sheetData>
  <mergeCells count="192">
    <mergeCell ref="Y69:Z69"/>
    <mergeCell ref="C70:D70"/>
    <mergeCell ref="Y70:Z70"/>
    <mergeCell ref="C71:D71"/>
    <mergeCell ref="Y71:Z71"/>
    <mergeCell ref="C72:D72"/>
    <mergeCell ref="Y72:Z72"/>
    <mergeCell ref="A66:A72"/>
    <mergeCell ref="C66:D66"/>
    <mergeCell ref="R66:R72"/>
    <mergeCell ref="Y66:Z66"/>
    <mergeCell ref="AC66:AC72"/>
    <mergeCell ref="C67:D67"/>
    <mergeCell ref="Y67:Z67"/>
    <mergeCell ref="C68:D68"/>
    <mergeCell ref="Y68:Z68"/>
    <mergeCell ref="C69:D69"/>
    <mergeCell ref="Y62:Z62"/>
    <mergeCell ref="C63:D63"/>
    <mergeCell ref="Y63:Z63"/>
    <mergeCell ref="C64:D64"/>
    <mergeCell ref="Y64:Z64"/>
    <mergeCell ref="C65:D65"/>
    <mergeCell ref="Y65:Z65"/>
    <mergeCell ref="A59:A65"/>
    <mergeCell ref="C59:D59"/>
    <mergeCell ref="R59:R65"/>
    <mergeCell ref="Y59:Z59"/>
    <mergeCell ref="AC59:AC65"/>
    <mergeCell ref="C60:D60"/>
    <mergeCell ref="Y60:Z60"/>
    <mergeCell ref="C61:D61"/>
    <mergeCell ref="Y61:Z61"/>
    <mergeCell ref="C62:D62"/>
    <mergeCell ref="AC53:AC58"/>
    <mergeCell ref="C54:D54"/>
    <mergeCell ref="Y54:Z54"/>
    <mergeCell ref="C55:D55"/>
    <mergeCell ref="C58:D58"/>
    <mergeCell ref="Y58:Z58"/>
    <mergeCell ref="Y50:Z50"/>
    <mergeCell ref="C51:D51"/>
    <mergeCell ref="Y51:Z51"/>
    <mergeCell ref="C52:D52"/>
    <mergeCell ref="Y52:Z52"/>
    <mergeCell ref="A53:A58"/>
    <mergeCell ref="C53:D53"/>
    <mergeCell ref="R53:R58"/>
    <mergeCell ref="Y53:Z53"/>
    <mergeCell ref="AC44:AC52"/>
    <mergeCell ref="C45:D45"/>
    <mergeCell ref="Y45:Z45"/>
    <mergeCell ref="C46:D46"/>
    <mergeCell ref="Y46:Z46"/>
    <mergeCell ref="C47:D47"/>
    <mergeCell ref="Y47:Z47"/>
    <mergeCell ref="C48:D48"/>
    <mergeCell ref="Y48:Z48"/>
    <mergeCell ref="C49:D49"/>
    <mergeCell ref="C42:D42"/>
    <mergeCell ref="Y42:Z42"/>
    <mergeCell ref="C43:D43"/>
    <mergeCell ref="Y43:Z43"/>
    <mergeCell ref="A44:A52"/>
    <mergeCell ref="C44:D44"/>
    <mergeCell ref="R44:R52"/>
    <mergeCell ref="Y44:Z44"/>
    <mergeCell ref="Y49:Z49"/>
    <mergeCell ref="C50:D50"/>
    <mergeCell ref="C39:D39"/>
    <mergeCell ref="Y39:Z39"/>
    <mergeCell ref="C40:D40"/>
    <mergeCell ref="Y40:Z40"/>
    <mergeCell ref="C41:D41"/>
    <mergeCell ref="Y41:Z41"/>
    <mergeCell ref="C36:D36"/>
    <mergeCell ref="Y36:Z36"/>
    <mergeCell ref="C37:D37"/>
    <mergeCell ref="Y37:Z37"/>
    <mergeCell ref="C38:D38"/>
    <mergeCell ref="Y38:Z38"/>
    <mergeCell ref="Y32:Z32"/>
    <mergeCell ref="A33:A43"/>
    <mergeCell ref="C33:D33"/>
    <mergeCell ref="R33:R43"/>
    <mergeCell ref="Y33:Z33"/>
    <mergeCell ref="AC33:AC43"/>
    <mergeCell ref="C34:D34"/>
    <mergeCell ref="Y34:Z34"/>
    <mergeCell ref="C35:D35"/>
    <mergeCell ref="Y35:Z35"/>
    <mergeCell ref="AC25:AC32"/>
    <mergeCell ref="C26:D26"/>
    <mergeCell ref="Y26:Z26"/>
    <mergeCell ref="C27:D27"/>
    <mergeCell ref="Y27:Z27"/>
    <mergeCell ref="C28:D28"/>
    <mergeCell ref="Y28:Z28"/>
    <mergeCell ref="C29:D29"/>
    <mergeCell ref="Y29:Z29"/>
    <mergeCell ref="C30:D30"/>
    <mergeCell ref="C24:D24"/>
    <mergeCell ref="Y24:Z24"/>
    <mergeCell ref="A25:A32"/>
    <mergeCell ref="C25:D25"/>
    <mergeCell ref="R25:R32"/>
    <mergeCell ref="Y25:Z25"/>
    <mergeCell ref="Y30:Z30"/>
    <mergeCell ref="C31:D31"/>
    <mergeCell ref="Y31:Z31"/>
    <mergeCell ref="C32:D32"/>
    <mergeCell ref="C21:D21"/>
    <mergeCell ref="Y21:Z21"/>
    <mergeCell ref="C22:D22"/>
    <mergeCell ref="Y22:Z22"/>
    <mergeCell ref="C23:D23"/>
    <mergeCell ref="Y23:Z23"/>
    <mergeCell ref="Y17:Z17"/>
    <mergeCell ref="A18:A24"/>
    <mergeCell ref="C18:D18"/>
    <mergeCell ref="R18:R24"/>
    <mergeCell ref="Y18:Z18"/>
    <mergeCell ref="AC18:AC24"/>
    <mergeCell ref="C19:D19"/>
    <mergeCell ref="Y19:Z19"/>
    <mergeCell ref="C20:D20"/>
    <mergeCell ref="Y20:Z20"/>
    <mergeCell ref="A14:A17"/>
    <mergeCell ref="C14:D14"/>
    <mergeCell ref="R14:R17"/>
    <mergeCell ref="Y14:Z14"/>
    <mergeCell ref="AC14:AC17"/>
    <mergeCell ref="C15:D15"/>
    <mergeCell ref="Y15:Z15"/>
    <mergeCell ref="C16:D16"/>
    <mergeCell ref="Y16:Z16"/>
    <mergeCell ref="C17:D17"/>
    <mergeCell ref="AC9:AC13"/>
    <mergeCell ref="C10:D10"/>
    <mergeCell ref="Y10:Z10"/>
    <mergeCell ref="C11:D11"/>
    <mergeCell ref="Y11:Z11"/>
    <mergeCell ref="C12:D12"/>
    <mergeCell ref="Y12:Z12"/>
    <mergeCell ref="C13:D13"/>
    <mergeCell ref="Y13:Z13"/>
    <mergeCell ref="C8:D8"/>
    <mergeCell ref="Y8:Z8"/>
    <mergeCell ref="A9:A13"/>
    <mergeCell ref="C9:D9"/>
    <mergeCell ref="R9:R13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S1:X2"/>
    <mergeCell ref="Y1:Z2"/>
    <mergeCell ref="AA1:AC2"/>
  </mergeCells>
  <phoneticPr fontId="3" type="noConversion"/>
  <conditionalFormatting sqref="O62:O72 O5:O9 O13:O15 O52:O59 O17:O49">
    <cfRule type="cellIs" dxfId="54" priority="47" operator="greaterThan">
      <formula>0</formula>
    </cfRule>
  </conditionalFormatting>
  <conditionalFormatting sqref="P5:P7 P62:P64 AA62:AA64 P66:P71 P25:P31 P59 P9 P13:P15 P18:P23 P53:P57 P33:P49 AA5:AA59 AA66:AA72">
    <cfRule type="cellIs" dxfId="53" priority="51" operator="lessThan">
      <formula>0</formula>
    </cfRule>
  </conditionalFormatting>
  <conditionalFormatting sqref="AB62:AB64 Q62:Q72 Q5:Q9 Q13:Q15 Q52:Q59 Q17:Q49 AB5:AB59 AB66:AB72">
    <cfRule type="cellIs" dxfId="52" priority="48" operator="greaterThan">
      <formula>1</formula>
    </cfRule>
    <cfRule type="cellIs" dxfId="51" priority="49" operator="lessThan">
      <formula>0.8</formula>
    </cfRule>
  </conditionalFormatting>
  <conditionalFormatting sqref="AC14:AC15 R14:R15 AC62 R17:R40 AC17:AC40 R62:R72 AC5:AC9 R5:R9 R43:R49 AC43:AC49 AC52:AC59 R52:R59">
    <cfRule type="cellIs" dxfId="50" priority="53" operator="lessThan">
      <formula>0.8</formula>
    </cfRule>
  </conditionalFormatting>
  <conditionalFormatting sqref="AC44">
    <cfRule type="cellIs" dxfId="49" priority="55" operator="lessThan">
      <formula>0.8</formula>
    </cfRule>
  </conditionalFormatting>
  <conditionalFormatting sqref="AC18:AC23">
    <cfRule type="cellIs" dxfId="48" priority="52" operator="lessThan">
      <formula>0.8</formula>
    </cfRule>
  </conditionalFormatting>
  <conditionalFormatting sqref="AC25">
    <cfRule type="cellIs" dxfId="47" priority="54" operator="lessThan">
      <formula>0.8</formula>
    </cfRule>
  </conditionalFormatting>
  <conditionalFormatting sqref="AC33:AC40">
    <cfRule type="cellIs" dxfId="46" priority="50" operator="lessThan">
      <formula>0.8</formula>
    </cfRule>
  </conditionalFormatting>
  <conditionalFormatting sqref="AA65">
    <cfRule type="cellIs" dxfId="45" priority="46" operator="lessThan">
      <formula>0</formula>
    </cfRule>
  </conditionalFormatting>
  <conditionalFormatting sqref="AB65">
    <cfRule type="cellIs" dxfId="44" priority="44" operator="greaterThan">
      <formula>1</formula>
    </cfRule>
    <cfRule type="cellIs" dxfId="43" priority="45" operator="lessThan">
      <formula>0.8</formula>
    </cfRule>
  </conditionalFormatting>
  <conditionalFormatting sqref="O16">
    <cfRule type="cellIs" dxfId="42" priority="39" operator="greaterThan">
      <formula>0</formula>
    </cfRule>
  </conditionalFormatting>
  <conditionalFormatting sqref="P16">
    <cfRule type="cellIs" dxfId="41" priority="42" operator="lessThan">
      <formula>0</formula>
    </cfRule>
  </conditionalFormatting>
  <conditionalFormatting sqref="Q16">
    <cfRule type="cellIs" dxfId="40" priority="40" operator="greaterThan">
      <formula>1</formula>
    </cfRule>
    <cfRule type="cellIs" dxfId="39" priority="41" operator="lessThan">
      <formula>0.8</formula>
    </cfRule>
  </conditionalFormatting>
  <conditionalFormatting sqref="R16 AC16">
    <cfRule type="cellIs" dxfId="38" priority="43" operator="lessThan">
      <formula>0.8</formula>
    </cfRule>
  </conditionalFormatting>
  <conditionalFormatting sqref="O10:O12">
    <cfRule type="cellIs" dxfId="37" priority="35" operator="greaterThan">
      <formula>0</formula>
    </cfRule>
  </conditionalFormatting>
  <conditionalFormatting sqref="P10:P12">
    <cfRule type="cellIs" dxfId="36" priority="38" operator="lessThan">
      <formula>0</formula>
    </cfRule>
  </conditionalFormatting>
  <conditionalFormatting sqref="Q10:Q12">
    <cfRule type="cellIs" dxfId="35" priority="36" operator="greaterThan">
      <formula>1</formula>
    </cfRule>
    <cfRule type="cellIs" dxfId="34" priority="37" operator="lessThan">
      <formula>0.8</formula>
    </cfRule>
  </conditionalFormatting>
  <conditionalFormatting sqref="R41 AC41">
    <cfRule type="cellIs" dxfId="33" priority="34" operator="lessThan">
      <formula>0.8</formula>
    </cfRule>
  </conditionalFormatting>
  <conditionalFormatting sqref="AC41">
    <cfRule type="cellIs" dxfId="32" priority="33" operator="lessThan">
      <formula>0.8</formula>
    </cfRule>
  </conditionalFormatting>
  <conditionalFormatting sqref="O61">
    <cfRule type="cellIs" dxfId="31" priority="28" operator="greaterThan">
      <formula>0</formula>
    </cfRule>
  </conditionalFormatting>
  <conditionalFormatting sqref="P61 AA61">
    <cfRule type="cellIs" dxfId="30" priority="31" operator="lessThan">
      <formula>0</formula>
    </cfRule>
  </conditionalFormatting>
  <conditionalFormatting sqref="Q61 AB61">
    <cfRule type="cellIs" dxfId="29" priority="29" operator="greaterThan">
      <formula>1</formula>
    </cfRule>
    <cfRule type="cellIs" dxfId="28" priority="30" operator="lessThan">
      <formula>0.8</formula>
    </cfRule>
  </conditionalFormatting>
  <conditionalFormatting sqref="R61 AC61">
    <cfRule type="cellIs" dxfId="27" priority="32" operator="lessThan">
      <formula>0.8</formula>
    </cfRule>
  </conditionalFormatting>
  <conditionalFormatting sqref="O50">
    <cfRule type="cellIs" dxfId="26" priority="22" operator="greaterThan">
      <formula>0</formula>
    </cfRule>
  </conditionalFormatting>
  <conditionalFormatting sqref="P50">
    <cfRule type="cellIs" dxfId="25" priority="26" operator="lessThan">
      <formula>0</formula>
    </cfRule>
  </conditionalFormatting>
  <conditionalFormatting sqref="Q50">
    <cfRule type="cellIs" dxfId="24" priority="23" operator="greaterThan">
      <formula>1</formula>
    </cfRule>
    <cfRule type="cellIs" dxfId="23" priority="24" operator="lessThan">
      <formula>0.8</formula>
    </cfRule>
  </conditionalFormatting>
  <conditionalFormatting sqref="R50 AC50">
    <cfRule type="cellIs" dxfId="22" priority="27" operator="lessThan">
      <formula>0.8</formula>
    </cfRule>
  </conditionalFormatting>
  <conditionalFormatting sqref="AC50">
    <cfRule type="cellIs" dxfId="21" priority="25" operator="lessThan">
      <formula>0.8</formula>
    </cfRule>
  </conditionalFormatting>
  <conditionalFormatting sqref="O51">
    <cfRule type="cellIs" dxfId="20" priority="16" operator="greaterThan">
      <formula>0</formula>
    </cfRule>
  </conditionalFormatting>
  <conditionalFormatting sqref="P51">
    <cfRule type="cellIs" dxfId="19" priority="20" operator="lessThan">
      <formula>0</formula>
    </cfRule>
  </conditionalFormatting>
  <conditionalFormatting sqref="Q51">
    <cfRule type="cellIs" dxfId="18" priority="17" operator="greaterThan">
      <formula>1</formula>
    </cfRule>
    <cfRule type="cellIs" dxfId="17" priority="18" operator="lessThan">
      <formula>0.8</formula>
    </cfRule>
  </conditionalFormatting>
  <conditionalFormatting sqref="R51 AC51">
    <cfRule type="cellIs" dxfId="16" priority="21" operator="lessThan">
      <formula>0.8</formula>
    </cfRule>
  </conditionalFormatting>
  <conditionalFormatting sqref="AC51">
    <cfRule type="cellIs" dxfId="15" priority="19" operator="lessThan">
      <formula>0.8</formula>
    </cfRule>
  </conditionalFormatting>
  <conditionalFormatting sqref="O60">
    <cfRule type="cellIs" dxfId="14" priority="11" operator="greaterThan">
      <formula>0</formula>
    </cfRule>
  </conditionalFormatting>
  <conditionalFormatting sqref="P60 AA60">
    <cfRule type="cellIs" dxfId="13" priority="14" operator="lessThan">
      <formula>0</formula>
    </cfRule>
  </conditionalFormatting>
  <conditionalFormatting sqref="Q60 AB60">
    <cfRule type="cellIs" dxfId="12" priority="12" operator="greaterThan">
      <formula>1</formula>
    </cfRule>
    <cfRule type="cellIs" dxfId="11" priority="13" operator="lessThan">
      <formula>0.8</formula>
    </cfRule>
  </conditionalFormatting>
  <conditionalFormatting sqref="R60 AC60">
    <cfRule type="cellIs" dxfId="10" priority="15" operator="lessThan">
      <formula>0.8</formula>
    </cfRule>
  </conditionalFormatting>
  <conditionalFormatting sqref="P8">
    <cfRule type="cellIs" dxfId="9" priority="10" operator="lessThan">
      <formula>0</formula>
    </cfRule>
  </conditionalFormatting>
  <conditionalFormatting sqref="P17">
    <cfRule type="cellIs" dxfId="8" priority="9" operator="lessThan">
      <formula>0</formula>
    </cfRule>
  </conditionalFormatting>
  <conditionalFormatting sqref="P24">
    <cfRule type="cellIs" dxfId="7" priority="8" operator="lessThan">
      <formula>0</formula>
    </cfRule>
  </conditionalFormatting>
  <conditionalFormatting sqref="P32">
    <cfRule type="cellIs" dxfId="6" priority="7" operator="lessThan">
      <formula>0</formula>
    </cfRule>
  </conditionalFormatting>
  <conditionalFormatting sqref="P52">
    <cfRule type="cellIs" dxfId="5" priority="6" operator="lessThan">
      <formula>0</formula>
    </cfRule>
  </conditionalFormatting>
  <conditionalFormatting sqref="P58">
    <cfRule type="cellIs" dxfId="4" priority="5" operator="lessThan">
      <formula>0</formula>
    </cfRule>
  </conditionalFormatting>
  <conditionalFormatting sqref="P65">
    <cfRule type="cellIs" dxfId="3" priority="4" operator="lessThan">
      <formula>0</formula>
    </cfRule>
  </conditionalFormatting>
  <conditionalFormatting sqref="P72">
    <cfRule type="cellIs" dxfId="2" priority="3" operator="lessThan">
      <formula>0</formula>
    </cfRule>
  </conditionalFormatting>
  <conditionalFormatting sqref="R42 AC42">
    <cfRule type="cellIs" dxfId="1" priority="2" operator="lessThan">
      <formula>0.8</formula>
    </cfRule>
  </conditionalFormatting>
  <conditionalFormatting sqref="AC42">
    <cfRule type="cellIs" dxfId="0" priority="1" operator="lessThan">
      <formula>0.8</formula>
    </cfRule>
  </conditionalFormatting>
  <dataValidations count="1">
    <dataValidation type="list" allowBlank="1" showInputMessage="1" showErrorMessage="1" sqref="Z8 Z63:Z64 Y5:Z7 Y8:Y64 Z10:Z59 Y65:Z72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2"/>
  <dimension ref="B1:Q28"/>
  <sheetViews>
    <sheetView topLeftCell="A7" zoomScale="80" zoomScaleNormal="80" workbookViewId="0">
      <selection activeCell="C29" sqref="C29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521" t="s">
        <v>1791</v>
      </c>
      <c r="C1" s="521"/>
      <c r="D1" s="521"/>
      <c r="E1" s="521"/>
      <c r="F1" s="521"/>
      <c r="G1" s="521"/>
      <c r="H1" s="521"/>
      <c r="I1" s="521"/>
      <c r="J1" s="521"/>
      <c r="K1" s="28"/>
      <c r="L1" s="28"/>
      <c r="M1" s="28"/>
      <c r="N1" s="28"/>
      <c r="O1" s="28"/>
      <c r="P1" s="28"/>
    </row>
    <row r="2" spans="2:17" ht="27.75" customHeight="1">
      <c r="B2" s="522"/>
      <c r="C2" s="522"/>
      <c r="D2" s="522"/>
      <c r="E2" s="522"/>
      <c r="F2" s="522"/>
      <c r="G2" s="522"/>
      <c r="H2" s="522"/>
      <c r="I2" s="522"/>
      <c r="J2" s="522"/>
      <c r="K2" s="30"/>
      <c r="L2" s="30"/>
      <c r="M2" s="30"/>
      <c r="N2" s="28"/>
      <c r="O2" s="28"/>
      <c r="P2" s="28"/>
    </row>
    <row r="3" spans="2:17" ht="46.5" customHeight="1">
      <c r="B3" s="464" t="s">
        <v>1792</v>
      </c>
      <c r="C3" s="523" t="str">
        <f>TEXT('0830 4度C'!A2,"yyyy.mm.ddaaaa")</f>
        <v>2025.08.30星期六</v>
      </c>
      <c r="D3" s="523"/>
      <c r="E3" s="464" t="s">
        <v>1793</v>
      </c>
      <c r="F3" s="524">
        <f>'0830 4度C'!D1</f>
        <v>136235</v>
      </c>
      <c r="G3" s="524"/>
      <c r="H3" s="464" t="s">
        <v>1794</v>
      </c>
      <c r="I3" s="525">
        <f>'0830 4度C'!F1</f>
        <v>4840642.04</v>
      </c>
      <c r="J3" s="525"/>
      <c r="K3" s="31"/>
      <c r="L3" s="33"/>
      <c r="N3" s="33"/>
    </row>
    <row r="4" spans="2:17" ht="28.5" customHeight="1">
      <c r="B4" s="516" t="s">
        <v>124</v>
      </c>
      <c r="C4" s="516" t="s">
        <v>1795</v>
      </c>
      <c r="D4" s="516"/>
      <c r="E4" s="526" t="s">
        <v>1796</v>
      </c>
      <c r="F4" s="526"/>
      <c r="G4" s="526" t="s">
        <v>1797</v>
      </c>
      <c r="H4" s="526"/>
      <c r="I4" s="527" t="s">
        <v>1798</v>
      </c>
      <c r="J4" s="527"/>
      <c r="N4" s="33"/>
    </row>
    <row r="5" spans="2:17" ht="28.5" customHeight="1">
      <c r="B5" s="516"/>
      <c r="C5" s="516" t="s">
        <v>1799</v>
      </c>
      <c r="D5" s="516"/>
      <c r="E5" s="516" t="s">
        <v>1800</v>
      </c>
      <c r="F5" s="516"/>
      <c r="G5" s="517" t="s">
        <v>1801</v>
      </c>
      <c r="H5" s="517"/>
      <c r="I5" s="518" t="s">
        <v>111</v>
      </c>
      <c r="J5" s="518"/>
      <c r="K5" s="33"/>
      <c r="M5" s="33"/>
      <c r="N5" s="33"/>
    </row>
    <row r="6" spans="2:17" ht="28.5" customHeight="1">
      <c r="B6" s="516"/>
      <c r="C6" s="516" t="s">
        <v>43</v>
      </c>
      <c r="D6" s="516"/>
      <c r="E6" s="519">
        <f>AVERAGE(D13:M13)</f>
        <v>144.99615603112375</v>
      </c>
      <c r="F6" s="516">
        <f>AVERAGE(D27:O27,D13:J13)</f>
        <v>148.966558911117</v>
      </c>
      <c r="G6" s="520">
        <f>AVERAGE(D13:J13)</f>
        <v>148.966558911117</v>
      </c>
      <c r="H6" s="520"/>
      <c r="I6" s="520">
        <f>AVERAGE(K13:M13)</f>
        <v>135.73188264447288</v>
      </c>
      <c r="J6" s="520"/>
      <c r="K6" s="33"/>
      <c r="M6" s="33"/>
      <c r="N6" s="33"/>
    </row>
    <row r="7" spans="2:17" ht="28.5" customHeight="1">
      <c r="B7" s="516"/>
      <c r="C7" s="510" t="s">
        <v>44</v>
      </c>
      <c r="D7" s="510"/>
      <c r="E7" s="511">
        <f>AVERAGE(D14:M14)</f>
        <v>135.99291281041562</v>
      </c>
      <c r="F7" s="512">
        <f>AVERAGE(D28:O28,D14:J14)</f>
        <v>139.62289872326849</v>
      </c>
      <c r="G7" s="513">
        <f>AVERAGE(D14:J14)</f>
        <v>139.62289872326849</v>
      </c>
      <c r="H7" s="513"/>
      <c r="I7" s="513">
        <f>AVERAGE(K14:M14)</f>
        <v>127.52294568042554</v>
      </c>
      <c r="J7" s="513"/>
      <c r="K7" s="33"/>
      <c r="N7" s="33"/>
    </row>
    <row r="8" spans="2:17" ht="28.5" customHeight="1">
      <c r="B8" s="516"/>
      <c r="C8" s="510" t="s">
        <v>45</v>
      </c>
      <c r="D8" s="510"/>
      <c r="E8" s="514">
        <f>AVERAGE(D15:M15)</f>
        <v>0.93748136170331109</v>
      </c>
      <c r="F8" s="510">
        <f>AVERAGE(D15:J15,D29:O29)</f>
        <v>0.9366394418776427</v>
      </c>
      <c r="G8" s="515">
        <f>AVERAGE(D15:J15)</f>
        <v>0.9366394418776427</v>
      </c>
      <c r="H8" s="515"/>
      <c r="I8" s="515">
        <f>AVERAGE(K15:M15)</f>
        <v>0.9394458412965373</v>
      </c>
      <c r="J8" s="515"/>
      <c r="K8" s="34" t="s">
        <v>1802</v>
      </c>
      <c r="M8" s="33"/>
      <c r="N8" s="33"/>
    </row>
    <row r="9" spans="2:17" ht="28.5" customHeight="1" thickBot="1">
      <c r="H9" s="36"/>
      <c r="I9" s="291"/>
      <c r="N9" s="33"/>
      <c r="O9" s="33"/>
      <c r="P9" s="33"/>
      <c r="Q9" s="33"/>
    </row>
    <row r="10" spans="2:17" ht="30" customHeight="1">
      <c r="B10" s="501" t="s">
        <v>1803</v>
      </c>
      <c r="C10" s="502"/>
      <c r="D10" s="503" t="s">
        <v>1804</v>
      </c>
      <c r="E10" s="504"/>
      <c r="F10" s="504"/>
      <c r="G10" s="504"/>
      <c r="H10" s="504"/>
      <c r="I10" s="504"/>
      <c r="J10" s="505"/>
      <c r="K10" s="506" t="s">
        <v>1805</v>
      </c>
      <c r="L10" s="504"/>
      <c r="M10" s="507"/>
      <c r="P10" s="37"/>
      <c r="Q10" s="37"/>
    </row>
    <row r="11" spans="2:17" ht="17.25" customHeight="1">
      <c r="B11" s="493" t="s">
        <v>1806</v>
      </c>
      <c r="C11" s="494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292">
        <v>6</v>
      </c>
      <c r="J11" s="40">
        <v>7</v>
      </c>
      <c r="K11" s="38">
        <v>1</v>
      </c>
      <c r="L11" s="292">
        <v>2</v>
      </c>
      <c r="M11" s="40">
        <v>3</v>
      </c>
      <c r="P11" s="37"/>
      <c r="Q11" s="37"/>
    </row>
    <row r="12" spans="2:17" ht="34.15" customHeight="1">
      <c r="B12" s="493"/>
      <c r="C12" s="494"/>
      <c r="D12" s="41" t="s">
        <v>345</v>
      </c>
      <c r="E12" s="42" t="s">
        <v>346</v>
      </c>
      <c r="F12" s="42" t="s">
        <v>347</v>
      </c>
      <c r="G12" s="42" t="s">
        <v>348</v>
      </c>
      <c r="H12" s="42" t="s">
        <v>349</v>
      </c>
      <c r="I12" s="293" t="s">
        <v>350</v>
      </c>
      <c r="J12" s="43" t="s">
        <v>351</v>
      </c>
      <c r="K12" s="41" t="s">
        <v>352</v>
      </c>
      <c r="L12" s="293" t="s">
        <v>353</v>
      </c>
      <c r="M12" s="43" t="s">
        <v>354</v>
      </c>
    </row>
    <row r="13" spans="2:17" ht="40.15" customHeight="1">
      <c r="B13" s="508" t="s">
        <v>1807</v>
      </c>
      <c r="C13" s="44" t="s">
        <v>1808</v>
      </c>
      <c r="D13" s="45">
        <f>SUMIFS('0830 4度C'!$K:$K,'0830 4度C'!$A:$A,"新豐6線",'0830 4度C'!$B:$B,"平均")</f>
        <v>117.64705882352941</v>
      </c>
      <c r="E13" s="46">
        <f>SUMIFS('0830 4度C'!$K:$K,'0830 4度C'!$A:$A,"新豐2線",'0830 4度C'!$B:$B,"平均")</f>
        <v>81.818181818181827</v>
      </c>
      <c r="F13" s="47">
        <f>SUMIFS('0830 4度C'!$K:$K,'0830 4度C'!$A:$A,"新豐5線",'0830 4度C'!$B:$B,"平均")</f>
        <v>93.220338983050837</v>
      </c>
      <c r="G13" s="47">
        <f>SUMIFS('0830 4度C'!$K:$K,'0830 4度C'!$A:$A,"新豐7線",'0830 4度C'!$B:$B,"平均")</f>
        <v>116.50485436893203</v>
      </c>
      <c r="H13" s="47">
        <f>SUMIFS('0830 4度C'!$K:$K,'0830 4度C'!$A:$A,"新豐3線",'0830 4度C'!$B:$B,"平均")</f>
        <v>300</v>
      </c>
      <c r="I13" s="294">
        <f>SUMIFS('0830 4度C'!$K:$K,'0830 4度C'!$A:$A,"新豐1線",'0830 4度C'!$B:$B,"平均")</f>
        <v>114.4578313253012</v>
      </c>
      <c r="J13" s="48">
        <f>SUMIFS('0830 4度C'!$K:$K,'0830 4度C'!$A:$A,"新豐10線",'0830 4度C'!$B:$B,"平均")</f>
        <v>219.11764705882354</v>
      </c>
      <c r="K13" s="49">
        <f>SUMIFS('0830 4度C'!$K:$K,'0830 4度C'!$A:$A,"新豐8線",'0830 4度C'!$B:$B,"平均")</f>
        <v>137.93103448275863</v>
      </c>
      <c r="L13" s="301">
        <f>SUMIFS('0830 4度C'!$K:$K,'0830 4度C'!$A:$A,"新豐9線",'0830 4度C'!$B:$B,"平均")</f>
        <v>129.72972972972974</v>
      </c>
      <c r="M13" s="48">
        <f>SUMIFS('0830 4度C'!$K:$K,'0830 4度C'!$A:$A,"新豐4線",'0830 4度C'!$B:$B,"平均")</f>
        <v>139.53488372093022</v>
      </c>
    </row>
    <row r="14" spans="2:17" ht="39.6" customHeight="1">
      <c r="B14" s="508"/>
      <c r="C14" s="51" t="s">
        <v>1809</v>
      </c>
      <c r="D14" s="52">
        <f>SUMIFS('0830 4度C'!$N:$N,'0830 4度C'!$A:$A,"新豐6線",'0830 4度C'!$B:$B,"平均")</f>
        <v>110.08992059775531</v>
      </c>
      <c r="E14" s="53">
        <f>SUMIFS('0830 4度C'!$N:$N,'0830 4度C'!$A:$A,"新豐2線",'0830 4度C'!$B:$B,"平均")</f>
        <v>76.307568382332605</v>
      </c>
      <c r="F14" s="53">
        <f>SUMIFS('0830 4度C'!$N:$N,'0830 4度C'!$A:$A,"新豐5線",'0830 4度C'!$B:$B,"平均")</f>
        <v>87.130975662755318</v>
      </c>
      <c r="G14" s="53">
        <f>SUMIFS('0830 4度C'!$N:$N,'0830 4度C'!$A:$A,"新豐7線",'0830 4度C'!$B:$B,"平均")</f>
        <v>109.31893877763108</v>
      </c>
      <c r="H14" s="53">
        <f>SUMIFS('0830 4度C'!$N:$N,'0830 4度C'!$A:$A,"新豐3線",'0830 4度C'!$B:$B,"平均")</f>
        <v>280.76454940490919</v>
      </c>
      <c r="I14" s="295">
        <f>SUMIFS('0830 4度C'!$N:$N,'0830 4度C'!$A:$A,"新豐1線",'0830 4度C'!$B:$B,"平均")</f>
        <v>107.18971108600037</v>
      </c>
      <c r="J14" s="54">
        <f>SUMIFS('0830 4度C'!$N:$N,'0830 4度C'!$A:$A,"新豐10線",'0830 4度C'!$B:$B,"平均")</f>
        <v>206.55862715149564</v>
      </c>
      <c r="K14" s="55">
        <f>SUMIFS('0830 4度C'!$N:$N,'0830 4度C'!$A:$A,"新豐8線",'0830 4度C'!$B:$B,"平均")</f>
        <v>129.49821138376703</v>
      </c>
      <c r="L14" s="302">
        <f>SUMIFS('0830 4度C'!$N:$N,'0830 4度C'!$A:$A,"新豐9線",'0830 4度C'!$B:$B,"平均")</f>
        <v>121.4818599602751</v>
      </c>
      <c r="M14" s="54">
        <f>SUMIFS('0830 4度C'!$N:$N,'0830 4度C'!$A:$A,"新豐4線",'0830 4度C'!$B:$B,"平均")</f>
        <v>131.58876569723446</v>
      </c>
    </row>
    <row r="15" spans="2:17" ht="40.15" customHeight="1">
      <c r="B15" s="508"/>
      <c r="C15" s="57" t="s">
        <v>1810</v>
      </c>
      <c r="D15" s="58">
        <f t="shared" ref="D15:M15" si="0">D14/D13</f>
        <v>0.93576432508092022</v>
      </c>
      <c r="E15" s="59">
        <f t="shared" si="0"/>
        <v>0.93264805800628725</v>
      </c>
      <c r="F15" s="59">
        <f t="shared" si="0"/>
        <v>0.93467773892773898</v>
      </c>
      <c r="G15" s="59">
        <f t="shared" si="0"/>
        <v>0.93832089117466677</v>
      </c>
      <c r="H15" s="59">
        <f t="shared" si="0"/>
        <v>0.93588183134969727</v>
      </c>
      <c r="I15" s="296">
        <f t="shared" si="0"/>
        <v>0.93649958106716114</v>
      </c>
      <c r="J15" s="60">
        <f t="shared" si="0"/>
        <v>0.94268366753702704</v>
      </c>
      <c r="K15" s="58">
        <f t="shared" si="0"/>
        <v>0.93886203253231082</v>
      </c>
      <c r="L15" s="296">
        <f t="shared" si="0"/>
        <v>0.93642267052712047</v>
      </c>
      <c r="M15" s="60">
        <f t="shared" si="0"/>
        <v>0.94305282083018038</v>
      </c>
    </row>
    <row r="16" spans="2:17" ht="17.25" customHeight="1">
      <c r="B16" s="509" t="s">
        <v>1811</v>
      </c>
      <c r="C16" s="463" t="s">
        <v>1812</v>
      </c>
      <c r="D16" s="61">
        <f>VLOOKUP("新豐6線",'0830 4度C'!$A:$T,19,0)</f>
        <v>0.70833333333333337</v>
      </c>
      <c r="E16" s="24">
        <f>VLOOKUP("新豐2線",'0830 4度C'!$A:$T,19,0)</f>
        <v>0.125</v>
      </c>
      <c r="F16" s="24">
        <f>VLOOKUP("新豐5線",'0830 4度C'!$A:$T,19,0)</f>
        <v>0.25</v>
      </c>
      <c r="G16" s="24">
        <f>VLOOKUP("新豐7線",'0830 4度C'!$A:$T,19,0)</f>
        <v>0.20833333333333334</v>
      </c>
      <c r="H16" s="24">
        <f>VLOOKUP("新豐3線",'0830 4度C'!$A:$T,19,0)</f>
        <v>0.125</v>
      </c>
      <c r="I16" s="297">
        <f>VLOOKUP("新豐1線",'0830 4度C'!$A:$T,19,0)</f>
        <v>0.29166666666666669</v>
      </c>
      <c r="J16" s="62">
        <f>VLOOKUP("新豐10線",'0830 4度C'!$A:$T,19,0)</f>
        <v>0.125</v>
      </c>
      <c r="K16" s="63">
        <f>VLOOKUP("新豐8線",'0830 4度C'!$A:$T,19,0)</f>
        <v>0.125</v>
      </c>
      <c r="L16" s="303">
        <f>VLOOKUP("新豐9線",'0830 4度C'!$A:$T,19,0)</f>
        <v>0.125</v>
      </c>
      <c r="M16" s="65">
        <f>VLOOKUP("新豐4線",'0830 4度C'!$A:$T,19,0)</f>
        <v>0.125</v>
      </c>
    </row>
    <row r="17" spans="2:13" ht="17.25" customHeight="1">
      <c r="B17" s="493"/>
      <c r="C17" s="463" t="s">
        <v>1813</v>
      </c>
      <c r="D17" s="63">
        <f>LOOKUP(2,1/(('0830 4度C'!$A:$A="新豐6線")*('0830 4度C'!$T:$T&lt;&gt;"")),'0830 4度C'!$T:$T)</f>
        <v>0.83958333333333335</v>
      </c>
      <c r="E17" s="24">
        <f>LOOKUP(2,1/(('0830 4度C'!$A:$A="新豐2線")*('0830 4度C'!$T:$T&lt;&gt;"")),'0830 4度C'!$T:$T)</f>
        <v>0.52916666666666667</v>
      </c>
      <c r="F17" s="24">
        <f>LOOKUP(2,1/(('0830 4度C'!$A:$A="新豐5線")*('0830 4度C'!$T:$T&lt;&gt;"")),'0830 4度C'!$T:$T)</f>
        <v>0.84236111111111112</v>
      </c>
      <c r="G17" s="24">
        <f>LOOKUP(2,1/(('0830 4度C'!$A:$A="新豐7線")*('0830 4度C'!$T:$T&lt;&gt;"")),'0830 4度C'!$T:$T)</f>
        <v>0.80416666666666659</v>
      </c>
      <c r="H17" s="24">
        <f>LOOKUP(2,1/(('0830 4度C'!$A:$A="新豐3線")*('0830 4度C'!$T:$T&lt;&gt;"")),'0830 4度C'!$T:$T)</f>
        <v>0.46458333333333329</v>
      </c>
      <c r="I17" s="297">
        <f>LOOKUP(2,1/(('0830 4度C'!$A:$A="新豐1線")*('0830 4度C'!$T:$T&lt;&gt;"")),'0830 4度C'!$T:$T)</f>
        <v>0.84791666666666665</v>
      </c>
      <c r="J17" s="62">
        <f>LOOKUP(2,1/(('0830 4度C'!$A:$A="新豐10線")*('0830 4度C'!$T:$T&lt;&gt;"")),'0830 4度C'!$T:$T)</f>
        <v>0.40138888888888891</v>
      </c>
      <c r="K17" s="61">
        <f>LOOKUP(2,1/(('0830 4度C'!$A:$A="新豐8線")*('0830 4度C'!$T:$T&lt;&gt;"")),'0830 4度C'!$T:$T)</f>
        <v>0.4861111111111111</v>
      </c>
      <c r="L17" s="297">
        <f>LOOKUP(2,1/(('0830 4度C'!$A:$A="新豐9線")*('0830 4度C'!$T:$T&lt;&gt;"")),'0830 4度C'!$T:$T)</f>
        <v>0.54097222222222219</v>
      </c>
      <c r="M17" s="62">
        <f>LOOKUP(2,1/(('0830 4度C'!$A:$A="新豐4線")*('0830 4度C'!$T:$T&lt;&gt;"")),'0830 4度C'!$T:$T)</f>
        <v>0.47500000000000003</v>
      </c>
    </row>
    <row r="18" spans="2:13" ht="17.25" customHeight="1">
      <c r="B18" s="493" t="s">
        <v>91</v>
      </c>
      <c r="C18" s="494"/>
      <c r="D18" s="66">
        <f>SUMIFS('0830 4度C'!$I:$I,'0830 4度C'!$A:$A,"新豐6線",'0830 4度C'!$B:$B,"平均")</f>
        <v>17</v>
      </c>
      <c r="E18" s="67">
        <f>SUMIFS('0830 4度C'!$I:$I,'0830 4度C'!$A:$A,"新豐2線",'0830 4度C'!$B:$B,"平均")</f>
        <v>18.333333333333332</v>
      </c>
      <c r="F18" s="67">
        <f>SUMIFS('0830 4度C'!$I:$I,'0830 4度C'!$A:$A,"新豐5線",'0830 4度C'!$B:$B,"平均")</f>
        <v>19.666666666666668</v>
      </c>
      <c r="G18" s="67">
        <f>SUMIFS('0830 4度C'!$I:$I,'0830 4度C'!$A:$A,"新豐7線",'0830 4度C'!$B:$B,"平均")</f>
        <v>17.166666666666668</v>
      </c>
      <c r="H18" s="67">
        <f>SUMIFS('0830 4度C'!$I:$I,'0830 4度C'!$A:$A,"新豐3線",'0830 4度C'!$B:$B,"平均")</f>
        <v>10</v>
      </c>
      <c r="I18" s="298">
        <f>SUMIFS('0830 4度C'!$I:$I,'0830 4度C'!$A:$A,"新豐1線",'0830 4度C'!$B:$B,"平均")</f>
        <v>16.600000000000001</v>
      </c>
      <c r="J18" s="68">
        <f>SUMIFS('0830 4度C'!$I:$I,'0830 4度C'!$A:$A,"新豐10線",'0830 4度C'!$B:$B,"平均")</f>
        <v>11.333333333333334</v>
      </c>
      <c r="K18" s="66">
        <f>SUMIFS('0830 4度C'!$I:$I,'0830 4度C'!$A:$A,"新豐8線",'0830 4度C'!$B:$B,"平均")</f>
        <v>17.399999999999999</v>
      </c>
      <c r="L18" s="298">
        <f>SUMIFS('0830 4度C'!$I:$I,'0830 4度C'!$A:$A,"新豐9線",'0830 4度C'!$B:$B,"平均")</f>
        <v>18.5</v>
      </c>
      <c r="M18" s="68">
        <f>SUMIFS('0830 4度C'!$I:$I,'0830 4度C'!$A:$A,"新豐4線",'0830 4度C'!$B:$B,"平均")</f>
        <v>17.2</v>
      </c>
    </row>
    <row r="19" spans="2:13" ht="17.25" customHeight="1">
      <c r="B19" s="495" t="s">
        <v>1814</v>
      </c>
      <c r="C19" s="496"/>
      <c r="D19" s="69" t="s">
        <v>46</v>
      </c>
      <c r="E19" s="70" t="s">
        <v>47</v>
      </c>
      <c r="F19" s="70" t="s">
        <v>1815</v>
      </c>
      <c r="G19" s="70" t="s">
        <v>1815</v>
      </c>
      <c r="H19" s="70" t="s">
        <v>48</v>
      </c>
      <c r="I19" s="299" t="s">
        <v>46</v>
      </c>
      <c r="J19" s="71" t="s">
        <v>48</v>
      </c>
      <c r="K19" s="69" t="s">
        <v>1816</v>
      </c>
      <c r="L19" s="299" t="s">
        <v>1816</v>
      </c>
      <c r="M19" s="71" t="s">
        <v>1817</v>
      </c>
    </row>
    <row r="20" spans="2:13" ht="17.25" customHeight="1">
      <c r="B20" s="495" t="s">
        <v>1818</v>
      </c>
      <c r="C20" s="496"/>
      <c r="D20" s="69"/>
      <c r="E20" s="70"/>
      <c r="F20" s="70" t="s">
        <v>1819</v>
      </c>
      <c r="G20" s="70" t="s">
        <v>46</v>
      </c>
      <c r="H20" s="70"/>
      <c r="I20" s="299"/>
      <c r="J20" s="71"/>
      <c r="K20" s="69"/>
      <c r="L20" s="299"/>
      <c r="M20" s="71"/>
    </row>
    <row r="21" spans="2:13" ht="17.25" customHeight="1" thickBot="1">
      <c r="B21" s="497" t="s">
        <v>1820</v>
      </c>
      <c r="C21" s="498"/>
      <c r="D21" s="72"/>
      <c r="E21" s="73" t="s">
        <v>150</v>
      </c>
      <c r="F21" s="499" t="s">
        <v>1821</v>
      </c>
      <c r="G21" s="500"/>
      <c r="H21" s="73" t="s">
        <v>1822</v>
      </c>
      <c r="I21" s="300" t="s">
        <v>1823</v>
      </c>
      <c r="J21" s="74" t="s">
        <v>1822</v>
      </c>
      <c r="K21" s="75"/>
      <c r="L21" s="300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1668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3">
    <pageSetUpPr fitToPage="1"/>
  </sheetPr>
  <dimension ref="A1:AC64"/>
  <sheetViews>
    <sheetView topLeftCell="H1" zoomScale="80" zoomScaleNormal="80" workbookViewId="0">
      <pane ySplit="4" topLeftCell="A47" activePane="bottomLeft" state="frozen"/>
      <selection activeCell="C29" sqref="C29:D29"/>
      <selection pane="bottomLeft" activeCell="U10" sqref="U10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1824</v>
      </c>
      <c r="B1" s="1"/>
      <c r="C1" s="2" t="s">
        <v>1825</v>
      </c>
      <c r="D1" s="3">
        <f>SUM(F5:F63)</f>
        <v>136235</v>
      </c>
      <c r="E1" s="466" t="s">
        <v>1826</v>
      </c>
      <c r="F1" s="1">
        <f>SUM(G5:G63)</f>
        <v>4840642.04</v>
      </c>
      <c r="G1" s="1" t="s">
        <v>1827</v>
      </c>
      <c r="H1" s="4">
        <f>L8+L12+L44+L50+L16+L57+L29+L36+L23+L63</f>
        <v>163.19999999999996</v>
      </c>
      <c r="I1" s="572" t="s">
        <v>1828</v>
      </c>
      <c r="J1" s="572"/>
      <c r="K1" s="572"/>
      <c r="L1" s="572" t="s">
        <v>1829</v>
      </c>
      <c r="M1" s="572"/>
      <c r="N1" s="572"/>
      <c r="O1" s="572" t="s">
        <v>1830</v>
      </c>
      <c r="P1" s="572"/>
      <c r="Q1" s="572"/>
      <c r="R1" s="572"/>
      <c r="S1" s="572" t="s">
        <v>1831</v>
      </c>
      <c r="T1" s="572"/>
      <c r="U1" s="572"/>
      <c r="V1" s="572"/>
      <c r="W1" s="572"/>
      <c r="X1" s="572"/>
      <c r="Y1" s="572" t="s">
        <v>1832</v>
      </c>
      <c r="Z1" s="572"/>
      <c r="AA1" s="572" t="s">
        <v>1833</v>
      </c>
      <c r="AB1" s="573"/>
      <c r="AC1" s="573"/>
    </row>
    <row r="2" spans="1:29" ht="26.25" customHeight="1">
      <c r="A2" s="22">
        <v>45899</v>
      </c>
      <c r="B2" s="23" t="s">
        <v>213</v>
      </c>
      <c r="C2" s="2" t="s">
        <v>1834</v>
      </c>
      <c r="D2" s="6">
        <f>AVERAGE(N8,N12,N44,N50,N16,N57,N23,N29,N36,N63)</f>
        <v>135.99291281041562</v>
      </c>
      <c r="E2" s="7" t="s">
        <v>0</v>
      </c>
      <c r="F2" s="8">
        <f>F1/D1</f>
        <v>35.531559731346569</v>
      </c>
      <c r="G2" s="1" t="s">
        <v>1835</v>
      </c>
      <c r="H2" s="477">
        <f>COUNT(H5:H63)</f>
        <v>0</v>
      </c>
      <c r="I2" s="572"/>
      <c r="J2" s="572"/>
      <c r="K2" s="572"/>
      <c r="L2" s="572"/>
      <c r="M2" s="572"/>
      <c r="N2" s="572"/>
      <c r="O2" s="572"/>
      <c r="P2" s="572"/>
      <c r="Q2" s="572"/>
      <c r="R2" s="572"/>
      <c r="S2" s="572"/>
      <c r="T2" s="572"/>
      <c r="U2" s="572"/>
      <c r="V2" s="572"/>
      <c r="W2" s="572"/>
      <c r="X2" s="572"/>
      <c r="Y2" s="572"/>
      <c r="Z2" s="572"/>
      <c r="AA2" s="573"/>
      <c r="AB2" s="573"/>
      <c r="AC2" s="573"/>
    </row>
    <row r="3" spans="1:29" ht="23.25" customHeight="1">
      <c r="A3" s="528" t="s">
        <v>1836</v>
      </c>
      <c r="B3" s="528" t="s">
        <v>1837</v>
      </c>
      <c r="C3" s="528" t="s">
        <v>1838</v>
      </c>
      <c r="D3" s="528"/>
      <c r="E3" s="570" t="s">
        <v>1839</v>
      </c>
      <c r="F3" s="528" t="s">
        <v>1840</v>
      </c>
      <c r="G3" s="570" t="s">
        <v>1841</v>
      </c>
      <c r="H3" s="563" t="s">
        <v>1842</v>
      </c>
      <c r="I3" s="561" t="s">
        <v>1843</v>
      </c>
      <c r="J3" s="566" t="s">
        <v>1844</v>
      </c>
      <c r="K3" s="568" t="s">
        <v>1834</v>
      </c>
      <c r="L3" s="561" t="s">
        <v>1843</v>
      </c>
      <c r="M3" s="566" t="s">
        <v>1844</v>
      </c>
      <c r="N3" s="568" t="s">
        <v>1834</v>
      </c>
      <c r="O3" s="561" t="s">
        <v>1843</v>
      </c>
      <c r="P3" s="568" t="s">
        <v>1834</v>
      </c>
      <c r="Q3" s="567" t="s">
        <v>1845</v>
      </c>
      <c r="R3" s="542" t="s">
        <v>1846</v>
      </c>
      <c r="S3" s="569" t="s">
        <v>1</v>
      </c>
      <c r="T3" s="569"/>
      <c r="U3" s="563" t="s">
        <v>2</v>
      </c>
      <c r="V3" s="563" t="s">
        <v>1847</v>
      </c>
      <c r="W3" s="528" t="s">
        <v>1848</v>
      </c>
      <c r="X3" s="528"/>
      <c r="Y3" s="564" t="s">
        <v>1849</v>
      </c>
      <c r="Z3" s="565"/>
      <c r="AA3" s="566" t="s">
        <v>1850</v>
      </c>
      <c r="AB3" s="567" t="s">
        <v>1851</v>
      </c>
      <c r="AC3" s="542" t="s">
        <v>1852</v>
      </c>
    </row>
    <row r="4" spans="1:29">
      <c r="A4" s="528"/>
      <c r="B4" s="528"/>
      <c r="C4" s="528"/>
      <c r="D4" s="528"/>
      <c r="E4" s="571"/>
      <c r="F4" s="528"/>
      <c r="G4" s="571"/>
      <c r="H4" s="563"/>
      <c r="I4" s="561"/>
      <c r="J4" s="566"/>
      <c r="K4" s="568"/>
      <c r="L4" s="561"/>
      <c r="M4" s="566"/>
      <c r="N4" s="568"/>
      <c r="O4" s="561"/>
      <c r="P4" s="568"/>
      <c r="Q4" s="567"/>
      <c r="R4" s="542"/>
      <c r="S4" s="476" t="s">
        <v>3</v>
      </c>
      <c r="T4" s="476" t="s">
        <v>4</v>
      </c>
      <c r="U4" s="563"/>
      <c r="V4" s="563"/>
      <c r="W4" s="466" t="s">
        <v>1853</v>
      </c>
      <c r="X4" s="466" t="s">
        <v>1854</v>
      </c>
      <c r="Y4" s="565"/>
      <c r="Z4" s="565"/>
      <c r="AA4" s="566"/>
      <c r="AB4" s="567"/>
      <c r="AC4" s="542"/>
    </row>
    <row r="5" spans="1:29">
      <c r="A5" s="560" t="s">
        <v>1855</v>
      </c>
      <c r="B5" s="26" t="s">
        <v>13</v>
      </c>
      <c r="C5" s="562" t="s">
        <v>53</v>
      </c>
      <c r="D5" s="562"/>
      <c r="E5" s="26">
        <v>46.93</v>
      </c>
      <c r="F5" s="476">
        <v>1087</v>
      </c>
      <c r="G5" s="466">
        <f>E5*F5</f>
        <v>51012.909999999996</v>
      </c>
      <c r="H5" s="475" t="s">
        <v>52</v>
      </c>
      <c r="I5" s="474">
        <v>17</v>
      </c>
      <c r="J5" s="18">
        <v>2000</v>
      </c>
      <c r="K5" s="9">
        <f>J5/I5</f>
        <v>117.64705882352941</v>
      </c>
      <c r="L5" s="474">
        <v>17</v>
      </c>
      <c r="M5" s="10">
        <f>F5/V5*60</f>
        <v>1863.4285714285695</v>
      </c>
      <c r="N5" s="9">
        <f>M5/L5</f>
        <v>109.61344537815114</v>
      </c>
      <c r="O5" s="11">
        <f t="shared" ref="O5:O7" si="0">L5-I5</f>
        <v>0</v>
      </c>
      <c r="P5" s="12">
        <f t="shared" ref="P5:P7" si="1">N5-K5</f>
        <v>-8.0336134453782648</v>
      </c>
      <c r="Q5" s="465">
        <f>N5/K5</f>
        <v>0.93171428571428472</v>
      </c>
      <c r="R5" s="533">
        <f>Q8</f>
        <v>0.93576432508092022</v>
      </c>
      <c r="S5" s="24">
        <v>0.70833333333333337</v>
      </c>
      <c r="T5" s="24">
        <v>0.73263888888888895</v>
      </c>
      <c r="U5" s="466"/>
      <c r="V5" s="473">
        <f>(T5-S5)*24*60</f>
        <v>35.000000000000036</v>
      </c>
      <c r="W5" s="14"/>
      <c r="X5" s="13"/>
      <c r="Y5" s="528"/>
      <c r="Z5" s="528"/>
      <c r="AA5" s="11">
        <f t="shared" ref="AA5:AA63" si="2">M5-J5</f>
        <v>-136.57142857143049</v>
      </c>
      <c r="AB5" s="465">
        <f t="shared" ref="AB5:AB7" si="3">M5/J5</f>
        <v>0.93171428571428472</v>
      </c>
      <c r="AC5" s="533">
        <f>AB8</f>
        <v>0.93576432508092011</v>
      </c>
    </row>
    <row r="6" spans="1:29">
      <c r="A6" s="561" t="s">
        <v>1856</v>
      </c>
      <c r="B6" s="26" t="s">
        <v>13</v>
      </c>
      <c r="C6" s="562" t="s">
        <v>55</v>
      </c>
      <c r="D6" s="562"/>
      <c r="E6" s="26">
        <v>50.49</v>
      </c>
      <c r="F6" s="476">
        <v>2169</v>
      </c>
      <c r="G6" s="466">
        <f t="shared" ref="G6:G7" si="4">E6*F6</f>
        <v>109512.81</v>
      </c>
      <c r="H6" s="475" t="s">
        <v>52</v>
      </c>
      <c r="I6" s="474">
        <v>16</v>
      </c>
      <c r="J6" s="18">
        <v>2000</v>
      </c>
      <c r="K6" s="9">
        <f t="shared" ref="K6:K7" si="5">J6/I6</f>
        <v>125</v>
      </c>
      <c r="L6" s="474">
        <v>16</v>
      </c>
      <c r="M6" s="10">
        <f>F6/V6*60</f>
        <v>1886.0869565217415</v>
      </c>
      <c r="N6" s="9">
        <f t="shared" ref="N6:N7" si="6">M6/L6</f>
        <v>117.88043478260884</v>
      </c>
      <c r="O6" s="11">
        <f t="shared" si="0"/>
        <v>0</v>
      </c>
      <c r="P6" s="12">
        <f t="shared" si="1"/>
        <v>-7.1195652173911554</v>
      </c>
      <c r="Q6" s="465">
        <f t="shared" ref="Q6:Q7" si="7">N6/K6</f>
        <v>0.94304347826087076</v>
      </c>
      <c r="R6" s="533"/>
      <c r="S6" s="24">
        <v>0.73750000000000004</v>
      </c>
      <c r="T6" s="24">
        <v>0.78541666666666665</v>
      </c>
      <c r="U6" s="466">
        <f>(S6-T5)*24*60</f>
        <v>6.9999999999999751</v>
      </c>
      <c r="V6" s="473">
        <f>(T6-S6)*24*60</f>
        <v>68.999999999999915</v>
      </c>
      <c r="W6" s="14"/>
      <c r="X6" s="14"/>
      <c r="Y6" s="528"/>
      <c r="Z6" s="528"/>
      <c r="AA6" s="11">
        <f t="shared" si="2"/>
        <v>-113.91304347825849</v>
      </c>
      <c r="AB6" s="465">
        <f t="shared" si="3"/>
        <v>0.94304347826087076</v>
      </c>
      <c r="AC6" s="533"/>
    </row>
    <row r="7" spans="1:29">
      <c r="A7" s="561" t="s">
        <v>1856</v>
      </c>
      <c r="B7" s="26" t="s">
        <v>13</v>
      </c>
      <c r="C7" s="558" t="s">
        <v>76</v>
      </c>
      <c r="D7" s="559"/>
      <c r="E7" s="26">
        <v>50.67</v>
      </c>
      <c r="F7" s="476">
        <v>2207</v>
      </c>
      <c r="G7" s="466">
        <f t="shared" si="4"/>
        <v>111828.69</v>
      </c>
      <c r="H7" s="475" t="s">
        <v>52</v>
      </c>
      <c r="I7" s="474">
        <v>18</v>
      </c>
      <c r="J7" s="18">
        <v>2000</v>
      </c>
      <c r="K7" s="9">
        <f t="shared" si="5"/>
        <v>111.11111111111111</v>
      </c>
      <c r="L7" s="474">
        <v>18</v>
      </c>
      <c r="M7" s="10">
        <f t="shared" ref="M7" si="8">F7/V7*60</f>
        <v>1865.0704225352094</v>
      </c>
      <c r="N7" s="9">
        <f t="shared" si="6"/>
        <v>103.6150234741783</v>
      </c>
      <c r="O7" s="11">
        <f t="shared" si="0"/>
        <v>0</v>
      </c>
      <c r="P7" s="12">
        <f t="shared" si="1"/>
        <v>-7.4960876369328133</v>
      </c>
      <c r="Q7" s="465">
        <f t="shared" si="7"/>
        <v>0.93253521126760464</v>
      </c>
      <c r="R7" s="533"/>
      <c r="S7" s="24">
        <v>0.79027777777777775</v>
      </c>
      <c r="T7" s="24">
        <v>0.83958333333333335</v>
      </c>
      <c r="U7" s="466">
        <f t="shared" ref="U7" si="9">(S7-T6)*24*60</f>
        <v>6.9999999999999751</v>
      </c>
      <c r="V7" s="473">
        <f t="shared" ref="V7" si="10">(T7-S7)*24*60</f>
        <v>71.000000000000071</v>
      </c>
      <c r="W7" s="14"/>
      <c r="X7" s="14"/>
      <c r="Y7" s="536"/>
      <c r="Z7" s="537"/>
      <c r="AA7" s="11">
        <f t="shared" si="2"/>
        <v>-134.92957746479055</v>
      </c>
      <c r="AB7" s="465">
        <f t="shared" si="3"/>
        <v>0.93253521126760475</v>
      </c>
      <c r="AC7" s="533"/>
    </row>
    <row r="8" spans="1:29">
      <c r="A8" s="561" t="s">
        <v>1856</v>
      </c>
      <c r="B8" s="26" t="s">
        <v>1857</v>
      </c>
      <c r="C8" s="530"/>
      <c r="D8" s="530"/>
      <c r="E8" s="471"/>
      <c r="F8" s="16"/>
      <c r="G8" s="9"/>
      <c r="H8" s="476"/>
      <c r="I8" s="17">
        <v>17</v>
      </c>
      <c r="J8" s="18">
        <v>2000</v>
      </c>
      <c r="K8" s="9">
        <f>J8/I8</f>
        <v>117.64705882352941</v>
      </c>
      <c r="L8" s="17">
        <v>17</v>
      </c>
      <c r="M8" s="10">
        <f>AVERAGE(M5:M7)</f>
        <v>1871.5286501618402</v>
      </c>
      <c r="N8" s="9">
        <f>M8/L8</f>
        <v>110.08992059775531</v>
      </c>
      <c r="O8" s="11">
        <f>L8-I8</f>
        <v>0</v>
      </c>
      <c r="P8" s="12">
        <f>N8-K8</f>
        <v>-7.5571382257740964</v>
      </c>
      <c r="Q8" s="465">
        <f>N8/K8</f>
        <v>0.93576432508092022</v>
      </c>
      <c r="R8" s="533"/>
      <c r="S8" s="24"/>
      <c r="T8" s="24"/>
      <c r="U8" s="466"/>
      <c r="V8" s="473"/>
      <c r="W8" s="9"/>
      <c r="X8" s="9"/>
      <c r="Y8" s="528"/>
      <c r="Z8" s="528"/>
      <c r="AA8" s="11">
        <f t="shared" si="2"/>
        <v>-128.47134983815977</v>
      </c>
      <c r="AB8" s="465">
        <f>M8/J8</f>
        <v>0.93576432508092011</v>
      </c>
      <c r="AC8" s="533"/>
    </row>
    <row r="9" spans="1:29" ht="15.75" customHeight="1">
      <c r="A9" s="531" t="s">
        <v>1858</v>
      </c>
      <c r="B9" s="26" t="s">
        <v>15</v>
      </c>
      <c r="C9" s="558" t="s">
        <v>16</v>
      </c>
      <c r="D9" s="559"/>
      <c r="E9" s="26">
        <v>39.619999999999997</v>
      </c>
      <c r="F9" s="476">
        <v>4031</v>
      </c>
      <c r="G9" s="466">
        <f t="shared" ref="G9:G11" si="11">E9*F9</f>
        <v>159708.22</v>
      </c>
      <c r="H9" s="475" t="s">
        <v>52</v>
      </c>
      <c r="I9" s="474">
        <v>19</v>
      </c>
      <c r="J9" s="18">
        <v>1500</v>
      </c>
      <c r="K9" s="9">
        <f t="shared" ref="K9:K11" si="12">J9/I9</f>
        <v>78.94736842105263</v>
      </c>
      <c r="L9" s="474">
        <v>19</v>
      </c>
      <c r="M9" s="10">
        <f t="shared" ref="M9:M11" si="13">F9/V9*60</f>
        <v>1398.0346820809245</v>
      </c>
      <c r="N9" s="9">
        <f t="shared" ref="N9:N11" si="14">M9/L9</f>
        <v>73.580772741101285</v>
      </c>
      <c r="O9" s="11">
        <f t="shared" ref="O9:O11" si="15">L9-I9</f>
        <v>0</v>
      </c>
      <c r="P9" s="12">
        <f>N9-K9</f>
        <v>-5.3665956799513452</v>
      </c>
      <c r="Q9" s="465">
        <f>N9/K9</f>
        <v>0.93202312138728294</v>
      </c>
      <c r="R9" s="533">
        <f>Q12</f>
        <v>0.93264805800628725</v>
      </c>
      <c r="S9" s="24">
        <v>0.125</v>
      </c>
      <c r="T9" s="24">
        <v>0.24513888888888891</v>
      </c>
      <c r="U9" s="466"/>
      <c r="V9" s="473">
        <f t="shared" ref="V9:V11" si="16">(T9-S9)*24*60</f>
        <v>173.00000000000003</v>
      </c>
      <c r="W9" s="14">
        <f>T9</f>
        <v>0.24513888888888891</v>
      </c>
      <c r="X9" s="14">
        <f>S10</f>
        <v>0.26597222222222222</v>
      </c>
      <c r="Y9" s="528"/>
      <c r="Z9" s="528"/>
      <c r="AA9" s="11">
        <f t="shared" si="2"/>
        <v>-101.96531791907546</v>
      </c>
      <c r="AB9" s="465">
        <f>M9/J9</f>
        <v>0.93202312138728305</v>
      </c>
      <c r="AC9" s="533">
        <f>AB12</f>
        <v>0.93264805800628725</v>
      </c>
    </row>
    <row r="10" spans="1:29" ht="15.75" customHeight="1">
      <c r="A10" s="531" t="s">
        <v>1858</v>
      </c>
      <c r="B10" s="26" t="s">
        <v>15</v>
      </c>
      <c r="C10" s="558" t="s">
        <v>17</v>
      </c>
      <c r="D10" s="559"/>
      <c r="E10" s="26">
        <v>39.799999999999997</v>
      </c>
      <c r="F10" s="476">
        <v>5330</v>
      </c>
      <c r="G10" s="466">
        <f t="shared" si="11"/>
        <v>212133.99999999997</v>
      </c>
      <c r="H10" s="475" t="s">
        <v>52</v>
      </c>
      <c r="I10" s="474">
        <v>17</v>
      </c>
      <c r="J10" s="18">
        <v>1500</v>
      </c>
      <c r="K10" s="9">
        <f t="shared" si="12"/>
        <v>88.235294117647058</v>
      </c>
      <c r="L10" s="474">
        <v>17</v>
      </c>
      <c r="M10" s="10">
        <f t="shared" si="13"/>
        <v>1402.6315789473683</v>
      </c>
      <c r="N10" s="9">
        <f t="shared" si="14"/>
        <v>82.507739938080491</v>
      </c>
      <c r="O10" s="11">
        <f t="shared" si="15"/>
        <v>0</v>
      </c>
      <c r="P10" s="12">
        <f t="shared" ref="P10:P11" si="17">N10-K10</f>
        <v>-5.7275541795665674</v>
      </c>
      <c r="Q10" s="465">
        <f t="shared" ref="Q10:Q11" si="18">N10/K10</f>
        <v>0.93508771929824552</v>
      </c>
      <c r="R10" s="533"/>
      <c r="S10" s="24">
        <v>0.26597222222222222</v>
      </c>
      <c r="T10" s="24">
        <v>0.42430555555555555</v>
      </c>
      <c r="U10" s="466">
        <f>(S10-T9)*24*60</f>
        <v>29.999999999999972</v>
      </c>
      <c r="V10" s="473">
        <f t="shared" si="16"/>
        <v>228</v>
      </c>
      <c r="W10" s="14"/>
      <c r="X10" s="14"/>
      <c r="Y10" s="528"/>
      <c r="Z10" s="528"/>
      <c r="AA10" s="11">
        <f t="shared" si="2"/>
        <v>-97.368421052631675</v>
      </c>
      <c r="AB10" s="465">
        <f t="shared" ref="AB10:AB23" si="19">M10/J10</f>
        <v>0.93508771929824552</v>
      </c>
      <c r="AC10" s="533"/>
    </row>
    <row r="11" spans="1:29" ht="15.75" customHeight="1">
      <c r="A11" s="531" t="s">
        <v>1858</v>
      </c>
      <c r="B11" s="26" t="s">
        <v>15</v>
      </c>
      <c r="C11" s="558" t="s">
        <v>80</v>
      </c>
      <c r="D11" s="559"/>
      <c r="E11" s="26">
        <v>39.29</v>
      </c>
      <c r="F11" s="476">
        <v>3351</v>
      </c>
      <c r="G11" s="466">
        <f t="shared" si="11"/>
        <v>131660.79</v>
      </c>
      <c r="H11" s="475" t="s">
        <v>52</v>
      </c>
      <c r="I11" s="474">
        <v>19</v>
      </c>
      <c r="J11" s="18">
        <v>1500</v>
      </c>
      <c r="K11" s="9">
        <f t="shared" si="12"/>
        <v>78.94736842105263</v>
      </c>
      <c r="L11" s="474">
        <v>19</v>
      </c>
      <c r="M11" s="10">
        <f t="shared" si="13"/>
        <v>1396.2499999999995</v>
      </c>
      <c r="N11" s="9">
        <f t="shared" si="14"/>
        <v>73.486842105263136</v>
      </c>
      <c r="O11" s="11">
        <f t="shared" si="15"/>
        <v>0</v>
      </c>
      <c r="P11" s="12">
        <f t="shared" si="17"/>
        <v>-5.4605263157894939</v>
      </c>
      <c r="Q11" s="465">
        <f t="shared" si="18"/>
        <v>0.93083333333333307</v>
      </c>
      <c r="R11" s="533"/>
      <c r="S11" s="24">
        <v>0.42916666666666664</v>
      </c>
      <c r="T11" s="24">
        <v>0.52916666666666667</v>
      </c>
      <c r="U11" s="466">
        <f t="shared" ref="U11" si="20">(S11-T10)*24*60</f>
        <v>6.9999999999999751</v>
      </c>
      <c r="V11" s="473">
        <f t="shared" si="16"/>
        <v>144.00000000000006</v>
      </c>
      <c r="W11" s="14"/>
      <c r="X11" s="14"/>
      <c r="Y11" s="528"/>
      <c r="Z11" s="528"/>
      <c r="AA11" s="11">
        <f t="shared" si="2"/>
        <v>-103.75000000000045</v>
      </c>
      <c r="AB11" s="465">
        <f t="shared" si="19"/>
        <v>0.93083333333333307</v>
      </c>
      <c r="AC11" s="533"/>
    </row>
    <row r="12" spans="1:29" ht="16.5" customHeight="1">
      <c r="A12" s="531" t="s">
        <v>1858</v>
      </c>
      <c r="B12" s="26" t="s">
        <v>1857</v>
      </c>
      <c r="C12" s="530"/>
      <c r="D12" s="530"/>
      <c r="E12" s="471"/>
      <c r="F12" s="18"/>
      <c r="G12" s="10"/>
      <c r="H12" s="476"/>
      <c r="I12" s="17">
        <v>18.333333333333332</v>
      </c>
      <c r="J12" s="18">
        <v>1500</v>
      </c>
      <c r="K12" s="9">
        <f>J12/I12</f>
        <v>81.818181818181827</v>
      </c>
      <c r="L12" s="17">
        <v>18.333333333333332</v>
      </c>
      <c r="M12" s="10">
        <f>AVERAGE(M9:M11)</f>
        <v>1398.9720870094309</v>
      </c>
      <c r="N12" s="9">
        <f>M12/L12</f>
        <v>76.307568382332605</v>
      </c>
      <c r="O12" s="11">
        <f>L12-I12</f>
        <v>0</v>
      </c>
      <c r="P12" s="12">
        <f>N12-K12</f>
        <v>-5.5106134358492227</v>
      </c>
      <c r="Q12" s="465">
        <f>N12/K12</f>
        <v>0.93264805800628725</v>
      </c>
      <c r="R12" s="533"/>
      <c r="S12" s="24"/>
      <c r="T12" s="24"/>
      <c r="U12" s="9"/>
      <c r="V12" s="473"/>
      <c r="W12" s="9"/>
      <c r="X12" s="9"/>
      <c r="Y12" s="528"/>
      <c r="Z12" s="528"/>
      <c r="AA12" s="11">
        <f t="shared" si="2"/>
        <v>-101.02791299056912</v>
      </c>
      <c r="AB12" s="465">
        <f t="shared" si="19"/>
        <v>0.93264805800628725</v>
      </c>
      <c r="AC12" s="533"/>
    </row>
    <row r="13" spans="1:29" ht="16.5" customHeight="1">
      <c r="A13" s="556" t="s">
        <v>1859</v>
      </c>
      <c r="B13" s="476" t="s">
        <v>21</v>
      </c>
      <c r="C13" s="552" t="s">
        <v>19</v>
      </c>
      <c r="D13" s="552"/>
      <c r="E13" s="26">
        <v>41</v>
      </c>
      <c r="F13" s="476">
        <v>1821</v>
      </c>
      <c r="G13" s="466">
        <f t="shared" ref="G13:G15" si="21">E13*F13</f>
        <v>74661</v>
      </c>
      <c r="H13" s="475" t="s">
        <v>52</v>
      </c>
      <c r="I13" s="474">
        <v>26</v>
      </c>
      <c r="J13" s="18">
        <v>1500</v>
      </c>
      <c r="K13" s="9">
        <f>J13/I13</f>
        <v>57.692307692307693</v>
      </c>
      <c r="L13" s="474">
        <v>26</v>
      </c>
      <c r="M13" s="10">
        <f>F13/V13*60</f>
        <v>1400.76923076923</v>
      </c>
      <c r="N13" s="9">
        <f t="shared" ref="N13:N22" si="22">M13/L13</f>
        <v>53.875739644970388</v>
      </c>
      <c r="O13" s="11">
        <f t="shared" ref="O13" si="23">L13-I13</f>
        <v>0</v>
      </c>
      <c r="P13" s="12">
        <f t="shared" ref="P13" si="24">N13-K13</f>
        <v>-3.8165680473373058</v>
      </c>
      <c r="Q13" s="465">
        <f>N13/K13</f>
        <v>0.93384615384615333</v>
      </c>
      <c r="R13" s="533">
        <f>Q16</f>
        <v>0.93467773892773898</v>
      </c>
      <c r="S13" s="24">
        <v>0.25</v>
      </c>
      <c r="T13" s="24">
        <v>0.3041666666666667</v>
      </c>
      <c r="U13" s="466"/>
      <c r="V13" s="473">
        <f>(T13-S13)*24*60</f>
        <v>78.000000000000043</v>
      </c>
      <c r="W13" s="15"/>
      <c r="X13" s="15"/>
      <c r="Y13" s="528"/>
      <c r="Z13" s="528"/>
      <c r="AA13" s="11">
        <f t="shared" si="2"/>
        <v>-99.230769230769965</v>
      </c>
      <c r="AB13" s="465">
        <f t="shared" si="19"/>
        <v>0.93384615384615333</v>
      </c>
      <c r="AC13" s="533">
        <f>AB16</f>
        <v>0.93467773892773898</v>
      </c>
    </row>
    <row r="14" spans="1:29" ht="16.5" customHeight="1">
      <c r="A14" s="557" t="s">
        <v>1859</v>
      </c>
      <c r="B14" s="476" t="s">
        <v>13</v>
      </c>
      <c r="C14" s="552" t="s">
        <v>57</v>
      </c>
      <c r="D14" s="552"/>
      <c r="E14" s="26">
        <v>50.98</v>
      </c>
      <c r="F14" s="476">
        <v>2804</v>
      </c>
      <c r="G14" s="466">
        <f t="shared" si="21"/>
        <v>142947.91999999998</v>
      </c>
      <c r="H14" s="475" t="s">
        <v>52</v>
      </c>
      <c r="I14" s="474">
        <v>17</v>
      </c>
      <c r="J14" s="18">
        <v>2000</v>
      </c>
      <c r="K14" s="9">
        <f>J14/I14</f>
        <v>117.64705882352941</v>
      </c>
      <c r="L14" s="474">
        <v>17</v>
      </c>
      <c r="M14" s="10">
        <f>F14/V14*60</f>
        <v>1869.3333333333333</v>
      </c>
      <c r="N14" s="9">
        <f t="shared" si="22"/>
        <v>109.96078431372548</v>
      </c>
      <c r="O14" s="11">
        <f>L14-I14</f>
        <v>0</v>
      </c>
      <c r="P14" s="12">
        <f>N14-K14</f>
        <v>-7.6862745098039227</v>
      </c>
      <c r="Q14" s="465">
        <f>N14/K14</f>
        <v>0.93466666666666665</v>
      </c>
      <c r="R14" s="533"/>
      <c r="S14" s="24">
        <v>0.70833333333333337</v>
      </c>
      <c r="T14" s="24">
        <v>0.77083333333333337</v>
      </c>
      <c r="U14" s="466" t="str">
        <f>IF(S14=TIME(17,0,0),"",(S14-T13)*24*60)</f>
        <v/>
      </c>
      <c r="V14" s="473">
        <f>(T14-S14)*24*60</f>
        <v>90</v>
      </c>
      <c r="W14" s="14"/>
      <c r="X14" s="14"/>
      <c r="Y14" s="528"/>
      <c r="Z14" s="528"/>
      <c r="AA14" s="11">
        <f t="shared" si="2"/>
        <v>-130.66666666666674</v>
      </c>
      <c r="AB14" s="465">
        <f t="shared" si="19"/>
        <v>0.93466666666666665</v>
      </c>
      <c r="AC14" s="533"/>
    </row>
    <row r="15" spans="1:29" ht="16.5" customHeight="1">
      <c r="A15" s="557" t="s">
        <v>1859</v>
      </c>
      <c r="B15" s="476" t="s">
        <v>13</v>
      </c>
      <c r="C15" s="552" t="s">
        <v>54</v>
      </c>
      <c r="D15" s="552"/>
      <c r="E15" s="26">
        <v>50.92</v>
      </c>
      <c r="F15" s="476">
        <v>2993</v>
      </c>
      <c r="G15" s="466">
        <f t="shared" si="21"/>
        <v>152403.56</v>
      </c>
      <c r="H15" s="475" t="s">
        <v>52</v>
      </c>
      <c r="I15" s="474">
        <v>16</v>
      </c>
      <c r="J15" s="18">
        <v>2000</v>
      </c>
      <c r="K15" s="9">
        <f t="shared" ref="K15" si="25">J15/I15</f>
        <v>125</v>
      </c>
      <c r="L15" s="474">
        <v>16</v>
      </c>
      <c r="M15" s="10">
        <f t="shared" ref="M15" si="26">F15/V15*60</f>
        <v>1870.6250000000005</v>
      </c>
      <c r="N15" s="9">
        <f t="shared" si="22"/>
        <v>116.91406250000003</v>
      </c>
      <c r="O15" s="11">
        <f t="shared" ref="O15" si="27">L15-I15</f>
        <v>0</v>
      </c>
      <c r="P15" s="12">
        <f t="shared" ref="P15" si="28">N15-K15</f>
        <v>-8.0859374999999716</v>
      </c>
      <c r="Q15" s="465">
        <f t="shared" ref="Q15:Q22" si="29">N15/K15</f>
        <v>0.93531250000000021</v>
      </c>
      <c r="R15" s="533"/>
      <c r="S15" s="24">
        <v>0.77569444444444446</v>
      </c>
      <c r="T15" s="24">
        <v>0.84236111111111112</v>
      </c>
      <c r="U15" s="466">
        <f t="shared" ref="U15" si="30">IF(S15=TIME(17,0,0),"",(S15-T14)*24*60)</f>
        <v>6.9999999999999751</v>
      </c>
      <c r="V15" s="473">
        <f t="shared" ref="V15" si="31">(T15-S15)*24*60</f>
        <v>95.999999999999972</v>
      </c>
      <c r="W15" s="14"/>
      <c r="X15" s="14"/>
      <c r="Y15" s="528"/>
      <c r="Z15" s="528"/>
      <c r="AA15" s="11">
        <f t="shared" si="2"/>
        <v>-129.37499999999955</v>
      </c>
      <c r="AB15" s="465">
        <f t="shared" si="19"/>
        <v>0.93531250000000021</v>
      </c>
      <c r="AC15" s="533"/>
    </row>
    <row r="16" spans="1:29" ht="16.5" customHeight="1">
      <c r="A16" s="557" t="s">
        <v>1859</v>
      </c>
      <c r="B16" s="26" t="s">
        <v>1857</v>
      </c>
      <c r="C16" s="530"/>
      <c r="D16" s="530"/>
      <c r="E16" s="471"/>
      <c r="F16" s="16"/>
      <c r="G16" s="9"/>
      <c r="H16" s="476"/>
      <c r="I16" s="17">
        <v>19.666666666666668</v>
      </c>
      <c r="J16" s="18">
        <v>1833.3333333333333</v>
      </c>
      <c r="K16" s="9">
        <f>J16/I16</f>
        <v>93.220338983050837</v>
      </c>
      <c r="L16" s="17">
        <v>19.666666666666668</v>
      </c>
      <c r="M16" s="10">
        <f>AVERAGE(M13:M15)</f>
        <v>1713.5758547008547</v>
      </c>
      <c r="N16" s="9">
        <f t="shared" si="22"/>
        <v>87.130975662755318</v>
      </c>
      <c r="O16" s="11">
        <f>L16-I16</f>
        <v>0</v>
      </c>
      <c r="P16" s="12">
        <f>N16-K16</f>
        <v>-6.0893633202955186</v>
      </c>
      <c r="Q16" s="465">
        <f t="shared" si="29"/>
        <v>0.93467773892773898</v>
      </c>
      <c r="R16" s="533"/>
      <c r="S16" s="24"/>
      <c r="T16" s="24"/>
      <c r="U16" s="466"/>
      <c r="V16" s="473"/>
      <c r="W16" s="9"/>
      <c r="X16" s="9"/>
      <c r="Y16" s="528"/>
      <c r="Z16" s="528"/>
      <c r="AA16" s="11">
        <f t="shared" si="2"/>
        <v>-119.75747863247852</v>
      </c>
      <c r="AB16" s="465">
        <f t="shared" si="19"/>
        <v>0.93467773892773898</v>
      </c>
      <c r="AC16" s="533"/>
    </row>
    <row r="17" spans="1:29" ht="15.75" customHeight="1">
      <c r="A17" s="554" t="s">
        <v>1860</v>
      </c>
      <c r="B17" s="26" t="s">
        <v>21</v>
      </c>
      <c r="C17" s="552" t="s">
        <v>22</v>
      </c>
      <c r="D17" s="552"/>
      <c r="E17" s="26">
        <v>43.14</v>
      </c>
      <c r="F17" s="476">
        <v>1276</v>
      </c>
      <c r="G17" s="466">
        <f t="shared" ref="G17:G22" si="32">E17*F17</f>
        <v>55046.64</v>
      </c>
      <c r="H17" s="475" t="s">
        <v>52</v>
      </c>
      <c r="I17" s="474">
        <v>17</v>
      </c>
      <c r="J17" s="18">
        <v>2000</v>
      </c>
      <c r="K17" s="9">
        <f t="shared" ref="K17:K23" si="33">J17/I17</f>
        <v>117.64705882352941</v>
      </c>
      <c r="L17" s="474">
        <v>17</v>
      </c>
      <c r="M17" s="10">
        <f t="shared" ref="M17:M22" si="34">F17/V17*60</f>
        <v>1867.317073170731</v>
      </c>
      <c r="N17" s="9">
        <f t="shared" si="22"/>
        <v>109.84218077474888</v>
      </c>
      <c r="O17" s="11">
        <f t="shared" ref="O17:O22" si="35">L17-I17</f>
        <v>0</v>
      </c>
      <c r="P17" s="12">
        <f t="shared" ref="P17:P22" si="36">N17-K17</f>
        <v>-7.8048780487805232</v>
      </c>
      <c r="Q17" s="465">
        <f t="shared" si="29"/>
        <v>0.93365853658536557</v>
      </c>
      <c r="R17" s="533">
        <f>Q23</f>
        <v>0.93832089117466677</v>
      </c>
      <c r="S17" s="24">
        <v>0.20833333333333334</v>
      </c>
      <c r="T17" s="24">
        <v>0.23680555555555557</v>
      </c>
      <c r="U17" s="466"/>
      <c r="V17" s="473">
        <f>(T17-S17)*24*60</f>
        <v>41.000000000000014</v>
      </c>
      <c r="W17" s="15"/>
      <c r="X17" s="15"/>
      <c r="Y17" s="528"/>
      <c r="Z17" s="528"/>
      <c r="AA17" s="11">
        <f t="shared" si="2"/>
        <v>-132.68292682926904</v>
      </c>
      <c r="AB17" s="465">
        <f t="shared" si="19"/>
        <v>0.93365853658536546</v>
      </c>
      <c r="AC17" s="533">
        <f>AB23</f>
        <v>0.93832089117466677</v>
      </c>
    </row>
    <row r="18" spans="1:29" ht="15.75" customHeight="1">
      <c r="A18" s="555" t="s">
        <v>1860</v>
      </c>
      <c r="B18" s="26" t="s">
        <v>13</v>
      </c>
      <c r="C18" s="552" t="s">
        <v>23</v>
      </c>
      <c r="D18" s="552"/>
      <c r="E18" s="26">
        <v>57.73</v>
      </c>
      <c r="F18" s="476">
        <v>2100</v>
      </c>
      <c r="G18" s="466">
        <f t="shared" si="32"/>
        <v>121233</v>
      </c>
      <c r="H18" s="475" t="s">
        <v>52</v>
      </c>
      <c r="I18" s="474">
        <v>16</v>
      </c>
      <c r="J18" s="18">
        <v>2000</v>
      </c>
      <c r="K18" s="9">
        <f t="shared" si="33"/>
        <v>125</v>
      </c>
      <c r="L18" s="474">
        <v>16</v>
      </c>
      <c r="M18" s="10">
        <f t="shared" si="34"/>
        <v>1880.5970149253731</v>
      </c>
      <c r="N18" s="9">
        <f t="shared" si="22"/>
        <v>117.53731343283582</v>
      </c>
      <c r="O18" s="11">
        <f t="shared" si="35"/>
        <v>0</v>
      </c>
      <c r="P18" s="12">
        <f t="shared" si="36"/>
        <v>-7.4626865671641838</v>
      </c>
      <c r="Q18" s="465">
        <f t="shared" si="29"/>
        <v>0.94029850746268651</v>
      </c>
      <c r="R18" s="533"/>
      <c r="S18" s="24">
        <v>0.2416666666666667</v>
      </c>
      <c r="T18" s="24">
        <v>0.28819444444444448</v>
      </c>
      <c r="U18" s="466">
        <f>IF(S18=TIME(17,0,0),"",(S18-T17)*24*60)</f>
        <v>7.0000000000000151</v>
      </c>
      <c r="V18" s="473">
        <f t="shared" ref="V18:V22" si="37">(T18-S18)*24*60</f>
        <v>67</v>
      </c>
      <c r="W18" s="14"/>
      <c r="X18" s="466"/>
      <c r="Y18" s="528"/>
      <c r="Z18" s="528"/>
      <c r="AA18" s="11">
        <f t="shared" si="2"/>
        <v>-119.40298507462694</v>
      </c>
      <c r="AB18" s="465">
        <f t="shared" si="19"/>
        <v>0.94029850746268651</v>
      </c>
      <c r="AC18" s="533"/>
    </row>
    <row r="19" spans="1:29" ht="15.75" customHeight="1">
      <c r="A19" s="555" t="s">
        <v>1860</v>
      </c>
      <c r="B19" s="26" t="s">
        <v>13</v>
      </c>
      <c r="C19" s="552" t="s">
        <v>14</v>
      </c>
      <c r="D19" s="552"/>
      <c r="E19" s="26">
        <v>53.68</v>
      </c>
      <c r="F19" s="476">
        <v>1516</v>
      </c>
      <c r="G19" s="466">
        <f t="shared" si="32"/>
        <v>81378.880000000005</v>
      </c>
      <c r="H19" s="475" t="s">
        <v>52</v>
      </c>
      <c r="I19" s="474">
        <v>17</v>
      </c>
      <c r="J19" s="18">
        <v>2000</v>
      </c>
      <c r="K19" s="9">
        <f t="shared" si="33"/>
        <v>117.64705882352941</v>
      </c>
      <c r="L19" s="474">
        <v>17</v>
      </c>
      <c r="M19" s="10">
        <f t="shared" si="34"/>
        <v>1895.0000000000005</v>
      </c>
      <c r="N19" s="9">
        <f t="shared" si="22"/>
        <v>111.47058823529414</v>
      </c>
      <c r="O19" s="11">
        <f t="shared" si="35"/>
        <v>0</v>
      </c>
      <c r="P19" s="12">
        <f t="shared" si="36"/>
        <v>-6.1764705882352615</v>
      </c>
      <c r="Q19" s="465">
        <f t="shared" si="29"/>
        <v>0.94750000000000023</v>
      </c>
      <c r="R19" s="533"/>
      <c r="S19" s="24">
        <v>0.29236111111111113</v>
      </c>
      <c r="T19" s="24">
        <v>0.32569444444444445</v>
      </c>
      <c r="U19" s="466">
        <f t="shared" ref="U19:U22" si="38">IF(S19=TIME(17,0,0),"",(S19-T18)*24*60)</f>
        <v>5.9999999999999787</v>
      </c>
      <c r="V19" s="473">
        <f t="shared" si="37"/>
        <v>47.999999999999986</v>
      </c>
      <c r="W19" s="14"/>
      <c r="X19" s="466"/>
      <c r="Y19" s="528"/>
      <c r="Z19" s="528"/>
      <c r="AA19" s="11">
        <f t="shared" si="2"/>
        <v>-104.99999999999955</v>
      </c>
      <c r="AB19" s="465">
        <f t="shared" si="19"/>
        <v>0.94750000000000023</v>
      </c>
      <c r="AC19" s="533"/>
    </row>
    <row r="20" spans="1:29" ht="15.75" customHeight="1">
      <c r="A20" s="555" t="s">
        <v>1860</v>
      </c>
      <c r="B20" s="26" t="s">
        <v>13</v>
      </c>
      <c r="C20" s="552" t="s">
        <v>81</v>
      </c>
      <c r="D20" s="552"/>
      <c r="E20" s="26">
        <v>58.17</v>
      </c>
      <c r="F20" s="476">
        <v>1654</v>
      </c>
      <c r="G20" s="466">
        <f t="shared" si="32"/>
        <v>96213.180000000008</v>
      </c>
      <c r="H20" s="475" t="s">
        <v>52</v>
      </c>
      <c r="I20" s="474">
        <v>18</v>
      </c>
      <c r="J20" s="18">
        <v>2000</v>
      </c>
      <c r="K20" s="9">
        <f t="shared" si="33"/>
        <v>111.11111111111111</v>
      </c>
      <c r="L20" s="474">
        <v>18</v>
      </c>
      <c r="M20" s="10">
        <f t="shared" si="34"/>
        <v>1872.4528301886803</v>
      </c>
      <c r="N20" s="9">
        <f t="shared" si="22"/>
        <v>104.02515723270446</v>
      </c>
      <c r="O20" s="11">
        <f t="shared" si="35"/>
        <v>0</v>
      </c>
      <c r="P20" s="12">
        <f t="shared" si="36"/>
        <v>-7.0859538784066558</v>
      </c>
      <c r="Q20" s="465">
        <f t="shared" si="29"/>
        <v>0.93622641509434013</v>
      </c>
      <c r="R20" s="533"/>
      <c r="S20" s="24">
        <v>0.33055555555555555</v>
      </c>
      <c r="T20" s="24">
        <v>0.36736111111111108</v>
      </c>
      <c r="U20" s="466">
        <f t="shared" si="38"/>
        <v>6.9999999999999751</v>
      </c>
      <c r="V20" s="473">
        <f t="shared" si="37"/>
        <v>52.999999999999972</v>
      </c>
      <c r="W20" s="14"/>
      <c r="X20" s="466"/>
      <c r="Y20" s="528"/>
      <c r="Z20" s="528"/>
      <c r="AA20" s="11">
        <f t="shared" si="2"/>
        <v>-127.54716981131969</v>
      </c>
      <c r="AB20" s="465">
        <f t="shared" si="19"/>
        <v>0.93622641509434013</v>
      </c>
      <c r="AC20" s="533"/>
    </row>
    <row r="21" spans="1:29" ht="15.75" customHeight="1">
      <c r="A21" s="555" t="s">
        <v>1860</v>
      </c>
      <c r="B21" s="26" t="s">
        <v>13</v>
      </c>
      <c r="C21" s="552" t="s">
        <v>85</v>
      </c>
      <c r="D21" s="552"/>
      <c r="E21" s="26">
        <v>54.09</v>
      </c>
      <c r="F21" s="476">
        <v>3524</v>
      </c>
      <c r="G21" s="466">
        <f t="shared" si="32"/>
        <v>190613.16</v>
      </c>
      <c r="H21" s="475" t="s">
        <v>52</v>
      </c>
      <c r="I21" s="474">
        <v>20</v>
      </c>
      <c r="J21" s="18">
        <v>2000</v>
      </c>
      <c r="K21" s="9">
        <f t="shared" si="33"/>
        <v>100</v>
      </c>
      <c r="L21" s="474">
        <v>20</v>
      </c>
      <c r="M21" s="10">
        <f t="shared" si="34"/>
        <v>1871.1504424778775</v>
      </c>
      <c r="N21" s="9">
        <f t="shared" si="22"/>
        <v>93.557522123893875</v>
      </c>
      <c r="O21" s="11">
        <f t="shared" si="35"/>
        <v>0</v>
      </c>
      <c r="P21" s="12">
        <f t="shared" si="36"/>
        <v>-6.4424778761061248</v>
      </c>
      <c r="Q21" s="465">
        <f t="shared" si="29"/>
        <v>0.93557522123893877</v>
      </c>
      <c r="R21" s="533"/>
      <c r="S21" s="24">
        <v>0.70833333333333337</v>
      </c>
      <c r="T21" s="24">
        <v>0.78680555555555554</v>
      </c>
      <c r="U21" s="466" t="str">
        <f t="shared" si="38"/>
        <v/>
      </c>
      <c r="V21" s="473">
        <f t="shared" si="37"/>
        <v>112.99999999999991</v>
      </c>
      <c r="W21" s="14"/>
      <c r="X21" s="466"/>
      <c r="Y21" s="528"/>
      <c r="Z21" s="528"/>
      <c r="AA21" s="11">
        <f t="shared" si="2"/>
        <v>-128.8495575221225</v>
      </c>
      <c r="AB21" s="465">
        <f t="shared" si="19"/>
        <v>0.93557522123893877</v>
      </c>
      <c r="AC21" s="533"/>
    </row>
    <row r="22" spans="1:29" ht="15.75" customHeight="1">
      <c r="A22" s="555" t="s">
        <v>1860</v>
      </c>
      <c r="B22" s="26" t="s">
        <v>13</v>
      </c>
      <c r="C22" s="552" t="s">
        <v>56</v>
      </c>
      <c r="D22" s="552"/>
      <c r="E22" s="26">
        <v>53.27</v>
      </c>
      <c r="F22" s="476">
        <v>562</v>
      </c>
      <c r="G22" s="466">
        <f t="shared" si="32"/>
        <v>29937.74</v>
      </c>
      <c r="H22" s="475" t="s">
        <v>52</v>
      </c>
      <c r="I22" s="474">
        <v>15</v>
      </c>
      <c r="J22" s="18">
        <v>2000</v>
      </c>
      <c r="K22" s="9">
        <f t="shared" si="33"/>
        <v>133.33333333333334</v>
      </c>
      <c r="L22" s="474">
        <v>15</v>
      </c>
      <c r="M22" s="10">
        <f t="shared" si="34"/>
        <v>1873.3333333333399</v>
      </c>
      <c r="N22" s="9">
        <f t="shared" si="22"/>
        <v>124.88888888888933</v>
      </c>
      <c r="O22" s="11">
        <f t="shared" si="35"/>
        <v>0</v>
      </c>
      <c r="P22" s="12">
        <f t="shared" si="36"/>
        <v>-8.4444444444440165</v>
      </c>
      <c r="Q22" s="465">
        <f t="shared" si="29"/>
        <v>0.93666666666666987</v>
      </c>
      <c r="R22" s="533"/>
      <c r="S22" s="24">
        <v>0.79166666666666663</v>
      </c>
      <c r="T22" s="24">
        <v>0.80416666666666659</v>
      </c>
      <c r="U22" s="466">
        <f t="shared" si="38"/>
        <v>6.9999999999999751</v>
      </c>
      <c r="V22" s="473">
        <f t="shared" si="37"/>
        <v>17.999999999999936</v>
      </c>
      <c r="W22" s="14"/>
      <c r="X22" s="15"/>
      <c r="Y22" s="528"/>
      <c r="Z22" s="528"/>
      <c r="AA22" s="11">
        <f t="shared" si="2"/>
        <v>-126.66666666666015</v>
      </c>
      <c r="AB22" s="465">
        <f t="shared" si="19"/>
        <v>0.93666666666666998</v>
      </c>
      <c r="AC22" s="533"/>
    </row>
    <row r="23" spans="1:29" ht="15.75" customHeight="1">
      <c r="A23" s="555" t="s">
        <v>1860</v>
      </c>
      <c r="B23" s="26" t="s">
        <v>1857</v>
      </c>
      <c r="C23" s="530"/>
      <c r="D23" s="530"/>
      <c r="E23" s="471"/>
      <c r="F23" s="476"/>
      <c r="G23" s="466"/>
      <c r="H23" s="476"/>
      <c r="I23" s="17">
        <v>17.166666666666668</v>
      </c>
      <c r="J23" s="18">
        <v>2000</v>
      </c>
      <c r="K23" s="9">
        <f t="shared" si="33"/>
        <v>116.50485436893203</v>
      </c>
      <c r="L23" s="17">
        <v>17.166666666666668</v>
      </c>
      <c r="M23" s="10">
        <f>AVERAGE(M17:M22)</f>
        <v>1876.6417823493337</v>
      </c>
      <c r="N23" s="9">
        <f>M23/L23</f>
        <v>109.31893877763108</v>
      </c>
      <c r="O23" s="11">
        <f>L23-I23</f>
        <v>0</v>
      </c>
      <c r="P23" s="12">
        <f>N23-K23</f>
        <v>-7.1859155913009545</v>
      </c>
      <c r="Q23" s="465">
        <f>N23/K23</f>
        <v>0.93832089117466677</v>
      </c>
      <c r="R23" s="533"/>
      <c r="S23" s="24"/>
      <c r="T23" s="24"/>
      <c r="U23" s="9"/>
      <c r="V23" s="473"/>
      <c r="W23" s="9"/>
      <c r="X23" s="9"/>
      <c r="Y23" s="528"/>
      <c r="Z23" s="528"/>
      <c r="AA23" s="11">
        <f t="shared" si="2"/>
        <v>-123.35821765066635</v>
      </c>
      <c r="AB23" s="465">
        <f t="shared" si="19"/>
        <v>0.93832089117466677</v>
      </c>
      <c r="AC23" s="533"/>
    </row>
    <row r="24" spans="1:29" ht="15.75" customHeight="1">
      <c r="A24" s="553" t="s">
        <v>1861</v>
      </c>
      <c r="B24" s="26" t="s">
        <v>24</v>
      </c>
      <c r="C24" s="552" t="s">
        <v>26</v>
      </c>
      <c r="D24" s="552"/>
      <c r="E24" s="26">
        <v>26.2</v>
      </c>
      <c r="F24" s="476">
        <v>3148</v>
      </c>
      <c r="G24" s="466">
        <f t="shared" ref="G24:G28" si="39">E24*F24</f>
        <v>82477.599999999991</v>
      </c>
      <c r="H24" s="475" t="s">
        <v>52</v>
      </c>
      <c r="I24" s="474">
        <v>20</v>
      </c>
      <c r="J24" s="18">
        <v>2400</v>
      </c>
      <c r="K24" s="9">
        <f>J24/I24</f>
        <v>120</v>
      </c>
      <c r="L24" s="474">
        <v>20</v>
      </c>
      <c r="M24" s="10">
        <f t="shared" ref="M24:M28" si="40">F24/V24*60</f>
        <v>2248.5714285714289</v>
      </c>
      <c r="N24" s="9">
        <f t="shared" ref="N24:N28" si="41">M24/L24</f>
        <v>112.42857142857144</v>
      </c>
      <c r="O24" s="11">
        <f t="shared" ref="O24:O28" si="42">L24-I24</f>
        <v>0</v>
      </c>
      <c r="P24" s="12">
        <f t="shared" ref="P24:P28" si="43">N24-K24</f>
        <v>-7.5714285714285552</v>
      </c>
      <c r="Q24" s="465">
        <f t="shared" ref="Q24:Q28" si="44">N24/K24</f>
        <v>0.93690476190476202</v>
      </c>
      <c r="R24" s="533">
        <f>Q29</f>
        <v>0.93886203253231082</v>
      </c>
      <c r="S24" s="24">
        <v>0.125</v>
      </c>
      <c r="T24" s="24">
        <v>0.18333333333333332</v>
      </c>
      <c r="U24" s="466"/>
      <c r="V24" s="473">
        <f t="shared" ref="V24:V28" si="45">(T24-S24)*24*60</f>
        <v>83.999999999999986</v>
      </c>
      <c r="W24" s="14">
        <f>T24</f>
        <v>0.18333333333333332</v>
      </c>
      <c r="X24" s="14">
        <f>S25</f>
        <v>0.20416666666666666</v>
      </c>
      <c r="Y24" s="528"/>
      <c r="Z24" s="528"/>
      <c r="AA24" s="11">
        <f t="shared" si="2"/>
        <v>-151.4285714285711</v>
      </c>
      <c r="AB24" s="465">
        <f>M24/J24</f>
        <v>0.93690476190476202</v>
      </c>
      <c r="AC24" s="533">
        <f>AB29</f>
        <v>0.93886203253231093</v>
      </c>
    </row>
    <row r="25" spans="1:29" ht="15.75" customHeight="1">
      <c r="A25" s="553" t="s">
        <v>1861</v>
      </c>
      <c r="B25" s="26" t="s">
        <v>24</v>
      </c>
      <c r="C25" s="552" t="s">
        <v>79</v>
      </c>
      <c r="D25" s="552"/>
      <c r="E25" s="26">
        <v>31.29</v>
      </c>
      <c r="F25" s="476">
        <v>6350</v>
      </c>
      <c r="G25" s="466">
        <f t="shared" si="39"/>
        <v>198691.5</v>
      </c>
      <c r="H25" s="475" t="s">
        <v>52</v>
      </c>
      <c r="I25" s="474">
        <v>16</v>
      </c>
      <c r="J25" s="18">
        <v>2400</v>
      </c>
      <c r="K25" s="9">
        <f t="shared" ref="K25:K29" si="46">J25/I25</f>
        <v>150</v>
      </c>
      <c r="L25" s="474">
        <v>16</v>
      </c>
      <c r="M25" s="10">
        <f t="shared" si="40"/>
        <v>2241.1764705882347</v>
      </c>
      <c r="N25" s="9">
        <f t="shared" si="41"/>
        <v>140.07352941176467</v>
      </c>
      <c r="O25" s="11">
        <f t="shared" si="42"/>
        <v>0</v>
      </c>
      <c r="P25" s="12">
        <f t="shared" si="43"/>
        <v>-9.9264705882353326</v>
      </c>
      <c r="Q25" s="465">
        <f t="shared" si="44"/>
        <v>0.9338235294117645</v>
      </c>
      <c r="R25" s="533"/>
      <c r="S25" s="24">
        <v>0.20416666666666666</v>
      </c>
      <c r="T25" s="24">
        <v>0.32222222222222224</v>
      </c>
      <c r="U25" s="466">
        <f>(S25-T24)*24*60</f>
        <v>30.000000000000014</v>
      </c>
      <c r="V25" s="473">
        <f t="shared" si="45"/>
        <v>170.00000000000003</v>
      </c>
      <c r="W25" s="14"/>
      <c r="X25" s="14"/>
      <c r="Y25" s="528"/>
      <c r="Z25" s="528"/>
      <c r="AA25" s="11">
        <f t="shared" si="2"/>
        <v>-158.82352941176532</v>
      </c>
      <c r="AB25" s="465">
        <f t="shared" ref="AB25:AB28" si="47">M25/J25</f>
        <v>0.9338235294117645</v>
      </c>
      <c r="AC25" s="533"/>
    </row>
    <row r="26" spans="1:29" ht="15.75" customHeight="1">
      <c r="A26" s="553" t="s">
        <v>1861</v>
      </c>
      <c r="B26" s="26" t="s">
        <v>24</v>
      </c>
      <c r="C26" s="552" t="s">
        <v>68</v>
      </c>
      <c r="D26" s="552"/>
      <c r="E26" s="26">
        <v>24.25</v>
      </c>
      <c r="F26" s="476">
        <v>3379</v>
      </c>
      <c r="G26" s="466">
        <f t="shared" si="39"/>
        <v>81940.75</v>
      </c>
      <c r="H26" s="475" t="s">
        <v>52</v>
      </c>
      <c r="I26" s="474">
        <v>18</v>
      </c>
      <c r="J26" s="18">
        <v>2400</v>
      </c>
      <c r="K26" s="9">
        <f t="shared" si="46"/>
        <v>133.33333333333334</v>
      </c>
      <c r="L26" s="474">
        <v>18</v>
      </c>
      <c r="M26" s="10">
        <f t="shared" si="40"/>
        <v>2252.6666666666665</v>
      </c>
      <c r="N26" s="9">
        <f t="shared" si="41"/>
        <v>125.14814814814814</v>
      </c>
      <c r="O26" s="11">
        <f t="shared" si="42"/>
        <v>0</v>
      </c>
      <c r="P26" s="12">
        <f t="shared" si="43"/>
        <v>-8.1851851851852047</v>
      </c>
      <c r="Q26" s="465">
        <f t="shared" si="44"/>
        <v>0.93861111111111095</v>
      </c>
      <c r="R26" s="533"/>
      <c r="S26" s="24">
        <v>0.32708333333333334</v>
      </c>
      <c r="T26" s="24">
        <v>0.38958333333333334</v>
      </c>
      <c r="U26" s="466">
        <f t="shared" ref="U26:U28" si="48">(S26-T25)*24*60</f>
        <v>6.9999999999999751</v>
      </c>
      <c r="V26" s="473">
        <f t="shared" si="45"/>
        <v>90</v>
      </c>
      <c r="W26" s="14"/>
      <c r="X26" s="14"/>
      <c r="Y26" s="528"/>
      <c r="Z26" s="528"/>
      <c r="AA26" s="11">
        <f t="shared" si="2"/>
        <v>-147.33333333333348</v>
      </c>
      <c r="AB26" s="465">
        <f t="shared" si="47"/>
        <v>0.93861111111111106</v>
      </c>
      <c r="AC26" s="533"/>
    </row>
    <row r="27" spans="1:29" ht="15.75" customHeight="1">
      <c r="A27" s="553" t="s">
        <v>1861</v>
      </c>
      <c r="B27" s="26" t="s">
        <v>24</v>
      </c>
      <c r="C27" s="552" t="s">
        <v>328</v>
      </c>
      <c r="D27" s="552"/>
      <c r="E27" s="26">
        <v>25.98</v>
      </c>
      <c r="F27" s="476">
        <v>3373</v>
      </c>
      <c r="G27" s="466">
        <f t="shared" si="39"/>
        <v>87630.540000000008</v>
      </c>
      <c r="H27" s="475" t="s">
        <v>52</v>
      </c>
      <c r="I27" s="474">
        <v>17</v>
      </c>
      <c r="J27" s="18">
        <v>2400</v>
      </c>
      <c r="K27" s="9">
        <f t="shared" si="46"/>
        <v>141.1764705882353</v>
      </c>
      <c r="L27" s="474">
        <v>17</v>
      </c>
      <c r="M27" s="10">
        <f t="shared" si="40"/>
        <v>2248.6666666666665</v>
      </c>
      <c r="N27" s="9">
        <f t="shared" si="41"/>
        <v>132.27450980392155</v>
      </c>
      <c r="O27" s="11">
        <f t="shared" si="42"/>
        <v>0</v>
      </c>
      <c r="P27" s="12">
        <f t="shared" si="43"/>
        <v>-8.9019607843137578</v>
      </c>
      <c r="Q27" s="465">
        <f t="shared" si="44"/>
        <v>0.93694444444444425</v>
      </c>
      <c r="R27" s="533"/>
      <c r="S27" s="24">
        <v>0.39374999999999999</v>
      </c>
      <c r="T27" s="24">
        <v>0.45624999999999999</v>
      </c>
      <c r="U27" s="466">
        <f t="shared" si="48"/>
        <v>5.9999999999999787</v>
      </c>
      <c r="V27" s="473">
        <f t="shared" si="45"/>
        <v>90</v>
      </c>
      <c r="W27" s="14"/>
      <c r="X27" s="14"/>
      <c r="Y27" s="528"/>
      <c r="Z27" s="528"/>
      <c r="AA27" s="11">
        <f t="shared" si="2"/>
        <v>-151.33333333333348</v>
      </c>
      <c r="AB27" s="465">
        <f t="shared" si="47"/>
        <v>0.93694444444444436</v>
      </c>
      <c r="AC27" s="533"/>
    </row>
    <row r="28" spans="1:29" ht="15.75" customHeight="1">
      <c r="A28" s="553" t="s">
        <v>1861</v>
      </c>
      <c r="B28" s="26" t="s">
        <v>24</v>
      </c>
      <c r="C28" s="552" t="s">
        <v>62</v>
      </c>
      <c r="D28" s="552"/>
      <c r="E28" s="26">
        <v>22.35</v>
      </c>
      <c r="F28" s="476">
        <v>1441</v>
      </c>
      <c r="G28" s="466">
        <f t="shared" si="39"/>
        <v>32206.350000000002</v>
      </c>
      <c r="H28" s="475" t="s">
        <v>52</v>
      </c>
      <c r="I28" s="474">
        <v>16</v>
      </c>
      <c r="J28" s="18">
        <v>2400</v>
      </c>
      <c r="K28" s="9">
        <f t="shared" si="46"/>
        <v>150</v>
      </c>
      <c r="L28" s="474">
        <v>16</v>
      </c>
      <c r="M28" s="10">
        <f t="shared" si="40"/>
        <v>2275.2631578947348</v>
      </c>
      <c r="N28" s="9">
        <f t="shared" si="41"/>
        <v>142.20394736842093</v>
      </c>
      <c r="O28" s="11">
        <f t="shared" si="42"/>
        <v>0</v>
      </c>
      <c r="P28" s="12">
        <f t="shared" si="43"/>
        <v>-7.796052631579073</v>
      </c>
      <c r="Q28" s="465">
        <f t="shared" si="44"/>
        <v>0.94802631578947283</v>
      </c>
      <c r="R28" s="533"/>
      <c r="S28" s="24">
        <v>0.4597222222222222</v>
      </c>
      <c r="T28" s="24">
        <v>0.4861111111111111</v>
      </c>
      <c r="U28" s="466">
        <f t="shared" si="48"/>
        <v>4.9999999999999822</v>
      </c>
      <c r="V28" s="473">
        <f t="shared" si="45"/>
        <v>38.000000000000028</v>
      </c>
      <c r="W28" s="14"/>
      <c r="X28" s="14"/>
      <c r="Y28" s="528"/>
      <c r="Z28" s="528"/>
      <c r="AA28" s="11">
        <f t="shared" si="2"/>
        <v>-124.73684210526517</v>
      </c>
      <c r="AB28" s="465">
        <f t="shared" si="47"/>
        <v>0.94802631578947283</v>
      </c>
      <c r="AC28" s="533"/>
    </row>
    <row r="29" spans="1:29" ht="15.75" customHeight="1">
      <c r="A29" s="553" t="s">
        <v>1861</v>
      </c>
      <c r="B29" s="26" t="s">
        <v>1857</v>
      </c>
      <c r="C29" s="530"/>
      <c r="D29" s="530"/>
      <c r="E29" s="471"/>
      <c r="F29" s="476"/>
      <c r="G29" s="466"/>
      <c r="H29" s="476"/>
      <c r="I29" s="17">
        <v>17.399999999999999</v>
      </c>
      <c r="J29" s="18">
        <v>2400</v>
      </c>
      <c r="K29" s="9">
        <f t="shared" si="46"/>
        <v>137.93103448275863</v>
      </c>
      <c r="L29" s="17">
        <v>17.399999999999999</v>
      </c>
      <c r="M29" s="10">
        <f>AVERAGE(M24:M28)</f>
        <v>2253.2688780775461</v>
      </c>
      <c r="N29" s="9">
        <f>M29/L29</f>
        <v>129.49821138376703</v>
      </c>
      <c r="O29" s="11">
        <f>L29-I29</f>
        <v>0</v>
      </c>
      <c r="P29" s="12">
        <f>N29-K29</f>
        <v>-8.4328230989916051</v>
      </c>
      <c r="Q29" s="465">
        <f>N29/K29</f>
        <v>0.93886203253231082</v>
      </c>
      <c r="R29" s="533"/>
      <c r="S29" s="24"/>
      <c r="T29" s="24"/>
      <c r="U29" s="466"/>
      <c r="V29" s="473"/>
      <c r="W29" s="466"/>
      <c r="X29" s="466"/>
      <c r="Y29" s="528"/>
      <c r="Z29" s="528"/>
      <c r="AA29" s="11">
        <f t="shared" si="2"/>
        <v>-146.73112192245389</v>
      </c>
      <c r="AB29" s="465">
        <f>M29/J29</f>
        <v>0.93886203253231093</v>
      </c>
      <c r="AC29" s="533"/>
    </row>
    <row r="30" spans="1:29" ht="15.75" customHeight="1">
      <c r="A30" s="550" t="s">
        <v>1862</v>
      </c>
      <c r="B30" s="26" t="s">
        <v>24</v>
      </c>
      <c r="C30" s="529" t="s">
        <v>28</v>
      </c>
      <c r="D30" s="529"/>
      <c r="E30" s="26">
        <v>26.2</v>
      </c>
      <c r="F30" s="476">
        <v>4724</v>
      </c>
      <c r="G30" s="466">
        <f t="shared" ref="G30:G35" si="49">E30*F30</f>
        <v>123768.8</v>
      </c>
      <c r="H30" s="475" t="s">
        <v>52</v>
      </c>
      <c r="I30" s="474">
        <v>18</v>
      </c>
      <c r="J30" s="18">
        <v>2400</v>
      </c>
      <c r="K30" s="9">
        <f>J30/I30</f>
        <v>133.33333333333334</v>
      </c>
      <c r="L30" s="474">
        <v>18</v>
      </c>
      <c r="M30" s="10">
        <f>F30/V30*60</f>
        <v>2249.5238095238092</v>
      </c>
      <c r="N30" s="9">
        <f>M30/L30</f>
        <v>124.97354497354496</v>
      </c>
      <c r="O30" s="11">
        <f t="shared" ref="O30:O35" si="50">L30-I30</f>
        <v>0</v>
      </c>
      <c r="P30" s="12">
        <f t="shared" ref="P30:P44" si="51">N30-K30</f>
        <v>-8.3597883597883822</v>
      </c>
      <c r="Q30" s="465">
        <f t="shared" ref="Q30:Q40" si="52">N30/K30</f>
        <v>0.93730158730158719</v>
      </c>
      <c r="R30" s="533">
        <f>Q36</f>
        <v>0.93642267052712047</v>
      </c>
      <c r="S30" s="24">
        <v>0.125</v>
      </c>
      <c r="T30" s="24">
        <v>0.21250000000000002</v>
      </c>
      <c r="U30" s="466"/>
      <c r="V30" s="473">
        <f t="shared" ref="V30:V35" si="53">(T30-S30)*24*60</f>
        <v>126.00000000000003</v>
      </c>
      <c r="W30" s="15">
        <f>T30</f>
        <v>0.21250000000000002</v>
      </c>
      <c r="X30" s="15">
        <f>S31</f>
        <v>0.23194444444444448</v>
      </c>
      <c r="Y30" s="528"/>
      <c r="Z30" s="528"/>
      <c r="AA30" s="11">
        <f t="shared" si="2"/>
        <v>-150.47619047619082</v>
      </c>
      <c r="AB30" s="465">
        <f>M30/J30</f>
        <v>0.93730158730158719</v>
      </c>
      <c r="AC30" s="533">
        <f>AB36</f>
        <v>0.93642267052712058</v>
      </c>
    </row>
    <row r="31" spans="1:29" ht="15.75" customHeight="1">
      <c r="A31" s="550" t="s">
        <v>1862</v>
      </c>
      <c r="B31" s="26" t="s">
        <v>24</v>
      </c>
      <c r="C31" s="529" t="s">
        <v>30</v>
      </c>
      <c r="D31" s="529"/>
      <c r="E31" s="26">
        <v>24.45</v>
      </c>
      <c r="F31" s="476">
        <v>1660</v>
      </c>
      <c r="G31" s="466">
        <f t="shared" si="49"/>
        <v>40587</v>
      </c>
      <c r="H31" s="475" t="s">
        <v>52</v>
      </c>
      <c r="I31" s="474">
        <v>20</v>
      </c>
      <c r="J31" s="18">
        <v>2400</v>
      </c>
      <c r="K31" s="9">
        <f t="shared" ref="K31:K43" si="54">J31/I31</f>
        <v>120</v>
      </c>
      <c r="L31" s="474">
        <v>20</v>
      </c>
      <c r="M31" s="10">
        <f t="shared" ref="M31:M35" si="55">F31/V31*60</f>
        <v>2263.6363636363653</v>
      </c>
      <c r="N31" s="9">
        <f t="shared" ref="N31:N35" si="56">M31/L31</f>
        <v>113.18181818181827</v>
      </c>
      <c r="O31" s="11">
        <f t="shared" si="50"/>
        <v>0</v>
      </c>
      <c r="P31" s="12">
        <f t="shared" si="51"/>
        <v>-6.8181818181817277</v>
      </c>
      <c r="Q31" s="465">
        <f t="shared" si="52"/>
        <v>0.9431818181818189</v>
      </c>
      <c r="R31" s="533"/>
      <c r="S31" s="24">
        <v>0.23194444444444448</v>
      </c>
      <c r="T31" s="24">
        <v>0.26250000000000001</v>
      </c>
      <c r="U31" s="466">
        <f>(S31-T30)*24*60</f>
        <v>28.000000000000021</v>
      </c>
      <c r="V31" s="473">
        <f t="shared" si="53"/>
        <v>43.999999999999964</v>
      </c>
      <c r="W31" s="466"/>
      <c r="X31" s="466"/>
      <c r="Y31" s="528"/>
      <c r="Z31" s="528"/>
      <c r="AA31" s="11">
        <f t="shared" si="2"/>
        <v>-136.36363636363467</v>
      </c>
      <c r="AB31" s="465">
        <f t="shared" ref="AB31:AB57" si="57">M31/J31</f>
        <v>0.9431818181818189</v>
      </c>
      <c r="AC31" s="533"/>
    </row>
    <row r="32" spans="1:29">
      <c r="A32" s="551" t="s">
        <v>1862</v>
      </c>
      <c r="B32" s="26" t="s">
        <v>24</v>
      </c>
      <c r="C32" s="529" t="s">
        <v>29</v>
      </c>
      <c r="D32" s="529"/>
      <c r="E32" s="26">
        <v>26.39</v>
      </c>
      <c r="F32" s="476">
        <v>4374</v>
      </c>
      <c r="G32" s="466">
        <f t="shared" si="49"/>
        <v>115429.86</v>
      </c>
      <c r="H32" s="475" t="s">
        <v>52</v>
      </c>
      <c r="I32" s="474">
        <v>19</v>
      </c>
      <c r="J32" s="18">
        <v>2400</v>
      </c>
      <c r="K32" s="9">
        <f t="shared" si="54"/>
        <v>126.31578947368421</v>
      </c>
      <c r="L32" s="474">
        <v>19</v>
      </c>
      <c r="M32" s="10">
        <f t="shared" si="55"/>
        <v>2243.0769230769233</v>
      </c>
      <c r="N32" s="9">
        <f t="shared" si="56"/>
        <v>118.05668016194333</v>
      </c>
      <c r="O32" s="11">
        <f t="shared" si="50"/>
        <v>0</v>
      </c>
      <c r="P32" s="12">
        <f t="shared" si="51"/>
        <v>-8.2591093117408718</v>
      </c>
      <c r="Q32" s="465">
        <f t="shared" si="52"/>
        <v>0.93461538461538474</v>
      </c>
      <c r="R32" s="533"/>
      <c r="S32" s="24">
        <v>0.26805555555555555</v>
      </c>
      <c r="T32" s="24">
        <v>0.34930555555555554</v>
      </c>
      <c r="U32" s="466">
        <f t="shared" ref="U32:U35" si="58">(S32-T31)*24*60</f>
        <v>7.9999999999999716</v>
      </c>
      <c r="V32" s="473">
        <f t="shared" si="53"/>
        <v>116.99999999999999</v>
      </c>
      <c r="W32" s="466"/>
      <c r="X32" s="466"/>
      <c r="Y32" s="528"/>
      <c r="Z32" s="528"/>
      <c r="AA32" s="11">
        <f t="shared" si="2"/>
        <v>-156.92307692307668</v>
      </c>
      <c r="AB32" s="465">
        <f t="shared" si="57"/>
        <v>0.93461538461538474</v>
      </c>
      <c r="AC32" s="533"/>
    </row>
    <row r="33" spans="1:29">
      <c r="A33" s="551" t="s">
        <v>1862</v>
      </c>
      <c r="B33" s="26" t="s">
        <v>24</v>
      </c>
      <c r="C33" s="529" t="s">
        <v>27</v>
      </c>
      <c r="D33" s="529"/>
      <c r="E33" s="26">
        <v>20.52</v>
      </c>
      <c r="F33" s="476">
        <v>2686</v>
      </c>
      <c r="G33" s="466">
        <f t="shared" si="49"/>
        <v>55116.72</v>
      </c>
      <c r="H33" s="475" t="s">
        <v>52</v>
      </c>
      <c r="I33" s="474">
        <v>18</v>
      </c>
      <c r="J33" s="18">
        <v>2400</v>
      </c>
      <c r="K33" s="9">
        <f t="shared" si="54"/>
        <v>133.33333333333334</v>
      </c>
      <c r="L33" s="474">
        <v>18</v>
      </c>
      <c r="M33" s="10">
        <f t="shared" si="55"/>
        <v>2238.3333333333339</v>
      </c>
      <c r="N33" s="9">
        <f t="shared" si="56"/>
        <v>124.35185185185189</v>
      </c>
      <c r="O33" s="11">
        <f t="shared" si="50"/>
        <v>0</v>
      </c>
      <c r="P33" s="12">
        <f t="shared" si="51"/>
        <v>-8.9814814814814525</v>
      </c>
      <c r="Q33" s="465">
        <f t="shared" si="52"/>
        <v>0.93263888888888913</v>
      </c>
      <c r="R33" s="533"/>
      <c r="S33" s="24">
        <v>0.35486111111111107</v>
      </c>
      <c r="T33" s="24">
        <v>0.40486111111111106</v>
      </c>
      <c r="U33" s="466">
        <f t="shared" si="58"/>
        <v>7.9999999999999716</v>
      </c>
      <c r="V33" s="473">
        <f t="shared" si="53"/>
        <v>71.999999999999986</v>
      </c>
      <c r="W33" s="14"/>
      <c r="X33" s="14"/>
      <c r="Y33" s="528"/>
      <c r="Z33" s="528"/>
      <c r="AA33" s="11">
        <f t="shared" si="2"/>
        <v>-161.66666666666606</v>
      </c>
      <c r="AB33" s="465">
        <f t="shared" si="57"/>
        <v>0.93263888888888913</v>
      </c>
      <c r="AC33" s="533"/>
    </row>
    <row r="34" spans="1:29">
      <c r="A34" s="551" t="s">
        <v>1862</v>
      </c>
      <c r="B34" s="26" t="s">
        <v>24</v>
      </c>
      <c r="C34" s="529" t="s">
        <v>50</v>
      </c>
      <c r="D34" s="529"/>
      <c r="E34" s="26">
        <v>26.2</v>
      </c>
      <c r="F34" s="476">
        <v>3546</v>
      </c>
      <c r="G34" s="466">
        <f t="shared" si="49"/>
        <v>92905.2</v>
      </c>
      <c r="H34" s="475" t="s">
        <v>52</v>
      </c>
      <c r="I34" s="474">
        <v>19</v>
      </c>
      <c r="J34" s="18">
        <v>2400</v>
      </c>
      <c r="K34" s="9">
        <f t="shared" si="54"/>
        <v>126.31578947368421</v>
      </c>
      <c r="L34" s="474">
        <v>19</v>
      </c>
      <c r="M34" s="10">
        <f t="shared" si="55"/>
        <v>2239.5789473684213</v>
      </c>
      <c r="N34" s="9">
        <f t="shared" si="56"/>
        <v>117.87257617728532</v>
      </c>
      <c r="O34" s="11">
        <f t="shared" si="50"/>
        <v>0</v>
      </c>
      <c r="P34" s="12">
        <f t="shared" si="51"/>
        <v>-8.4432132963988806</v>
      </c>
      <c r="Q34" s="465">
        <f t="shared" si="52"/>
        <v>0.93315789473684219</v>
      </c>
      <c r="R34" s="533"/>
      <c r="S34" s="24">
        <v>0.40902777777777771</v>
      </c>
      <c r="T34" s="24">
        <v>0.47499999999999992</v>
      </c>
      <c r="U34" s="466">
        <f t="shared" si="58"/>
        <v>5.9999999999999787</v>
      </c>
      <c r="V34" s="473">
        <f t="shared" si="53"/>
        <v>94.999999999999986</v>
      </c>
      <c r="W34" s="14"/>
      <c r="X34" s="14"/>
      <c r="Y34" s="528"/>
      <c r="Z34" s="528"/>
      <c r="AA34" s="11">
        <f t="shared" si="2"/>
        <v>-160.42105263157873</v>
      </c>
      <c r="AB34" s="465">
        <f t="shared" si="57"/>
        <v>0.93315789473684219</v>
      </c>
      <c r="AC34" s="533"/>
    </row>
    <row r="35" spans="1:29">
      <c r="A35" s="551" t="s">
        <v>1862</v>
      </c>
      <c r="B35" s="26" t="s">
        <v>24</v>
      </c>
      <c r="C35" s="529" t="s">
        <v>1079</v>
      </c>
      <c r="D35" s="529"/>
      <c r="E35" s="26">
        <v>25.98</v>
      </c>
      <c r="F35" s="476">
        <v>3338</v>
      </c>
      <c r="G35" s="466">
        <f t="shared" si="49"/>
        <v>86721.24</v>
      </c>
      <c r="H35" s="475" t="s">
        <v>52</v>
      </c>
      <c r="I35" s="474">
        <v>17</v>
      </c>
      <c r="J35" s="18">
        <v>2400</v>
      </c>
      <c r="K35" s="9">
        <f t="shared" si="54"/>
        <v>141.1764705882353</v>
      </c>
      <c r="L35" s="474">
        <v>17</v>
      </c>
      <c r="M35" s="10">
        <f t="shared" si="55"/>
        <v>2250.3370786516834</v>
      </c>
      <c r="N35" s="9">
        <f t="shared" si="56"/>
        <v>132.37276933245198</v>
      </c>
      <c r="O35" s="11">
        <f t="shared" si="50"/>
        <v>0</v>
      </c>
      <c r="P35" s="12">
        <f t="shared" si="51"/>
        <v>-8.8037012557833236</v>
      </c>
      <c r="Q35" s="465">
        <f t="shared" si="52"/>
        <v>0.93764044943820146</v>
      </c>
      <c r="R35" s="533"/>
      <c r="S35" s="24">
        <v>0.47916666666666657</v>
      </c>
      <c r="T35" s="24">
        <v>0.54097222222222219</v>
      </c>
      <c r="U35" s="466">
        <f t="shared" si="58"/>
        <v>5.9999999999999787</v>
      </c>
      <c r="V35" s="473">
        <f t="shared" si="53"/>
        <v>89.000000000000085</v>
      </c>
      <c r="W35" s="14"/>
      <c r="X35" s="14"/>
      <c r="Y35" s="528"/>
      <c r="Z35" s="528"/>
      <c r="AA35" s="11">
        <f t="shared" si="2"/>
        <v>-149.66292134831656</v>
      </c>
      <c r="AB35" s="465">
        <f t="shared" si="57"/>
        <v>0.93764044943820146</v>
      </c>
      <c r="AC35" s="533"/>
    </row>
    <row r="36" spans="1:29">
      <c r="A36" s="551" t="s">
        <v>1862</v>
      </c>
      <c r="B36" s="16" t="s">
        <v>1857</v>
      </c>
      <c r="C36" s="530"/>
      <c r="D36" s="530"/>
      <c r="E36" s="471"/>
      <c r="F36" s="16"/>
      <c r="G36" s="9"/>
      <c r="H36" s="476"/>
      <c r="I36" s="17">
        <v>18.5</v>
      </c>
      <c r="J36" s="18">
        <v>2400</v>
      </c>
      <c r="K36" s="9">
        <f t="shared" si="54"/>
        <v>129.72972972972974</v>
      </c>
      <c r="L36" s="17">
        <v>18.5</v>
      </c>
      <c r="M36" s="10">
        <f>AVERAGE(M30:M35)</f>
        <v>2247.4144092650895</v>
      </c>
      <c r="N36" s="9">
        <f>M36/L36</f>
        <v>121.4818599602751</v>
      </c>
      <c r="O36" s="11">
        <f>L36-I36</f>
        <v>0</v>
      </c>
      <c r="P36" s="12">
        <f t="shared" si="51"/>
        <v>-8.2478697694546383</v>
      </c>
      <c r="Q36" s="465">
        <f t="shared" si="52"/>
        <v>0.93642267052712047</v>
      </c>
      <c r="R36" s="533"/>
      <c r="S36" s="24"/>
      <c r="T36" s="24"/>
      <c r="U36" s="9"/>
      <c r="V36" s="473"/>
      <c r="W36" s="9"/>
      <c r="X36" s="9"/>
      <c r="Y36" s="528"/>
      <c r="Z36" s="528"/>
      <c r="AA36" s="11">
        <f t="shared" si="2"/>
        <v>-152.58559073491051</v>
      </c>
      <c r="AB36" s="465">
        <f t="shared" si="57"/>
        <v>0.93642267052712058</v>
      </c>
      <c r="AC36" s="533"/>
    </row>
    <row r="37" spans="1:29" ht="15.75" customHeight="1">
      <c r="A37" s="544" t="s">
        <v>1863</v>
      </c>
      <c r="B37" s="26" t="s">
        <v>32</v>
      </c>
      <c r="C37" s="534" t="s">
        <v>33</v>
      </c>
      <c r="D37" s="535"/>
      <c r="E37" s="26">
        <v>27.17</v>
      </c>
      <c r="F37" s="476">
        <v>4722</v>
      </c>
      <c r="G37" s="466">
        <f t="shared" ref="G37:G43" si="59">E37*F37</f>
        <v>128296.74</v>
      </c>
      <c r="H37" s="475" t="s">
        <v>52</v>
      </c>
      <c r="I37" s="474">
        <v>10</v>
      </c>
      <c r="J37" s="18">
        <v>3000</v>
      </c>
      <c r="K37" s="9">
        <f t="shared" si="54"/>
        <v>300</v>
      </c>
      <c r="L37" s="474">
        <v>10</v>
      </c>
      <c r="M37" s="10">
        <f t="shared" ref="M37:M38" si="60">F37/V37*60</f>
        <v>2805.1485148514848</v>
      </c>
      <c r="N37" s="10">
        <f t="shared" ref="N37:N44" si="61">M37/L37</f>
        <v>280.51485148514848</v>
      </c>
      <c r="O37" s="11">
        <f t="shared" ref="O37:O44" si="62">L37-I37</f>
        <v>0</v>
      </c>
      <c r="P37" s="12">
        <f t="shared" si="51"/>
        <v>-19.485148514851517</v>
      </c>
      <c r="Q37" s="465">
        <f t="shared" si="52"/>
        <v>0.93504950495049499</v>
      </c>
      <c r="R37" s="547">
        <f>Q44</f>
        <v>0.93588183134969727</v>
      </c>
      <c r="S37" s="24">
        <v>0.125</v>
      </c>
      <c r="T37" s="24">
        <v>0.19513888888888889</v>
      </c>
      <c r="U37" s="15"/>
      <c r="V37" s="473">
        <f t="shared" ref="V37:V43" si="63">(T37-S37)*24*60</f>
        <v>101</v>
      </c>
      <c r="W37" s="466"/>
      <c r="X37" s="466"/>
      <c r="Y37" s="536"/>
      <c r="Z37" s="537"/>
      <c r="AA37" s="11">
        <f t="shared" si="2"/>
        <v>-194.85148514851517</v>
      </c>
      <c r="AB37" s="465">
        <f t="shared" si="57"/>
        <v>0.93504950495049499</v>
      </c>
      <c r="AC37" s="547">
        <f>AB44</f>
        <v>0.93588183134969727</v>
      </c>
    </row>
    <row r="38" spans="1:29" ht="15.75" customHeight="1">
      <c r="A38" s="545" t="s">
        <v>1863</v>
      </c>
      <c r="B38" s="26" t="s">
        <v>32</v>
      </c>
      <c r="C38" s="534" t="s">
        <v>34</v>
      </c>
      <c r="D38" s="535"/>
      <c r="E38" s="26">
        <v>21.13</v>
      </c>
      <c r="F38" s="476">
        <v>3917</v>
      </c>
      <c r="G38" s="466">
        <f t="shared" si="59"/>
        <v>82766.209999999992</v>
      </c>
      <c r="H38" s="475" t="s">
        <v>52</v>
      </c>
      <c r="I38" s="474">
        <v>10</v>
      </c>
      <c r="J38" s="18">
        <v>3000</v>
      </c>
      <c r="K38" s="9">
        <f t="shared" si="54"/>
        <v>300</v>
      </c>
      <c r="L38" s="474">
        <v>10</v>
      </c>
      <c r="M38" s="10">
        <f t="shared" si="60"/>
        <v>2797.8571428571418</v>
      </c>
      <c r="N38" s="10">
        <f t="shared" si="61"/>
        <v>279.78571428571416</v>
      </c>
      <c r="O38" s="11">
        <f t="shared" si="62"/>
        <v>0</v>
      </c>
      <c r="P38" s="12">
        <f t="shared" si="51"/>
        <v>-20.214285714285836</v>
      </c>
      <c r="Q38" s="465">
        <f t="shared" si="52"/>
        <v>0.93261904761904724</v>
      </c>
      <c r="R38" s="548"/>
      <c r="S38" s="24">
        <v>0.20069444444444445</v>
      </c>
      <c r="T38" s="24">
        <v>0.2590277777777778</v>
      </c>
      <c r="U38" s="466">
        <f>(S38-T37)*24*60</f>
        <v>8.0000000000000107</v>
      </c>
      <c r="V38" s="473">
        <f t="shared" si="63"/>
        <v>84.000000000000028</v>
      </c>
      <c r="W38" s="14"/>
      <c r="X38" s="14"/>
      <c r="Y38" s="536"/>
      <c r="Z38" s="537"/>
      <c r="AA38" s="11">
        <f t="shared" si="2"/>
        <v>-202.14285714285825</v>
      </c>
      <c r="AB38" s="465">
        <f t="shared" si="57"/>
        <v>0.93261904761904724</v>
      </c>
      <c r="AC38" s="548"/>
    </row>
    <row r="39" spans="1:29" ht="15.75" customHeight="1">
      <c r="A39" s="545" t="s">
        <v>1863</v>
      </c>
      <c r="B39" s="26" t="s">
        <v>32</v>
      </c>
      <c r="C39" s="534" t="s">
        <v>40</v>
      </c>
      <c r="D39" s="535"/>
      <c r="E39" s="26">
        <v>35.119999999999997</v>
      </c>
      <c r="F39" s="476">
        <v>3698</v>
      </c>
      <c r="G39" s="466">
        <f t="shared" si="59"/>
        <v>129873.76</v>
      </c>
      <c r="H39" s="475" t="s">
        <v>52</v>
      </c>
      <c r="I39" s="474">
        <v>10</v>
      </c>
      <c r="J39" s="18">
        <v>3000</v>
      </c>
      <c r="K39" s="9">
        <f t="shared" si="54"/>
        <v>300</v>
      </c>
      <c r="L39" s="474">
        <v>10</v>
      </c>
      <c r="M39" s="10">
        <f>F39/V39*60</f>
        <v>2808.6075949367105</v>
      </c>
      <c r="N39" s="10">
        <f t="shared" si="61"/>
        <v>280.86075949367103</v>
      </c>
      <c r="O39" s="11">
        <f t="shared" si="62"/>
        <v>0</v>
      </c>
      <c r="P39" s="12">
        <f t="shared" si="51"/>
        <v>-19.139240506328974</v>
      </c>
      <c r="Q39" s="465">
        <f t="shared" si="52"/>
        <v>0.9362025316455701</v>
      </c>
      <c r="R39" s="548"/>
      <c r="S39" s="24">
        <v>0.2638888888888889</v>
      </c>
      <c r="T39" s="24">
        <v>0.31874999999999998</v>
      </c>
      <c r="U39" s="466">
        <f t="shared" ref="U39:U43" si="64">(S39-T38)*24*60</f>
        <v>6.9999999999999751</v>
      </c>
      <c r="V39" s="473">
        <f t="shared" si="63"/>
        <v>78.999999999999957</v>
      </c>
      <c r="W39" s="14"/>
      <c r="X39" s="14"/>
      <c r="Y39" s="536"/>
      <c r="Z39" s="537"/>
      <c r="AA39" s="11">
        <f t="shared" si="2"/>
        <v>-191.39240506328952</v>
      </c>
      <c r="AB39" s="465">
        <f t="shared" si="57"/>
        <v>0.93620253164557021</v>
      </c>
      <c r="AC39" s="548"/>
    </row>
    <row r="40" spans="1:29" ht="15.75" customHeight="1">
      <c r="A40" s="545" t="s">
        <v>1863</v>
      </c>
      <c r="B40" s="26" t="s">
        <v>32</v>
      </c>
      <c r="C40" s="534" t="s">
        <v>61</v>
      </c>
      <c r="D40" s="535"/>
      <c r="E40" s="26">
        <v>40.18</v>
      </c>
      <c r="F40" s="476">
        <v>1743</v>
      </c>
      <c r="G40" s="466">
        <f t="shared" si="59"/>
        <v>70033.740000000005</v>
      </c>
      <c r="H40" s="475" t="s">
        <v>52</v>
      </c>
      <c r="I40" s="474">
        <v>10</v>
      </c>
      <c r="J40" s="18">
        <v>3000</v>
      </c>
      <c r="K40" s="9">
        <f t="shared" si="54"/>
        <v>300</v>
      </c>
      <c r="L40" s="474">
        <v>10</v>
      </c>
      <c r="M40" s="10">
        <f t="shared" ref="M40:M43" si="65">F40/V40*60</f>
        <v>2826.486486486484</v>
      </c>
      <c r="N40" s="10">
        <f t="shared" si="61"/>
        <v>282.64864864864842</v>
      </c>
      <c r="O40" s="11">
        <f t="shared" si="62"/>
        <v>0</v>
      </c>
      <c r="P40" s="12">
        <f t="shared" si="51"/>
        <v>-17.351351351351582</v>
      </c>
      <c r="Q40" s="465">
        <f t="shared" si="52"/>
        <v>0.94216216216216142</v>
      </c>
      <c r="R40" s="548"/>
      <c r="S40" s="24">
        <v>0.32430555555555551</v>
      </c>
      <c r="T40" s="24">
        <v>0.35</v>
      </c>
      <c r="U40" s="466">
        <f t="shared" si="64"/>
        <v>7.9999999999999716</v>
      </c>
      <c r="V40" s="473">
        <f t="shared" si="63"/>
        <v>37.000000000000028</v>
      </c>
      <c r="W40" s="14"/>
      <c r="X40" s="14"/>
      <c r="Y40" s="536"/>
      <c r="Z40" s="537"/>
      <c r="AA40" s="11">
        <f t="shared" si="2"/>
        <v>-173.51351351351605</v>
      </c>
      <c r="AB40" s="465">
        <f t="shared" si="57"/>
        <v>0.94216216216216131</v>
      </c>
      <c r="AC40" s="548"/>
    </row>
    <row r="41" spans="1:29" ht="15.75" customHeight="1">
      <c r="A41" s="545" t="s">
        <v>1864</v>
      </c>
      <c r="B41" s="26" t="s">
        <v>32</v>
      </c>
      <c r="C41" s="534" t="s">
        <v>64</v>
      </c>
      <c r="D41" s="535"/>
      <c r="E41" s="26">
        <v>28.5</v>
      </c>
      <c r="F41" s="476">
        <v>979</v>
      </c>
      <c r="G41" s="466">
        <f t="shared" si="59"/>
        <v>27901.5</v>
      </c>
      <c r="H41" s="475" t="s">
        <v>52</v>
      </c>
      <c r="I41" s="474">
        <v>10</v>
      </c>
      <c r="J41" s="18">
        <v>3000</v>
      </c>
      <c r="K41" s="9">
        <f t="shared" si="54"/>
        <v>300</v>
      </c>
      <c r="L41" s="474">
        <v>10</v>
      </c>
      <c r="M41" s="10">
        <f t="shared" si="65"/>
        <v>2797.1428571428564</v>
      </c>
      <c r="N41" s="10">
        <f t="shared" si="61"/>
        <v>279.71428571428567</v>
      </c>
      <c r="O41" s="11">
        <f t="shared" si="62"/>
        <v>0</v>
      </c>
      <c r="P41" s="12">
        <f t="shared" si="51"/>
        <v>-20.285714285714334</v>
      </c>
      <c r="Q41" s="465">
        <f>N41/K41</f>
        <v>0.9323809523809522</v>
      </c>
      <c r="R41" s="548"/>
      <c r="S41" s="24">
        <v>0.35416666666666663</v>
      </c>
      <c r="T41" s="24">
        <v>0.36874999999999997</v>
      </c>
      <c r="U41" s="466">
        <f t="shared" si="64"/>
        <v>5.9999999999999787</v>
      </c>
      <c r="V41" s="473">
        <f t="shared" si="63"/>
        <v>21.000000000000007</v>
      </c>
      <c r="W41" s="14"/>
      <c r="X41" s="14"/>
      <c r="Y41" s="536"/>
      <c r="Z41" s="537"/>
      <c r="AA41" s="11">
        <f t="shared" si="2"/>
        <v>-202.85714285714357</v>
      </c>
      <c r="AB41" s="465">
        <f t="shared" si="57"/>
        <v>0.93238095238095209</v>
      </c>
      <c r="AC41" s="548"/>
    </row>
    <row r="42" spans="1:29" ht="15.75" customHeight="1">
      <c r="A42" s="545" t="s">
        <v>1863</v>
      </c>
      <c r="B42" s="26" t="s">
        <v>32</v>
      </c>
      <c r="C42" s="534" t="s">
        <v>78</v>
      </c>
      <c r="D42" s="535"/>
      <c r="E42" s="26">
        <v>35.869999999999997</v>
      </c>
      <c r="F42" s="476">
        <v>2705</v>
      </c>
      <c r="G42" s="466">
        <f t="shared" si="59"/>
        <v>97028.349999999991</v>
      </c>
      <c r="H42" s="475" t="s">
        <v>52</v>
      </c>
      <c r="I42" s="474">
        <v>10</v>
      </c>
      <c r="J42" s="18">
        <v>3000</v>
      </c>
      <c r="K42" s="9">
        <f t="shared" si="54"/>
        <v>300</v>
      </c>
      <c r="L42" s="474">
        <v>10</v>
      </c>
      <c r="M42" s="10">
        <f t="shared" si="65"/>
        <v>2798.2758620689638</v>
      </c>
      <c r="N42" s="10">
        <f t="shared" si="61"/>
        <v>279.8275862068964</v>
      </c>
      <c r="O42" s="11">
        <f t="shared" si="62"/>
        <v>0</v>
      </c>
      <c r="P42" s="12">
        <f t="shared" si="51"/>
        <v>-20.172413793103601</v>
      </c>
      <c r="Q42" s="465">
        <f t="shared" ref="Q42:Q44" si="66">N42/K42</f>
        <v>0.93275862068965465</v>
      </c>
      <c r="R42" s="548"/>
      <c r="S42" s="24">
        <v>0.3743055555555555</v>
      </c>
      <c r="T42" s="24">
        <v>0.4145833333333333</v>
      </c>
      <c r="U42" s="466">
        <f t="shared" si="64"/>
        <v>7.9999999999999716</v>
      </c>
      <c r="V42" s="473">
        <f t="shared" si="63"/>
        <v>58.000000000000036</v>
      </c>
      <c r="W42" s="14"/>
      <c r="X42" s="14"/>
      <c r="Y42" s="536"/>
      <c r="Z42" s="537"/>
      <c r="AA42" s="11">
        <f t="shared" si="2"/>
        <v>-201.72413793103624</v>
      </c>
      <c r="AB42" s="465">
        <f t="shared" si="57"/>
        <v>0.93275862068965454</v>
      </c>
      <c r="AC42" s="548"/>
    </row>
    <row r="43" spans="1:29" ht="15.75" customHeight="1">
      <c r="A43" s="545" t="s">
        <v>1863</v>
      </c>
      <c r="B43" s="26" t="s">
        <v>32</v>
      </c>
      <c r="C43" s="534" t="s">
        <v>1081</v>
      </c>
      <c r="D43" s="535"/>
      <c r="E43" s="26">
        <v>36.14</v>
      </c>
      <c r="F43" s="476">
        <v>3008</v>
      </c>
      <c r="G43" s="466">
        <f t="shared" si="59"/>
        <v>108709.12</v>
      </c>
      <c r="H43" s="475" t="s">
        <v>52</v>
      </c>
      <c r="I43" s="474">
        <v>10</v>
      </c>
      <c r="J43" s="18">
        <v>3000</v>
      </c>
      <c r="K43" s="9">
        <f t="shared" si="54"/>
        <v>300</v>
      </c>
      <c r="L43" s="474">
        <v>10</v>
      </c>
      <c r="M43" s="10">
        <f t="shared" si="65"/>
        <v>2819.9999999999995</v>
      </c>
      <c r="N43" s="10">
        <f t="shared" si="61"/>
        <v>281.99999999999994</v>
      </c>
      <c r="O43" s="11">
        <f t="shared" si="62"/>
        <v>0</v>
      </c>
      <c r="P43" s="12">
        <f t="shared" si="51"/>
        <v>-18.000000000000057</v>
      </c>
      <c r="Q43" s="465">
        <f t="shared" si="66"/>
        <v>0.93999999999999984</v>
      </c>
      <c r="R43" s="548"/>
      <c r="S43" s="24">
        <v>0.42013888888888884</v>
      </c>
      <c r="T43" s="24">
        <v>0.46458333333333329</v>
      </c>
      <c r="U43" s="466">
        <f t="shared" si="64"/>
        <v>7.9999999999999716</v>
      </c>
      <c r="V43" s="473">
        <f t="shared" si="63"/>
        <v>64.000000000000014</v>
      </c>
      <c r="W43" s="14"/>
      <c r="X43" s="14"/>
      <c r="Y43" s="536"/>
      <c r="Z43" s="537"/>
      <c r="AA43" s="11">
        <f t="shared" si="2"/>
        <v>-180.00000000000045</v>
      </c>
      <c r="AB43" s="465">
        <f t="shared" si="57"/>
        <v>0.93999999999999984</v>
      </c>
      <c r="AC43" s="548"/>
    </row>
    <row r="44" spans="1:29" ht="15.75" customHeight="1">
      <c r="A44" s="546" t="s">
        <v>1865</v>
      </c>
      <c r="B44" s="26" t="s">
        <v>1866</v>
      </c>
      <c r="C44" s="540"/>
      <c r="D44" s="541"/>
      <c r="E44" s="472"/>
      <c r="F44" s="476"/>
      <c r="G44" s="466"/>
      <c r="H44" s="476"/>
      <c r="I44" s="17">
        <v>10</v>
      </c>
      <c r="J44" s="18">
        <v>3000</v>
      </c>
      <c r="K44" s="9">
        <f>J44/I44</f>
        <v>300</v>
      </c>
      <c r="L44" s="17">
        <v>10</v>
      </c>
      <c r="M44" s="10">
        <f>AVERAGE(M37:M43)</f>
        <v>2807.6454940490917</v>
      </c>
      <c r="N44" s="9">
        <f t="shared" si="61"/>
        <v>280.76454940490919</v>
      </c>
      <c r="O44" s="11">
        <f t="shared" si="62"/>
        <v>0</v>
      </c>
      <c r="P44" s="12">
        <f t="shared" si="51"/>
        <v>-19.235450595090811</v>
      </c>
      <c r="Q44" s="465">
        <f t="shared" si="66"/>
        <v>0.93588183134969727</v>
      </c>
      <c r="R44" s="549"/>
      <c r="S44" s="24"/>
      <c r="T44" s="24"/>
      <c r="U44" s="466"/>
      <c r="V44" s="473"/>
      <c r="W44" s="14"/>
      <c r="X44" s="14"/>
      <c r="Y44" s="536"/>
      <c r="Z44" s="537"/>
      <c r="AA44" s="11">
        <f t="shared" si="2"/>
        <v>-192.35450595090833</v>
      </c>
      <c r="AB44" s="465">
        <f t="shared" si="57"/>
        <v>0.93588183134969727</v>
      </c>
      <c r="AC44" s="549"/>
    </row>
    <row r="45" spans="1:29" ht="15.75" customHeight="1">
      <c r="A45" s="542" t="s">
        <v>383</v>
      </c>
      <c r="B45" s="26" t="s">
        <v>15</v>
      </c>
      <c r="C45" s="529" t="s">
        <v>20</v>
      </c>
      <c r="D45" s="529"/>
      <c r="E45" s="26">
        <v>46</v>
      </c>
      <c r="F45" s="27">
        <v>2735</v>
      </c>
      <c r="G45" s="466">
        <f t="shared" ref="G45:G49" si="67">E45*F45</f>
        <v>125810</v>
      </c>
      <c r="H45" s="475" t="s">
        <v>52</v>
      </c>
      <c r="I45" s="474">
        <v>17</v>
      </c>
      <c r="J45" s="18">
        <v>2000</v>
      </c>
      <c r="K45" s="9">
        <f t="shared" ref="K45:K49" si="68">J45/I45</f>
        <v>117.64705882352941</v>
      </c>
      <c r="L45" s="474">
        <v>17</v>
      </c>
      <c r="M45" s="10">
        <f t="shared" ref="M45:M49" si="69">F45/V45*60</f>
        <v>1864.7727272727273</v>
      </c>
      <c r="N45" s="10">
        <f>M45/L45</f>
        <v>109.69251336898395</v>
      </c>
      <c r="O45" s="11">
        <f>L45-I45</f>
        <v>0</v>
      </c>
      <c r="P45" s="12">
        <f>N45-K45</f>
        <v>-7.9545454545454533</v>
      </c>
      <c r="Q45" s="465">
        <f>N45/K45</f>
        <v>0.93238636363636362</v>
      </c>
      <c r="R45" s="533">
        <f>Q50</f>
        <v>0.93649958106716114</v>
      </c>
      <c r="S45" s="24">
        <v>0.29166666666666669</v>
      </c>
      <c r="T45" s="24">
        <v>0.3527777777777778</v>
      </c>
      <c r="U45" s="15"/>
      <c r="V45" s="473">
        <f t="shared" ref="V45:V49" si="70">(T45-S45)*24*60</f>
        <v>88</v>
      </c>
      <c r="W45" s="15"/>
      <c r="X45" s="15"/>
      <c r="Y45" s="528"/>
      <c r="Z45" s="528"/>
      <c r="AA45" s="11">
        <f t="shared" si="2"/>
        <v>-135.22727272727275</v>
      </c>
      <c r="AB45" s="465">
        <f t="shared" si="57"/>
        <v>0.93238636363636362</v>
      </c>
      <c r="AC45" s="533">
        <f>AB50</f>
        <v>0.93649958106716114</v>
      </c>
    </row>
    <row r="46" spans="1:29" ht="15.75" customHeight="1">
      <c r="A46" s="542" t="s">
        <v>1867</v>
      </c>
      <c r="B46" s="26" t="s">
        <v>15</v>
      </c>
      <c r="C46" s="529" t="s">
        <v>65</v>
      </c>
      <c r="D46" s="529"/>
      <c r="E46" s="26">
        <v>46</v>
      </c>
      <c r="F46" s="27">
        <v>2932</v>
      </c>
      <c r="G46" s="466">
        <f t="shared" si="67"/>
        <v>134872</v>
      </c>
      <c r="H46" s="475" t="s">
        <v>52</v>
      </c>
      <c r="I46" s="474">
        <v>18</v>
      </c>
      <c r="J46" s="18">
        <v>2000</v>
      </c>
      <c r="K46" s="9">
        <f t="shared" si="68"/>
        <v>111.11111111111111</v>
      </c>
      <c r="L46" s="474">
        <v>18</v>
      </c>
      <c r="M46" s="10">
        <f t="shared" si="69"/>
        <v>1871.489361702128</v>
      </c>
      <c r="N46" s="10">
        <f t="shared" ref="N46:N49" si="71">M46/L46</f>
        <v>103.97163120567377</v>
      </c>
      <c r="O46" s="11">
        <f t="shared" ref="O46:O49" si="72">L46-I46</f>
        <v>0</v>
      </c>
      <c r="P46" s="12">
        <f t="shared" ref="P46:P49" si="73">N46-K46</f>
        <v>-7.1394799054373408</v>
      </c>
      <c r="Q46" s="465">
        <f t="shared" ref="Q46:Q49" si="74">N46/K46</f>
        <v>0.93574468085106388</v>
      </c>
      <c r="R46" s="533"/>
      <c r="S46" s="24">
        <v>0.35694444444444445</v>
      </c>
      <c r="T46" s="24">
        <v>0.42222222222222222</v>
      </c>
      <c r="U46" s="466">
        <f>IF(S46=TIME(17,0,0),"",(S46-T45)*24*60)</f>
        <v>5.9999999999999787</v>
      </c>
      <c r="V46" s="473">
        <f t="shared" si="70"/>
        <v>93.999999999999986</v>
      </c>
      <c r="W46" s="14"/>
      <c r="X46" s="14"/>
      <c r="Y46" s="528"/>
      <c r="Z46" s="528"/>
      <c r="AA46" s="11">
        <f t="shared" si="2"/>
        <v>-128.51063829787199</v>
      </c>
      <c r="AB46" s="465">
        <f t="shared" si="57"/>
        <v>0.93574468085106399</v>
      </c>
      <c r="AC46" s="533"/>
    </row>
    <row r="47" spans="1:29" ht="15.75" customHeight="1">
      <c r="A47" s="542" t="s">
        <v>1868</v>
      </c>
      <c r="B47" s="26" t="s">
        <v>13</v>
      </c>
      <c r="C47" s="534" t="s">
        <v>59</v>
      </c>
      <c r="D47" s="535"/>
      <c r="E47" s="26">
        <v>55.56</v>
      </c>
      <c r="F47" s="27">
        <v>2197</v>
      </c>
      <c r="G47" s="466">
        <f t="shared" si="67"/>
        <v>122065.32</v>
      </c>
      <c r="H47" s="475" t="s">
        <v>52</v>
      </c>
      <c r="I47" s="474">
        <v>17</v>
      </c>
      <c r="J47" s="18">
        <v>2000</v>
      </c>
      <c r="K47" s="9">
        <f t="shared" si="68"/>
        <v>117.64705882352941</v>
      </c>
      <c r="L47" s="474">
        <v>17</v>
      </c>
      <c r="M47" s="10">
        <f t="shared" si="69"/>
        <v>1883.1428571428553</v>
      </c>
      <c r="N47" s="10">
        <f t="shared" si="71"/>
        <v>110.77310924369738</v>
      </c>
      <c r="O47" s="11">
        <f t="shared" si="72"/>
        <v>0</v>
      </c>
      <c r="P47" s="12">
        <f t="shared" si="73"/>
        <v>-6.8739495798320291</v>
      </c>
      <c r="Q47" s="465">
        <f t="shared" si="74"/>
        <v>0.94157142857142773</v>
      </c>
      <c r="R47" s="533"/>
      <c r="S47" s="24">
        <v>0.70833333333333337</v>
      </c>
      <c r="T47" s="24">
        <v>0.75694444444444453</v>
      </c>
      <c r="U47" s="466" t="str">
        <f t="shared" ref="U47:U49" si="75">IF(S47=TIME(17,0,0),"",(S47-T46)*24*60)</f>
        <v/>
      </c>
      <c r="V47" s="473">
        <f t="shared" si="70"/>
        <v>70.000000000000071</v>
      </c>
      <c r="W47" s="14"/>
      <c r="X47" s="14"/>
      <c r="Y47" s="469"/>
      <c r="Z47" s="470"/>
      <c r="AA47" s="11">
        <f t="shared" si="2"/>
        <v>-116.85714285714471</v>
      </c>
      <c r="AB47" s="465">
        <f t="shared" si="57"/>
        <v>0.94157142857142762</v>
      </c>
      <c r="AC47" s="533"/>
    </row>
    <row r="48" spans="1:29" ht="15.75" customHeight="1">
      <c r="A48" s="542" t="s">
        <v>1869</v>
      </c>
      <c r="B48" s="26" t="s">
        <v>13</v>
      </c>
      <c r="C48" s="467" t="s">
        <v>58</v>
      </c>
      <c r="D48" s="468"/>
      <c r="E48" s="26">
        <v>55.32</v>
      </c>
      <c r="F48" s="27">
        <v>1645</v>
      </c>
      <c r="G48" s="466">
        <f t="shared" si="67"/>
        <v>91001.4</v>
      </c>
      <c r="H48" s="475" t="s">
        <v>52</v>
      </c>
      <c r="I48" s="474">
        <v>15</v>
      </c>
      <c r="J48" s="18">
        <v>2000</v>
      </c>
      <c r="K48" s="9">
        <f t="shared" si="68"/>
        <v>133.33333333333334</v>
      </c>
      <c r="L48" s="474">
        <v>15</v>
      </c>
      <c r="M48" s="10">
        <f t="shared" si="69"/>
        <v>1862.2641509433972</v>
      </c>
      <c r="N48" s="10">
        <f t="shared" si="71"/>
        <v>124.15094339622648</v>
      </c>
      <c r="O48" s="11">
        <f t="shared" si="72"/>
        <v>0</v>
      </c>
      <c r="P48" s="12">
        <f t="shared" si="73"/>
        <v>-9.182389937106862</v>
      </c>
      <c r="Q48" s="465">
        <f t="shared" si="74"/>
        <v>0.93113207547169852</v>
      </c>
      <c r="R48" s="533"/>
      <c r="S48" s="24">
        <v>0.76250000000000007</v>
      </c>
      <c r="T48" s="24">
        <v>0.7993055555555556</v>
      </c>
      <c r="U48" s="466">
        <f t="shared" si="75"/>
        <v>7.9999999999999716</v>
      </c>
      <c r="V48" s="473">
        <f t="shared" si="70"/>
        <v>52.999999999999972</v>
      </c>
      <c r="W48" s="14"/>
      <c r="X48" s="14"/>
      <c r="Y48" s="469"/>
      <c r="Z48" s="470"/>
      <c r="AA48" s="11">
        <f t="shared" si="2"/>
        <v>-137.73584905660277</v>
      </c>
      <c r="AB48" s="465">
        <f t="shared" si="57"/>
        <v>0.93113207547169863</v>
      </c>
      <c r="AC48" s="533"/>
    </row>
    <row r="49" spans="1:29" ht="15.75" customHeight="1">
      <c r="A49" s="542" t="s">
        <v>1867</v>
      </c>
      <c r="B49" s="26" t="s">
        <v>13</v>
      </c>
      <c r="C49" s="467" t="s">
        <v>60</v>
      </c>
      <c r="D49" s="468"/>
      <c r="E49" s="26">
        <v>57.73</v>
      </c>
      <c r="F49" s="27">
        <v>1533</v>
      </c>
      <c r="G49" s="466">
        <f t="shared" si="67"/>
        <v>88500.09</v>
      </c>
      <c r="H49" s="475" t="s">
        <v>52</v>
      </c>
      <c r="I49" s="474">
        <v>16</v>
      </c>
      <c r="J49" s="18">
        <v>1500</v>
      </c>
      <c r="K49" s="9">
        <f t="shared" si="68"/>
        <v>93.75</v>
      </c>
      <c r="L49" s="474">
        <v>16</v>
      </c>
      <c r="M49" s="10">
        <f t="shared" si="69"/>
        <v>1415.0769230769247</v>
      </c>
      <c r="N49" s="10">
        <f t="shared" si="71"/>
        <v>88.442307692307793</v>
      </c>
      <c r="O49" s="11">
        <f t="shared" si="72"/>
        <v>0</v>
      </c>
      <c r="P49" s="12">
        <f t="shared" si="73"/>
        <v>-5.3076923076922071</v>
      </c>
      <c r="Q49" s="465">
        <f t="shared" si="74"/>
        <v>0.94338461538461649</v>
      </c>
      <c r="R49" s="533"/>
      <c r="S49" s="24">
        <v>0.80277777777777781</v>
      </c>
      <c r="T49" s="24">
        <v>0.84791666666666665</v>
      </c>
      <c r="U49" s="466">
        <f t="shared" si="75"/>
        <v>4.9999999999999822</v>
      </c>
      <c r="V49" s="473">
        <f t="shared" si="70"/>
        <v>64.999999999999929</v>
      </c>
      <c r="W49" s="14"/>
      <c r="X49" s="14"/>
      <c r="Y49" s="469"/>
      <c r="Z49" s="470"/>
      <c r="AA49" s="11">
        <f t="shared" si="2"/>
        <v>-84.923076923075314</v>
      </c>
      <c r="AB49" s="465">
        <f t="shared" si="57"/>
        <v>0.94338461538461649</v>
      </c>
      <c r="AC49" s="533"/>
    </row>
    <row r="50" spans="1:29">
      <c r="A50" s="543" t="s">
        <v>383</v>
      </c>
      <c r="B50" s="26" t="s">
        <v>1857</v>
      </c>
      <c r="C50" s="530"/>
      <c r="D50" s="530"/>
      <c r="E50" s="471"/>
      <c r="F50" s="16"/>
      <c r="G50" s="9"/>
      <c r="H50" s="476"/>
      <c r="I50" s="17">
        <v>16.600000000000001</v>
      </c>
      <c r="J50" s="18">
        <v>1900</v>
      </c>
      <c r="K50" s="9">
        <f>J50/I50</f>
        <v>114.4578313253012</v>
      </c>
      <c r="L50" s="17">
        <v>16.600000000000001</v>
      </c>
      <c r="M50" s="10">
        <f>AVERAGE(M45:M49)</f>
        <v>1779.3492040276062</v>
      </c>
      <c r="N50" s="9">
        <f>M50/L50</f>
        <v>107.18971108600037</v>
      </c>
      <c r="O50" s="11">
        <f>L50-I50</f>
        <v>0</v>
      </c>
      <c r="P50" s="12">
        <f>N50-K50</f>
        <v>-7.2681202393008277</v>
      </c>
      <c r="Q50" s="465">
        <f>N50/K50</f>
        <v>0.93649958106716114</v>
      </c>
      <c r="R50" s="533"/>
      <c r="S50" s="25"/>
      <c r="T50" s="24"/>
      <c r="U50" s="9"/>
      <c r="V50" s="473"/>
      <c r="W50" s="9"/>
      <c r="X50" s="9"/>
      <c r="Y50" s="528"/>
      <c r="Z50" s="528"/>
      <c r="AA50" s="11">
        <f t="shared" si="2"/>
        <v>-120.65079597239378</v>
      </c>
      <c r="AB50" s="465">
        <f t="shared" si="57"/>
        <v>0.93649958106716114</v>
      </c>
      <c r="AC50" s="533"/>
    </row>
    <row r="51" spans="1:29" ht="15.75" customHeight="1">
      <c r="A51" s="538" t="s">
        <v>1870</v>
      </c>
      <c r="B51" s="476" t="s">
        <v>1549</v>
      </c>
      <c r="C51" s="529" t="s">
        <v>1084</v>
      </c>
      <c r="D51" s="529"/>
      <c r="E51" s="26">
        <v>84.51</v>
      </c>
      <c r="F51" s="27">
        <v>2876</v>
      </c>
      <c r="G51" s="466">
        <f t="shared" ref="G51:G56" si="76">E51*F51</f>
        <v>243050.76</v>
      </c>
      <c r="H51" s="475" t="s">
        <v>52</v>
      </c>
      <c r="I51" s="474">
        <v>17</v>
      </c>
      <c r="J51" s="18">
        <v>2400</v>
      </c>
      <c r="K51" s="9">
        <f t="shared" ref="K51:K56" si="77">J51/I51</f>
        <v>141.1764705882353</v>
      </c>
      <c r="L51" s="17">
        <v>17</v>
      </c>
      <c r="M51" s="10">
        <f t="shared" ref="M51:M56" si="78">F51/V51*60</f>
        <v>2241.0389610389611</v>
      </c>
      <c r="N51" s="9">
        <f>M51/L51</f>
        <v>131.82582123758596</v>
      </c>
      <c r="O51" s="11">
        <f t="shared" ref="O51:O56" si="79">L51-I51</f>
        <v>0</v>
      </c>
      <c r="P51" s="12">
        <f t="shared" ref="P51:P56" si="80">N51-K51</f>
        <v>-9.3506493506493484</v>
      </c>
      <c r="Q51" s="465">
        <f>N51/K51</f>
        <v>0.9337662337662338</v>
      </c>
      <c r="R51" s="533">
        <f>Q57</f>
        <v>0.94268366753702704</v>
      </c>
      <c r="S51" s="24">
        <v>0.125</v>
      </c>
      <c r="T51" s="24">
        <v>0.17847222222222223</v>
      </c>
      <c r="U51" s="466"/>
      <c r="V51" s="473">
        <f t="shared" ref="V51:V56" si="81">(T51-S51)*24*60</f>
        <v>77</v>
      </c>
      <c r="W51" s="15"/>
      <c r="X51" s="15"/>
      <c r="Y51" s="528"/>
      <c r="Z51" s="528"/>
      <c r="AA51" s="11">
        <f t="shared" si="2"/>
        <v>-158.96103896103887</v>
      </c>
      <c r="AB51" s="465">
        <f t="shared" si="57"/>
        <v>0.9337662337662338</v>
      </c>
      <c r="AC51" s="533">
        <f>AB57</f>
        <v>0.94268366753702715</v>
      </c>
    </row>
    <row r="52" spans="1:29" ht="15.75" customHeight="1">
      <c r="A52" s="538" t="s">
        <v>385</v>
      </c>
      <c r="B52" s="476" t="s">
        <v>32</v>
      </c>
      <c r="C52" s="529" t="s">
        <v>35</v>
      </c>
      <c r="D52" s="529"/>
      <c r="E52" s="26">
        <v>26.78</v>
      </c>
      <c r="F52" s="27">
        <v>2205</v>
      </c>
      <c r="G52" s="466">
        <f t="shared" si="76"/>
        <v>59049.9</v>
      </c>
      <c r="H52" s="475" t="s">
        <v>52</v>
      </c>
      <c r="I52" s="474">
        <v>10</v>
      </c>
      <c r="J52" s="18">
        <v>3000</v>
      </c>
      <c r="K52" s="9">
        <f t="shared" si="77"/>
        <v>300</v>
      </c>
      <c r="L52" s="17">
        <v>10</v>
      </c>
      <c r="M52" s="10">
        <f t="shared" si="78"/>
        <v>2814.8936170212769</v>
      </c>
      <c r="N52" s="9">
        <f t="shared" ref="N52:N56" si="82">M52/L52</f>
        <v>281.48936170212767</v>
      </c>
      <c r="O52" s="11">
        <f t="shared" si="79"/>
        <v>0</v>
      </c>
      <c r="P52" s="12">
        <f t="shared" si="80"/>
        <v>-18.510638297872333</v>
      </c>
      <c r="Q52" s="465">
        <f t="shared" ref="Q52:Q56" si="83">N52/K52</f>
        <v>0.93829787234042561</v>
      </c>
      <c r="R52" s="533"/>
      <c r="S52" s="24">
        <v>0.18263888888888891</v>
      </c>
      <c r="T52" s="24">
        <v>0.21527777777777779</v>
      </c>
      <c r="U52" s="466">
        <f>(S52-T51)*24*60</f>
        <v>6.0000000000000187</v>
      </c>
      <c r="V52" s="473">
        <f t="shared" si="81"/>
        <v>46.999999999999993</v>
      </c>
      <c r="W52" s="466"/>
      <c r="X52" s="466"/>
      <c r="Y52" s="528"/>
      <c r="Z52" s="528"/>
      <c r="AA52" s="11">
        <f t="shared" si="2"/>
        <v>-185.1063829787231</v>
      </c>
      <c r="AB52" s="465">
        <f t="shared" si="57"/>
        <v>0.93829787234042561</v>
      </c>
      <c r="AC52" s="533"/>
    </row>
    <row r="53" spans="1:29" ht="15.75" customHeight="1">
      <c r="A53" s="538" t="s">
        <v>1871</v>
      </c>
      <c r="B53" s="476" t="s">
        <v>32</v>
      </c>
      <c r="C53" s="529" t="s">
        <v>39</v>
      </c>
      <c r="D53" s="529"/>
      <c r="E53" s="26">
        <v>35.369999999999997</v>
      </c>
      <c r="F53" s="27">
        <v>1428</v>
      </c>
      <c r="G53" s="466">
        <f t="shared" si="76"/>
        <v>50508.359999999993</v>
      </c>
      <c r="H53" s="475" t="s">
        <v>52</v>
      </c>
      <c r="I53" s="474">
        <v>10</v>
      </c>
      <c r="J53" s="18">
        <v>3000</v>
      </c>
      <c r="K53" s="9">
        <f t="shared" si="77"/>
        <v>300</v>
      </c>
      <c r="L53" s="17">
        <v>10</v>
      </c>
      <c r="M53" s="10">
        <f t="shared" si="78"/>
        <v>2855.9999999999986</v>
      </c>
      <c r="N53" s="9">
        <f t="shared" si="82"/>
        <v>285.59999999999985</v>
      </c>
      <c r="O53" s="11">
        <f t="shared" si="79"/>
        <v>0</v>
      </c>
      <c r="P53" s="12">
        <f t="shared" si="80"/>
        <v>-14.400000000000148</v>
      </c>
      <c r="Q53" s="465">
        <f t="shared" si="83"/>
        <v>0.95199999999999951</v>
      </c>
      <c r="R53" s="533"/>
      <c r="S53" s="24">
        <v>0.22013888888888891</v>
      </c>
      <c r="T53" s="24">
        <v>0.24097222222222225</v>
      </c>
      <c r="U53" s="466">
        <f t="shared" ref="U53:U56" si="84">(S53-T52)*24*60</f>
        <v>7.0000000000000151</v>
      </c>
      <c r="V53" s="473">
        <f t="shared" si="81"/>
        <v>30.000000000000014</v>
      </c>
      <c r="W53" s="466"/>
      <c r="X53" s="466"/>
      <c r="Y53" s="528"/>
      <c r="Z53" s="528"/>
      <c r="AA53" s="11">
        <f t="shared" si="2"/>
        <v>-144.00000000000136</v>
      </c>
      <c r="AB53" s="465">
        <f t="shared" si="57"/>
        <v>0.95199999999999951</v>
      </c>
      <c r="AC53" s="533"/>
    </row>
    <row r="54" spans="1:29" ht="15.75" customHeight="1">
      <c r="A54" s="538" t="s">
        <v>1870</v>
      </c>
      <c r="B54" s="476" t="s">
        <v>15</v>
      </c>
      <c r="C54" s="529" t="s">
        <v>36</v>
      </c>
      <c r="D54" s="529"/>
      <c r="E54" s="26">
        <v>26.97</v>
      </c>
      <c r="F54" s="27">
        <v>2965</v>
      </c>
      <c r="G54" s="466">
        <f t="shared" si="76"/>
        <v>79966.05</v>
      </c>
      <c r="H54" s="475" t="s">
        <v>52</v>
      </c>
      <c r="I54" s="474">
        <v>8</v>
      </c>
      <c r="J54" s="18">
        <v>1500</v>
      </c>
      <c r="K54" s="9">
        <f t="shared" si="77"/>
        <v>187.5</v>
      </c>
      <c r="L54" s="17">
        <v>8</v>
      </c>
      <c r="M54" s="10">
        <f t="shared" si="78"/>
        <v>1400.7874015748034</v>
      </c>
      <c r="N54" s="9">
        <f t="shared" si="82"/>
        <v>175.09842519685043</v>
      </c>
      <c r="O54" s="11">
        <f t="shared" si="79"/>
        <v>0</v>
      </c>
      <c r="P54" s="12">
        <f t="shared" si="80"/>
        <v>-12.401574803149572</v>
      </c>
      <c r="Q54" s="465">
        <f t="shared" si="83"/>
        <v>0.93385826771653557</v>
      </c>
      <c r="R54" s="533"/>
      <c r="S54" s="24">
        <v>0.24652777777777782</v>
      </c>
      <c r="T54" s="24">
        <v>0.33472222222222225</v>
      </c>
      <c r="U54" s="466">
        <f t="shared" si="84"/>
        <v>8.0000000000000107</v>
      </c>
      <c r="V54" s="473">
        <f t="shared" si="81"/>
        <v>126.99999999999997</v>
      </c>
      <c r="W54" s="466"/>
      <c r="X54" s="466"/>
      <c r="Y54" s="528"/>
      <c r="Z54" s="528"/>
      <c r="AA54" s="11">
        <f t="shared" si="2"/>
        <v>-99.212598425196575</v>
      </c>
      <c r="AB54" s="465">
        <f t="shared" si="57"/>
        <v>0.93385826771653557</v>
      </c>
      <c r="AC54" s="533"/>
    </row>
    <row r="55" spans="1:29">
      <c r="A55" s="539" t="s">
        <v>1872</v>
      </c>
      <c r="B55" s="476" t="s">
        <v>32</v>
      </c>
      <c r="C55" s="529" t="s">
        <v>37</v>
      </c>
      <c r="D55" s="529"/>
      <c r="E55" s="26">
        <v>35.119999999999997</v>
      </c>
      <c r="F55" s="27">
        <v>1135</v>
      </c>
      <c r="G55" s="466">
        <f t="shared" si="76"/>
        <v>39861.199999999997</v>
      </c>
      <c r="H55" s="475" t="s">
        <v>52</v>
      </c>
      <c r="I55" s="474">
        <v>13</v>
      </c>
      <c r="J55" s="18">
        <v>2000</v>
      </c>
      <c r="K55" s="9">
        <f t="shared" si="77"/>
        <v>153.84615384615384</v>
      </c>
      <c r="L55" s="17">
        <v>13</v>
      </c>
      <c r="M55" s="10">
        <f t="shared" si="78"/>
        <v>1891.6666666666652</v>
      </c>
      <c r="N55" s="9">
        <f t="shared" si="82"/>
        <v>145.51282051282038</v>
      </c>
      <c r="O55" s="11">
        <f t="shared" si="79"/>
        <v>0</v>
      </c>
      <c r="P55" s="12">
        <f t="shared" si="80"/>
        <v>-8.3333333333334565</v>
      </c>
      <c r="Q55" s="465">
        <f t="shared" si="83"/>
        <v>0.94583333333333253</v>
      </c>
      <c r="R55" s="533"/>
      <c r="S55" s="24">
        <v>0.33819444444444446</v>
      </c>
      <c r="T55" s="24">
        <v>0.36319444444444449</v>
      </c>
      <c r="U55" s="466">
        <f t="shared" si="84"/>
        <v>4.9999999999999822</v>
      </c>
      <c r="V55" s="473">
        <f t="shared" si="81"/>
        <v>36.000000000000028</v>
      </c>
      <c r="W55" s="14"/>
      <c r="X55" s="14"/>
      <c r="Y55" s="528"/>
      <c r="Z55" s="528"/>
      <c r="AA55" s="11">
        <f t="shared" si="2"/>
        <v>-108.33333333333485</v>
      </c>
      <c r="AB55" s="465">
        <f t="shared" si="57"/>
        <v>0.94583333333333253</v>
      </c>
      <c r="AC55" s="533"/>
    </row>
    <row r="56" spans="1:29" ht="15" customHeight="1">
      <c r="A56" s="539" t="s">
        <v>1870</v>
      </c>
      <c r="B56" s="476" t="s">
        <v>32</v>
      </c>
      <c r="C56" s="534" t="s">
        <v>84</v>
      </c>
      <c r="D56" s="535"/>
      <c r="E56" s="26">
        <v>35.869999999999997</v>
      </c>
      <c r="F56" s="27">
        <v>2368</v>
      </c>
      <c r="G56" s="466">
        <f t="shared" si="76"/>
        <v>84940.159999999989</v>
      </c>
      <c r="H56" s="475" t="s">
        <v>52</v>
      </c>
      <c r="I56" s="474">
        <v>10</v>
      </c>
      <c r="J56" s="18">
        <v>3000</v>
      </c>
      <c r="K56" s="9">
        <f t="shared" si="77"/>
        <v>300</v>
      </c>
      <c r="L56" s="17">
        <v>10</v>
      </c>
      <c r="M56" s="10">
        <f t="shared" si="78"/>
        <v>2841.6000000000008</v>
      </c>
      <c r="N56" s="9">
        <f t="shared" si="82"/>
        <v>284.16000000000008</v>
      </c>
      <c r="O56" s="11">
        <f t="shared" si="79"/>
        <v>0</v>
      </c>
      <c r="P56" s="12">
        <f t="shared" si="80"/>
        <v>-15.839999999999918</v>
      </c>
      <c r="Q56" s="465">
        <f t="shared" si="83"/>
        <v>0.94720000000000026</v>
      </c>
      <c r="R56" s="533"/>
      <c r="S56" s="24">
        <v>0.3666666666666667</v>
      </c>
      <c r="T56" s="24">
        <v>0.40138888888888891</v>
      </c>
      <c r="U56" s="466">
        <f t="shared" si="84"/>
        <v>4.9999999999999822</v>
      </c>
      <c r="V56" s="473">
        <f t="shared" si="81"/>
        <v>49.999999999999986</v>
      </c>
      <c r="W56" s="466"/>
      <c r="X56" s="466"/>
      <c r="Y56" s="536"/>
      <c r="Z56" s="537"/>
      <c r="AA56" s="11">
        <f t="shared" si="2"/>
        <v>-158.39999999999918</v>
      </c>
      <c r="AB56" s="465">
        <f t="shared" si="57"/>
        <v>0.94720000000000026</v>
      </c>
      <c r="AC56" s="533"/>
    </row>
    <row r="57" spans="1:29">
      <c r="A57" s="539" t="s">
        <v>385</v>
      </c>
      <c r="B57" s="26" t="s">
        <v>1873</v>
      </c>
      <c r="C57" s="530"/>
      <c r="D57" s="530"/>
      <c r="E57" s="471"/>
      <c r="F57" s="16"/>
      <c r="G57" s="9"/>
      <c r="H57" s="476"/>
      <c r="I57" s="17">
        <v>11.333333333333334</v>
      </c>
      <c r="J57" s="18">
        <v>2483.3333333333335</v>
      </c>
      <c r="K57" s="9">
        <f>J57/I57</f>
        <v>219.11764705882354</v>
      </c>
      <c r="L57" s="17">
        <v>11.333333333333334</v>
      </c>
      <c r="M57" s="10">
        <f>AVERAGE(M51:M56)</f>
        <v>2340.9977743836175</v>
      </c>
      <c r="N57" s="9">
        <f>M57/L57</f>
        <v>206.55862715149564</v>
      </c>
      <c r="O57" s="11">
        <f>L57-I57</f>
        <v>0</v>
      </c>
      <c r="P57" s="12">
        <f>N57-K57</f>
        <v>-12.559019907327894</v>
      </c>
      <c r="Q57" s="465">
        <f>N57/K57</f>
        <v>0.94268366753702704</v>
      </c>
      <c r="R57" s="533"/>
      <c r="S57" s="24"/>
      <c r="T57" s="24"/>
      <c r="U57" s="9"/>
      <c r="V57" s="473"/>
      <c r="W57" s="9"/>
      <c r="X57" s="9"/>
      <c r="Y57" s="528"/>
      <c r="Z57" s="528"/>
      <c r="AA57" s="11">
        <f t="shared" si="2"/>
        <v>-142.33555894971596</v>
      </c>
      <c r="AB57" s="465">
        <f t="shared" si="57"/>
        <v>0.94268366753702715</v>
      </c>
      <c r="AC57" s="533"/>
    </row>
    <row r="58" spans="1:29" ht="15.75" customHeight="1">
      <c r="A58" s="531" t="s">
        <v>1874</v>
      </c>
      <c r="B58" s="476" t="s">
        <v>24</v>
      </c>
      <c r="C58" s="529" t="s">
        <v>67</v>
      </c>
      <c r="D58" s="529"/>
      <c r="E58" s="26">
        <v>32.03</v>
      </c>
      <c r="F58" s="476">
        <v>692</v>
      </c>
      <c r="G58" s="466">
        <f t="shared" ref="G58:G62" si="85">E58*F58</f>
        <v>22164.760000000002</v>
      </c>
      <c r="H58" s="475" t="s">
        <v>52</v>
      </c>
      <c r="I58" s="474">
        <v>19</v>
      </c>
      <c r="J58" s="18">
        <v>2400</v>
      </c>
      <c r="K58" s="9">
        <f t="shared" ref="K58:K60" si="86">J58/I58</f>
        <v>126.31578947368421</v>
      </c>
      <c r="L58" s="17">
        <v>19</v>
      </c>
      <c r="M58" s="10">
        <f>F58/V58*60</f>
        <v>2306.6666666666647</v>
      </c>
      <c r="N58" s="9">
        <f t="shared" ref="N58:N62" si="87">M58/L58</f>
        <v>121.40350877192972</v>
      </c>
      <c r="O58" s="11">
        <f t="shared" ref="O58:O62" si="88">L58-I58</f>
        <v>0</v>
      </c>
      <c r="P58" s="12">
        <f t="shared" ref="P58:P62" si="89">N58-K58</f>
        <v>-4.9122807017544829</v>
      </c>
      <c r="Q58" s="465">
        <f>N58/K58</f>
        <v>0.96111111111111036</v>
      </c>
      <c r="R58" s="533">
        <f>Q63</f>
        <v>0.94305282083018038</v>
      </c>
      <c r="S58" s="24">
        <v>0.125</v>
      </c>
      <c r="T58" s="24">
        <v>0.13750000000000001</v>
      </c>
      <c r="U58" s="15"/>
      <c r="V58" s="473">
        <f t="shared" ref="V58:V62" si="90">(T58-S58)*24*60</f>
        <v>18.000000000000014</v>
      </c>
      <c r="W58" s="14">
        <f>T58</f>
        <v>0.13750000000000001</v>
      </c>
      <c r="X58" s="14">
        <f>S59</f>
        <v>0.15694444444444447</v>
      </c>
      <c r="Y58" s="528"/>
      <c r="Z58" s="528"/>
      <c r="AA58" s="11">
        <f t="shared" si="2"/>
        <v>-93.333333333335304</v>
      </c>
      <c r="AB58" s="465">
        <f>M58/J58</f>
        <v>0.96111111111111025</v>
      </c>
      <c r="AC58" s="533">
        <f>AB63</f>
        <v>0.94305282083018027</v>
      </c>
    </row>
    <row r="59" spans="1:29" ht="15.75" customHeight="1">
      <c r="A59" s="531" t="s">
        <v>387</v>
      </c>
      <c r="B59" s="476" t="s">
        <v>24</v>
      </c>
      <c r="C59" s="529" t="s">
        <v>51</v>
      </c>
      <c r="D59" s="529"/>
      <c r="E59" s="26">
        <v>20.2</v>
      </c>
      <c r="F59" s="476">
        <v>2118</v>
      </c>
      <c r="G59" s="466">
        <f t="shared" si="85"/>
        <v>42783.6</v>
      </c>
      <c r="H59" s="475" t="s">
        <v>52</v>
      </c>
      <c r="I59" s="474">
        <v>19</v>
      </c>
      <c r="J59" s="18">
        <v>2400</v>
      </c>
      <c r="K59" s="9">
        <f t="shared" si="86"/>
        <v>126.31578947368421</v>
      </c>
      <c r="L59" s="17">
        <v>19</v>
      </c>
      <c r="M59" s="10">
        <f t="shared" ref="M59:M62" si="91">F59/V59*60</f>
        <v>2269.2857142857142</v>
      </c>
      <c r="N59" s="9">
        <f t="shared" si="87"/>
        <v>119.4360902255639</v>
      </c>
      <c r="O59" s="11">
        <f t="shared" si="88"/>
        <v>0</v>
      </c>
      <c r="P59" s="12">
        <f t="shared" si="89"/>
        <v>-6.8796992481203034</v>
      </c>
      <c r="Q59" s="465">
        <f t="shared" ref="Q59:Q63" si="92">N59/K59</f>
        <v>0.94553571428571426</v>
      </c>
      <c r="R59" s="533"/>
      <c r="S59" s="24">
        <v>0.15694444444444447</v>
      </c>
      <c r="T59" s="24">
        <v>0.19583333333333336</v>
      </c>
      <c r="U59" s="466">
        <f>(S59-T58)*24*60</f>
        <v>28.000000000000021</v>
      </c>
      <c r="V59" s="473">
        <f t="shared" si="90"/>
        <v>56</v>
      </c>
      <c r="W59" s="14"/>
      <c r="X59" s="14"/>
      <c r="Y59" s="528"/>
      <c r="Z59" s="528"/>
      <c r="AA59" s="11">
        <f t="shared" si="2"/>
        <v>-130.71428571428578</v>
      </c>
      <c r="AB59" s="465">
        <f t="shared" ref="AB59:AB63" si="93">M59/J59</f>
        <v>0.94553571428571426</v>
      </c>
      <c r="AC59" s="533"/>
    </row>
    <row r="60" spans="1:29" ht="15.75" customHeight="1">
      <c r="A60" s="531" t="s">
        <v>1875</v>
      </c>
      <c r="B60" s="476" t="s">
        <v>24</v>
      </c>
      <c r="C60" s="529" t="s">
        <v>41</v>
      </c>
      <c r="D60" s="529"/>
      <c r="E60" s="26">
        <v>19.02</v>
      </c>
      <c r="F60" s="476">
        <v>7784</v>
      </c>
      <c r="G60" s="466">
        <f t="shared" si="85"/>
        <v>148051.68</v>
      </c>
      <c r="H60" s="475" t="s">
        <v>52</v>
      </c>
      <c r="I60" s="474">
        <v>15</v>
      </c>
      <c r="J60" s="18">
        <v>2400</v>
      </c>
      <c r="K60" s="9">
        <f t="shared" si="86"/>
        <v>160</v>
      </c>
      <c r="L60" s="17">
        <v>15</v>
      </c>
      <c r="M60" s="10">
        <f t="shared" si="91"/>
        <v>2245.3846153846152</v>
      </c>
      <c r="N60" s="9">
        <f t="shared" si="87"/>
        <v>149.69230769230768</v>
      </c>
      <c r="O60" s="11">
        <f t="shared" si="88"/>
        <v>0</v>
      </c>
      <c r="P60" s="12">
        <f t="shared" si="89"/>
        <v>-10.307692307692321</v>
      </c>
      <c r="Q60" s="465">
        <f t="shared" si="92"/>
        <v>0.93557692307692297</v>
      </c>
      <c r="R60" s="533"/>
      <c r="S60" s="24">
        <v>0.20069444444444448</v>
      </c>
      <c r="T60" s="24">
        <v>0.34513888888888894</v>
      </c>
      <c r="U60" s="466">
        <f t="shared" ref="U60:U62" si="94">(S60-T59)*24*60</f>
        <v>7.0000000000000151</v>
      </c>
      <c r="V60" s="473">
        <f t="shared" si="90"/>
        <v>208</v>
      </c>
      <c r="W60" s="14"/>
      <c r="X60" s="14"/>
      <c r="Y60" s="528"/>
      <c r="Z60" s="528"/>
      <c r="AA60" s="11">
        <f t="shared" si="2"/>
        <v>-154.61538461538476</v>
      </c>
      <c r="AB60" s="465">
        <f t="shared" si="93"/>
        <v>0.93557692307692297</v>
      </c>
      <c r="AC60" s="533"/>
    </row>
    <row r="61" spans="1:29" ht="15.75" customHeight="1">
      <c r="A61" s="531" t="s">
        <v>387</v>
      </c>
      <c r="B61" s="476" t="s">
        <v>24</v>
      </c>
      <c r="C61" s="529" t="s">
        <v>42</v>
      </c>
      <c r="D61" s="529"/>
      <c r="E61" s="26">
        <v>25</v>
      </c>
      <c r="F61" s="476">
        <v>3167</v>
      </c>
      <c r="G61" s="466">
        <f t="shared" si="85"/>
        <v>79175</v>
      </c>
      <c r="H61" s="475" t="s">
        <v>52</v>
      </c>
      <c r="I61" s="474">
        <v>15</v>
      </c>
      <c r="J61" s="18">
        <v>2400</v>
      </c>
      <c r="K61" s="9">
        <f>J61/I61</f>
        <v>160</v>
      </c>
      <c r="L61" s="17">
        <v>15</v>
      </c>
      <c r="M61" s="10">
        <f t="shared" si="91"/>
        <v>2235.5294117647054</v>
      </c>
      <c r="N61" s="9">
        <f t="shared" si="87"/>
        <v>149.03529411764703</v>
      </c>
      <c r="O61" s="11">
        <f t="shared" si="88"/>
        <v>0</v>
      </c>
      <c r="P61" s="12">
        <f t="shared" si="89"/>
        <v>-10.964705882352973</v>
      </c>
      <c r="Q61" s="465">
        <f t="shared" si="92"/>
        <v>0.93147058823529394</v>
      </c>
      <c r="R61" s="533"/>
      <c r="S61" s="24">
        <v>0.35069444444444448</v>
      </c>
      <c r="T61" s="24">
        <v>0.40972222222222227</v>
      </c>
      <c r="U61" s="466">
        <f t="shared" si="94"/>
        <v>7.9999999999999716</v>
      </c>
      <c r="V61" s="473">
        <f t="shared" si="90"/>
        <v>85.000000000000014</v>
      </c>
      <c r="W61" s="14"/>
      <c r="X61" s="14"/>
      <c r="Y61" s="528"/>
      <c r="Z61" s="528"/>
      <c r="AA61" s="11">
        <f t="shared" si="2"/>
        <v>-164.4705882352946</v>
      </c>
      <c r="AB61" s="465">
        <f t="shared" si="93"/>
        <v>0.93147058823529394</v>
      </c>
      <c r="AC61" s="533"/>
    </row>
    <row r="62" spans="1:29" ht="15.75" customHeight="1">
      <c r="A62" s="531" t="s">
        <v>387</v>
      </c>
      <c r="B62" s="476" t="s">
        <v>24</v>
      </c>
      <c r="C62" s="529" t="s">
        <v>25</v>
      </c>
      <c r="D62" s="529"/>
      <c r="E62" s="26">
        <v>20.52</v>
      </c>
      <c r="F62" s="476">
        <v>3239</v>
      </c>
      <c r="G62" s="466">
        <f t="shared" si="85"/>
        <v>66464.28</v>
      </c>
      <c r="H62" s="475" t="s">
        <v>52</v>
      </c>
      <c r="I62" s="474">
        <v>18</v>
      </c>
      <c r="J62" s="18">
        <v>2400</v>
      </c>
      <c r="K62" s="9">
        <f t="shared" ref="K62:K63" si="95">J62/I62</f>
        <v>133.33333333333334</v>
      </c>
      <c r="L62" s="17">
        <v>18</v>
      </c>
      <c r="M62" s="10">
        <f t="shared" si="91"/>
        <v>2259.7674418604647</v>
      </c>
      <c r="N62" s="9">
        <f t="shared" si="87"/>
        <v>125.5426356589147</v>
      </c>
      <c r="O62" s="11">
        <f t="shared" si="88"/>
        <v>0</v>
      </c>
      <c r="P62" s="12">
        <f t="shared" si="89"/>
        <v>-7.790697674418638</v>
      </c>
      <c r="Q62" s="465">
        <f t="shared" si="92"/>
        <v>0.94156976744186027</v>
      </c>
      <c r="R62" s="533"/>
      <c r="S62" s="24">
        <v>0.4152777777777778</v>
      </c>
      <c r="T62" s="24">
        <v>0.47500000000000003</v>
      </c>
      <c r="U62" s="466">
        <f t="shared" si="94"/>
        <v>7.9999999999999716</v>
      </c>
      <c r="V62" s="473">
        <f t="shared" si="90"/>
        <v>86.000000000000014</v>
      </c>
      <c r="W62" s="14"/>
      <c r="X62" s="14"/>
      <c r="Y62" s="528"/>
      <c r="Z62" s="528"/>
      <c r="AA62" s="11">
        <f t="shared" si="2"/>
        <v>-140.23255813953529</v>
      </c>
      <c r="AB62" s="465">
        <f t="shared" si="93"/>
        <v>0.94156976744186027</v>
      </c>
      <c r="AC62" s="533"/>
    </row>
    <row r="63" spans="1:29" ht="16.5" customHeight="1">
      <c r="A63" s="532" t="s">
        <v>1875</v>
      </c>
      <c r="B63" s="26" t="s">
        <v>82</v>
      </c>
      <c r="C63" s="530"/>
      <c r="D63" s="530"/>
      <c r="E63" s="471"/>
      <c r="F63" s="16"/>
      <c r="G63" s="9"/>
      <c r="H63" s="476"/>
      <c r="I63" s="17">
        <v>17.2</v>
      </c>
      <c r="J63" s="18">
        <v>2400</v>
      </c>
      <c r="K63" s="9">
        <f t="shared" si="95"/>
        <v>139.53488372093022</v>
      </c>
      <c r="L63" s="17">
        <v>17.2</v>
      </c>
      <c r="M63" s="10">
        <f>AVERAGE(M58:M62)</f>
        <v>2263.3267699924327</v>
      </c>
      <c r="N63" s="9">
        <f>M63/L63</f>
        <v>131.58876569723446</v>
      </c>
      <c r="O63" s="11">
        <f>L63-I63</f>
        <v>0</v>
      </c>
      <c r="P63" s="12">
        <f>N63-K63</f>
        <v>-7.9461180236957603</v>
      </c>
      <c r="Q63" s="465">
        <f t="shared" si="92"/>
        <v>0.94305282083018038</v>
      </c>
      <c r="R63" s="533"/>
      <c r="S63" s="24"/>
      <c r="T63" s="24"/>
      <c r="U63" s="9"/>
      <c r="V63" s="473"/>
      <c r="W63" s="9"/>
      <c r="X63" s="9"/>
      <c r="Y63" s="528"/>
      <c r="Z63" s="528"/>
      <c r="AA63" s="11">
        <f t="shared" si="2"/>
        <v>-136.67323000756733</v>
      </c>
      <c r="AB63" s="465">
        <f t="shared" si="93"/>
        <v>0.94305282083018027</v>
      </c>
      <c r="AC63" s="533"/>
    </row>
    <row r="64" spans="1:29">
      <c r="D64" s="19"/>
      <c r="E64" s="19"/>
    </row>
  </sheetData>
  <mergeCells count="174">
    <mergeCell ref="A58:A63"/>
    <mergeCell ref="C58:D58"/>
    <mergeCell ref="R58:R63"/>
    <mergeCell ref="Y58:Z58"/>
    <mergeCell ref="AC58:AC63"/>
    <mergeCell ref="C59:D59"/>
    <mergeCell ref="Y59:Z59"/>
    <mergeCell ref="C60:D60"/>
    <mergeCell ref="Y60:Z60"/>
    <mergeCell ref="C61:D61"/>
    <mergeCell ref="Y54:Z54"/>
    <mergeCell ref="C55:D55"/>
    <mergeCell ref="Y55:Z55"/>
    <mergeCell ref="C56:D56"/>
    <mergeCell ref="Y56:Z56"/>
    <mergeCell ref="C57:D57"/>
    <mergeCell ref="Y57:Z57"/>
    <mergeCell ref="Y61:Z61"/>
    <mergeCell ref="C62:D62"/>
    <mergeCell ref="Y62:Z62"/>
    <mergeCell ref="C63:D63"/>
    <mergeCell ref="Y63:Z63"/>
    <mergeCell ref="A51:A57"/>
    <mergeCell ref="C51:D51"/>
    <mergeCell ref="R51:R57"/>
    <mergeCell ref="Y51:Z51"/>
    <mergeCell ref="AC51:AC57"/>
    <mergeCell ref="C52:D52"/>
    <mergeCell ref="Y52:Z52"/>
    <mergeCell ref="C53:D53"/>
    <mergeCell ref="Y53:Z53"/>
    <mergeCell ref="C54:D54"/>
    <mergeCell ref="AC45:AC50"/>
    <mergeCell ref="C46:D46"/>
    <mergeCell ref="Y46:Z46"/>
    <mergeCell ref="C47:D47"/>
    <mergeCell ref="C50:D50"/>
    <mergeCell ref="Y50:Z50"/>
    <mergeCell ref="C44:D44"/>
    <mergeCell ref="Y44:Z44"/>
    <mergeCell ref="A45:A50"/>
    <mergeCell ref="C45:D45"/>
    <mergeCell ref="R45:R50"/>
    <mergeCell ref="Y45:Z45"/>
    <mergeCell ref="AC37:AC44"/>
    <mergeCell ref="C43:D43"/>
    <mergeCell ref="Y43:Z43"/>
    <mergeCell ref="A37:A44"/>
    <mergeCell ref="C37:D37"/>
    <mergeCell ref="R37:R44"/>
    <mergeCell ref="Y37:Z37"/>
    <mergeCell ref="C38:D38"/>
    <mergeCell ref="Y38:Z38"/>
    <mergeCell ref="C39:D39"/>
    <mergeCell ref="Y39:Z39"/>
    <mergeCell ref="C40:D40"/>
    <mergeCell ref="A30:A36"/>
    <mergeCell ref="C30:D30"/>
    <mergeCell ref="R30:R36"/>
    <mergeCell ref="Y30:Z30"/>
    <mergeCell ref="Y40:Z40"/>
    <mergeCell ref="C41:D41"/>
    <mergeCell ref="Y41:Z41"/>
    <mergeCell ref="C42:D42"/>
    <mergeCell ref="Y42:Z42"/>
    <mergeCell ref="AC30:AC36"/>
    <mergeCell ref="C31:D31"/>
    <mergeCell ref="Y31:Z31"/>
    <mergeCell ref="C32:D32"/>
    <mergeCell ref="Y32:Z32"/>
    <mergeCell ref="C33:D33"/>
    <mergeCell ref="AC24:AC29"/>
    <mergeCell ref="C25:D25"/>
    <mergeCell ref="Y25:Z25"/>
    <mergeCell ref="C26:D26"/>
    <mergeCell ref="Y26:Z26"/>
    <mergeCell ref="C27:D27"/>
    <mergeCell ref="Y27:Z27"/>
    <mergeCell ref="C28:D28"/>
    <mergeCell ref="Y28:Z28"/>
    <mergeCell ref="C29:D29"/>
    <mergeCell ref="Y33:Z33"/>
    <mergeCell ref="C34:D34"/>
    <mergeCell ref="Y34:Z34"/>
    <mergeCell ref="C35:D35"/>
    <mergeCell ref="Y35:Z35"/>
    <mergeCell ref="C36:D36"/>
    <mergeCell ref="Y36:Z36"/>
    <mergeCell ref="A24:A29"/>
    <mergeCell ref="C24:D24"/>
    <mergeCell ref="R24:R29"/>
    <mergeCell ref="Y24:Z24"/>
    <mergeCell ref="Y29:Z29"/>
    <mergeCell ref="C20:D20"/>
    <mergeCell ref="Y20:Z20"/>
    <mergeCell ref="C21:D21"/>
    <mergeCell ref="Y21:Z21"/>
    <mergeCell ref="C22:D22"/>
    <mergeCell ref="Y22:Z22"/>
    <mergeCell ref="AC17:AC23"/>
    <mergeCell ref="C18:D18"/>
    <mergeCell ref="Y18:Z18"/>
    <mergeCell ref="C19:D19"/>
    <mergeCell ref="Y19:Z19"/>
    <mergeCell ref="A13:A16"/>
    <mergeCell ref="C13:D13"/>
    <mergeCell ref="R13:R16"/>
    <mergeCell ref="Y13:Z13"/>
    <mergeCell ref="AC13:AC16"/>
    <mergeCell ref="C14:D14"/>
    <mergeCell ref="Y14:Z14"/>
    <mergeCell ref="C15:D15"/>
    <mergeCell ref="Y15:Z15"/>
    <mergeCell ref="C16:D16"/>
    <mergeCell ref="C23:D23"/>
    <mergeCell ref="Y23:Z23"/>
    <mergeCell ref="Y11:Z11"/>
    <mergeCell ref="C12:D12"/>
    <mergeCell ref="Y12:Z12"/>
    <mergeCell ref="C8:D8"/>
    <mergeCell ref="Y8:Z8"/>
    <mergeCell ref="Y16:Z16"/>
    <mergeCell ref="A17:A23"/>
    <mergeCell ref="C17:D17"/>
    <mergeCell ref="R17:R23"/>
    <mergeCell ref="Y17:Z17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P3:P4"/>
    <mergeCell ref="Q3:Q4"/>
    <mergeCell ref="AC9:AC12"/>
    <mergeCell ref="C10:D10"/>
    <mergeCell ref="Y10:Z10"/>
    <mergeCell ref="A3:A4"/>
    <mergeCell ref="B3:B4"/>
    <mergeCell ref="C3:D4"/>
    <mergeCell ref="E3:E4"/>
    <mergeCell ref="F3:F4"/>
    <mergeCell ref="G3:G4"/>
    <mergeCell ref="A9:A12"/>
    <mergeCell ref="C9:D9"/>
    <mergeCell ref="R9:R12"/>
    <mergeCell ref="C11:D11"/>
    <mergeCell ref="I1:K2"/>
    <mergeCell ref="L1:N2"/>
    <mergeCell ref="O1:R2"/>
    <mergeCell ref="S1:X2"/>
    <mergeCell ref="Y1:Z2"/>
    <mergeCell ref="AA1:AC2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54:O63 O5:O9 O12:O14 O44:O51 O16:O42">
    <cfRule type="cellIs" dxfId="1667" priority="37" operator="greaterThan">
      <formula>0</formula>
    </cfRule>
  </conditionalFormatting>
  <conditionalFormatting sqref="P5:P7 P54:P56 AA54:AA56 P58:P62 P24:P28 P51 P9 P12:P14 P17:P22 P45:P49 P30:P42 AA5:AA51 AA58:AA63">
    <cfRule type="cellIs" dxfId="1666" priority="41" operator="lessThan">
      <formula>0</formula>
    </cfRule>
  </conditionalFormatting>
  <conditionalFormatting sqref="AB54:AB56 Q54:Q63 Q5:Q9 Q12:Q14 Q44:Q51 Q16:Q42 AB5:AB51 AB58:AB63">
    <cfRule type="cellIs" dxfId="1665" priority="38" operator="greaterThan">
      <formula>1</formula>
    </cfRule>
    <cfRule type="cellIs" dxfId="1664" priority="39" operator="lessThan">
      <formula>0.8</formula>
    </cfRule>
  </conditionalFormatting>
  <conditionalFormatting sqref="AC13:AC14 R13:R14 AC54 R54:R63 AC5:AC9 R5:R9 R16:R42 AC16:AC42 AC44:AC51 R44:R51">
    <cfRule type="cellIs" dxfId="1663" priority="43" operator="lessThan">
      <formula>0.8</formula>
    </cfRule>
  </conditionalFormatting>
  <conditionalFormatting sqref="AC37">
    <cfRule type="cellIs" dxfId="1662" priority="45" operator="lessThan">
      <formula>0.8</formula>
    </cfRule>
  </conditionalFormatting>
  <conditionalFormatting sqref="AC17:AC22">
    <cfRule type="cellIs" dxfId="1661" priority="42" operator="lessThan">
      <formula>0.8</formula>
    </cfRule>
  </conditionalFormatting>
  <conditionalFormatting sqref="AC24">
    <cfRule type="cellIs" dxfId="1660" priority="44" operator="lessThan">
      <formula>0.8</formula>
    </cfRule>
  </conditionalFormatting>
  <conditionalFormatting sqref="AC30:AC35">
    <cfRule type="cellIs" dxfId="1659" priority="40" operator="lessThan">
      <formula>0.8</formula>
    </cfRule>
  </conditionalFormatting>
  <conditionalFormatting sqref="AA57">
    <cfRule type="cellIs" dxfId="1658" priority="36" operator="lessThan">
      <formula>0</formula>
    </cfRule>
  </conditionalFormatting>
  <conditionalFormatting sqref="AB57">
    <cfRule type="cellIs" dxfId="1657" priority="34" operator="greaterThan">
      <formula>1</formula>
    </cfRule>
    <cfRule type="cellIs" dxfId="1656" priority="35" operator="lessThan">
      <formula>0.8</formula>
    </cfRule>
  </conditionalFormatting>
  <conditionalFormatting sqref="O15">
    <cfRule type="cellIs" dxfId="1655" priority="29" operator="greaterThan">
      <formula>0</formula>
    </cfRule>
  </conditionalFormatting>
  <conditionalFormatting sqref="P15">
    <cfRule type="cellIs" dxfId="1654" priority="32" operator="lessThan">
      <formula>0</formula>
    </cfRule>
  </conditionalFormatting>
  <conditionalFormatting sqref="Q15">
    <cfRule type="cellIs" dxfId="1653" priority="30" operator="greaterThan">
      <formula>1</formula>
    </cfRule>
    <cfRule type="cellIs" dxfId="1652" priority="31" operator="lessThan">
      <formula>0.8</formula>
    </cfRule>
  </conditionalFormatting>
  <conditionalFormatting sqref="R15 AC15">
    <cfRule type="cellIs" dxfId="1651" priority="33" operator="lessThan">
      <formula>0.8</formula>
    </cfRule>
  </conditionalFormatting>
  <conditionalFormatting sqref="O10:O11">
    <cfRule type="cellIs" dxfId="1650" priority="25" operator="greaterThan">
      <formula>0</formula>
    </cfRule>
  </conditionalFormatting>
  <conditionalFormatting sqref="P10:P11">
    <cfRule type="cellIs" dxfId="1649" priority="28" operator="lessThan">
      <formula>0</formula>
    </cfRule>
  </conditionalFormatting>
  <conditionalFormatting sqref="Q10:Q11">
    <cfRule type="cellIs" dxfId="1648" priority="26" operator="greaterThan">
      <formula>1</formula>
    </cfRule>
    <cfRule type="cellIs" dxfId="1647" priority="27" operator="lessThan">
      <formula>0.8</formula>
    </cfRule>
  </conditionalFormatting>
  <conditionalFormatting sqref="O53">
    <cfRule type="cellIs" dxfId="1646" priority="20" operator="greaterThan">
      <formula>0</formula>
    </cfRule>
  </conditionalFormatting>
  <conditionalFormatting sqref="P53 AA53">
    <cfRule type="cellIs" dxfId="1645" priority="23" operator="lessThan">
      <formula>0</formula>
    </cfRule>
  </conditionalFormatting>
  <conditionalFormatting sqref="Q53 AB53">
    <cfRule type="cellIs" dxfId="1644" priority="21" operator="greaterThan">
      <formula>1</formula>
    </cfRule>
    <cfRule type="cellIs" dxfId="1643" priority="22" operator="lessThan">
      <formula>0.8</formula>
    </cfRule>
  </conditionalFormatting>
  <conditionalFormatting sqref="R53 AC53">
    <cfRule type="cellIs" dxfId="1642" priority="24" operator="lessThan">
      <formula>0.8</formula>
    </cfRule>
  </conditionalFormatting>
  <conditionalFormatting sqref="O43">
    <cfRule type="cellIs" dxfId="1641" priority="14" operator="greaterThan">
      <formula>0</formula>
    </cfRule>
  </conditionalFormatting>
  <conditionalFormatting sqref="P43">
    <cfRule type="cellIs" dxfId="1640" priority="18" operator="lessThan">
      <formula>0</formula>
    </cfRule>
  </conditionalFormatting>
  <conditionalFormatting sqref="Q43">
    <cfRule type="cellIs" dxfId="1639" priority="15" operator="greaterThan">
      <formula>1</formula>
    </cfRule>
    <cfRule type="cellIs" dxfId="1638" priority="16" operator="lessThan">
      <formula>0.8</formula>
    </cfRule>
  </conditionalFormatting>
  <conditionalFormatting sqref="R43 AC43">
    <cfRule type="cellIs" dxfId="1637" priority="19" operator="lessThan">
      <formula>0.8</formula>
    </cfRule>
  </conditionalFormatting>
  <conditionalFormatting sqref="AC43">
    <cfRule type="cellIs" dxfId="1636" priority="17" operator="lessThan">
      <formula>0.8</formula>
    </cfRule>
  </conditionalFormatting>
  <conditionalFormatting sqref="O52">
    <cfRule type="cellIs" dxfId="1635" priority="9" operator="greaterThan">
      <formula>0</formula>
    </cfRule>
  </conditionalFormatting>
  <conditionalFormatting sqref="P52 AA52">
    <cfRule type="cellIs" dxfId="1634" priority="12" operator="lessThan">
      <formula>0</formula>
    </cfRule>
  </conditionalFormatting>
  <conditionalFormatting sqref="Q52 AB52">
    <cfRule type="cellIs" dxfId="1633" priority="10" operator="greaterThan">
      <formula>1</formula>
    </cfRule>
    <cfRule type="cellIs" dxfId="1632" priority="11" operator="lessThan">
      <formula>0.8</formula>
    </cfRule>
  </conditionalFormatting>
  <conditionalFormatting sqref="R52 AC52">
    <cfRule type="cellIs" dxfId="1631" priority="13" operator="lessThan">
      <formula>0.8</formula>
    </cfRule>
  </conditionalFormatting>
  <conditionalFormatting sqref="P8">
    <cfRule type="cellIs" dxfId="1630" priority="8" operator="lessThan">
      <formula>0</formula>
    </cfRule>
  </conditionalFormatting>
  <conditionalFormatting sqref="P16">
    <cfRule type="cellIs" dxfId="1629" priority="7" operator="lessThan">
      <formula>0</formula>
    </cfRule>
  </conditionalFormatting>
  <conditionalFormatting sqref="P23">
    <cfRule type="cellIs" dxfId="1628" priority="6" operator="lessThan">
      <formula>0</formula>
    </cfRule>
  </conditionalFormatting>
  <conditionalFormatting sqref="P29">
    <cfRule type="cellIs" dxfId="1627" priority="5" operator="lessThan">
      <formula>0</formula>
    </cfRule>
  </conditionalFormatting>
  <conditionalFormatting sqref="P44">
    <cfRule type="cellIs" dxfId="1626" priority="4" operator="lessThan">
      <formula>0</formula>
    </cfRule>
  </conditionalFormatting>
  <conditionalFormatting sqref="P50">
    <cfRule type="cellIs" dxfId="1625" priority="3" operator="lessThan">
      <formula>0</formula>
    </cfRule>
  </conditionalFormatting>
  <conditionalFormatting sqref="P57">
    <cfRule type="cellIs" dxfId="1624" priority="2" operator="lessThan">
      <formula>0</formula>
    </cfRule>
  </conditionalFormatting>
  <conditionalFormatting sqref="P63">
    <cfRule type="cellIs" dxfId="1623" priority="1" operator="lessThan">
      <formula>0</formula>
    </cfRule>
  </conditionalFormatting>
  <dataValidations count="1">
    <dataValidation type="list" allowBlank="1" showInputMessage="1" showErrorMessage="1" sqref="Z8 Z55:Z56 Y5:Z7 Y8:Y56 Z10:Z51 Y57:Z63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4"/>
  <dimension ref="B1:Q28"/>
  <sheetViews>
    <sheetView zoomScale="80" zoomScaleNormal="80" workbookViewId="0">
      <selection activeCell="W46" sqref="W46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521" t="s">
        <v>1783</v>
      </c>
      <c r="C1" s="521"/>
      <c r="D1" s="521"/>
      <c r="E1" s="521"/>
      <c r="F1" s="521"/>
      <c r="G1" s="521"/>
      <c r="H1" s="521"/>
      <c r="I1" s="521"/>
      <c r="J1" s="521"/>
      <c r="K1" s="28"/>
      <c r="L1" s="28"/>
      <c r="M1" s="28"/>
      <c r="N1" s="28"/>
      <c r="O1" s="28"/>
      <c r="P1" s="28"/>
    </row>
    <row r="2" spans="2:17" ht="27.75" customHeight="1">
      <c r="B2" s="522"/>
      <c r="C2" s="522"/>
      <c r="D2" s="522"/>
      <c r="E2" s="522"/>
      <c r="F2" s="522"/>
      <c r="G2" s="522"/>
      <c r="H2" s="522"/>
      <c r="I2" s="522"/>
      <c r="J2" s="522"/>
      <c r="K2" s="30"/>
      <c r="L2" s="30"/>
      <c r="M2" s="30"/>
      <c r="N2" s="28"/>
      <c r="O2" s="28"/>
      <c r="P2" s="28"/>
    </row>
    <row r="3" spans="2:17" ht="46.5" customHeight="1">
      <c r="B3" s="450" t="s">
        <v>122</v>
      </c>
      <c r="C3" s="523" t="str">
        <f>TEXT('0829 4度C'!A2,"yyyy.mm.ddaaaa")</f>
        <v>2025.08.29星期五</v>
      </c>
      <c r="D3" s="523"/>
      <c r="E3" s="450" t="s">
        <v>123</v>
      </c>
      <c r="F3" s="524">
        <f>'0829 4度C'!D1</f>
        <v>129900</v>
      </c>
      <c r="G3" s="524"/>
      <c r="H3" s="450" t="s">
        <v>1782</v>
      </c>
      <c r="I3" s="525">
        <f>'0829 4度C'!F1</f>
        <v>4553981.2599999988</v>
      </c>
      <c r="J3" s="525"/>
      <c r="K3" s="31"/>
      <c r="L3" s="33"/>
      <c r="N3" s="33"/>
    </row>
    <row r="4" spans="2:17" ht="28.5" customHeight="1">
      <c r="B4" s="516" t="s">
        <v>1781</v>
      </c>
      <c r="C4" s="516" t="s">
        <v>1780</v>
      </c>
      <c r="D4" s="516"/>
      <c r="E4" s="526" t="s">
        <v>1779</v>
      </c>
      <c r="F4" s="526"/>
      <c r="G4" s="526" t="s">
        <v>1778</v>
      </c>
      <c r="H4" s="526"/>
      <c r="I4" s="527" t="s">
        <v>108</v>
      </c>
      <c r="J4" s="527"/>
      <c r="N4" s="33"/>
    </row>
    <row r="5" spans="2:17" ht="28.5" customHeight="1">
      <c r="B5" s="516"/>
      <c r="C5" s="516" t="s">
        <v>1777</v>
      </c>
      <c r="D5" s="516"/>
      <c r="E5" s="516" t="s">
        <v>1776</v>
      </c>
      <c r="F5" s="516"/>
      <c r="G5" s="517" t="s">
        <v>110</v>
      </c>
      <c r="H5" s="517"/>
      <c r="I5" s="518" t="s">
        <v>1775</v>
      </c>
      <c r="J5" s="518"/>
      <c r="K5" s="33"/>
      <c r="M5" s="33"/>
      <c r="N5" s="33"/>
    </row>
    <row r="6" spans="2:17" ht="28.5" customHeight="1">
      <c r="B6" s="516"/>
      <c r="C6" s="516" t="s">
        <v>43</v>
      </c>
      <c r="D6" s="516"/>
      <c r="E6" s="519">
        <f>AVERAGE(D13:M13)</f>
        <v>145.1476711826389</v>
      </c>
      <c r="F6" s="516">
        <f>AVERAGE(D27:O27,D13:J13)</f>
        <v>149.1830091275672</v>
      </c>
      <c r="G6" s="520">
        <f>AVERAGE(D13:J13)</f>
        <v>149.1830091275672</v>
      </c>
      <c r="H6" s="520"/>
      <c r="I6" s="520">
        <f>AVERAGE(K13:M13)</f>
        <v>135.73188264447288</v>
      </c>
      <c r="J6" s="520"/>
      <c r="K6" s="33"/>
      <c r="M6" s="33"/>
      <c r="N6" s="33"/>
    </row>
    <row r="7" spans="2:17" ht="28.5" customHeight="1">
      <c r="B7" s="516"/>
      <c r="C7" s="510" t="s">
        <v>44</v>
      </c>
      <c r="D7" s="510"/>
      <c r="E7" s="511">
        <f>AVERAGE(D14:M14)</f>
        <v>136.49527468913942</v>
      </c>
      <c r="F7" s="512">
        <f>AVERAGE(D28:O28,D14:J14)</f>
        <v>140.42510837454569</v>
      </c>
      <c r="G7" s="513">
        <f>AVERAGE(D14:J14)</f>
        <v>140.42510837454569</v>
      </c>
      <c r="H7" s="513"/>
      <c r="I7" s="513">
        <f>AVERAGE(K14:M14)</f>
        <v>127.32566275652481</v>
      </c>
      <c r="J7" s="513"/>
      <c r="K7" s="33"/>
      <c r="N7" s="33"/>
    </row>
    <row r="8" spans="2:17" ht="28.5" customHeight="1">
      <c r="B8" s="516"/>
      <c r="C8" s="510" t="s">
        <v>45</v>
      </c>
      <c r="D8" s="510"/>
      <c r="E8" s="514">
        <f>AVERAGE(D15:M15)</f>
        <v>0.93977186326974027</v>
      </c>
      <c r="F8" s="510">
        <f>AVERAGE(D15:J15,D29:O29)</f>
        <v>0.94054221768255475</v>
      </c>
      <c r="G8" s="515">
        <f>AVERAGE(D15:J15)</f>
        <v>0.94054221768255475</v>
      </c>
      <c r="H8" s="515"/>
      <c r="I8" s="515">
        <f>AVERAGE(K15:M15)</f>
        <v>0.93797436963983982</v>
      </c>
      <c r="J8" s="515"/>
      <c r="K8" s="34" t="s">
        <v>1774</v>
      </c>
      <c r="M8" s="33"/>
      <c r="N8" s="33"/>
    </row>
    <row r="9" spans="2:17" ht="28.5" customHeight="1" thickBot="1">
      <c r="H9" s="36"/>
      <c r="I9" s="291"/>
      <c r="N9" s="33"/>
      <c r="O9" s="33"/>
      <c r="P9" s="33"/>
      <c r="Q9" s="33"/>
    </row>
    <row r="10" spans="2:17" ht="30" customHeight="1">
      <c r="B10" s="501" t="s">
        <v>127</v>
      </c>
      <c r="C10" s="502"/>
      <c r="D10" s="503" t="s">
        <v>128</v>
      </c>
      <c r="E10" s="504"/>
      <c r="F10" s="504"/>
      <c r="G10" s="504"/>
      <c r="H10" s="504"/>
      <c r="I10" s="504"/>
      <c r="J10" s="505"/>
      <c r="K10" s="506" t="s">
        <v>1773</v>
      </c>
      <c r="L10" s="504"/>
      <c r="M10" s="507"/>
      <c r="P10" s="37"/>
      <c r="Q10" s="37"/>
    </row>
    <row r="11" spans="2:17" ht="17.25" customHeight="1">
      <c r="B11" s="493" t="s">
        <v>130</v>
      </c>
      <c r="C11" s="494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292">
        <v>6</v>
      </c>
      <c r="J11" s="40">
        <v>7</v>
      </c>
      <c r="K11" s="38">
        <v>1</v>
      </c>
      <c r="L11" s="292">
        <v>2</v>
      </c>
      <c r="M11" s="40">
        <v>3</v>
      </c>
      <c r="P11" s="37"/>
      <c r="Q11" s="37"/>
    </row>
    <row r="12" spans="2:17" ht="34.15" customHeight="1">
      <c r="B12" s="493"/>
      <c r="C12" s="494"/>
      <c r="D12" s="41" t="s">
        <v>345</v>
      </c>
      <c r="E12" s="42" t="s">
        <v>346</v>
      </c>
      <c r="F12" s="42" t="s">
        <v>347</v>
      </c>
      <c r="G12" s="42" t="s">
        <v>348</v>
      </c>
      <c r="H12" s="42" t="s">
        <v>349</v>
      </c>
      <c r="I12" s="293" t="s">
        <v>350</v>
      </c>
      <c r="J12" s="43" t="s">
        <v>351</v>
      </c>
      <c r="K12" s="41" t="s">
        <v>352</v>
      </c>
      <c r="L12" s="293" t="s">
        <v>353</v>
      </c>
      <c r="M12" s="43" t="s">
        <v>354</v>
      </c>
    </row>
    <row r="13" spans="2:17" ht="40.15" customHeight="1">
      <c r="B13" s="508" t="s">
        <v>1772</v>
      </c>
      <c r="C13" s="44" t="s">
        <v>1771</v>
      </c>
      <c r="D13" s="45">
        <f>SUMIFS('0829 4度C'!$K:$K,'0829 4度C'!$A:$A,"新豐6線",'0829 4度C'!$B:$B,"平均")</f>
        <v>117.64705882352941</v>
      </c>
      <c r="E13" s="46">
        <f>SUMIFS('0829 4度C'!$K:$K,'0829 4度C'!$A:$A,"新豐2線",'0829 4度C'!$B:$B,"平均")</f>
        <v>83.333333333333329</v>
      </c>
      <c r="F13" s="47">
        <f>SUMIFS('0829 4度C'!$K:$K,'0829 4度C'!$A:$A,"新豐5線",'0829 4度C'!$B:$B,"平均")</f>
        <v>93.220338983050837</v>
      </c>
      <c r="G13" s="47">
        <f>SUMIFS('0829 4度C'!$K:$K,'0829 4度C'!$A:$A,"新豐7線",'0829 4度C'!$B:$B,"平均")</f>
        <v>116.50485436893203</v>
      </c>
      <c r="H13" s="47">
        <f>SUMIFS('0829 4度C'!$K:$K,'0829 4度C'!$A:$A,"新豐3線",'0829 4度C'!$B:$B,"平均")</f>
        <v>300</v>
      </c>
      <c r="I13" s="294">
        <f>SUMIFS('0829 4度C'!$K:$K,'0829 4度C'!$A:$A,"新豐1線",'0829 4度C'!$B:$B,"平均")</f>
        <v>114.4578313253012</v>
      </c>
      <c r="J13" s="48">
        <f>SUMIFS('0829 4度C'!$K:$K,'0829 4度C'!$A:$A,"新豐10線",'0829 4度C'!$B:$B,"平均")</f>
        <v>219.11764705882354</v>
      </c>
      <c r="K13" s="49">
        <f>SUMIFS('0829 4度C'!$K:$K,'0829 4度C'!$A:$A,"新豐8線",'0829 4度C'!$B:$B,"平均")</f>
        <v>137.93103448275863</v>
      </c>
      <c r="L13" s="301">
        <f>SUMIFS('0829 4度C'!$K:$K,'0829 4度C'!$A:$A,"新豐9線",'0829 4度C'!$B:$B,"平均")</f>
        <v>129.72972972972974</v>
      </c>
      <c r="M13" s="48">
        <f>SUMIFS('0829 4度C'!$K:$K,'0829 4度C'!$A:$A,"新豐4線",'0829 4度C'!$B:$B,"平均")</f>
        <v>139.53488372093022</v>
      </c>
    </row>
    <row r="14" spans="2:17" ht="39.6" customHeight="1">
      <c r="B14" s="508"/>
      <c r="C14" s="51" t="s">
        <v>1770</v>
      </c>
      <c r="D14" s="52">
        <f>SUMIFS('0829 4度C'!$N:$N,'0829 4度C'!$A:$A,"新豐6線",'0829 4度C'!$B:$B,"平均")</f>
        <v>110.60834725598401</v>
      </c>
      <c r="E14" s="53">
        <f>SUMIFS('0829 4度C'!$N:$N,'0829 4度C'!$A:$A,"新豐2線",'0829 4度C'!$B:$B,"平均")</f>
        <v>77.976308546674488</v>
      </c>
      <c r="F14" s="53">
        <f>SUMIFS('0829 4度C'!$N:$N,'0829 4度C'!$A:$A,"新豐5線",'0829 4度C'!$B:$B,"平均")</f>
        <v>87.304626660558824</v>
      </c>
      <c r="G14" s="53">
        <f>SUMIFS('0829 4度C'!$N:$N,'0829 4度C'!$A:$A,"新豐7線",'0829 4度C'!$B:$B,"平均")</f>
        <v>110.5007989961891</v>
      </c>
      <c r="H14" s="53">
        <f>SUMIFS('0829 4度C'!$N:$N,'0829 4度C'!$A:$A,"新豐3線",'0829 4度C'!$B:$B,"平均")</f>
        <v>282.85273907542808</v>
      </c>
      <c r="I14" s="295">
        <f>SUMIFS('0829 4度C'!$N:$N,'0829 4度C'!$A:$A,"新豐1線",'0829 4度C'!$B:$B,"平均")</f>
        <v>107.41681124958815</v>
      </c>
      <c r="J14" s="54">
        <f>SUMIFS('0829 4度C'!$N:$N,'0829 4度C'!$A:$A,"新豐10線",'0829 4度C'!$B:$B,"平均")</f>
        <v>206.31612683739712</v>
      </c>
      <c r="K14" s="55">
        <f>SUMIFS('0829 4度C'!$N:$N,'0829 4度C'!$A:$A,"新豐8線",'0829 4度C'!$B:$B,"平均")</f>
        <v>129.26383238844656</v>
      </c>
      <c r="L14" s="302">
        <f>SUMIFS('0829 4度C'!$N:$N,'0829 4度C'!$A:$A,"新豐9線",'0829 4度C'!$B:$B,"平均")</f>
        <v>121.19884360959827</v>
      </c>
      <c r="M14" s="54">
        <f>SUMIFS('0829 4度C'!$N:$N,'0829 4度C'!$A:$A,"新豐4線",'0829 4度C'!$B:$B,"平均")</f>
        <v>131.51431227152958</v>
      </c>
    </row>
    <row r="15" spans="2:17" ht="40.15" customHeight="1">
      <c r="B15" s="508"/>
      <c r="C15" s="57" t="s">
        <v>1769</v>
      </c>
      <c r="D15" s="58">
        <f t="shared" ref="D15:M15" si="0">D14/D13</f>
        <v>0.94017095167586417</v>
      </c>
      <c r="E15" s="59">
        <f t="shared" si="0"/>
        <v>0.93571570256009395</v>
      </c>
      <c r="F15" s="59">
        <f t="shared" si="0"/>
        <v>0.93654054054054026</v>
      </c>
      <c r="G15" s="59">
        <f t="shared" si="0"/>
        <v>0.94846519138395657</v>
      </c>
      <c r="H15" s="59">
        <f t="shared" si="0"/>
        <v>0.9428424635847602</v>
      </c>
      <c r="I15" s="296">
        <f t="shared" si="0"/>
        <v>0.93848371933850705</v>
      </c>
      <c r="J15" s="60">
        <f t="shared" si="0"/>
        <v>0.94157695469416136</v>
      </c>
      <c r="K15" s="58">
        <f t="shared" si="0"/>
        <v>0.93716278481623749</v>
      </c>
      <c r="L15" s="296">
        <f t="shared" si="0"/>
        <v>0.93424108615731993</v>
      </c>
      <c r="M15" s="60">
        <f t="shared" si="0"/>
        <v>0.94251923794596204</v>
      </c>
    </row>
    <row r="16" spans="2:17" ht="17.25" customHeight="1">
      <c r="B16" s="509" t="s">
        <v>143</v>
      </c>
      <c r="C16" s="449" t="s">
        <v>71</v>
      </c>
      <c r="D16" s="61">
        <f>VLOOKUP("新豐6線",'0829 4度C'!$A:$T,19,0)</f>
        <v>0.70833333333333337</v>
      </c>
      <c r="E16" s="24">
        <f>VLOOKUP("新豐2線",'0829 4度C'!$A:$T,19,0)</f>
        <v>0.125</v>
      </c>
      <c r="F16" s="24">
        <f>VLOOKUP("新豐5線",'0829 4度C'!$A:$T,19,0)</f>
        <v>0.25</v>
      </c>
      <c r="G16" s="24">
        <f>VLOOKUP("新豐7線",'0829 4度C'!$A:$T,19,0)</f>
        <v>0.20833333333333334</v>
      </c>
      <c r="H16" s="24">
        <f>VLOOKUP("新豐3線",'0829 4度C'!$A:$T,19,0)</f>
        <v>0.125</v>
      </c>
      <c r="I16" s="297">
        <f>VLOOKUP("新豐1線",'0829 4度C'!$A:$T,19,0)</f>
        <v>0.29166666666666669</v>
      </c>
      <c r="J16" s="62">
        <f>VLOOKUP("新豐10線",'0829 4度C'!$A:$T,19,0)</f>
        <v>0.125</v>
      </c>
      <c r="K16" s="63">
        <f>VLOOKUP("新豐8線",'0829 4度C'!$A:$T,19,0)</f>
        <v>0.125</v>
      </c>
      <c r="L16" s="303">
        <f>VLOOKUP("新豐9線",'0829 4度C'!$A:$T,19,0)</f>
        <v>0.125</v>
      </c>
      <c r="M16" s="65">
        <f>VLOOKUP("新豐4線",'0829 4度C'!$A:$T,19,0)</f>
        <v>0.125</v>
      </c>
    </row>
    <row r="17" spans="2:13" ht="17.25" customHeight="1">
      <c r="B17" s="493"/>
      <c r="C17" s="449" t="s">
        <v>1768</v>
      </c>
      <c r="D17" s="63">
        <f>LOOKUP(2,1/(('0829 4度C'!$A:$A="新豐6線")*('0829 4度C'!$T:$T&lt;&gt;"")),'0829 4度C'!$T:$T)</f>
        <v>0.80763888888888891</v>
      </c>
      <c r="E17" s="24">
        <f>LOOKUP(2,1/(('0829 4度C'!$A:$A="新豐2線")*('0829 4度C'!$T:$T&lt;&gt;"")),'0829 4度C'!$T:$T)</f>
        <v>0.56111111111111112</v>
      </c>
      <c r="F17" s="24">
        <f>LOOKUP(2,1/(('0829 4度C'!$A:$A="新豐5線")*('0829 4度C'!$T:$T&lt;&gt;"")),'0829 4度C'!$T:$T)</f>
        <v>0.82361111111111118</v>
      </c>
      <c r="G17" s="24">
        <f>LOOKUP(2,1/(('0829 4度C'!$A:$A="新豐7線")*('0829 4度C'!$T:$T&lt;&gt;"")),'0829 4度C'!$T:$T)</f>
        <v>0.78819444444444442</v>
      </c>
      <c r="H17" s="24">
        <f>LOOKUP(2,1/(('0829 4度C'!$A:$A="新豐3線")*('0829 4度C'!$T:$T&lt;&gt;"")),'0829 4度C'!$T:$T)</f>
        <v>0.44999999999999996</v>
      </c>
      <c r="I17" s="297">
        <f>LOOKUP(2,1/(('0829 4度C'!$A:$A="新豐1線")*('0829 4度C'!$T:$T&lt;&gt;"")),'0829 4度C'!$T:$T)</f>
        <v>0.82638888888888884</v>
      </c>
      <c r="J17" s="62">
        <f>LOOKUP(2,1/(('0829 4度C'!$A:$A="新豐10線")*('0829 4度C'!$T:$T&lt;&gt;"")),'0829 4度C'!$T:$T)</f>
        <v>0.39930555555555558</v>
      </c>
      <c r="K17" s="61">
        <f>LOOKUP(2,1/(('0829 4度C'!$A:$A="新豐8線")*('0829 4度C'!$T:$T&lt;&gt;"")),'0829 4度C'!$T:$T)</f>
        <v>0.48055555555555551</v>
      </c>
      <c r="L17" s="297">
        <f>LOOKUP(2,1/(('0829 4度C'!$A:$A="新豐9線")*('0829 4度C'!$T:$T&lt;&gt;"")),'0829 4度C'!$T:$T)</f>
        <v>0.58194444444444438</v>
      </c>
      <c r="M17" s="62">
        <f>LOOKUP(2,1/(('0829 4度C'!$A:$A="新豐4線")*('0829 4度C'!$T:$T&lt;&gt;"")),'0829 4度C'!$T:$T)</f>
        <v>0.47500000000000003</v>
      </c>
    </row>
    <row r="18" spans="2:13" ht="17.25" customHeight="1">
      <c r="B18" s="493" t="s">
        <v>1767</v>
      </c>
      <c r="C18" s="494"/>
      <c r="D18" s="66">
        <f>SUMIFS('0829 4度C'!$I:$I,'0829 4度C'!$A:$A,"新豐6線",'0829 4度C'!$B:$B,"平均")</f>
        <v>17</v>
      </c>
      <c r="E18" s="67">
        <f>SUMIFS('0829 4度C'!$I:$I,'0829 4度C'!$A:$A,"新豐2線",'0829 4度C'!$B:$B,"平均")</f>
        <v>18</v>
      </c>
      <c r="F18" s="67">
        <f>SUMIFS('0829 4度C'!$I:$I,'0829 4度C'!$A:$A,"新豐5線",'0829 4度C'!$B:$B,"平均")</f>
        <v>19.666666666666668</v>
      </c>
      <c r="G18" s="67">
        <f>SUMIFS('0829 4度C'!$I:$I,'0829 4度C'!$A:$A,"新豐7線",'0829 4度C'!$B:$B,"平均")</f>
        <v>17.166666666666668</v>
      </c>
      <c r="H18" s="67">
        <f>SUMIFS('0829 4度C'!$I:$I,'0829 4度C'!$A:$A,"新豐3線",'0829 4度C'!$B:$B,"平均")</f>
        <v>10</v>
      </c>
      <c r="I18" s="298">
        <f>SUMIFS('0829 4度C'!$I:$I,'0829 4度C'!$A:$A,"新豐1線",'0829 4度C'!$B:$B,"平均")</f>
        <v>16.600000000000001</v>
      </c>
      <c r="J18" s="68">
        <f>SUMIFS('0829 4度C'!$I:$I,'0829 4度C'!$A:$A,"新豐10線",'0829 4度C'!$B:$B,"平均")</f>
        <v>11.333333333333334</v>
      </c>
      <c r="K18" s="66">
        <f>SUMIFS('0829 4度C'!$I:$I,'0829 4度C'!$A:$A,"新豐8線",'0829 4度C'!$B:$B,"平均")</f>
        <v>17.399999999999999</v>
      </c>
      <c r="L18" s="298">
        <f>SUMIFS('0829 4度C'!$I:$I,'0829 4度C'!$A:$A,"新豐9線",'0829 4度C'!$B:$B,"平均")</f>
        <v>18.5</v>
      </c>
      <c r="M18" s="68">
        <f>SUMIFS('0829 4度C'!$I:$I,'0829 4度C'!$A:$A,"新豐4線",'0829 4度C'!$B:$B,"平均")</f>
        <v>17.2</v>
      </c>
    </row>
    <row r="19" spans="2:13" ht="17.25" customHeight="1">
      <c r="B19" s="495" t="s">
        <v>1766</v>
      </c>
      <c r="C19" s="496"/>
      <c r="D19" s="69" t="s">
        <v>46</v>
      </c>
      <c r="E19" s="70" t="s">
        <v>47</v>
      </c>
      <c r="F19" s="70" t="s">
        <v>1765</v>
      </c>
      <c r="G19" s="70" t="s">
        <v>1764</v>
      </c>
      <c r="H19" s="70" t="s">
        <v>48</v>
      </c>
      <c r="I19" s="299" t="s">
        <v>46</v>
      </c>
      <c r="J19" s="71" t="s">
        <v>48</v>
      </c>
      <c r="K19" s="69" t="s">
        <v>72</v>
      </c>
      <c r="L19" s="299" t="s">
        <v>72</v>
      </c>
      <c r="M19" s="71" t="s">
        <v>1763</v>
      </c>
    </row>
    <row r="20" spans="2:13" ht="17.25" customHeight="1">
      <c r="B20" s="495" t="s">
        <v>1762</v>
      </c>
      <c r="C20" s="496"/>
      <c r="D20" s="69"/>
      <c r="E20" s="70"/>
      <c r="F20" s="70" t="s">
        <v>149</v>
      </c>
      <c r="G20" s="70" t="s">
        <v>46</v>
      </c>
      <c r="H20" s="70"/>
      <c r="I20" s="299"/>
      <c r="J20" s="71"/>
      <c r="K20" s="69"/>
      <c r="L20" s="299"/>
      <c r="M20" s="71"/>
    </row>
    <row r="21" spans="2:13" ht="17.25" customHeight="1" thickBot="1">
      <c r="B21" s="497" t="s">
        <v>1761</v>
      </c>
      <c r="C21" s="498"/>
      <c r="D21" s="72"/>
      <c r="E21" s="73" t="s">
        <v>1760</v>
      </c>
      <c r="F21" s="499" t="s">
        <v>1759</v>
      </c>
      <c r="G21" s="500"/>
      <c r="H21" s="73" t="s">
        <v>1757</v>
      </c>
      <c r="I21" s="300" t="s">
        <v>1758</v>
      </c>
      <c r="J21" s="74" t="s">
        <v>1757</v>
      </c>
      <c r="K21" s="75"/>
      <c r="L21" s="300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8:C18"/>
    <mergeCell ref="B19:C19"/>
    <mergeCell ref="B20:C20"/>
    <mergeCell ref="B21:C21"/>
    <mergeCell ref="F21:G21"/>
    <mergeCell ref="B13:B15"/>
    <mergeCell ref="B16:B17"/>
    <mergeCell ref="C7:D7"/>
    <mergeCell ref="E7:F7"/>
    <mergeCell ref="G7:H7"/>
    <mergeCell ref="C8:D8"/>
    <mergeCell ref="E8:F8"/>
    <mergeCell ref="B10:C10"/>
    <mergeCell ref="D10:J10"/>
    <mergeCell ref="E6:F6"/>
    <mergeCell ref="G6:H6"/>
    <mergeCell ref="I6:J6"/>
    <mergeCell ref="K10:M10"/>
    <mergeCell ref="B11:C12"/>
    <mergeCell ref="I7:J7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G8:H8"/>
    <mergeCell ref="I8:J8"/>
    <mergeCell ref="E5:F5"/>
    <mergeCell ref="G5:H5"/>
    <mergeCell ref="I5:J5"/>
    <mergeCell ref="C6:D6"/>
  </mergeCells>
  <phoneticPr fontId="3" type="noConversion"/>
  <conditionalFormatting sqref="D15:M15">
    <cfRule type="cellIs" dxfId="1622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5">
    <pageSetUpPr fitToPage="1"/>
  </sheetPr>
  <dimension ref="A1:AC67"/>
  <sheetViews>
    <sheetView topLeftCell="H1" zoomScale="80" zoomScaleNormal="80" workbookViewId="0">
      <pane ySplit="4" topLeftCell="A50" activePane="bottomLeft" state="frozen"/>
      <selection activeCell="AO33" activeCellId="2" sqref="AO26 AO28:AO31 AO33:AO35"/>
      <selection pane="bottomLeft" activeCell="T28" sqref="T28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20" customWidth="1"/>
    <col min="9" max="9" width="5.875" style="5" customWidth="1"/>
    <col min="10" max="10" width="10.625" style="20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208</v>
      </c>
      <c r="B1" s="1"/>
      <c r="C1" s="2" t="s">
        <v>96</v>
      </c>
      <c r="D1" s="3">
        <f>SUM(F5:F66)</f>
        <v>129900</v>
      </c>
      <c r="E1" s="452" t="s">
        <v>113</v>
      </c>
      <c r="F1" s="1">
        <f>SUM(G5:G66)</f>
        <v>4553981.2599999988</v>
      </c>
      <c r="G1" s="1" t="s">
        <v>153</v>
      </c>
      <c r="H1" s="358">
        <v>162.86666666666665</v>
      </c>
      <c r="I1" s="572" t="s">
        <v>114</v>
      </c>
      <c r="J1" s="572"/>
      <c r="K1" s="572"/>
      <c r="L1" s="572" t="s">
        <v>154</v>
      </c>
      <c r="M1" s="572"/>
      <c r="N1" s="572"/>
      <c r="O1" s="572" t="s">
        <v>97</v>
      </c>
      <c r="P1" s="572"/>
      <c r="Q1" s="572"/>
      <c r="R1" s="572"/>
      <c r="S1" s="572" t="s">
        <v>98</v>
      </c>
      <c r="T1" s="572"/>
      <c r="U1" s="572"/>
      <c r="V1" s="572"/>
      <c r="W1" s="572"/>
      <c r="X1" s="572"/>
      <c r="Y1" s="572" t="s">
        <v>115</v>
      </c>
      <c r="Z1" s="572"/>
      <c r="AA1" s="572" t="s">
        <v>155</v>
      </c>
      <c r="AB1" s="573"/>
      <c r="AC1" s="573"/>
    </row>
    <row r="2" spans="1:29" ht="26.25" customHeight="1">
      <c r="A2" s="22">
        <v>45898</v>
      </c>
      <c r="B2" s="23" t="s">
        <v>74</v>
      </c>
      <c r="C2" s="2" t="s">
        <v>116</v>
      </c>
      <c r="D2" s="6">
        <f>AVERAGE(N8,N13,N47,N53,N17,N60,N24,N30,N39,N66)</f>
        <v>136.49527468913942</v>
      </c>
      <c r="E2" s="7" t="s">
        <v>0</v>
      </c>
      <c r="F2" s="8">
        <f>F1/D1</f>
        <v>35.057592455735175</v>
      </c>
      <c r="G2" s="1" t="s">
        <v>117</v>
      </c>
      <c r="H2" s="355">
        <v>3</v>
      </c>
      <c r="I2" s="572"/>
      <c r="J2" s="572"/>
      <c r="K2" s="572"/>
      <c r="L2" s="572"/>
      <c r="M2" s="572"/>
      <c r="N2" s="572"/>
      <c r="O2" s="572"/>
      <c r="P2" s="572"/>
      <c r="Q2" s="572"/>
      <c r="R2" s="572"/>
      <c r="S2" s="572"/>
      <c r="T2" s="572"/>
      <c r="U2" s="572"/>
      <c r="V2" s="572"/>
      <c r="W2" s="572"/>
      <c r="X2" s="572"/>
      <c r="Y2" s="572"/>
      <c r="Z2" s="572"/>
      <c r="AA2" s="573"/>
      <c r="AB2" s="573"/>
      <c r="AC2" s="573"/>
    </row>
    <row r="3" spans="1:29" ht="23.25" customHeight="1">
      <c r="A3" s="528" t="s">
        <v>156</v>
      </c>
      <c r="B3" s="528" t="s">
        <v>118</v>
      </c>
      <c r="C3" s="528" t="s">
        <v>119</v>
      </c>
      <c r="D3" s="528"/>
      <c r="E3" s="570" t="s">
        <v>157</v>
      </c>
      <c r="F3" s="528" t="s">
        <v>120</v>
      </c>
      <c r="G3" s="570" t="s">
        <v>158</v>
      </c>
      <c r="H3" s="574" t="s">
        <v>99</v>
      </c>
      <c r="I3" s="561" t="s">
        <v>101</v>
      </c>
      <c r="J3" s="575" t="s">
        <v>162</v>
      </c>
      <c r="K3" s="568" t="s">
        <v>116</v>
      </c>
      <c r="L3" s="561" t="s">
        <v>101</v>
      </c>
      <c r="M3" s="566" t="s">
        <v>162</v>
      </c>
      <c r="N3" s="568" t="s">
        <v>116</v>
      </c>
      <c r="O3" s="561" t="s">
        <v>101</v>
      </c>
      <c r="P3" s="568" t="s">
        <v>116</v>
      </c>
      <c r="Q3" s="567" t="s">
        <v>102</v>
      </c>
      <c r="R3" s="542" t="s">
        <v>86</v>
      </c>
      <c r="S3" s="569" t="s">
        <v>1</v>
      </c>
      <c r="T3" s="569"/>
      <c r="U3" s="563" t="s">
        <v>2</v>
      </c>
      <c r="V3" s="563" t="s">
        <v>66</v>
      </c>
      <c r="W3" s="528" t="s">
        <v>160</v>
      </c>
      <c r="X3" s="528"/>
      <c r="Y3" s="564" t="s">
        <v>161</v>
      </c>
      <c r="Z3" s="565"/>
      <c r="AA3" s="566" t="s">
        <v>162</v>
      </c>
      <c r="AB3" s="567" t="s">
        <v>102</v>
      </c>
      <c r="AC3" s="542" t="s">
        <v>86</v>
      </c>
    </row>
    <row r="4" spans="1:29">
      <c r="A4" s="528"/>
      <c r="B4" s="528"/>
      <c r="C4" s="528"/>
      <c r="D4" s="528"/>
      <c r="E4" s="571"/>
      <c r="F4" s="528"/>
      <c r="G4" s="571"/>
      <c r="H4" s="574"/>
      <c r="I4" s="561"/>
      <c r="J4" s="576"/>
      <c r="K4" s="568"/>
      <c r="L4" s="561"/>
      <c r="M4" s="566"/>
      <c r="N4" s="568"/>
      <c r="O4" s="561"/>
      <c r="P4" s="568"/>
      <c r="Q4" s="567"/>
      <c r="R4" s="542"/>
      <c r="S4" s="461" t="s">
        <v>3</v>
      </c>
      <c r="T4" s="461" t="s">
        <v>4</v>
      </c>
      <c r="U4" s="563"/>
      <c r="V4" s="563"/>
      <c r="W4" s="452" t="s">
        <v>103</v>
      </c>
      <c r="X4" s="452" t="s">
        <v>75</v>
      </c>
      <c r="Y4" s="565"/>
      <c r="Z4" s="565"/>
      <c r="AA4" s="566"/>
      <c r="AB4" s="567"/>
      <c r="AC4" s="542"/>
    </row>
    <row r="5" spans="1:29">
      <c r="A5" s="560" t="s">
        <v>366</v>
      </c>
      <c r="B5" s="26" t="s">
        <v>13</v>
      </c>
      <c r="C5" s="562" t="s">
        <v>53</v>
      </c>
      <c r="D5" s="562"/>
      <c r="E5" s="26">
        <v>46.93</v>
      </c>
      <c r="F5" s="461">
        <v>725</v>
      </c>
      <c r="G5" s="452">
        <f>E5*F5</f>
        <v>34024.25</v>
      </c>
      <c r="H5" s="462" t="s">
        <v>52</v>
      </c>
      <c r="I5" s="459">
        <v>17</v>
      </c>
      <c r="J5" s="18">
        <v>2000</v>
      </c>
      <c r="K5" s="9">
        <f t="shared" ref="K5:K36" si="0">J5/I5</f>
        <v>117.64705882352941</v>
      </c>
      <c r="L5" s="459">
        <v>17</v>
      </c>
      <c r="M5" s="10">
        <f>F5/V5*60</f>
        <v>1891.3043478260804</v>
      </c>
      <c r="N5" s="9">
        <f t="shared" ref="N5:N36" si="1">M5/L5</f>
        <v>111.2531969309459</v>
      </c>
      <c r="O5" s="11">
        <f t="shared" ref="O5:O36" si="2">L5-I5</f>
        <v>0</v>
      </c>
      <c r="P5" s="12">
        <f t="shared" ref="P5:P36" si="3">N5-K5</f>
        <v>-6.3938618925835016</v>
      </c>
      <c r="Q5" s="451">
        <f t="shared" ref="Q5:Q36" si="4">N5/K5</f>
        <v>0.94565217391304024</v>
      </c>
      <c r="R5" s="533">
        <f>Q8</f>
        <v>0.94017095167586417</v>
      </c>
      <c r="S5" s="24">
        <v>0.70833333333333337</v>
      </c>
      <c r="T5" s="24">
        <v>0.72430555555555565</v>
      </c>
      <c r="U5" s="452"/>
      <c r="V5" s="460">
        <f>(T5-S5)*24*60</f>
        <v>23.000000000000078</v>
      </c>
      <c r="W5" s="14"/>
      <c r="X5" s="13"/>
      <c r="Y5" s="528"/>
      <c r="Z5" s="528"/>
      <c r="AA5" s="11">
        <f t="shared" ref="AA5:AA36" si="5">M5-J5</f>
        <v>-108.6956521739196</v>
      </c>
      <c r="AB5" s="451">
        <f t="shared" ref="AB5:AB36" si="6">M5/J5</f>
        <v>0.94565217391304024</v>
      </c>
      <c r="AC5" s="533">
        <f>AB8</f>
        <v>0.94017095167586406</v>
      </c>
    </row>
    <row r="6" spans="1:29">
      <c r="A6" s="561" t="s">
        <v>366</v>
      </c>
      <c r="B6" s="26" t="s">
        <v>13</v>
      </c>
      <c r="C6" s="562" t="s">
        <v>55</v>
      </c>
      <c r="D6" s="562"/>
      <c r="E6" s="26">
        <v>50.49</v>
      </c>
      <c r="F6" s="461">
        <v>1774</v>
      </c>
      <c r="G6" s="452">
        <f>E6*F6</f>
        <v>89569.260000000009</v>
      </c>
      <c r="H6" s="462" t="s">
        <v>52</v>
      </c>
      <c r="I6" s="459">
        <v>16</v>
      </c>
      <c r="J6" s="18">
        <v>2000</v>
      </c>
      <c r="K6" s="9">
        <f t="shared" si="0"/>
        <v>125</v>
      </c>
      <c r="L6" s="459">
        <v>16</v>
      </c>
      <c r="M6" s="10">
        <f>F6/V6*60</f>
        <v>1867.368421052633</v>
      </c>
      <c r="N6" s="9">
        <f t="shared" si="1"/>
        <v>116.71052631578956</v>
      </c>
      <c r="O6" s="11">
        <f t="shared" si="2"/>
        <v>0</v>
      </c>
      <c r="P6" s="12">
        <f t="shared" si="3"/>
        <v>-8.2894736842104351</v>
      </c>
      <c r="Q6" s="451">
        <f t="shared" si="4"/>
        <v>0.93368421052631656</v>
      </c>
      <c r="R6" s="533"/>
      <c r="S6" s="24">
        <v>0.7284722222222223</v>
      </c>
      <c r="T6" s="24">
        <v>0.7680555555555556</v>
      </c>
      <c r="U6" s="452">
        <f>(S6-T5)*24*60</f>
        <v>5.9999999999999787</v>
      </c>
      <c r="V6" s="460">
        <f>(T6-S6)*24*60</f>
        <v>56.999999999999957</v>
      </c>
      <c r="W6" s="14"/>
      <c r="X6" s="14"/>
      <c r="Y6" s="528"/>
      <c r="Z6" s="528"/>
      <c r="AA6" s="11">
        <f t="shared" si="5"/>
        <v>-132.63157894736696</v>
      </c>
      <c r="AB6" s="451">
        <f t="shared" si="6"/>
        <v>0.93368421052631656</v>
      </c>
      <c r="AC6" s="533"/>
    </row>
    <row r="7" spans="1:29">
      <c r="A7" s="561" t="s">
        <v>366</v>
      </c>
      <c r="B7" s="26" t="s">
        <v>13</v>
      </c>
      <c r="C7" s="558" t="s">
        <v>76</v>
      </c>
      <c r="D7" s="559"/>
      <c r="E7" s="26">
        <v>50.67</v>
      </c>
      <c r="F7" s="461">
        <v>1600</v>
      </c>
      <c r="G7" s="452">
        <f>E7*F7</f>
        <v>81072</v>
      </c>
      <c r="H7" s="462" t="s">
        <v>52</v>
      </c>
      <c r="I7" s="459">
        <v>18</v>
      </c>
      <c r="J7" s="18">
        <v>2000</v>
      </c>
      <c r="K7" s="9">
        <f t="shared" si="0"/>
        <v>111.11111111111111</v>
      </c>
      <c r="L7" s="459">
        <v>18</v>
      </c>
      <c r="M7" s="10">
        <f>F7/V7*60</f>
        <v>1882.3529411764714</v>
      </c>
      <c r="N7" s="9">
        <f t="shared" si="1"/>
        <v>104.57516339869285</v>
      </c>
      <c r="O7" s="11">
        <f t="shared" si="2"/>
        <v>0</v>
      </c>
      <c r="P7" s="12">
        <f t="shared" si="3"/>
        <v>-6.5359477124182632</v>
      </c>
      <c r="Q7" s="451">
        <f t="shared" si="4"/>
        <v>0.94117647058823561</v>
      </c>
      <c r="R7" s="533"/>
      <c r="S7" s="24">
        <v>0.77222222222222225</v>
      </c>
      <c r="T7" s="24">
        <v>0.80763888888888891</v>
      </c>
      <c r="U7" s="452">
        <f>(S7-T6)*24*60</f>
        <v>5.9999999999999787</v>
      </c>
      <c r="V7" s="460">
        <f>(T7-S7)*24*60</f>
        <v>50.999999999999979</v>
      </c>
      <c r="W7" s="14"/>
      <c r="X7" s="14"/>
      <c r="Y7" s="536"/>
      <c r="Z7" s="537"/>
      <c r="AA7" s="11">
        <f t="shared" si="5"/>
        <v>-117.6470588235286</v>
      </c>
      <c r="AB7" s="451">
        <f t="shared" si="6"/>
        <v>0.94117647058823573</v>
      </c>
      <c r="AC7" s="533"/>
    </row>
    <row r="8" spans="1:29">
      <c r="A8" s="561" t="s">
        <v>366</v>
      </c>
      <c r="B8" s="26" t="s">
        <v>82</v>
      </c>
      <c r="C8" s="530"/>
      <c r="D8" s="530"/>
      <c r="E8" s="453"/>
      <c r="F8" s="16"/>
      <c r="G8" s="9"/>
      <c r="H8" s="461"/>
      <c r="I8" s="17">
        <v>17</v>
      </c>
      <c r="J8" s="18">
        <v>2000</v>
      </c>
      <c r="K8" s="9">
        <f t="shared" si="0"/>
        <v>117.64705882352941</v>
      </c>
      <c r="L8" s="17">
        <v>17</v>
      </c>
      <c r="M8" s="10">
        <f>AVERAGE(M5:M7)</f>
        <v>1880.3419033517282</v>
      </c>
      <c r="N8" s="9">
        <f t="shared" si="1"/>
        <v>110.60834725598401</v>
      </c>
      <c r="O8" s="11">
        <f t="shared" si="2"/>
        <v>0</v>
      </c>
      <c r="P8" s="12">
        <f t="shared" si="3"/>
        <v>-7.0387115675453913</v>
      </c>
      <c r="Q8" s="451">
        <f t="shared" si="4"/>
        <v>0.94017095167586417</v>
      </c>
      <c r="R8" s="533"/>
      <c r="S8" s="24"/>
      <c r="T8" s="24"/>
      <c r="U8" s="452"/>
      <c r="V8" s="460"/>
      <c r="W8" s="9"/>
      <c r="X8" s="9"/>
      <c r="Y8" s="528"/>
      <c r="Z8" s="528"/>
      <c r="AA8" s="11">
        <f t="shared" si="5"/>
        <v>-119.65809664827179</v>
      </c>
      <c r="AB8" s="451">
        <f t="shared" si="6"/>
        <v>0.94017095167586406</v>
      </c>
      <c r="AC8" s="533"/>
    </row>
    <row r="9" spans="1:29" ht="15.75" customHeight="1">
      <c r="A9" s="531" t="s">
        <v>369</v>
      </c>
      <c r="B9" s="26" t="s">
        <v>15</v>
      </c>
      <c r="C9" s="558" t="s">
        <v>16</v>
      </c>
      <c r="D9" s="559"/>
      <c r="E9" s="26">
        <v>39.619999999999997</v>
      </c>
      <c r="F9" s="461">
        <v>3957</v>
      </c>
      <c r="G9" s="452">
        <f>E9*F9</f>
        <v>156776.34</v>
      </c>
      <c r="H9" s="462" t="s">
        <v>52</v>
      </c>
      <c r="I9" s="459">
        <v>19</v>
      </c>
      <c r="J9" s="18">
        <v>1500</v>
      </c>
      <c r="K9" s="9">
        <f t="shared" si="0"/>
        <v>78.94736842105263</v>
      </c>
      <c r="L9" s="459">
        <v>19</v>
      </c>
      <c r="M9" s="10">
        <f>F9/V9*60</f>
        <v>1396.5882352941176</v>
      </c>
      <c r="N9" s="9">
        <f t="shared" si="1"/>
        <v>73.504643962848291</v>
      </c>
      <c r="O9" s="11">
        <f t="shared" si="2"/>
        <v>0</v>
      </c>
      <c r="P9" s="12">
        <f t="shared" si="3"/>
        <v>-5.4427244582043386</v>
      </c>
      <c r="Q9" s="451">
        <f t="shared" si="4"/>
        <v>0.93105882352941172</v>
      </c>
      <c r="R9" s="533">
        <f>Q13</f>
        <v>0.93571570256009395</v>
      </c>
      <c r="S9" s="24">
        <v>0.125</v>
      </c>
      <c r="T9" s="24">
        <v>0.24305555555555558</v>
      </c>
      <c r="U9" s="452"/>
      <c r="V9" s="460">
        <f>(T9-S9)*24*60</f>
        <v>170.00000000000003</v>
      </c>
      <c r="W9" s="14">
        <f>T9</f>
        <v>0.24305555555555558</v>
      </c>
      <c r="X9" s="14">
        <f>S10</f>
        <v>0.2638888888888889</v>
      </c>
      <c r="Y9" s="528"/>
      <c r="Z9" s="528"/>
      <c r="AA9" s="11">
        <f t="shared" si="5"/>
        <v>-103.41176470588243</v>
      </c>
      <c r="AB9" s="451">
        <f t="shared" si="6"/>
        <v>0.93105882352941172</v>
      </c>
      <c r="AC9" s="533">
        <f>AB13</f>
        <v>0.93571570256009395</v>
      </c>
    </row>
    <row r="10" spans="1:29" ht="15.75" customHeight="1">
      <c r="A10" s="531" t="s">
        <v>369</v>
      </c>
      <c r="B10" s="26" t="s">
        <v>15</v>
      </c>
      <c r="C10" s="558" t="s">
        <v>17</v>
      </c>
      <c r="D10" s="559"/>
      <c r="E10" s="26">
        <v>39.799999999999997</v>
      </c>
      <c r="F10" s="461">
        <v>4000</v>
      </c>
      <c r="G10" s="452">
        <f>E10*F10</f>
        <v>159200</v>
      </c>
      <c r="H10" s="462">
        <v>2</v>
      </c>
      <c r="I10" s="459">
        <v>17</v>
      </c>
      <c r="J10" s="18">
        <v>1500</v>
      </c>
      <c r="K10" s="9">
        <f t="shared" si="0"/>
        <v>88.235294117647058</v>
      </c>
      <c r="L10" s="459">
        <v>17</v>
      </c>
      <c r="M10" s="10">
        <f>F10/V10*60</f>
        <v>1395.348837209302</v>
      </c>
      <c r="N10" s="9">
        <f t="shared" si="1"/>
        <v>82.079343365253067</v>
      </c>
      <c r="O10" s="11">
        <f t="shared" si="2"/>
        <v>0</v>
      </c>
      <c r="P10" s="12">
        <f t="shared" si="3"/>
        <v>-6.1559507523939914</v>
      </c>
      <c r="Q10" s="451">
        <f t="shared" si="4"/>
        <v>0.93023255813953476</v>
      </c>
      <c r="R10" s="533"/>
      <c r="S10" s="24">
        <v>0.2638888888888889</v>
      </c>
      <c r="T10" s="24">
        <v>0.38333333333333336</v>
      </c>
      <c r="U10" s="452">
        <f>(S10-T9)*24*60</f>
        <v>29.999999999999972</v>
      </c>
      <c r="V10" s="460">
        <f>(T10-S10)*24*60</f>
        <v>172.00000000000003</v>
      </c>
      <c r="W10" s="14"/>
      <c r="X10" s="14"/>
      <c r="Y10" s="528"/>
      <c r="Z10" s="528"/>
      <c r="AA10" s="11">
        <f t="shared" si="5"/>
        <v>-104.65116279069798</v>
      </c>
      <c r="AB10" s="451">
        <f t="shared" si="6"/>
        <v>0.93023255813953465</v>
      </c>
      <c r="AC10" s="533"/>
    </row>
    <row r="11" spans="1:29" ht="15.75" customHeight="1">
      <c r="A11" s="531" t="s">
        <v>369</v>
      </c>
      <c r="B11" s="26" t="s">
        <v>15</v>
      </c>
      <c r="C11" s="558" t="s">
        <v>80</v>
      </c>
      <c r="D11" s="559"/>
      <c r="E11" s="26">
        <v>39.29</v>
      </c>
      <c r="F11" s="461">
        <v>3273</v>
      </c>
      <c r="G11" s="452">
        <f>E11*F11</f>
        <v>128596.17</v>
      </c>
      <c r="H11" s="462" t="s">
        <v>52</v>
      </c>
      <c r="I11" s="459">
        <v>19</v>
      </c>
      <c r="J11" s="18">
        <v>1500</v>
      </c>
      <c r="K11" s="9">
        <f t="shared" si="0"/>
        <v>78.94736842105263</v>
      </c>
      <c r="L11" s="459">
        <v>19</v>
      </c>
      <c r="M11" s="10">
        <f>F11/V11*60</f>
        <v>1402.714285714286</v>
      </c>
      <c r="N11" s="9">
        <f t="shared" si="1"/>
        <v>73.827067669172948</v>
      </c>
      <c r="O11" s="11">
        <f t="shared" si="2"/>
        <v>0</v>
      </c>
      <c r="P11" s="12">
        <f t="shared" si="3"/>
        <v>-5.1203007518796824</v>
      </c>
      <c r="Q11" s="451">
        <f t="shared" si="4"/>
        <v>0.93514285714285739</v>
      </c>
      <c r="R11" s="533"/>
      <c r="S11" s="24">
        <v>0.38680555555555557</v>
      </c>
      <c r="T11" s="24">
        <v>0.48402777777777778</v>
      </c>
      <c r="U11" s="452">
        <f>(S11-T10)*24*60</f>
        <v>4.9999999999999822</v>
      </c>
      <c r="V11" s="460">
        <f>(T11-S11)*24*60</f>
        <v>139.99999999999997</v>
      </c>
      <c r="W11" s="14">
        <f>T11</f>
        <v>0.48402777777777778</v>
      </c>
      <c r="X11" s="14">
        <f>S12</f>
        <v>0.52222222222222225</v>
      </c>
      <c r="Y11" s="528"/>
      <c r="Z11" s="528"/>
      <c r="AA11" s="11">
        <f t="shared" si="5"/>
        <v>-97.285714285713993</v>
      </c>
      <c r="AB11" s="451">
        <f t="shared" si="6"/>
        <v>0.93514285714285739</v>
      </c>
      <c r="AC11" s="533"/>
    </row>
    <row r="12" spans="1:29" ht="15.75" customHeight="1">
      <c r="A12" s="531" t="s">
        <v>369</v>
      </c>
      <c r="B12" s="26" t="s">
        <v>15</v>
      </c>
      <c r="C12" s="558" t="s">
        <v>17</v>
      </c>
      <c r="D12" s="559"/>
      <c r="E12" s="26">
        <v>39.799999999999997</v>
      </c>
      <c r="F12" s="461">
        <v>1325</v>
      </c>
      <c r="G12" s="452">
        <f>E12*F12</f>
        <v>52734.999999999993</v>
      </c>
      <c r="H12" s="462" t="s">
        <v>52</v>
      </c>
      <c r="I12" s="459">
        <v>17</v>
      </c>
      <c r="J12" s="18">
        <v>1500</v>
      </c>
      <c r="K12" s="9">
        <f t="shared" si="0"/>
        <v>88.235294117647058</v>
      </c>
      <c r="L12" s="459">
        <v>17</v>
      </c>
      <c r="M12" s="10">
        <f>F12/V12*60</f>
        <v>1419.6428571428582</v>
      </c>
      <c r="N12" s="9">
        <f t="shared" si="1"/>
        <v>83.508403361344605</v>
      </c>
      <c r="O12" s="11">
        <f t="shared" si="2"/>
        <v>0</v>
      </c>
      <c r="P12" s="12">
        <f t="shared" si="3"/>
        <v>-4.7268907563024527</v>
      </c>
      <c r="Q12" s="451">
        <f t="shared" si="4"/>
        <v>0.94642857142857217</v>
      </c>
      <c r="R12" s="533"/>
      <c r="S12" s="24">
        <v>0.52222222222222225</v>
      </c>
      <c r="T12" s="24">
        <v>0.56111111111111112</v>
      </c>
      <c r="U12" s="452">
        <f>(S12-T11)*24*60</f>
        <v>55.000000000000043</v>
      </c>
      <c r="V12" s="460">
        <f>(T12-S12)*24*60</f>
        <v>55.999999999999957</v>
      </c>
      <c r="W12" s="14"/>
      <c r="X12" s="14"/>
      <c r="Y12" s="528"/>
      <c r="Z12" s="528"/>
      <c r="AA12" s="11">
        <f t="shared" si="5"/>
        <v>-80.357142857141753</v>
      </c>
      <c r="AB12" s="451">
        <f t="shared" si="6"/>
        <v>0.94642857142857217</v>
      </c>
      <c r="AC12" s="533"/>
    </row>
    <row r="13" spans="1:29" ht="16.5" customHeight="1">
      <c r="A13" s="531" t="s">
        <v>369</v>
      </c>
      <c r="B13" s="26" t="s">
        <v>82</v>
      </c>
      <c r="C13" s="530"/>
      <c r="D13" s="530"/>
      <c r="E13" s="453"/>
      <c r="F13" s="18"/>
      <c r="G13" s="10"/>
      <c r="H13" s="461"/>
      <c r="I13" s="17">
        <v>18</v>
      </c>
      <c r="J13" s="18">
        <v>1500</v>
      </c>
      <c r="K13" s="9">
        <f t="shared" si="0"/>
        <v>83.333333333333329</v>
      </c>
      <c r="L13" s="17">
        <v>18</v>
      </c>
      <c r="M13" s="10">
        <f>AVERAGE(M9:M12)</f>
        <v>1403.5735538401409</v>
      </c>
      <c r="N13" s="9">
        <f t="shared" si="1"/>
        <v>77.976308546674488</v>
      </c>
      <c r="O13" s="11">
        <f t="shared" si="2"/>
        <v>0</v>
      </c>
      <c r="P13" s="12">
        <f t="shared" si="3"/>
        <v>-5.3570247866588403</v>
      </c>
      <c r="Q13" s="451">
        <f t="shared" si="4"/>
        <v>0.93571570256009395</v>
      </c>
      <c r="R13" s="533"/>
      <c r="S13" s="24"/>
      <c r="T13" s="24"/>
      <c r="U13" s="9"/>
      <c r="V13" s="460"/>
      <c r="W13" s="9"/>
      <c r="X13" s="9"/>
      <c r="Y13" s="528"/>
      <c r="Z13" s="528"/>
      <c r="AA13" s="11">
        <f t="shared" si="5"/>
        <v>-96.426446159859097</v>
      </c>
      <c r="AB13" s="451">
        <f t="shared" si="6"/>
        <v>0.93571570256009395</v>
      </c>
      <c r="AC13" s="533"/>
    </row>
    <row r="14" spans="1:29" ht="16.5" customHeight="1">
      <c r="A14" s="556" t="s">
        <v>373</v>
      </c>
      <c r="B14" s="461" t="s">
        <v>21</v>
      </c>
      <c r="C14" s="552" t="s">
        <v>19</v>
      </c>
      <c r="D14" s="552"/>
      <c r="E14" s="26">
        <v>41</v>
      </c>
      <c r="F14" s="461">
        <v>1641</v>
      </c>
      <c r="G14" s="452">
        <f>E14*F14</f>
        <v>67281</v>
      </c>
      <c r="H14" s="462" t="s">
        <v>52</v>
      </c>
      <c r="I14" s="459">
        <v>26</v>
      </c>
      <c r="J14" s="18">
        <v>1500</v>
      </c>
      <c r="K14" s="9">
        <f t="shared" si="0"/>
        <v>57.692307692307693</v>
      </c>
      <c r="L14" s="459">
        <v>26</v>
      </c>
      <c r="M14" s="10">
        <f>F14/V14*60</f>
        <v>1406.5714285714289</v>
      </c>
      <c r="N14" s="9">
        <f t="shared" si="1"/>
        <v>54.098901098901109</v>
      </c>
      <c r="O14" s="11">
        <f t="shared" si="2"/>
        <v>0</v>
      </c>
      <c r="P14" s="12">
        <f t="shared" si="3"/>
        <v>-3.5934065934065842</v>
      </c>
      <c r="Q14" s="451">
        <f t="shared" si="4"/>
        <v>0.93771428571428583</v>
      </c>
      <c r="R14" s="533">
        <f>Q17</f>
        <v>0.93654054054054026</v>
      </c>
      <c r="S14" s="24">
        <v>0.25</v>
      </c>
      <c r="T14" s="24">
        <v>0.2986111111111111</v>
      </c>
      <c r="U14" s="452"/>
      <c r="V14" s="460">
        <f>(T14-S14)*24*60</f>
        <v>69.999999999999986</v>
      </c>
      <c r="W14" s="15"/>
      <c r="X14" s="15"/>
      <c r="Y14" s="528"/>
      <c r="Z14" s="528"/>
      <c r="AA14" s="11">
        <f t="shared" si="5"/>
        <v>-93.428571428571104</v>
      </c>
      <c r="AB14" s="451">
        <f t="shared" si="6"/>
        <v>0.93771428571428594</v>
      </c>
      <c r="AC14" s="533">
        <f>AB17</f>
        <v>0.93654054054054026</v>
      </c>
    </row>
    <row r="15" spans="1:29" ht="16.5" customHeight="1">
      <c r="A15" s="557" t="s">
        <v>373</v>
      </c>
      <c r="B15" s="461" t="s">
        <v>13</v>
      </c>
      <c r="C15" s="552" t="s">
        <v>57</v>
      </c>
      <c r="D15" s="552"/>
      <c r="E15" s="26">
        <v>50.98</v>
      </c>
      <c r="F15" s="461">
        <v>2310</v>
      </c>
      <c r="G15" s="452">
        <f>E15*F15</f>
        <v>117763.79999999999</v>
      </c>
      <c r="H15" s="462" t="s">
        <v>52</v>
      </c>
      <c r="I15" s="459">
        <v>17</v>
      </c>
      <c r="J15" s="18">
        <v>2000</v>
      </c>
      <c r="K15" s="9">
        <f t="shared" si="0"/>
        <v>117.64705882352941</v>
      </c>
      <c r="L15" s="459">
        <v>17</v>
      </c>
      <c r="M15" s="10">
        <f>F15/V15*60</f>
        <v>1872.9729729729715</v>
      </c>
      <c r="N15" s="9">
        <f t="shared" si="1"/>
        <v>110.17488076311598</v>
      </c>
      <c r="O15" s="11">
        <f t="shared" si="2"/>
        <v>0</v>
      </c>
      <c r="P15" s="12">
        <f t="shared" si="3"/>
        <v>-7.4721780604134267</v>
      </c>
      <c r="Q15" s="451">
        <f t="shared" si="4"/>
        <v>0.93648648648648591</v>
      </c>
      <c r="R15" s="533"/>
      <c r="S15" s="24">
        <v>0.70833333333333337</v>
      </c>
      <c r="T15" s="24">
        <v>0.7597222222222223</v>
      </c>
      <c r="U15" s="452" t="str">
        <f>IF(S15=TIME(17,0,0),"",(S15-T14)*24*60)</f>
        <v/>
      </c>
      <c r="V15" s="460">
        <f>(T15-S15)*24*60</f>
        <v>74.000000000000057</v>
      </c>
      <c r="W15" s="14"/>
      <c r="X15" s="14"/>
      <c r="Y15" s="528"/>
      <c r="Z15" s="528"/>
      <c r="AA15" s="11">
        <f t="shared" si="5"/>
        <v>-127.02702702702845</v>
      </c>
      <c r="AB15" s="451">
        <f t="shared" si="6"/>
        <v>0.9364864864864858</v>
      </c>
      <c r="AC15" s="533"/>
    </row>
    <row r="16" spans="1:29" ht="16.5" customHeight="1">
      <c r="A16" s="557" t="s">
        <v>373</v>
      </c>
      <c r="B16" s="461" t="s">
        <v>13</v>
      </c>
      <c r="C16" s="552" t="s">
        <v>54</v>
      </c>
      <c r="D16" s="552"/>
      <c r="E16" s="26">
        <v>50.92</v>
      </c>
      <c r="F16" s="461">
        <v>2620</v>
      </c>
      <c r="G16" s="452">
        <f>E16*F16</f>
        <v>133410.4</v>
      </c>
      <c r="H16" s="462" t="s">
        <v>52</v>
      </c>
      <c r="I16" s="459">
        <v>16</v>
      </c>
      <c r="J16" s="18">
        <v>2000</v>
      </c>
      <c r="K16" s="9">
        <f t="shared" si="0"/>
        <v>125</v>
      </c>
      <c r="L16" s="459">
        <v>16</v>
      </c>
      <c r="M16" s="10">
        <f>F16/V16*60</f>
        <v>1871.4285714285706</v>
      </c>
      <c r="N16" s="9">
        <f t="shared" si="1"/>
        <v>116.96428571428567</v>
      </c>
      <c r="O16" s="11">
        <f t="shared" si="2"/>
        <v>0</v>
      </c>
      <c r="P16" s="12">
        <f t="shared" si="3"/>
        <v>-8.0357142857143344</v>
      </c>
      <c r="Q16" s="451">
        <f t="shared" si="4"/>
        <v>0.93571428571428528</v>
      </c>
      <c r="R16" s="533"/>
      <c r="S16" s="24">
        <v>0.76527777777777783</v>
      </c>
      <c r="T16" s="24">
        <v>0.82361111111111118</v>
      </c>
      <c r="U16" s="452">
        <f>IF(S16=TIME(17,0,0),"",(S16-T15)*24*60)</f>
        <v>7.9999999999999716</v>
      </c>
      <c r="V16" s="460">
        <f>(T16-S16)*24*60</f>
        <v>84.000000000000028</v>
      </c>
      <c r="W16" s="14"/>
      <c r="X16" s="14"/>
      <c r="Y16" s="528"/>
      <c r="Z16" s="528"/>
      <c r="AA16" s="11">
        <f t="shared" si="5"/>
        <v>-128.57142857142935</v>
      </c>
      <c r="AB16" s="451">
        <f t="shared" si="6"/>
        <v>0.93571428571428528</v>
      </c>
      <c r="AC16" s="533"/>
    </row>
    <row r="17" spans="1:29" ht="16.5" customHeight="1">
      <c r="A17" s="557" t="s">
        <v>373</v>
      </c>
      <c r="B17" s="26" t="s">
        <v>82</v>
      </c>
      <c r="C17" s="530"/>
      <c r="D17" s="530"/>
      <c r="E17" s="453"/>
      <c r="F17" s="16"/>
      <c r="G17" s="9"/>
      <c r="H17" s="461"/>
      <c r="I17" s="17">
        <v>19.666666666666668</v>
      </c>
      <c r="J17" s="18">
        <v>1833.3333333333333</v>
      </c>
      <c r="K17" s="9">
        <f t="shared" si="0"/>
        <v>93.220338983050837</v>
      </c>
      <c r="L17" s="17">
        <v>19.666666666666668</v>
      </c>
      <c r="M17" s="10">
        <f>AVERAGE(M14:M16)</f>
        <v>1716.9909909909904</v>
      </c>
      <c r="N17" s="9">
        <f t="shared" si="1"/>
        <v>87.304626660558824</v>
      </c>
      <c r="O17" s="11">
        <f t="shared" si="2"/>
        <v>0</v>
      </c>
      <c r="P17" s="12">
        <f t="shared" si="3"/>
        <v>-5.9157123224920127</v>
      </c>
      <c r="Q17" s="451">
        <f t="shared" si="4"/>
        <v>0.93654054054054026</v>
      </c>
      <c r="R17" s="533"/>
      <c r="S17" s="24"/>
      <c r="T17" s="24"/>
      <c r="U17" s="452"/>
      <c r="V17" s="460"/>
      <c r="W17" s="9"/>
      <c r="X17" s="9"/>
      <c r="Y17" s="528"/>
      <c r="Z17" s="528"/>
      <c r="AA17" s="11">
        <f t="shared" si="5"/>
        <v>-116.34234234234282</v>
      </c>
      <c r="AB17" s="451">
        <f t="shared" si="6"/>
        <v>0.93654054054054026</v>
      </c>
      <c r="AC17" s="533"/>
    </row>
    <row r="18" spans="1:29" ht="15.75" customHeight="1">
      <c r="A18" s="554" t="s">
        <v>375</v>
      </c>
      <c r="B18" s="26" t="s">
        <v>21</v>
      </c>
      <c r="C18" s="552" t="s">
        <v>22</v>
      </c>
      <c r="D18" s="552"/>
      <c r="E18" s="26">
        <v>43.14</v>
      </c>
      <c r="F18" s="461">
        <v>1154</v>
      </c>
      <c r="G18" s="452">
        <f t="shared" ref="G18:G23" si="7">E18*F18</f>
        <v>49783.56</v>
      </c>
      <c r="H18" s="462" t="s">
        <v>52</v>
      </c>
      <c r="I18" s="459">
        <v>17</v>
      </c>
      <c r="J18" s="18">
        <v>2000</v>
      </c>
      <c r="K18" s="9">
        <f t="shared" si="0"/>
        <v>117.64705882352941</v>
      </c>
      <c r="L18" s="459">
        <v>17</v>
      </c>
      <c r="M18" s="10">
        <f t="shared" ref="M18:M23" si="8">F18/V18*60</f>
        <v>1871.3513513513519</v>
      </c>
      <c r="N18" s="9">
        <f t="shared" si="1"/>
        <v>110.07949125596188</v>
      </c>
      <c r="O18" s="11">
        <f t="shared" si="2"/>
        <v>0</v>
      </c>
      <c r="P18" s="12">
        <f t="shared" si="3"/>
        <v>-7.5675675675675222</v>
      </c>
      <c r="Q18" s="451">
        <f t="shared" si="4"/>
        <v>0.93567567567567611</v>
      </c>
      <c r="R18" s="533">
        <f>Q24</f>
        <v>0.94846519138395657</v>
      </c>
      <c r="S18" s="24">
        <v>0.20833333333333334</v>
      </c>
      <c r="T18" s="24">
        <v>0.23402777777777778</v>
      </c>
      <c r="U18" s="452"/>
      <c r="V18" s="460">
        <f t="shared" ref="V18:V23" si="9">(T18-S18)*24*60</f>
        <v>36.999999999999986</v>
      </c>
      <c r="W18" s="15"/>
      <c r="X18" s="15"/>
      <c r="Y18" s="528"/>
      <c r="Z18" s="528"/>
      <c r="AA18" s="11">
        <f t="shared" si="5"/>
        <v>-128.64864864864808</v>
      </c>
      <c r="AB18" s="451">
        <f t="shared" si="6"/>
        <v>0.935675675675676</v>
      </c>
      <c r="AC18" s="533">
        <f>AB24</f>
        <v>0.94846519138395646</v>
      </c>
    </row>
    <row r="19" spans="1:29" ht="15.75" customHeight="1">
      <c r="A19" s="555" t="s">
        <v>375</v>
      </c>
      <c r="B19" s="26" t="s">
        <v>13</v>
      </c>
      <c r="C19" s="552" t="s">
        <v>23</v>
      </c>
      <c r="D19" s="552"/>
      <c r="E19" s="26">
        <v>57.73</v>
      </c>
      <c r="F19" s="461">
        <v>2033</v>
      </c>
      <c r="G19" s="452">
        <f t="shared" si="7"/>
        <v>117365.09</v>
      </c>
      <c r="H19" s="462" t="s">
        <v>52</v>
      </c>
      <c r="I19" s="459">
        <v>16</v>
      </c>
      <c r="J19" s="18">
        <v>2000</v>
      </c>
      <c r="K19" s="9">
        <f t="shared" si="0"/>
        <v>125</v>
      </c>
      <c r="L19" s="459">
        <v>16</v>
      </c>
      <c r="M19" s="10">
        <f t="shared" si="8"/>
        <v>1876.6153846153854</v>
      </c>
      <c r="N19" s="9">
        <f t="shared" si="1"/>
        <v>117.28846153846159</v>
      </c>
      <c r="O19" s="11">
        <f t="shared" si="2"/>
        <v>0</v>
      </c>
      <c r="P19" s="12">
        <f t="shared" si="3"/>
        <v>-7.7115384615384102</v>
      </c>
      <c r="Q19" s="451">
        <f t="shared" si="4"/>
        <v>0.93830769230769273</v>
      </c>
      <c r="R19" s="533"/>
      <c r="S19" s="24">
        <v>0.2388888888888889</v>
      </c>
      <c r="T19" s="24">
        <v>0.28402777777777777</v>
      </c>
      <c r="U19" s="452">
        <f>IF(S19=TIME(17,0,0),"",(S19-T18)*24*60)</f>
        <v>7.0000000000000151</v>
      </c>
      <c r="V19" s="460">
        <f t="shared" si="9"/>
        <v>64.999999999999972</v>
      </c>
      <c r="W19" s="14"/>
      <c r="X19" s="452"/>
      <c r="Y19" s="528"/>
      <c r="Z19" s="528"/>
      <c r="AA19" s="11">
        <f t="shared" si="5"/>
        <v>-123.38461538461456</v>
      </c>
      <c r="AB19" s="451">
        <f t="shared" si="6"/>
        <v>0.93830769230769273</v>
      </c>
      <c r="AC19" s="533"/>
    </row>
    <row r="20" spans="1:29" ht="15.75" customHeight="1">
      <c r="A20" s="555" t="s">
        <v>375</v>
      </c>
      <c r="B20" s="26" t="s">
        <v>13</v>
      </c>
      <c r="C20" s="552" t="s">
        <v>14</v>
      </c>
      <c r="D20" s="552"/>
      <c r="E20" s="26">
        <v>53.68</v>
      </c>
      <c r="F20" s="461">
        <v>1437</v>
      </c>
      <c r="G20" s="452">
        <f t="shared" si="7"/>
        <v>77138.16</v>
      </c>
      <c r="H20" s="462" t="s">
        <v>52</v>
      </c>
      <c r="I20" s="459">
        <v>17</v>
      </c>
      <c r="J20" s="18">
        <v>2000</v>
      </c>
      <c r="K20" s="9">
        <f t="shared" si="0"/>
        <v>117.64705882352941</v>
      </c>
      <c r="L20" s="459">
        <v>17</v>
      </c>
      <c r="M20" s="10">
        <f t="shared" si="8"/>
        <v>1874.3478260869565</v>
      </c>
      <c r="N20" s="9">
        <f t="shared" si="1"/>
        <v>110.25575447570333</v>
      </c>
      <c r="O20" s="11">
        <f t="shared" si="2"/>
        <v>0</v>
      </c>
      <c r="P20" s="12">
        <f t="shared" si="3"/>
        <v>-7.3913043478260789</v>
      </c>
      <c r="Q20" s="451">
        <f t="shared" si="4"/>
        <v>0.9371739130434783</v>
      </c>
      <c r="R20" s="533"/>
      <c r="S20" s="24">
        <v>0.28749999999999998</v>
      </c>
      <c r="T20" s="24">
        <v>0.31944444444444442</v>
      </c>
      <c r="U20" s="452">
        <f>IF(S20=TIME(17,0,0),"",(S20-T19)*24*60)</f>
        <v>4.9999999999999822</v>
      </c>
      <c r="V20" s="460">
        <f t="shared" si="9"/>
        <v>46</v>
      </c>
      <c r="W20" s="14"/>
      <c r="X20" s="452"/>
      <c r="Y20" s="528"/>
      <c r="Z20" s="528"/>
      <c r="AA20" s="11">
        <f t="shared" si="5"/>
        <v>-125.6521739130435</v>
      </c>
      <c r="AB20" s="451">
        <f t="shared" si="6"/>
        <v>0.9371739130434783</v>
      </c>
      <c r="AC20" s="533"/>
    </row>
    <row r="21" spans="1:29" ht="15.75" customHeight="1">
      <c r="A21" s="555" t="s">
        <v>375</v>
      </c>
      <c r="B21" s="26" t="s">
        <v>13</v>
      </c>
      <c r="C21" s="552" t="s">
        <v>81</v>
      </c>
      <c r="D21" s="552"/>
      <c r="E21" s="26">
        <v>58.17</v>
      </c>
      <c r="F21" s="461">
        <v>1444</v>
      </c>
      <c r="G21" s="452">
        <f t="shared" si="7"/>
        <v>83997.48</v>
      </c>
      <c r="H21" s="462" t="s">
        <v>52</v>
      </c>
      <c r="I21" s="459">
        <v>18</v>
      </c>
      <c r="J21" s="18">
        <v>2000</v>
      </c>
      <c r="K21" s="9">
        <f t="shared" si="0"/>
        <v>111.11111111111111</v>
      </c>
      <c r="L21" s="459">
        <v>18</v>
      </c>
      <c r="M21" s="10">
        <f t="shared" si="8"/>
        <v>1883.4782608695652</v>
      </c>
      <c r="N21" s="9">
        <f t="shared" si="1"/>
        <v>104.6376811594203</v>
      </c>
      <c r="O21" s="11">
        <f t="shared" si="2"/>
        <v>0</v>
      </c>
      <c r="P21" s="12">
        <f t="shared" si="3"/>
        <v>-6.473429951690818</v>
      </c>
      <c r="Q21" s="451">
        <f t="shared" si="4"/>
        <v>0.94173913043478263</v>
      </c>
      <c r="R21" s="533"/>
      <c r="S21" s="24">
        <v>0.32361111111111107</v>
      </c>
      <c r="T21" s="24">
        <v>0.35555555555555551</v>
      </c>
      <c r="U21" s="452">
        <f>IF(S21=TIME(17,0,0),"",(S21-T20)*24*60)</f>
        <v>5.9999999999999787</v>
      </c>
      <c r="V21" s="460">
        <f t="shared" si="9"/>
        <v>46</v>
      </c>
      <c r="W21" s="14"/>
      <c r="X21" s="452"/>
      <c r="Y21" s="528"/>
      <c r="Z21" s="528"/>
      <c r="AA21" s="11">
        <f t="shared" si="5"/>
        <v>-116.52173913043475</v>
      </c>
      <c r="AB21" s="451">
        <f t="shared" si="6"/>
        <v>0.94173913043478263</v>
      </c>
      <c r="AC21" s="533"/>
    </row>
    <row r="22" spans="1:29" ht="15.75" customHeight="1">
      <c r="A22" s="555" t="s">
        <v>375</v>
      </c>
      <c r="B22" s="26" t="s">
        <v>13</v>
      </c>
      <c r="C22" s="552" t="s">
        <v>85</v>
      </c>
      <c r="D22" s="552"/>
      <c r="E22" s="26">
        <v>54.09</v>
      </c>
      <c r="F22" s="461">
        <v>2970</v>
      </c>
      <c r="G22" s="452">
        <f t="shared" si="7"/>
        <v>160647.30000000002</v>
      </c>
      <c r="H22" s="462" t="s">
        <v>52</v>
      </c>
      <c r="I22" s="459">
        <v>20</v>
      </c>
      <c r="J22" s="18">
        <v>2000</v>
      </c>
      <c r="K22" s="9">
        <f t="shared" si="0"/>
        <v>100</v>
      </c>
      <c r="L22" s="459">
        <v>20</v>
      </c>
      <c r="M22" s="10">
        <f t="shared" si="8"/>
        <v>1875.7894736842109</v>
      </c>
      <c r="N22" s="9">
        <f t="shared" si="1"/>
        <v>93.789473684210549</v>
      </c>
      <c r="O22" s="11">
        <f t="shared" si="2"/>
        <v>0</v>
      </c>
      <c r="P22" s="12">
        <f t="shared" si="3"/>
        <v>-6.2105263157894512</v>
      </c>
      <c r="Q22" s="451">
        <f t="shared" si="4"/>
        <v>0.93789473684210545</v>
      </c>
      <c r="R22" s="533"/>
      <c r="S22" s="24">
        <v>0.70833333333333337</v>
      </c>
      <c r="T22" s="24">
        <v>0.77430555555555558</v>
      </c>
      <c r="U22" s="452" t="str">
        <f>IF(S22=TIME(17,0,0),"",(S22-T21)*24*60)</f>
        <v/>
      </c>
      <c r="V22" s="460">
        <f t="shared" si="9"/>
        <v>94.999999999999986</v>
      </c>
      <c r="W22" s="14"/>
      <c r="X22" s="452"/>
      <c r="Y22" s="528"/>
      <c r="Z22" s="528"/>
      <c r="AA22" s="11">
        <f t="shared" si="5"/>
        <v>-124.21052631578914</v>
      </c>
      <c r="AB22" s="451">
        <f t="shared" si="6"/>
        <v>0.93789473684210545</v>
      </c>
      <c r="AC22" s="533"/>
    </row>
    <row r="23" spans="1:29" ht="15.75" customHeight="1">
      <c r="A23" s="555" t="s">
        <v>375</v>
      </c>
      <c r="B23" s="26" t="s">
        <v>13</v>
      </c>
      <c r="C23" s="552" t="s">
        <v>56</v>
      </c>
      <c r="D23" s="552"/>
      <c r="E23" s="26">
        <v>53.27</v>
      </c>
      <c r="F23" s="461">
        <v>400</v>
      </c>
      <c r="G23" s="452">
        <f t="shared" si="7"/>
        <v>21308</v>
      </c>
      <c r="H23" s="462" t="s">
        <v>52</v>
      </c>
      <c r="I23" s="459">
        <v>15</v>
      </c>
      <c r="J23" s="18">
        <v>2000</v>
      </c>
      <c r="K23" s="9">
        <f t="shared" si="0"/>
        <v>133.33333333333334</v>
      </c>
      <c r="L23" s="459">
        <v>15</v>
      </c>
      <c r="M23" s="10">
        <f t="shared" si="8"/>
        <v>2000.000000000007</v>
      </c>
      <c r="N23" s="9">
        <f t="shared" si="1"/>
        <v>133.3333333333338</v>
      </c>
      <c r="O23" s="11">
        <f t="shared" si="2"/>
        <v>0</v>
      </c>
      <c r="P23" s="12">
        <f t="shared" si="3"/>
        <v>4.5474735088646412E-13</v>
      </c>
      <c r="Q23" s="451">
        <f t="shared" si="4"/>
        <v>1.0000000000000033</v>
      </c>
      <c r="R23" s="533"/>
      <c r="S23" s="24">
        <v>0.77986111111111112</v>
      </c>
      <c r="T23" s="24">
        <v>0.78819444444444442</v>
      </c>
      <c r="U23" s="452">
        <f>IF(S23=TIME(17,0,0),"",(S23-T22)*24*60)</f>
        <v>7.9999999999999716</v>
      </c>
      <c r="V23" s="460">
        <f t="shared" si="9"/>
        <v>11.999999999999957</v>
      </c>
      <c r="W23" s="14"/>
      <c r="X23" s="15"/>
      <c r="Y23" s="528"/>
      <c r="Z23" s="528"/>
      <c r="AA23" s="11">
        <f t="shared" si="5"/>
        <v>7.0485839387401938E-12</v>
      </c>
      <c r="AB23" s="451">
        <f t="shared" si="6"/>
        <v>1.0000000000000036</v>
      </c>
      <c r="AC23" s="533"/>
    </row>
    <row r="24" spans="1:29" ht="15.75" customHeight="1">
      <c r="A24" s="555" t="s">
        <v>375</v>
      </c>
      <c r="B24" s="26" t="s">
        <v>82</v>
      </c>
      <c r="C24" s="530"/>
      <c r="D24" s="530"/>
      <c r="E24" s="453"/>
      <c r="F24" s="461"/>
      <c r="G24" s="452"/>
      <c r="H24" s="461"/>
      <c r="I24" s="17">
        <v>17.166666666666668</v>
      </c>
      <c r="J24" s="18">
        <v>2000</v>
      </c>
      <c r="K24" s="9">
        <f t="shared" si="0"/>
        <v>116.50485436893203</v>
      </c>
      <c r="L24" s="17">
        <v>17.166666666666668</v>
      </c>
      <c r="M24" s="10">
        <f>AVERAGE(M18:M23)</f>
        <v>1896.930382767913</v>
      </c>
      <c r="N24" s="9">
        <f t="shared" si="1"/>
        <v>110.5007989961891</v>
      </c>
      <c r="O24" s="11">
        <f t="shared" si="2"/>
        <v>0</v>
      </c>
      <c r="P24" s="12">
        <f t="shared" si="3"/>
        <v>-6.0040553727429256</v>
      </c>
      <c r="Q24" s="451">
        <f t="shared" si="4"/>
        <v>0.94846519138395657</v>
      </c>
      <c r="R24" s="533"/>
      <c r="S24" s="24"/>
      <c r="T24" s="24"/>
      <c r="U24" s="9"/>
      <c r="V24" s="460"/>
      <c r="W24" s="9"/>
      <c r="X24" s="9"/>
      <c r="Y24" s="528"/>
      <c r="Z24" s="528"/>
      <c r="AA24" s="11">
        <f t="shared" si="5"/>
        <v>-103.06961723208701</v>
      </c>
      <c r="AB24" s="451">
        <f t="shared" si="6"/>
        <v>0.94846519138395646</v>
      </c>
      <c r="AC24" s="533"/>
    </row>
    <row r="25" spans="1:29" ht="15.75" customHeight="1">
      <c r="A25" s="553" t="s">
        <v>377</v>
      </c>
      <c r="B25" s="26" t="s">
        <v>24</v>
      </c>
      <c r="C25" s="552" t="s">
        <v>26</v>
      </c>
      <c r="D25" s="552"/>
      <c r="E25" s="26">
        <v>26.2</v>
      </c>
      <c r="F25" s="461">
        <v>3176</v>
      </c>
      <c r="G25" s="452">
        <f>E25*F25</f>
        <v>83211.199999999997</v>
      </c>
      <c r="H25" s="462" t="s">
        <v>52</v>
      </c>
      <c r="I25" s="459">
        <v>20</v>
      </c>
      <c r="J25" s="18">
        <v>2400</v>
      </c>
      <c r="K25" s="9">
        <f t="shared" si="0"/>
        <v>120</v>
      </c>
      <c r="L25" s="459">
        <v>20</v>
      </c>
      <c r="M25" s="10">
        <f>F25/V25*60</f>
        <v>2241.8823529411761</v>
      </c>
      <c r="N25" s="9">
        <f t="shared" si="1"/>
        <v>112.09411764705881</v>
      </c>
      <c r="O25" s="11">
        <f t="shared" si="2"/>
        <v>0</v>
      </c>
      <c r="P25" s="12">
        <f t="shared" si="3"/>
        <v>-7.905882352941191</v>
      </c>
      <c r="Q25" s="451">
        <f t="shared" si="4"/>
        <v>0.93411764705882339</v>
      </c>
      <c r="R25" s="533">
        <f>Q30</f>
        <v>0.93716278481623749</v>
      </c>
      <c r="S25" s="24">
        <v>0.125</v>
      </c>
      <c r="T25" s="24">
        <v>0.18402777777777779</v>
      </c>
      <c r="U25" s="452"/>
      <c r="V25" s="460">
        <f>(T25-S25)*24*60</f>
        <v>85.000000000000014</v>
      </c>
      <c r="W25" s="14">
        <f>T25</f>
        <v>0.18402777777777779</v>
      </c>
      <c r="X25" s="14">
        <f>S26</f>
        <v>0.20347222222222222</v>
      </c>
      <c r="Y25" s="528"/>
      <c r="Z25" s="528"/>
      <c r="AA25" s="11">
        <f t="shared" si="5"/>
        <v>-158.11764705882388</v>
      </c>
      <c r="AB25" s="451">
        <f t="shared" si="6"/>
        <v>0.93411764705882339</v>
      </c>
      <c r="AC25" s="533">
        <f>AB30</f>
        <v>0.93716278481623738</v>
      </c>
    </row>
    <row r="26" spans="1:29" ht="15.75" customHeight="1">
      <c r="A26" s="553" t="s">
        <v>377</v>
      </c>
      <c r="B26" s="26" t="s">
        <v>24</v>
      </c>
      <c r="C26" s="552" t="s">
        <v>79</v>
      </c>
      <c r="D26" s="552"/>
      <c r="E26" s="26">
        <v>31.29</v>
      </c>
      <c r="F26" s="461">
        <v>6014</v>
      </c>
      <c r="G26" s="452">
        <f>E26*F26</f>
        <v>188178.06</v>
      </c>
      <c r="H26" s="462" t="s">
        <v>52</v>
      </c>
      <c r="I26" s="459">
        <v>16</v>
      </c>
      <c r="J26" s="18">
        <v>2400</v>
      </c>
      <c r="K26" s="9">
        <f t="shared" si="0"/>
        <v>150</v>
      </c>
      <c r="L26" s="459">
        <v>16</v>
      </c>
      <c r="M26" s="10">
        <f>F26/V26*60</f>
        <v>2241.2422360248447</v>
      </c>
      <c r="N26" s="9">
        <f t="shared" si="1"/>
        <v>140.07763975155279</v>
      </c>
      <c r="O26" s="11">
        <f t="shared" si="2"/>
        <v>0</v>
      </c>
      <c r="P26" s="12">
        <f t="shared" si="3"/>
        <v>-9.9223602484472053</v>
      </c>
      <c r="Q26" s="451">
        <f t="shared" si="4"/>
        <v>0.9338509316770186</v>
      </c>
      <c r="R26" s="533"/>
      <c r="S26" s="24">
        <v>0.20347222222222222</v>
      </c>
      <c r="T26" s="24">
        <v>0.31527777777777777</v>
      </c>
      <c r="U26" s="452">
        <f>(S26-T25)*24*60</f>
        <v>27.999999999999979</v>
      </c>
      <c r="V26" s="460">
        <f>(T26-S26)*24*60</f>
        <v>161</v>
      </c>
      <c r="W26" s="14"/>
      <c r="X26" s="14"/>
      <c r="Y26" s="528"/>
      <c r="Z26" s="528"/>
      <c r="AA26" s="11">
        <f t="shared" si="5"/>
        <v>-158.75776397515529</v>
      </c>
      <c r="AB26" s="451">
        <f t="shared" si="6"/>
        <v>0.9338509316770186</v>
      </c>
      <c r="AC26" s="533"/>
    </row>
    <row r="27" spans="1:29" ht="15.75" customHeight="1">
      <c r="A27" s="553" t="s">
        <v>377</v>
      </c>
      <c r="B27" s="26" t="s">
        <v>24</v>
      </c>
      <c r="C27" s="552" t="s">
        <v>68</v>
      </c>
      <c r="D27" s="552"/>
      <c r="E27" s="26">
        <v>24.25</v>
      </c>
      <c r="F27" s="461">
        <v>3389</v>
      </c>
      <c r="G27" s="452">
        <f>E27*F27</f>
        <v>82183.25</v>
      </c>
      <c r="H27" s="462" t="s">
        <v>52</v>
      </c>
      <c r="I27" s="459">
        <v>18</v>
      </c>
      <c r="J27" s="18">
        <v>2400</v>
      </c>
      <c r="K27" s="9">
        <f t="shared" si="0"/>
        <v>133.33333333333334</v>
      </c>
      <c r="L27" s="459">
        <v>18</v>
      </c>
      <c r="M27" s="10">
        <f>F27/V27*60</f>
        <v>2259.3333333333335</v>
      </c>
      <c r="N27" s="9">
        <f t="shared" si="1"/>
        <v>125.51851851851853</v>
      </c>
      <c r="O27" s="11">
        <f t="shared" si="2"/>
        <v>0</v>
      </c>
      <c r="P27" s="12">
        <f t="shared" si="3"/>
        <v>-7.8148148148148096</v>
      </c>
      <c r="Q27" s="451">
        <f t="shared" si="4"/>
        <v>0.94138888888888894</v>
      </c>
      <c r="R27" s="533"/>
      <c r="S27" s="24">
        <v>0.31944444444444442</v>
      </c>
      <c r="T27" s="24">
        <v>0.38194444444444442</v>
      </c>
      <c r="U27" s="452">
        <f>(S27-T26)*24*60</f>
        <v>5.9999999999999787</v>
      </c>
      <c r="V27" s="460">
        <f>(T27-S27)*24*60</f>
        <v>90</v>
      </c>
      <c r="W27" s="14"/>
      <c r="X27" s="14"/>
      <c r="Y27" s="528"/>
      <c r="Z27" s="528"/>
      <c r="AA27" s="11">
        <f t="shared" si="5"/>
        <v>-140.66666666666652</v>
      </c>
      <c r="AB27" s="451">
        <f t="shared" si="6"/>
        <v>0.94138888888888894</v>
      </c>
      <c r="AC27" s="533"/>
    </row>
    <row r="28" spans="1:29" ht="15.75" customHeight="1">
      <c r="A28" s="553" t="s">
        <v>377</v>
      </c>
      <c r="B28" s="26" t="s">
        <v>24</v>
      </c>
      <c r="C28" s="552" t="s">
        <v>328</v>
      </c>
      <c r="D28" s="552"/>
      <c r="E28" s="26">
        <v>25.98</v>
      </c>
      <c r="F28" s="461">
        <v>3362</v>
      </c>
      <c r="G28" s="452">
        <f>E28*F28</f>
        <v>87344.76</v>
      </c>
      <c r="H28" s="462" t="s">
        <v>52</v>
      </c>
      <c r="I28" s="459">
        <v>17</v>
      </c>
      <c r="J28" s="18">
        <v>2400</v>
      </c>
      <c r="K28" s="9">
        <f t="shared" si="0"/>
        <v>141.1764705882353</v>
      </c>
      <c r="L28" s="459">
        <v>17</v>
      </c>
      <c r="M28" s="10">
        <f>F28/V28*60</f>
        <v>2241.333333333333</v>
      </c>
      <c r="N28" s="9">
        <f t="shared" si="1"/>
        <v>131.84313725490193</v>
      </c>
      <c r="O28" s="11">
        <f t="shared" si="2"/>
        <v>0</v>
      </c>
      <c r="P28" s="12">
        <f t="shared" si="3"/>
        <v>-9.3333333333333712</v>
      </c>
      <c r="Q28" s="451">
        <f t="shared" si="4"/>
        <v>0.93388888888888866</v>
      </c>
      <c r="R28" s="533"/>
      <c r="S28" s="24">
        <v>0.38680555555555551</v>
      </c>
      <c r="T28" s="24">
        <v>0.44930555555555551</v>
      </c>
      <c r="U28" s="452">
        <f>(S28-T27)*24*60</f>
        <v>6.9999999999999751</v>
      </c>
      <c r="V28" s="460">
        <f>(T28-S28)*24*60</f>
        <v>90</v>
      </c>
      <c r="W28" s="14"/>
      <c r="X28" s="14"/>
      <c r="Y28" s="528"/>
      <c r="Z28" s="528"/>
      <c r="AA28" s="11">
        <f t="shared" si="5"/>
        <v>-158.66666666666697</v>
      </c>
      <c r="AB28" s="451">
        <f t="shared" si="6"/>
        <v>0.93388888888888877</v>
      </c>
      <c r="AC28" s="533"/>
    </row>
    <row r="29" spans="1:29" ht="15.75" customHeight="1">
      <c r="A29" s="553" t="s">
        <v>377</v>
      </c>
      <c r="B29" s="26" t="s">
        <v>24</v>
      </c>
      <c r="C29" s="552" t="s">
        <v>62</v>
      </c>
      <c r="D29" s="552"/>
      <c r="E29" s="26">
        <v>22.35</v>
      </c>
      <c r="F29" s="461">
        <v>1395</v>
      </c>
      <c r="G29" s="452">
        <f>E29*F29</f>
        <v>31178.250000000004</v>
      </c>
      <c r="H29" s="462" t="s">
        <v>52</v>
      </c>
      <c r="I29" s="459">
        <v>16</v>
      </c>
      <c r="J29" s="18">
        <v>2400</v>
      </c>
      <c r="K29" s="9">
        <f t="shared" si="0"/>
        <v>150</v>
      </c>
      <c r="L29" s="459">
        <v>16</v>
      </c>
      <c r="M29" s="10">
        <f>F29/V29*60</f>
        <v>2262.1621621621603</v>
      </c>
      <c r="N29" s="9">
        <f t="shared" si="1"/>
        <v>141.38513513513502</v>
      </c>
      <c r="O29" s="11">
        <f t="shared" si="2"/>
        <v>0</v>
      </c>
      <c r="P29" s="12">
        <f t="shared" si="3"/>
        <v>-8.6148648648649839</v>
      </c>
      <c r="Q29" s="451">
        <f t="shared" si="4"/>
        <v>0.94256756756756677</v>
      </c>
      <c r="R29" s="533"/>
      <c r="S29" s="24">
        <v>0.45486111111111105</v>
      </c>
      <c r="T29" s="24">
        <v>0.48055555555555551</v>
      </c>
      <c r="U29" s="452">
        <f>(S29-T28)*24*60</f>
        <v>7.9999999999999716</v>
      </c>
      <c r="V29" s="460">
        <f>(T29-S29)*24*60</f>
        <v>37.000000000000028</v>
      </c>
      <c r="W29" s="14"/>
      <c r="X29" s="14"/>
      <c r="Y29" s="528"/>
      <c r="Z29" s="528"/>
      <c r="AA29" s="11">
        <f t="shared" si="5"/>
        <v>-137.83783783783974</v>
      </c>
      <c r="AB29" s="451">
        <f t="shared" si="6"/>
        <v>0.94256756756756677</v>
      </c>
      <c r="AC29" s="533"/>
    </row>
    <row r="30" spans="1:29" ht="15.75" customHeight="1">
      <c r="A30" s="553" t="s">
        <v>1790</v>
      </c>
      <c r="B30" s="26" t="s">
        <v>82</v>
      </c>
      <c r="C30" s="530"/>
      <c r="D30" s="530"/>
      <c r="E30" s="453"/>
      <c r="F30" s="461"/>
      <c r="G30" s="452"/>
      <c r="H30" s="461"/>
      <c r="I30" s="17">
        <v>17.399999999999999</v>
      </c>
      <c r="J30" s="18">
        <v>2400</v>
      </c>
      <c r="K30" s="9">
        <f t="shared" si="0"/>
        <v>137.93103448275863</v>
      </c>
      <c r="L30" s="17">
        <v>17.399999999999999</v>
      </c>
      <c r="M30" s="10">
        <f>AVERAGE(M25:M29)</f>
        <v>2249.1906835589698</v>
      </c>
      <c r="N30" s="9">
        <f t="shared" si="1"/>
        <v>129.26383238844656</v>
      </c>
      <c r="O30" s="11">
        <f t="shared" si="2"/>
        <v>0</v>
      </c>
      <c r="P30" s="12">
        <f t="shared" si="3"/>
        <v>-8.6672020943120742</v>
      </c>
      <c r="Q30" s="451">
        <f t="shared" si="4"/>
        <v>0.93716278481623749</v>
      </c>
      <c r="R30" s="533"/>
      <c r="S30" s="24"/>
      <c r="T30" s="24"/>
      <c r="U30" s="452"/>
      <c r="V30" s="460"/>
      <c r="W30" s="452"/>
      <c r="X30" s="452"/>
      <c r="Y30" s="528"/>
      <c r="Z30" s="528"/>
      <c r="AA30" s="11">
        <f t="shared" si="5"/>
        <v>-150.80931644103021</v>
      </c>
      <c r="AB30" s="451">
        <f t="shared" si="6"/>
        <v>0.93716278481623738</v>
      </c>
      <c r="AC30" s="533"/>
    </row>
    <row r="31" spans="1:29" ht="15.75" customHeight="1">
      <c r="A31" s="550" t="s">
        <v>379</v>
      </c>
      <c r="B31" s="26" t="s">
        <v>24</v>
      </c>
      <c r="C31" s="529" t="s">
        <v>28</v>
      </c>
      <c r="D31" s="529"/>
      <c r="E31" s="26">
        <v>26.2</v>
      </c>
      <c r="F31" s="461">
        <v>3500</v>
      </c>
      <c r="G31" s="452">
        <f t="shared" ref="G31:G38" si="10">E31*F31</f>
        <v>91700</v>
      </c>
      <c r="H31" s="462">
        <v>2</v>
      </c>
      <c r="I31" s="459">
        <v>18</v>
      </c>
      <c r="J31" s="18">
        <v>2400</v>
      </c>
      <c r="K31" s="9">
        <f t="shared" si="0"/>
        <v>133.33333333333334</v>
      </c>
      <c r="L31" s="459">
        <v>18</v>
      </c>
      <c r="M31" s="10">
        <f t="shared" ref="M31:M38" si="11">F31/V31*60</f>
        <v>2234.0425531914898</v>
      </c>
      <c r="N31" s="9">
        <f t="shared" si="1"/>
        <v>124.11347517730499</v>
      </c>
      <c r="O31" s="11">
        <f t="shared" si="2"/>
        <v>0</v>
      </c>
      <c r="P31" s="12">
        <f t="shared" si="3"/>
        <v>-9.2198581560283515</v>
      </c>
      <c r="Q31" s="451">
        <f t="shared" si="4"/>
        <v>0.93085106382978733</v>
      </c>
      <c r="R31" s="533">
        <f>Q39</f>
        <v>0.93424108615731993</v>
      </c>
      <c r="S31" s="24">
        <v>0.125</v>
      </c>
      <c r="T31" s="24">
        <v>0.19027777777777777</v>
      </c>
      <c r="U31" s="452"/>
      <c r="V31" s="460">
        <f t="shared" ref="V31:V38" si="12">(T31-S31)*24*60</f>
        <v>93.999999999999986</v>
      </c>
      <c r="W31" s="15">
        <f>T31</f>
        <v>0.19027777777777777</v>
      </c>
      <c r="X31" s="15">
        <f>S32</f>
        <v>0.21180555555555555</v>
      </c>
      <c r="Y31" s="528"/>
      <c r="Z31" s="528"/>
      <c r="AA31" s="11">
        <f t="shared" si="5"/>
        <v>-165.95744680851021</v>
      </c>
      <c r="AB31" s="451">
        <f t="shared" si="6"/>
        <v>0.93085106382978744</v>
      </c>
      <c r="AC31" s="533">
        <f>AB39</f>
        <v>0.93424108615731993</v>
      </c>
    </row>
    <row r="32" spans="1:29" ht="15.75" customHeight="1">
      <c r="A32" s="550" t="s">
        <v>1789</v>
      </c>
      <c r="B32" s="26" t="s">
        <v>24</v>
      </c>
      <c r="C32" s="529" t="s">
        <v>30</v>
      </c>
      <c r="D32" s="529"/>
      <c r="E32" s="26">
        <v>24.45</v>
      </c>
      <c r="F32" s="461">
        <v>1610</v>
      </c>
      <c r="G32" s="452">
        <f t="shared" si="10"/>
        <v>39364.5</v>
      </c>
      <c r="H32" s="462" t="s">
        <v>52</v>
      </c>
      <c r="I32" s="459">
        <v>20</v>
      </c>
      <c r="J32" s="18">
        <v>2400</v>
      </c>
      <c r="K32" s="9">
        <f t="shared" si="0"/>
        <v>120</v>
      </c>
      <c r="L32" s="459">
        <v>20</v>
      </c>
      <c r="M32" s="10">
        <f t="shared" si="11"/>
        <v>2246.5116279069762</v>
      </c>
      <c r="N32" s="9">
        <f t="shared" si="1"/>
        <v>112.32558139534881</v>
      </c>
      <c r="O32" s="11">
        <f t="shared" si="2"/>
        <v>0</v>
      </c>
      <c r="P32" s="12">
        <f t="shared" si="3"/>
        <v>-7.6744186046511942</v>
      </c>
      <c r="Q32" s="451">
        <f t="shared" si="4"/>
        <v>0.93604651162790675</v>
      </c>
      <c r="R32" s="533"/>
      <c r="S32" s="24">
        <v>0.21180555555555555</v>
      </c>
      <c r="T32" s="24">
        <v>0.24166666666666667</v>
      </c>
      <c r="U32" s="452">
        <f t="shared" ref="U32:U38" si="13">(S32-T31)*24*60</f>
        <v>31.000000000000011</v>
      </c>
      <c r="V32" s="460">
        <f t="shared" si="12"/>
        <v>43.000000000000007</v>
      </c>
      <c r="W32" s="452"/>
      <c r="X32" s="452"/>
      <c r="Y32" s="528"/>
      <c r="Z32" s="528"/>
      <c r="AA32" s="11">
        <f t="shared" si="5"/>
        <v>-153.48837209302383</v>
      </c>
      <c r="AB32" s="451">
        <f t="shared" si="6"/>
        <v>0.93604651162790675</v>
      </c>
      <c r="AC32" s="533"/>
    </row>
    <row r="33" spans="1:29">
      <c r="A33" s="551" t="s">
        <v>379</v>
      </c>
      <c r="B33" s="26" t="s">
        <v>24</v>
      </c>
      <c r="C33" s="529" t="s">
        <v>29</v>
      </c>
      <c r="D33" s="529"/>
      <c r="E33" s="26">
        <v>26.39</v>
      </c>
      <c r="F33" s="461">
        <v>3100</v>
      </c>
      <c r="G33" s="452">
        <f t="shared" si="10"/>
        <v>81809</v>
      </c>
      <c r="H33" s="462">
        <v>2</v>
      </c>
      <c r="I33" s="459">
        <v>19</v>
      </c>
      <c r="J33" s="18">
        <v>2400</v>
      </c>
      <c r="K33" s="9">
        <f t="shared" si="0"/>
        <v>126.31578947368421</v>
      </c>
      <c r="L33" s="459">
        <v>19</v>
      </c>
      <c r="M33" s="10">
        <f t="shared" si="11"/>
        <v>2240.9638554216863</v>
      </c>
      <c r="N33" s="9">
        <f t="shared" si="1"/>
        <v>117.94546607482559</v>
      </c>
      <c r="O33" s="11">
        <f t="shared" si="2"/>
        <v>0</v>
      </c>
      <c r="P33" s="12">
        <f t="shared" si="3"/>
        <v>-8.3703233988586163</v>
      </c>
      <c r="Q33" s="451">
        <f t="shared" si="4"/>
        <v>0.93373493975903599</v>
      </c>
      <c r="R33" s="533"/>
      <c r="S33" s="24">
        <v>0.24722222222222223</v>
      </c>
      <c r="T33" s="24">
        <v>0.30486111111111114</v>
      </c>
      <c r="U33" s="452">
        <f t="shared" si="13"/>
        <v>8.0000000000000107</v>
      </c>
      <c r="V33" s="460">
        <f t="shared" si="12"/>
        <v>83.000000000000028</v>
      </c>
      <c r="W33" s="452"/>
      <c r="X33" s="452"/>
      <c r="Y33" s="528"/>
      <c r="Z33" s="528"/>
      <c r="AA33" s="11">
        <f t="shared" si="5"/>
        <v>-159.03614457831372</v>
      </c>
      <c r="AB33" s="451">
        <f t="shared" si="6"/>
        <v>0.93373493975903599</v>
      </c>
      <c r="AC33" s="533"/>
    </row>
    <row r="34" spans="1:29">
      <c r="A34" s="551" t="s">
        <v>379</v>
      </c>
      <c r="B34" s="26" t="s">
        <v>24</v>
      </c>
      <c r="C34" s="529" t="s">
        <v>27</v>
      </c>
      <c r="D34" s="529"/>
      <c r="E34" s="26">
        <v>20.52</v>
      </c>
      <c r="F34" s="461">
        <v>2614</v>
      </c>
      <c r="G34" s="452">
        <f t="shared" si="10"/>
        <v>53639.28</v>
      </c>
      <c r="H34" s="462" t="s">
        <v>52</v>
      </c>
      <c r="I34" s="459">
        <v>18</v>
      </c>
      <c r="J34" s="18">
        <v>2400</v>
      </c>
      <c r="K34" s="9">
        <f t="shared" si="0"/>
        <v>133.33333333333334</v>
      </c>
      <c r="L34" s="459">
        <v>18</v>
      </c>
      <c r="M34" s="10">
        <f t="shared" si="11"/>
        <v>2240.5714285714289</v>
      </c>
      <c r="N34" s="9">
        <f t="shared" si="1"/>
        <v>124.4761904761905</v>
      </c>
      <c r="O34" s="11">
        <f t="shared" si="2"/>
        <v>0</v>
      </c>
      <c r="P34" s="12">
        <f t="shared" si="3"/>
        <v>-8.857142857142847</v>
      </c>
      <c r="Q34" s="451">
        <f t="shared" si="4"/>
        <v>0.93357142857142861</v>
      </c>
      <c r="R34" s="533"/>
      <c r="S34" s="24">
        <v>0.30972222222222223</v>
      </c>
      <c r="T34" s="24">
        <v>0.35833333333333334</v>
      </c>
      <c r="U34" s="452">
        <f t="shared" si="13"/>
        <v>6.9999999999999751</v>
      </c>
      <c r="V34" s="460">
        <f t="shared" si="12"/>
        <v>69.999999999999986</v>
      </c>
      <c r="W34" s="14"/>
      <c r="X34" s="14"/>
      <c r="Y34" s="528"/>
      <c r="Z34" s="528"/>
      <c r="AA34" s="11">
        <f t="shared" si="5"/>
        <v>-159.4285714285711</v>
      </c>
      <c r="AB34" s="451">
        <f t="shared" si="6"/>
        <v>0.93357142857142872</v>
      </c>
      <c r="AC34" s="533"/>
    </row>
    <row r="35" spans="1:29">
      <c r="A35" s="551" t="s">
        <v>379</v>
      </c>
      <c r="B35" s="26" t="s">
        <v>24</v>
      </c>
      <c r="C35" s="529" t="s">
        <v>50</v>
      </c>
      <c r="D35" s="529"/>
      <c r="E35" s="26">
        <v>26.2</v>
      </c>
      <c r="F35" s="461">
        <v>3274</v>
      </c>
      <c r="G35" s="452">
        <f t="shared" si="10"/>
        <v>85778.8</v>
      </c>
      <c r="H35" s="462" t="s">
        <v>52</v>
      </c>
      <c r="I35" s="459">
        <v>19</v>
      </c>
      <c r="J35" s="18">
        <v>2400</v>
      </c>
      <c r="K35" s="9">
        <f t="shared" si="0"/>
        <v>126.31578947368421</v>
      </c>
      <c r="L35" s="459">
        <v>19</v>
      </c>
      <c r="M35" s="10">
        <f t="shared" si="11"/>
        <v>2257.9310344827586</v>
      </c>
      <c r="N35" s="9">
        <f t="shared" si="1"/>
        <v>118.83847549909255</v>
      </c>
      <c r="O35" s="11">
        <f t="shared" si="2"/>
        <v>0</v>
      </c>
      <c r="P35" s="12">
        <f t="shared" si="3"/>
        <v>-7.4773139745916524</v>
      </c>
      <c r="Q35" s="451">
        <f t="shared" si="4"/>
        <v>0.94080459770114944</v>
      </c>
      <c r="R35" s="533"/>
      <c r="S35" s="24">
        <v>0.36249999999999999</v>
      </c>
      <c r="T35" s="24">
        <v>0.42291666666666666</v>
      </c>
      <c r="U35" s="452">
        <f t="shared" si="13"/>
        <v>5.9999999999999787</v>
      </c>
      <c r="V35" s="460">
        <f t="shared" si="12"/>
        <v>87.000000000000014</v>
      </c>
      <c r="W35" s="14"/>
      <c r="X35" s="14"/>
      <c r="Y35" s="528"/>
      <c r="Z35" s="528"/>
      <c r="AA35" s="11">
        <f t="shared" si="5"/>
        <v>-142.06896551724139</v>
      </c>
      <c r="AB35" s="451">
        <f t="shared" si="6"/>
        <v>0.94080459770114944</v>
      </c>
      <c r="AC35" s="533"/>
    </row>
    <row r="36" spans="1:29">
      <c r="A36" s="551" t="s">
        <v>379</v>
      </c>
      <c r="B36" s="26" t="s">
        <v>24</v>
      </c>
      <c r="C36" s="529" t="s">
        <v>1079</v>
      </c>
      <c r="D36" s="529"/>
      <c r="E36" s="26">
        <v>25.98</v>
      </c>
      <c r="F36" s="461">
        <v>3434</v>
      </c>
      <c r="G36" s="452">
        <f t="shared" si="10"/>
        <v>89215.32</v>
      </c>
      <c r="H36" s="462" t="s">
        <v>52</v>
      </c>
      <c r="I36" s="459">
        <v>17</v>
      </c>
      <c r="J36" s="18">
        <v>2400</v>
      </c>
      <c r="K36" s="9">
        <f t="shared" si="0"/>
        <v>141.1764705882353</v>
      </c>
      <c r="L36" s="459">
        <v>17</v>
      </c>
      <c r="M36" s="10">
        <f t="shared" si="11"/>
        <v>2239.5652173913045</v>
      </c>
      <c r="N36" s="9">
        <f t="shared" si="1"/>
        <v>131.73913043478262</v>
      </c>
      <c r="O36" s="11">
        <f t="shared" si="2"/>
        <v>0</v>
      </c>
      <c r="P36" s="12">
        <f t="shared" si="3"/>
        <v>-9.4373401534526806</v>
      </c>
      <c r="Q36" s="451">
        <f t="shared" si="4"/>
        <v>0.9331521739130435</v>
      </c>
      <c r="R36" s="533"/>
      <c r="S36" s="24">
        <v>0.42638888888888887</v>
      </c>
      <c r="T36" s="24">
        <v>0.49027777777777776</v>
      </c>
      <c r="U36" s="452">
        <f t="shared" si="13"/>
        <v>4.9999999999999822</v>
      </c>
      <c r="V36" s="460">
        <f t="shared" si="12"/>
        <v>92</v>
      </c>
      <c r="W36" s="14">
        <f>T36</f>
        <v>0.49027777777777776</v>
      </c>
      <c r="X36" s="14">
        <f>S37</f>
        <v>0.52847222222222212</v>
      </c>
      <c r="Y36" s="528"/>
      <c r="Z36" s="528"/>
      <c r="AA36" s="11">
        <f t="shared" si="5"/>
        <v>-160.43478260869551</v>
      </c>
      <c r="AB36" s="451">
        <f t="shared" si="6"/>
        <v>0.9331521739130435</v>
      </c>
      <c r="AC36" s="533"/>
    </row>
    <row r="37" spans="1:29">
      <c r="A37" s="551" t="s">
        <v>379</v>
      </c>
      <c r="B37" s="26" t="s">
        <v>24</v>
      </c>
      <c r="C37" s="529" t="s">
        <v>29</v>
      </c>
      <c r="D37" s="529"/>
      <c r="E37" s="26">
        <v>26.39</v>
      </c>
      <c r="F37" s="461">
        <v>1342</v>
      </c>
      <c r="G37" s="452">
        <f t="shared" si="10"/>
        <v>35415.379999999997</v>
      </c>
      <c r="H37" s="462" t="s">
        <v>52</v>
      </c>
      <c r="I37" s="459">
        <v>19</v>
      </c>
      <c r="J37" s="18">
        <v>2400</v>
      </c>
      <c r="K37" s="9">
        <f t="shared" ref="K37:K66" si="14">J37/I37</f>
        <v>126.31578947368421</v>
      </c>
      <c r="L37" s="459">
        <v>19</v>
      </c>
      <c r="M37" s="10">
        <f t="shared" si="11"/>
        <v>2236.6666666666652</v>
      </c>
      <c r="N37" s="9">
        <f t="shared" ref="N37:N66" si="15">M37/L37</f>
        <v>117.71929824561396</v>
      </c>
      <c r="O37" s="11">
        <f t="shared" ref="O37:O66" si="16">L37-I37</f>
        <v>0</v>
      </c>
      <c r="P37" s="12">
        <f t="shared" ref="P37:P66" si="17">N37-K37</f>
        <v>-8.5964912280702492</v>
      </c>
      <c r="Q37" s="451">
        <f t="shared" ref="Q37:Q66" si="18">N37/K37</f>
        <v>0.93194444444444391</v>
      </c>
      <c r="R37" s="533"/>
      <c r="S37" s="24">
        <v>0.52847222222222212</v>
      </c>
      <c r="T37" s="24">
        <v>0.55347222222222214</v>
      </c>
      <c r="U37" s="452">
        <f t="shared" si="13"/>
        <v>54.999999999999886</v>
      </c>
      <c r="V37" s="460">
        <f t="shared" si="12"/>
        <v>36.000000000000028</v>
      </c>
      <c r="W37" s="14"/>
      <c r="X37" s="14"/>
      <c r="Y37" s="536"/>
      <c r="Z37" s="537"/>
      <c r="AA37" s="11">
        <f t="shared" ref="AA37:AA66" si="19">M37-J37</f>
        <v>-163.33333333333485</v>
      </c>
      <c r="AB37" s="451">
        <f t="shared" ref="AB37:AB66" si="20">M37/J37</f>
        <v>0.9319444444444438</v>
      </c>
      <c r="AC37" s="533"/>
    </row>
    <row r="38" spans="1:29">
      <c r="A38" s="551" t="s">
        <v>379</v>
      </c>
      <c r="B38" s="26" t="s">
        <v>24</v>
      </c>
      <c r="C38" s="529" t="s">
        <v>28</v>
      </c>
      <c r="D38" s="529"/>
      <c r="E38" s="26">
        <v>26.2</v>
      </c>
      <c r="F38" s="461">
        <v>1270</v>
      </c>
      <c r="G38" s="452">
        <f t="shared" si="10"/>
        <v>33274</v>
      </c>
      <c r="H38" s="462" t="s">
        <v>52</v>
      </c>
      <c r="I38" s="459">
        <v>18</v>
      </c>
      <c r="J38" s="18">
        <v>2400</v>
      </c>
      <c r="K38" s="9">
        <f t="shared" si="14"/>
        <v>133.33333333333334</v>
      </c>
      <c r="L38" s="459">
        <v>18</v>
      </c>
      <c r="M38" s="10">
        <f t="shared" si="11"/>
        <v>2241.1764705882329</v>
      </c>
      <c r="N38" s="9">
        <f t="shared" si="15"/>
        <v>124.50980392156849</v>
      </c>
      <c r="O38" s="11">
        <f t="shared" si="16"/>
        <v>0</v>
      </c>
      <c r="P38" s="12">
        <f t="shared" si="17"/>
        <v>-8.8235294117648522</v>
      </c>
      <c r="Q38" s="451">
        <f t="shared" si="18"/>
        <v>0.93382352941176361</v>
      </c>
      <c r="R38" s="533"/>
      <c r="S38" s="24">
        <v>0.55833333333333324</v>
      </c>
      <c r="T38" s="24">
        <v>0.58194444444444438</v>
      </c>
      <c r="U38" s="452">
        <f t="shared" si="13"/>
        <v>6.9999999999999751</v>
      </c>
      <c r="V38" s="460">
        <f t="shared" si="12"/>
        <v>34.000000000000043</v>
      </c>
      <c r="W38" s="14"/>
      <c r="X38" s="14"/>
      <c r="Y38" s="536"/>
      <c r="Z38" s="537"/>
      <c r="AA38" s="11">
        <f t="shared" si="19"/>
        <v>-158.82352941176714</v>
      </c>
      <c r="AB38" s="451">
        <f t="shared" si="20"/>
        <v>0.93382352941176372</v>
      </c>
      <c r="AC38" s="533"/>
    </row>
    <row r="39" spans="1:29">
      <c r="A39" s="551" t="s">
        <v>379</v>
      </c>
      <c r="B39" s="16" t="s">
        <v>82</v>
      </c>
      <c r="C39" s="530"/>
      <c r="D39" s="530"/>
      <c r="E39" s="453"/>
      <c r="F39" s="16"/>
      <c r="G39" s="9"/>
      <c r="H39" s="461"/>
      <c r="I39" s="17">
        <v>18.5</v>
      </c>
      <c r="J39" s="18">
        <v>2400</v>
      </c>
      <c r="K39" s="9">
        <f t="shared" si="14"/>
        <v>129.72972972972974</v>
      </c>
      <c r="L39" s="17">
        <v>18.5</v>
      </c>
      <c r="M39" s="10">
        <f>AVERAGE(M31:M38)</f>
        <v>2242.1786067775679</v>
      </c>
      <c r="N39" s="9">
        <f t="shared" si="15"/>
        <v>121.19884360959827</v>
      </c>
      <c r="O39" s="11">
        <f t="shared" si="16"/>
        <v>0</v>
      </c>
      <c r="P39" s="12">
        <f t="shared" si="17"/>
        <v>-8.5308861201314699</v>
      </c>
      <c r="Q39" s="451">
        <f t="shared" si="18"/>
        <v>0.93424108615731993</v>
      </c>
      <c r="R39" s="533"/>
      <c r="S39" s="24"/>
      <c r="T39" s="24"/>
      <c r="U39" s="9"/>
      <c r="V39" s="460"/>
      <c r="W39" s="9"/>
      <c r="X39" s="9"/>
      <c r="Y39" s="528"/>
      <c r="Z39" s="528"/>
      <c r="AA39" s="11">
        <f t="shared" si="19"/>
        <v>-157.82139322243211</v>
      </c>
      <c r="AB39" s="451">
        <f t="shared" si="20"/>
        <v>0.93424108615731993</v>
      </c>
      <c r="AC39" s="533"/>
    </row>
    <row r="40" spans="1:29" ht="15.75" customHeight="1">
      <c r="A40" s="544" t="s">
        <v>381</v>
      </c>
      <c r="B40" s="26" t="s">
        <v>32</v>
      </c>
      <c r="C40" s="534" t="s">
        <v>33</v>
      </c>
      <c r="D40" s="535"/>
      <c r="E40" s="26">
        <v>27.17</v>
      </c>
      <c r="F40" s="461">
        <v>4782</v>
      </c>
      <c r="G40" s="452">
        <f t="shared" ref="G40:G46" si="21">E40*F40</f>
        <v>129926.94</v>
      </c>
      <c r="H40" s="462" t="s">
        <v>52</v>
      </c>
      <c r="I40" s="459">
        <v>10</v>
      </c>
      <c r="J40" s="18">
        <v>3000</v>
      </c>
      <c r="K40" s="9">
        <f t="shared" si="14"/>
        <v>300</v>
      </c>
      <c r="L40" s="459">
        <v>10</v>
      </c>
      <c r="M40" s="10">
        <f t="shared" ref="M40:M46" si="22">F40/V40*60</f>
        <v>2812.9411764705883</v>
      </c>
      <c r="N40" s="10">
        <f t="shared" si="15"/>
        <v>281.29411764705884</v>
      </c>
      <c r="O40" s="11">
        <f t="shared" si="16"/>
        <v>0</v>
      </c>
      <c r="P40" s="12">
        <f t="shared" si="17"/>
        <v>-18.70588235294116</v>
      </c>
      <c r="Q40" s="451">
        <f t="shared" si="18"/>
        <v>0.9376470588235295</v>
      </c>
      <c r="R40" s="547">
        <f>Q47</f>
        <v>0.9428424635847602</v>
      </c>
      <c r="S40" s="24">
        <v>0.125</v>
      </c>
      <c r="T40" s="24">
        <v>0.19583333333333333</v>
      </c>
      <c r="U40" s="15"/>
      <c r="V40" s="460">
        <f t="shared" ref="V40:V46" si="23">(T40-S40)*24*60</f>
        <v>102</v>
      </c>
      <c r="W40" s="452"/>
      <c r="X40" s="452"/>
      <c r="Y40" s="536"/>
      <c r="Z40" s="537"/>
      <c r="AA40" s="11">
        <f t="shared" si="19"/>
        <v>-187.05882352941171</v>
      </c>
      <c r="AB40" s="451">
        <f t="shared" si="20"/>
        <v>0.93764705882352939</v>
      </c>
      <c r="AC40" s="547">
        <f>AB47</f>
        <v>0.9428424635847602</v>
      </c>
    </row>
    <row r="41" spans="1:29" ht="15.75" customHeight="1">
      <c r="A41" s="545" t="s">
        <v>381</v>
      </c>
      <c r="B41" s="26" t="s">
        <v>32</v>
      </c>
      <c r="C41" s="534" t="s">
        <v>34</v>
      </c>
      <c r="D41" s="535"/>
      <c r="E41" s="26">
        <v>21.13</v>
      </c>
      <c r="F41" s="461">
        <v>3776</v>
      </c>
      <c r="G41" s="452">
        <f t="shared" si="21"/>
        <v>79786.87999999999</v>
      </c>
      <c r="H41" s="462" t="s">
        <v>52</v>
      </c>
      <c r="I41" s="459">
        <v>10</v>
      </c>
      <c r="J41" s="18">
        <v>3000</v>
      </c>
      <c r="K41" s="9">
        <f t="shared" si="14"/>
        <v>300</v>
      </c>
      <c r="L41" s="459">
        <v>10</v>
      </c>
      <c r="M41" s="10">
        <f t="shared" si="22"/>
        <v>2797.037037037036</v>
      </c>
      <c r="N41" s="10">
        <f t="shared" si="15"/>
        <v>279.70370370370358</v>
      </c>
      <c r="O41" s="11">
        <f t="shared" si="16"/>
        <v>0</v>
      </c>
      <c r="P41" s="12">
        <f t="shared" si="17"/>
        <v>-20.296296296296418</v>
      </c>
      <c r="Q41" s="451">
        <f t="shared" si="18"/>
        <v>0.93234567901234522</v>
      </c>
      <c r="R41" s="548"/>
      <c r="S41" s="24">
        <v>0.2013888888888889</v>
      </c>
      <c r="T41" s="24">
        <v>0.25763888888888892</v>
      </c>
      <c r="U41" s="452">
        <f t="shared" ref="U41:U46" si="24">(S41-T40)*24*60</f>
        <v>8.0000000000000107</v>
      </c>
      <c r="V41" s="460">
        <f t="shared" si="23"/>
        <v>81.000000000000028</v>
      </c>
      <c r="W41" s="14"/>
      <c r="X41" s="14"/>
      <c r="Y41" s="536"/>
      <c r="Z41" s="537"/>
      <c r="AA41" s="11">
        <f t="shared" si="19"/>
        <v>-202.96296296296396</v>
      </c>
      <c r="AB41" s="451">
        <f t="shared" si="20"/>
        <v>0.93234567901234533</v>
      </c>
      <c r="AC41" s="548"/>
    </row>
    <row r="42" spans="1:29" ht="15.75" customHeight="1">
      <c r="A42" s="545" t="s">
        <v>381</v>
      </c>
      <c r="B42" s="26" t="s">
        <v>32</v>
      </c>
      <c r="C42" s="534" t="s">
        <v>40</v>
      </c>
      <c r="D42" s="535"/>
      <c r="E42" s="26">
        <v>35.119999999999997</v>
      </c>
      <c r="F42" s="461">
        <v>3590</v>
      </c>
      <c r="G42" s="452">
        <f t="shared" si="21"/>
        <v>126080.79999999999</v>
      </c>
      <c r="H42" s="462" t="s">
        <v>52</v>
      </c>
      <c r="I42" s="459">
        <v>10</v>
      </c>
      <c r="J42" s="18">
        <v>3000</v>
      </c>
      <c r="K42" s="9">
        <f t="shared" si="14"/>
        <v>300</v>
      </c>
      <c r="L42" s="459">
        <v>10</v>
      </c>
      <c r="M42" s="10">
        <f t="shared" si="22"/>
        <v>2797.4025974025985</v>
      </c>
      <c r="N42" s="10">
        <f t="shared" si="15"/>
        <v>279.74025974025983</v>
      </c>
      <c r="O42" s="11">
        <f t="shared" si="16"/>
        <v>0</v>
      </c>
      <c r="P42" s="12">
        <f t="shared" si="17"/>
        <v>-20.25974025974017</v>
      </c>
      <c r="Q42" s="451">
        <f t="shared" si="18"/>
        <v>0.93246753246753278</v>
      </c>
      <c r="R42" s="548"/>
      <c r="S42" s="24">
        <v>0.26250000000000001</v>
      </c>
      <c r="T42" s="24">
        <v>0.31597222222222221</v>
      </c>
      <c r="U42" s="452">
        <f t="shared" si="24"/>
        <v>6.9999999999999751</v>
      </c>
      <c r="V42" s="460">
        <f t="shared" si="23"/>
        <v>76.999999999999972</v>
      </c>
      <c r="W42" s="14"/>
      <c r="X42" s="14"/>
      <c r="Y42" s="536"/>
      <c r="Z42" s="537"/>
      <c r="AA42" s="11">
        <f t="shared" si="19"/>
        <v>-202.59740259740147</v>
      </c>
      <c r="AB42" s="451">
        <f t="shared" si="20"/>
        <v>0.93246753246753289</v>
      </c>
      <c r="AC42" s="548"/>
    </row>
    <row r="43" spans="1:29" ht="15.75" customHeight="1">
      <c r="A43" s="545" t="s">
        <v>381</v>
      </c>
      <c r="B43" s="26" t="s">
        <v>32</v>
      </c>
      <c r="C43" s="534" t="s">
        <v>61</v>
      </c>
      <c r="D43" s="535"/>
      <c r="E43" s="26">
        <v>40.18</v>
      </c>
      <c r="F43" s="461">
        <v>1607</v>
      </c>
      <c r="G43" s="452">
        <f t="shared" si="21"/>
        <v>64569.26</v>
      </c>
      <c r="H43" s="462" t="s">
        <v>52</v>
      </c>
      <c r="I43" s="459">
        <v>10</v>
      </c>
      <c r="J43" s="18">
        <v>3000</v>
      </c>
      <c r="K43" s="9">
        <f t="shared" si="14"/>
        <v>300</v>
      </c>
      <c r="L43" s="459">
        <v>10</v>
      </c>
      <c r="M43" s="10">
        <f t="shared" si="22"/>
        <v>2835.8823529411729</v>
      </c>
      <c r="N43" s="10">
        <f t="shared" si="15"/>
        <v>283.58823529411728</v>
      </c>
      <c r="O43" s="11">
        <f t="shared" si="16"/>
        <v>0</v>
      </c>
      <c r="P43" s="12">
        <f t="shared" si="17"/>
        <v>-16.411764705882717</v>
      </c>
      <c r="Q43" s="451">
        <f t="shared" si="18"/>
        <v>0.94529411764705762</v>
      </c>
      <c r="R43" s="548"/>
      <c r="S43" s="24">
        <v>0.32013888888888886</v>
      </c>
      <c r="T43" s="24">
        <v>0.34375</v>
      </c>
      <c r="U43" s="452">
        <f t="shared" si="24"/>
        <v>5.9999999999999787</v>
      </c>
      <c r="V43" s="460">
        <f t="shared" si="23"/>
        <v>34.000000000000043</v>
      </c>
      <c r="W43" s="14"/>
      <c r="X43" s="14"/>
      <c r="Y43" s="536"/>
      <c r="Z43" s="537"/>
      <c r="AA43" s="11">
        <f t="shared" si="19"/>
        <v>-164.11764705882706</v>
      </c>
      <c r="AB43" s="451">
        <f t="shared" si="20"/>
        <v>0.94529411764705762</v>
      </c>
      <c r="AC43" s="548"/>
    </row>
    <row r="44" spans="1:29" ht="15.75" customHeight="1">
      <c r="A44" s="545" t="s">
        <v>1788</v>
      </c>
      <c r="B44" s="26" t="s">
        <v>32</v>
      </c>
      <c r="C44" s="534" t="s">
        <v>64</v>
      </c>
      <c r="D44" s="535"/>
      <c r="E44" s="26">
        <v>28.5</v>
      </c>
      <c r="F44" s="461">
        <v>927</v>
      </c>
      <c r="G44" s="452">
        <f t="shared" si="21"/>
        <v>26419.5</v>
      </c>
      <c r="H44" s="462" t="s">
        <v>52</v>
      </c>
      <c r="I44" s="459">
        <v>10</v>
      </c>
      <c r="J44" s="18">
        <v>3000</v>
      </c>
      <c r="K44" s="9">
        <f t="shared" si="14"/>
        <v>300</v>
      </c>
      <c r="L44" s="459">
        <v>10</v>
      </c>
      <c r="M44" s="10">
        <f t="shared" si="22"/>
        <v>2927.3684210526294</v>
      </c>
      <c r="N44" s="10">
        <f t="shared" si="15"/>
        <v>292.73684210526295</v>
      </c>
      <c r="O44" s="11">
        <f t="shared" si="16"/>
        <v>0</v>
      </c>
      <c r="P44" s="12">
        <f t="shared" si="17"/>
        <v>-7.2631578947370485</v>
      </c>
      <c r="Q44" s="451">
        <f t="shared" si="18"/>
        <v>0.97578947368420987</v>
      </c>
      <c r="R44" s="548"/>
      <c r="S44" s="24">
        <v>0.34930555555555554</v>
      </c>
      <c r="T44" s="24">
        <v>0.36249999999999999</v>
      </c>
      <c r="U44" s="452">
        <f t="shared" si="24"/>
        <v>7.9999999999999716</v>
      </c>
      <c r="V44" s="460">
        <f t="shared" si="23"/>
        <v>19.000000000000014</v>
      </c>
      <c r="W44" s="14"/>
      <c r="X44" s="14"/>
      <c r="Y44" s="536"/>
      <c r="Z44" s="537"/>
      <c r="AA44" s="11">
        <f t="shared" si="19"/>
        <v>-72.631578947370599</v>
      </c>
      <c r="AB44" s="451">
        <f t="shared" si="20"/>
        <v>0.97578947368420976</v>
      </c>
      <c r="AC44" s="548"/>
    </row>
    <row r="45" spans="1:29" ht="15.75" customHeight="1">
      <c r="A45" s="545" t="s">
        <v>381</v>
      </c>
      <c r="B45" s="26" t="s">
        <v>32</v>
      </c>
      <c r="C45" s="534" t="s">
        <v>78</v>
      </c>
      <c r="D45" s="535"/>
      <c r="E45" s="26">
        <v>35.869999999999997</v>
      </c>
      <c r="F45" s="461">
        <v>2610</v>
      </c>
      <c r="G45" s="452">
        <f t="shared" si="21"/>
        <v>93620.7</v>
      </c>
      <c r="H45" s="462" t="s">
        <v>52</v>
      </c>
      <c r="I45" s="459">
        <v>10</v>
      </c>
      <c r="J45" s="18">
        <v>3000</v>
      </c>
      <c r="K45" s="9">
        <f t="shared" si="14"/>
        <v>300</v>
      </c>
      <c r="L45" s="459">
        <v>10</v>
      </c>
      <c r="M45" s="10">
        <f t="shared" si="22"/>
        <v>2796.4285714285693</v>
      </c>
      <c r="N45" s="10">
        <f t="shared" si="15"/>
        <v>279.64285714285694</v>
      </c>
      <c r="O45" s="11">
        <f t="shared" si="16"/>
        <v>0</v>
      </c>
      <c r="P45" s="12">
        <f t="shared" si="17"/>
        <v>-20.35714285714306</v>
      </c>
      <c r="Q45" s="451">
        <f t="shared" si="18"/>
        <v>0.9321428571428565</v>
      </c>
      <c r="R45" s="548"/>
      <c r="S45" s="24">
        <v>0.3659722222222222</v>
      </c>
      <c r="T45" s="24">
        <v>0.40486111111111112</v>
      </c>
      <c r="U45" s="452">
        <f t="shared" si="24"/>
        <v>4.9999999999999822</v>
      </c>
      <c r="V45" s="460">
        <f t="shared" si="23"/>
        <v>56.000000000000043</v>
      </c>
      <c r="W45" s="14"/>
      <c r="X45" s="14"/>
      <c r="Y45" s="536"/>
      <c r="Z45" s="537"/>
      <c r="AA45" s="11">
        <f t="shared" si="19"/>
        <v>-203.57142857143072</v>
      </c>
      <c r="AB45" s="451">
        <f t="shared" si="20"/>
        <v>0.93214285714285638</v>
      </c>
      <c r="AC45" s="548"/>
    </row>
    <row r="46" spans="1:29" ht="15.75" customHeight="1">
      <c r="A46" s="545" t="s">
        <v>1788</v>
      </c>
      <c r="B46" s="26" t="s">
        <v>32</v>
      </c>
      <c r="C46" s="534" t="s">
        <v>1081</v>
      </c>
      <c r="D46" s="535"/>
      <c r="E46" s="26">
        <v>36.14</v>
      </c>
      <c r="F46" s="461">
        <v>2691</v>
      </c>
      <c r="G46" s="452">
        <f t="shared" si="21"/>
        <v>97252.74</v>
      </c>
      <c r="H46" s="462" t="s">
        <v>52</v>
      </c>
      <c r="I46" s="459">
        <v>10</v>
      </c>
      <c r="J46" s="18">
        <v>3000</v>
      </c>
      <c r="K46" s="9">
        <f t="shared" si="14"/>
        <v>300</v>
      </c>
      <c r="L46" s="459">
        <v>10</v>
      </c>
      <c r="M46" s="10">
        <f t="shared" si="22"/>
        <v>2832.6315789473706</v>
      </c>
      <c r="N46" s="10">
        <f t="shared" si="15"/>
        <v>283.26315789473705</v>
      </c>
      <c r="O46" s="11">
        <f t="shared" si="16"/>
        <v>0</v>
      </c>
      <c r="P46" s="12">
        <f t="shared" si="17"/>
        <v>-16.736842105262951</v>
      </c>
      <c r="Q46" s="451">
        <f t="shared" si="18"/>
        <v>0.94421052631579017</v>
      </c>
      <c r="R46" s="548"/>
      <c r="S46" s="24">
        <v>0.41041666666666665</v>
      </c>
      <c r="T46" s="24">
        <v>0.44999999999999996</v>
      </c>
      <c r="U46" s="452">
        <f t="shared" si="24"/>
        <v>7.9999999999999716</v>
      </c>
      <c r="V46" s="460">
        <f t="shared" si="23"/>
        <v>56.999999999999957</v>
      </c>
      <c r="W46" s="14"/>
      <c r="X46" s="14"/>
      <c r="Y46" s="536"/>
      <c r="Z46" s="537"/>
      <c r="AA46" s="11">
        <f t="shared" si="19"/>
        <v>-167.3684210526294</v>
      </c>
      <c r="AB46" s="451">
        <f t="shared" si="20"/>
        <v>0.94421052631579017</v>
      </c>
      <c r="AC46" s="548"/>
    </row>
    <row r="47" spans="1:29" ht="15.75" customHeight="1">
      <c r="A47" s="546" t="s">
        <v>381</v>
      </c>
      <c r="B47" s="26" t="s">
        <v>82</v>
      </c>
      <c r="C47" s="540"/>
      <c r="D47" s="541"/>
      <c r="E47" s="458"/>
      <c r="F47" s="461"/>
      <c r="G47" s="452"/>
      <c r="H47" s="461"/>
      <c r="I47" s="17">
        <v>10</v>
      </c>
      <c r="J47" s="18">
        <v>3000</v>
      </c>
      <c r="K47" s="9">
        <f t="shared" si="14"/>
        <v>300</v>
      </c>
      <c r="L47" s="17">
        <v>10</v>
      </c>
      <c r="M47" s="10">
        <f>AVERAGE(M40:M46)</f>
        <v>2828.5273907542805</v>
      </c>
      <c r="N47" s="9">
        <f t="shared" si="15"/>
        <v>282.85273907542808</v>
      </c>
      <c r="O47" s="11">
        <f t="shared" si="16"/>
        <v>0</v>
      </c>
      <c r="P47" s="12">
        <f t="shared" si="17"/>
        <v>-17.147260924571924</v>
      </c>
      <c r="Q47" s="451">
        <f t="shared" si="18"/>
        <v>0.9428424635847602</v>
      </c>
      <c r="R47" s="549"/>
      <c r="S47" s="24"/>
      <c r="T47" s="24"/>
      <c r="U47" s="452"/>
      <c r="V47" s="460"/>
      <c r="W47" s="14"/>
      <c r="X47" s="14"/>
      <c r="Y47" s="536"/>
      <c r="Z47" s="537"/>
      <c r="AA47" s="11">
        <f t="shared" si="19"/>
        <v>-171.47260924571947</v>
      </c>
      <c r="AB47" s="451">
        <f t="shared" si="20"/>
        <v>0.9428424635847602</v>
      </c>
      <c r="AC47" s="549"/>
    </row>
    <row r="48" spans="1:29" ht="15.75" customHeight="1">
      <c r="A48" s="542" t="s">
        <v>383</v>
      </c>
      <c r="B48" s="26" t="s">
        <v>15</v>
      </c>
      <c r="C48" s="529" t="s">
        <v>20</v>
      </c>
      <c r="D48" s="529"/>
      <c r="E48" s="26">
        <v>46</v>
      </c>
      <c r="F48" s="27">
        <v>2585</v>
      </c>
      <c r="G48" s="452">
        <f>E48*F48</f>
        <v>118910</v>
      </c>
      <c r="H48" s="462" t="s">
        <v>52</v>
      </c>
      <c r="I48" s="459">
        <v>17</v>
      </c>
      <c r="J48" s="18">
        <v>2000</v>
      </c>
      <c r="K48" s="9">
        <f t="shared" si="14"/>
        <v>117.64705882352941</v>
      </c>
      <c r="L48" s="459">
        <v>17</v>
      </c>
      <c r="M48" s="10">
        <f>F48/V48*60</f>
        <v>1868.6746987951799</v>
      </c>
      <c r="N48" s="10">
        <f t="shared" si="15"/>
        <v>109.92204110559882</v>
      </c>
      <c r="O48" s="11">
        <f t="shared" si="16"/>
        <v>0</v>
      </c>
      <c r="P48" s="12">
        <f t="shared" si="17"/>
        <v>-7.7250177179305837</v>
      </c>
      <c r="Q48" s="451">
        <f t="shared" si="18"/>
        <v>0.93433734939759006</v>
      </c>
      <c r="R48" s="533">
        <f>Q53</f>
        <v>0.93848371933850705</v>
      </c>
      <c r="S48" s="24">
        <v>0.29166666666666669</v>
      </c>
      <c r="T48" s="24">
        <v>0.34930555555555559</v>
      </c>
      <c r="U48" s="15"/>
      <c r="V48" s="460">
        <f>(T48-S48)*24*60</f>
        <v>83.000000000000028</v>
      </c>
      <c r="W48" s="15"/>
      <c r="X48" s="15"/>
      <c r="Y48" s="528"/>
      <c r="Z48" s="528"/>
      <c r="AA48" s="11">
        <f t="shared" si="19"/>
        <v>-131.32530120482011</v>
      </c>
      <c r="AB48" s="451">
        <f t="shared" si="20"/>
        <v>0.93433734939758994</v>
      </c>
      <c r="AC48" s="533">
        <f>AB53</f>
        <v>0.93848371933850705</v>
      </c>
    </row>
    <row r="49" spans="1:29" ht="15.75" customHeight="1">
      <c r="A49" s="542" t="s">
        <v>1787</v>
      </c>
      <c r="B49" s="26" t="s">
        <v>15</v>
      </c>
      <c r="C49" s="529" t="s">
        <v>65</v>
      </c>
      <c r="D49" s="529"/>
      <c r="E49" s="26">
        <v>46</v>
      </c>
      <c r="F49" s="27">
        <v>2883</v>
      </c>
      <c r="G49" s="452">
        <f>E49*F49</f>
        <v>132618</v>
      </c>
      <c r="H49" s="462" t="s">
        <v>52</v>
      </c>
      <c r="I49" s="459">
        <v>18</v>
      </c>
      <c r="J49" s="18">
        <v>2000</v>
      </c>
      <c r="K49" s="9">
        <f t="shared" si="14"/>
        <v>111.11111111111111</v>
      </c>
      <c r="L49" s="459">
        <v>18</v>
      </c>
      <c r="M49" s="10">
        <f>F49/V49*60</f>
        <v>1860.0000000000002</v>
      </c>
      <c r="N49" s="10">
        <f t="shared" si="15"/>
        <v>103.33333333333334</v>
      </c>
      <c r="O49" s="11">
        <f t="shared" si="16"/>
        <v>0</v>
      </c>
      <c r="P49" s="12">
        <f t="shared" si="17"/>
        <v>-7.7777777777777715</v>
      </c>
      <c r="Q49" s="451">
        <f t="shared" si="18"/>
        <v>0.93</v>
      </c>
      <c r="R49" s="533"/>
      <c r="S49" s="24">
        <v>0.3527777777777778</v>
      </c>
      <c r="T49" s="24">
        <v>0.41736111111111113</v>
      </c>
      <c r="U49" s="452">
        <f>IF(S49=TIME(17,0,0),"",(S49-T48)*24*60)</f>
        <v>4.9999999999999822</v>
      </c>
      <c r="V49" s="460">
        <f>(T49-S49)*24*60</f>
        <v>92.999999999999986</v>
      </c>
      <c r="W49" s="14"/>
      <c r="X49" s="14"/>
      <c r="Y49" s="528"/>
      <c r="Z49" s="528"/>
      <c r="AA49" s="11">
        <f t="shared" si="19"/>
        <v>-139.99999999999977</v>
      </c>
      <c r="AB49" s="451">
        <f t="shared" si="20"/>
        <v>0.93000000000000016</v>
      </c>
      <c r="AC49" s="533"/>
    </row>
    <row r="50" spans="1:29" ht="15.75" customHeight="1">
      <c r="A50" s="542" t="s">
        <v>383</v>
      </c>
      <c r="B50" s="26" t="s">
        <v>13</v>
      </c>
      <c r="C50" s="534" t="s">
        <v>59</v>
      </c>
      <c r="D50" s="535"/>
      <c r="E50" s="26">
        <v>55.56</v>
      </c>
      <c r="F50" s="27">
        <v>1872</v>
      </c>
      <c r="G50" s="452">
        <f>E50*F50</f>
        <v>104008.32000000001</v>
      </c>
      <c r="H50" s="462" t="s">
        <v>52</v>
      </c>
      <c r="I50" s="459">
        <v>17</v>
      </c>
      <c r="J50" s="18">
        <v>2000</v>
      </c>
      <c r="K50" s="9">
        <f t="shared" si="14"/>
        <v>117.64705882352941</v>
      </c>
      <c r="L50" s="459">
        <v>17</v>
      </c>
      <c r="M50" s="10">
        <f>F50/V50*60</f>
        <v>1872.0000000000018</v>
      </c>
      <c r="N50" s="10">
        <f t="shared" si="15"/>
        <v>110.11764705882364</v>
      </c>
      <c r="O50" s="11">
        <f t="shared" si="16"/>
        <v>0</v>
      </c>
      <c r="P50" s="12">
        <f t="shared" si="17"/>
        <v>-7.5294117647057703</v>
      </c>
      <c r="Q50" s="451">
        <f t="shared" si="18"/>
        <v>0.93600000000000094</v>
      </c>
      <c r="R50" s="533"/>
      <c r="S50" s="24">
        <v>0.70833333333333337</v>
      </c>
      <c r="T50" s="24">
        <v>0.75</v>
      </c>
      <c r="U50" s="452" t="str">
        <f>IF(S50=TIME(17,0,0),"",(S50-T49)*24*60)</f>
        <v/>
      </c>
      <c r="V50" s="460">
        <f>(T50-S50)*24*60</f>
        <v>59.999999999999943</v>
      </c>
      <c r="W50" s="14"/>
      <c r="X50" s="14"/>
      <c r="Y50" s="456"/>
      <c r="Z50" s="457"/>
      <c r="AA50" s="11">
        <f t="shared" si="19"/>
        <v>-127.99999999999818</v>
      </c>
      <c r="AB50" s="451">
        <f t="shared" si="20"/>
        <v>0.93600000000000094</v>
      </c>
      <c r="AC50" s="533"/>
    </row>
    <row r="51" spans="1:29" ht="15.75" customHeight="1">
      <c r="A51" s="542" t="s">
        <v>383</v>
      </c>
      <c r="B51" s="26" t="s">
        <v>13</v>
      </c>
      <c r="C51" s="454" t="s">
        <v>58</v>
      </c>
      <c r="D51" s="455"/>
      <c r="E51" s="26">
        <v>55.32</v>
      </c>
      <c r="F51" s="27">
        <v>1328</v>
      </c>
      <c r="G51" s="452">
        <f>E51*F51</f>
        <v>73464.960000000006</v>
      </c>
      <c r="H51" s="462" t="s">
        <v>52</v>
      </c>
      <c r="I51" s="459">
        <v>15</v>
      </c>
      <c r="J51" s="18">
        <v>2000</v>
      </c>
      <c r="K51" s="9">
        <f t="shared" si="14"/>
        <v>133.33333333333334</v>
      </c>
      <c r="L51" s="459">
        <v>15</v>
      </c>
      <c r="M51" s="10">
        <f>F51/V51*60</f>
        <v>1897.1428571428567</v>
      </c>
      <c r="N51" s="10">
        <f t="shared" si="15"/>
        <v>126.47619047619044</v>
      </c>
      <c r="O51" s="11">
        <f t="shared" si="16"/>
        <v>0</v>
      </c>
      <c r="P51" s="12">
        <f t="shared" si="17"/>
        <v>-6.8571428571429038</v>
      </c>
      <c r="Q51" s="451">
        <f t="shared" si="18"/>
        <v>0.94857142857142818</v>
      </c>
      <c r="R51" s="533"/>
      <c r="S51" s="24">
        <v>0.75486111111111109</v>
      </c>
      <c r="T51" s="24">
        <v>0.78402777777777777</v>
      </c>
      <c r="U51" s="452">
        <f>IF(S51=TIME(17,0,0),"",(S51-T50)*24*60)</f>
        <v>6.9999999999999751</v>
      </c>
      <c r="V51" s="460">
        <f>(T51-S51)*24*60</f>
        <v>42.000000000000014</v>
      </c>
      <c r="W51" s="14"/>
      <c r="X51" s="14"/>
      <c r="Y51" s="456"/>
      <c r="Z51" s="457"/>
      <c r="AA51" s="11">
        <f t="shared" si="19"/>
        <v>-102.85714285714334</v>
      </c>
      <c r="AB51" s="451">
        <f t="shared" si="20"/>
        <v>0.94857142857142829</v>
      </c>
      <c r="AC51" s="533"/>
    </row>
    <row r="52" spans="1:29" ht="15.75" customHeight="1">
      <c r="A52" s="542" t="s">
        <v>383</v>
      </c>
      <c r="B52" s="26" t="s">
        <v>13</v>
      </c>
      <c r="C52" s="454" t="s">
        <v>60</v>
      </c>
      <c r="D52" s="455"/>
      <c r="E52" s="26">
        <v>57.73</v>
      </c>
      <c r="F52" s="27">
        <v>1276</v>
      </c>
      <c r="G52" s="452">
        <f>E52*F52</f>
        <v>73663.48</v>
      </c>
      <c r="H52" s="462" t="s">
        <v>52</v>
      </c>
      <c r="I52" s="459">
        <v>16</v>
      </c>
      <c r="J52" s="18">
        <v>1500</v>
      </c>
      <c r="K52" s="9">
        <f t="shared" si="14"/>
        <v>93.75</v>
      </c>
      <c r="L52" s="459">
        <v>16</v>
      </c>
      <c r="M52" s="10">
        <f>F52/V52*60</f>
        <v>1417.7777777777785</v>
      </c>
      <c r="N52" s="10">
        <f t="shared" si="15"/>
        <v>88.611111111111157</v>
      </c>
      <c r="O52" s="11">
        <f t="shared" si="16"/>
        <v>0</v>
      </c>
      <c r="P52" s="12">
        <f t="shared" si="17"/>
        <v>-5.1388888888888431</v>
      </c>
      <c r="Q52" s="451">
        <f t="shared" si="18"/>
        <v>0.94518518518518568</v>
      </c>
      <c r="R52" s="533"/>
      <c r="S52" s="24">
        <v>0.78888888888888886</v>
      </c>
      <c r="T52" s="24">
        <v>0.82638888888888884</v>
      </c>
      <c r="U52" s="452">
        <f>IF(S52=TIME(17,0,0),"",(S52-T51)*24*60)</f>
        <v>6.9999999999999751</v>
      </c>
      <c r="V52" s="460">
        <f>(T52-S52)*24*60</f>
        <v>53.999999999999972</v>
      </c>
      <c r="W52" s="14"/>
      <c r="X52" s="14"/>
      <c r="Y52" s="456"/>
      <c r="Z52" s="457"/>
      <c r="AA52" s="11">
        <f t="shared" si="19"/>
        <v>-82.22222222222149</v>
      </c>
      <c r="AB52" s="451">
        <f t="shared" si="20"/>
        <v>0.94518518518518568</v>
      </c>
      <c r="AC52" s="533"/>
    </row>
    <row r="53" spans="1:29">
      <c r="A53" s="543" t="s">
        <v>383</v>
      </c>
      <c r="B53" s="26" t="s">
        <v>82</v>
      </c>
      <c r="C53" s="530"/>
      <c r="D53" s="530"/>
      <c r="E53" s="453"/>
      <c r="F53" s="16"/>
      <c r="G53" s="9"/>
      <c r="H53" s="461"/>
      <c r="I53" s="17">
        <v>16.600000000000001</v>
      </c>
      <c r="J53" s="18">
        <v>1900</v>
      </c>
      <c r="K53" s="9">
        <f t="shared" si="14"/>
        <v>114.4578313253012</v>
      </c>
      <c r="L53" s="17">
        <v>16.600000000000001</v>
      </c>
      <c r="M53" s="10">
        <f>AVERAGE(M48:M52)</f>
        <v>1783.1190667431633</v>
      </c>
      <c r="N53" s="9">
        <f t="shared" si="15"/>
        <v>107.41681124958815</v>
      </c>
      <c r="O53" s="11">
        <f t="shared" si="16"/>
        <v>0</v>
      </c>
      <c r="P53" s="12">
        <f t="shared" si="17"/>
        <v>-7.0410200757130497</v>
      </c>
      <c r="Q53" s="451">
        <f t="shared" si="18"/>
        <v>0.93848371933850705</v>
      </c>
      <c r="R53" s="533"/>
      <c r="S53" s="25"/>
      <c r="T53" s="24"/>
      <c r="U53" s="9"/>
      <c r="V53" s="460"/>
      <c r="W53" s="9"/>
      <c r="X53" s="9"/>
      <c r="Y53" s="528"/>
      <c r="Z53" s="528"/>
      <c r="AA53" s="11">
        <f t="shared" si="19"/>
        <v>-116.88093325683667</v>
      </c>
      <c r="AB53" s="451">
        <f t="shared" si="20"/>
        <v>0.93848371933850705</v>
      </c>
      <c r="AC53" s="533"/>
    </row>
    <row r="54" spans="1:29" ht="15.75" customHeight="1">
      <c r="A54" s="538" t="s">
        <v>1786</v>
      </c>
      <c r="B54" s="461" t="s">
        <v>1549</v>
      </c>
      <c r="C54" s="529" t="s">
        <v>1084</v>
      </c>
      <c r="D54" s="529"/>
      <c r="E54" s="26">
        <v>84.51</v>
      </c>
      <c r="F54" s="27">
        <v>3083</v>
      </c>
      <c r="G54" s="452">
        <f t="shared" ref="G54:G59" si="25">E54*F54</f>
        <v>260544.33000000002</v>
      </c>
      <c r="H54" s="462" t="s">
        <v>52</v>
      </c>
      <c r="I54" s="459">
        <v>17</v>
      </c>
      <c r="J54" s="18">
        <v>2400</v>
      </c>
      <c r="K54" s="9">
        <f t="shared" si="14"/>
        <v>141.1764705882353</v>
      </c>
      <c r="L54" s="17">
        <v>17</v>
      </c>
      <c r="M54" s="10">
        <f t="shared" ref="M54:M59" si="26">F54/V54*60</f>
        <v>2255.8536585365855</v>
      </c>
      <c r="N54" s="9">
        <f t="shared" si="15"/>
        <v>132.69727403156386</v>
      </c>
      <c r="O54" s="11">
        <f t="shared" si="16"/>
        <v>0</v>
      </c>
      <c r="P54" s="12">
        <f t="shared" si="17"/>
        <v>-8.4791965566714396</v>
      </c>
      <c r="Q54" s="451">
        <f t="shared" si="18"/>
        <v>0.93993902439024402</v>
      </c>
      <c r="R54" s="533">
        <f>Q60</f>
        <v>0.94157695469416136</v>
      </c>
      <c r="S54" s="24">
        <v>0.125</v>
      </c>
      <c r="T54" s="24">
        <v>0.18194444444444444</v>
      </c>
      <c r="U54" s="452"/>
      <c r="V54" s="460">
        <f t="shared" ref="V54:V59" si="27">(T54-S54)*24*60</f>
        <v>81.999999999999986</v>
      </c>
      <c r="W54" s="15"/>
      <c r="X54" s="15"/>
      <c r="Y54" s="528"/>
      <c r="Z54" s="528"/>
      <c r="AA54" s="11">
        <f t="shared" si="19"/>
        <v>-144.1463414634145</v>
      </c>
      <c r="AB54" s="451">
        <f t="shared" si="20"/>
        <v>0.9399390243902439</v>
      </c>
      <c r="AC54" s="533">
        <f>AB60</f>
        <v>0.94157695469416136</v>
      </c>
    </row>
    <row r="55" spans="1:29" ht="15.75" customHeight="1">
      <c r="A55" s="538" t="s">
        <v>385</v>
      </c>
      <c r="B55" s="461" t="s">
        <v>32</v>
      </c>
      <c r="C55" s="529" t="s">
        <v>35</v>
      </c>
      <c r="D55" s="529"/>
      <c r="E55" s="26">
        <v>26.78</v>
      </c>
      <c r="F55" s="27">
        <v>2121</v>
      </c>
      <c r="G55" s="452">
        <f t="shared" si="25"/>
        <v>56800.380000000005</v>
      </c>
      <c r="H55" s="462" t="s">
        <v>52</v>
      </c>
      <c r="I55" s="459">
        <v>10</v>
      </c>
      <c r="J55" s="18">
        <v>3000</v>
      </c>
      <c r="K55" s="9">
        <f t="shared" si="14"/>
        <v>300</v>
      </c>
      <c r="L55" s="17">
        <v>10</v>
      </c>
      <c r="M55" s="10">
        <f t="shared" si="26"/>
        <v>2828</v>
      </c>
      <c r="N55" s="9">
        <f t="shared" si="15"/>
        <v>282.8</v>
      </c>
      <c r="O55" s="11">
        <f t="shared" si="16"/>
        <v>0</v>
      </c>
      <c r="P55" s="12">
        <f t="shared" si="17"/>
        <v>-17.199999999999989</v>
      </c>
      <c r="Q55" s="451">
        <f t="shared" si="18"/>
        <v>0.94266666666666665</v>
      </c>
      <c r="R55" s="533"/>
      <c r="S55" s="24">
        <v>0.18680555555555556</v>
      </c>
      <c r="T55" s="24">
        <v>0.21805555555555556</v>
      </c>
      <c r="U55" s="452">
        <f>(S55-T54)*24*60</f>
        <v>7.0000000000000151</v>
      </c>
      <c r="V55" s="460">
        <f t="shared" si="27"/>
        <v>45</v>
      </c>
      <c r="W55" s="452"/>
      <c r="X55" s="452"/>
      <c r="Y55" s="528"/>
      <c r="Z55" s="528"/>
      <c r="AA55" s="11">
        <f t="shared" si="19"/>
        <v>-172</v>
      </c>
      <c r="AB55" s="451">
        <f t="shared" si="20"/>
        <v>0.94266666666666665</v>
      </c>
      <c r="AC55" s="533"/>
    </row>
    <row r="56" spans="1:29" ht="15.75" customHeight="1">
      <c r="A56" s="538" t="s">
        <v>385</v>
      </c>
      <c r="B56" s="461" t="s">
        <v>32</v>
      </c>
      <c r="C56" s="529" t="s">
        <v>39</v>
      </c>
      <c r="D56" s="529"/>
      <c r="E56" s="26">
        <v>35.369999999999997</v>
      </c>
      <c r="F56" s="27">
        <v>1265</v>
      </c>
      <c r="G56" s="452">
        <f t="shared" si="25"/>
        <v>44743.049999999996</v>
      </c>
      <c r="H56" s="462" t="s">
        <v>52</v>
      </c>
      <c r="I56" s="459">
        <v>10</v>
      </c>
      <c r="J56" s="18">
        <v>3000</v>
      </c>
      <c r="K56" s="9">
        <f t="shared" si="14"/>
        <v>300</v>
      </c>
      <c r="L56" s="17">
        <v>10</v>
      </c>
      <c r="M56" s="10">
        <f t="shared" si="26"/>
        <v>2811.1111111111127</v>
      </c>
      <c r="N56" s="9">
        <f t="shared" si="15"/>
        <v>281.11111111111126</v>
      </c>
      <c r="O56" s="11">
        <f t="shared" si="16"/>
        <v>0</v>
      </c>
      <c r="P56" s="12">
        <f t="shared" si="17"/>
        <v>-18.888888888888744</v>
      </c>
      <c r="Q56" s="451">
        <f t="shared" si="18"/>
        <v>0.93703703703703756</v>
      </c>
      <c r="R56" s="533"/>
      <c r="S56" s="24">
        <v>0.22291666666666668</v>
      </c>
      <c r="T56" s="24">
        <v>0.24166666666666667</v>
      </c>
      <c r="U56" s="452">
        <f>(S56-T55)*24*60</f>
        <v>7.0000000000000151</v>
      </c>
      <c r="V56" s="460">
        <f t="shared" si="27"/>
        <v>26.999999999999986</v>
      </c>
      <c r="W56" s="452"/>
      <c r="X56" s="452"/>
      <c r="Y56" s="528"/>
      <c r="Z56" s="528"/>
      <c r="AA56" s="11">
        <f t="shared" si="19"/>
        <v>-188.88888888888732</v>
      </c>
      <c r="AB56" s="451">
        <f t="shared" si="20"/>
        <v>0.93703703703703756</v>
      </c>
      <c r="AC56" s="533"/>
    </row>
    <row r="57" spans="1:29" ht="15.75" customHeight="1">
      <c r="A57" s="538" t="s">
        <v>385</v>
      </c>
      <c r="B57" s="461" t="s">
        <v>15</v>
      </c>
      <c r="C57" s="529" t="s">
        <v>36</v>
      </c>
      <c r="D57" s="529"/>
      <c r="E57" s="26">
        <v>26.97</v>
      </c>
      <c r="F57" s="27">
        <v>2942</v>
      </c>
      <c r="G57" s="452">
        <f t="shared" si="25"/>
        <v>79345.739999999991</v>
      </c>
      <c r="H57" s="462" t="s">
        <v>52</v>
      </c>
      <c r="I57" s="459">
        <v>8</v>
      </c>
      <c r="J57" s="18">
        <v>1500</v>
      </c>
      <c r="K57" s="9">
        <f t="shared" si="14"/>
        <v>187.5</v>
      </c>
      <c r="L57" s="17">
        <v>8</v>
      </c>
      <c r="M57" s="10">
        <f t="shared" si="26"/>
        <v>1400.9523809523807</v>
      </c>
      <c r="N57" s="9">
        <f t="shared" si="15"/>
        <v>175.11904761904759</v>
      </c>
      <c r="O57" s="11">
        <f t="shared" si="16"/>
        <v>0</v>
      </c>
      <c r="P57" s="12">
        <f t="shared" si="17"/>
        <v>-12.380952380952408</v>
      </c>
      <c r="Q57" s="451">
        <f t="shared" si="18"/>
        <v>0.93396825396825378</v>
      </c>
      <c r="R57" s="533"/>
      <c r="S57" s="24">
        <v>0.24652777777777779</v>
      </c>
      <c r="T57" s="24">
        <v>0.33402777777777781</v>
      </c>
      <c r="U57" s="452">
        <f>(S57-T56)*24*60</f>
        <v>7.0000000000000151</v>
      </c>
      <c r="V57" s="460">
        <f t="shared" si="27"/>
        <v>126.00000000000003</v>
      </c>
      <c r="W57" s="452"/>
      <c r="X57" s="452"/>
      <c r="Y57" s="528"/>
      <c r="Z57" s="528"/>
      <c r="AA57" s="11">
        <f t="shared" si="19"/>
        <v>-99.047619047619264</v>
      </c>
      <c r="AB57" s="451">
        <f t="shared" si="20"/>
        <v>0.93396825396825378</v>
      </c>
      <c r="AC57" s="533"/>
    </row>
    <row r="58" spans="1:29">
      <c r="A58" s="539" t="s">
        <v>1786</v>
      </c>
      <c r="B58" s="461" t="s">
        <v>32</v>
      </c>
      <c r="C58" s="529" t="s">
        <v>37</v>
      </c>
      <c r="D58" s="529"/>
      <c r="E58" s="26">
        <v>35.119999999999997</v>
      </c>
      <c r="F58" s="27">
        <v>1067</v>
      </c>
      <c r="G58" s="452">
        <f t="shared" si="25"/>
        <v>37473.040000000001</v>
      </c>
      <c r="H58" s="462" t="s">
        <v>52</v>
      </c>
      <c r="I58" s="459">
        <v>13</v>
      </c>
      <c r="J58" s="18">
        <v>2000</v>
      </c>
      <c r="K58" s="9">
        <f t="shared" si="14"/>
        <v>153.84615384615384</v>
      </c>
      <c r="L58" s="17">
        <v>13</v>
      </c>
      <c r="M58" s="10">
        <f t="shared" si="26"/>
        <v>1882.941176470586</v>
      </c>
      <c r="N58" s="9">
        <f t="shared" si="15"/>
        <v>144.84162895927585</v>
      </c>
      <c r="O58" s="11">
        <f t="shared" si="16"/>
        <v>0</v>
      </c>
      <c r="P58" s="12">
        <f t="shared" si="17"/>
        <v>-9.0045248868779879</v>
      </c>
      <c r="Q58" s="451">
        <f t="shared" si="18"/>
        <v>0.94147058823529306</v>
      </c>
      <c r="R58" s="533"/>
      <c r="S58" s="24">
        <v>0.33888888888888891</v>
      </c>
      <c r="T58" s="24">
        <v>0.36250000000000004</v>
      </c>
      <c r="U58" s="452">
        <f>(S58-T57)*24*60</f>
        <v>6.9999999999999751</v>
      </c>
      <c r="V58" s="460">
        <f t="shared" si="27"/>
        <v>34.000000000000043</v>
      </c>
      <c r="W58" s="14"/>
      <c r="X58" s="14"/>
      <c r="Y58" s="528"/>
      <c r="Z58" s="528"/>
      <c r="AA58" s="11">
        <f t="shared" si="19"/>
        <v>-117.05882352941398</v>
      </c>
      <c r="AB58" s="451">
        <f t="shared" si="20"/>
        <v>0.94147058823529306</v>
      </c>
      <c r="AC58" s="533"/>
    </row>
    <row r="59" spans="1:29" ht="15" customHeight="1">
      <c r="A59" s="539" t="s">
        <v>385</v>
      </c>
      <c r="B59" s="461" t="s">
        <v>32</v>
      </c>
      <c r="C59" s="534" t="s">
        <v>84</v>
      </c>
      <c r="D59" s="535"/>
      <c r="E59" s="26">
        <v>35.869999999999997</v>
      </c>
      <c r="F59" s="27">
        <v>2233</v>
      </c>
      <c r="G59" s="452">
        <f t="shared" si="25"/>
        <v>80097.709999999992</v>
      </c>
      <c r="H59" s="462" t="s">
        <v>52</v>
      </c>
      <c r="I59" s="459">
        <v>10</v>
      </c>
      <c r="J59" s="18">
        <v>3000</v>
      </c>
      <c r="K59" s="9">
        <f t="shared" si="14"/>
        <v>300</v>
      </c>
      <c r="L59" s="17">
        <v>10</v>
      </c>
      <c r="M59" s="10">
        <f t="shared" si="26"/>
        <v>2850.6382978723409</v>
      </c>
      <c r="N59" s="9">
        <f t="shared" si="15"/>
        <v>285.06382978723411</v>
      </c>
      <c r="O59" s="11">
        <f t="shared" si="16"/>
        <v>0</v>
      </c>
      <c r="P59" s="12">
        <f t="shared" si="17"/>
        <v>-14.936170212765887</v>
      </c>
      <c r="Q59" s="451">
        <f t="shared" si="18"/>
        <v>0.95021276595744708</v>
      </c>
      <c r="R59" s="533"/>
      <c r="S59" s="24">
        <v>0.3666666666666667</v>
      </c>
      <c r="T59" s="24">
        <v>0.39930555555555558</v>
      </c>
      <c r="U59" s="452">
        <f>(S59-T58)*24*60</f>
        <v>5.9999999999999787</v>
      </c>
      <c r="V59" s="460">
        <f t="shared" si="27"/>
        <v>46.999999999999993</v>
      </c>
      <c r="W59" s="452"/>
      <c r="X59" s="452"/>
      <c r="Y59" s="536"/>
      <c r="Z59" s="537"/>
      <c r="AA59" s="11">
        <f t="shared" si="19"/>
        <v>-149.3617021276591</v>
      </c>
      <c r="AB59" s="451">
        <f t="shared" si="20"/>
        <v>0.95021276595744697</v>
      </c>
      <c r="AC59" s="533"/>
    </row>
    <row r="60" spans="1:29">
      <c r="A60" s="539" t="s">
        <v>385</v>
      </c>
      <c r="B60" s="26" t="s">
        <v>82</v>
      </c>
      <c r="C60" s="530"/>
      <c r="D60" s="530"/>
      <c r="E60" s="453"/>
      <c r="F60" s="16"/>
      <c r="G60" s="9"/>
      <c r="H60" s="461"/>
      <c r="I60" s="17">
        <v>11.333333333333334</v>
      </c>
      <c r="J60" s="18">
        <v>2483.3333333333335</v>
      </c>
      <c r="K60" s="9">
        <f t="shared" si="14"/>
        <v>219.11764705882354</v>
      </c>
      <c r="L60" s="17">
        <v>11.333333333333334</v>
      </c>
      <c r="M60" s="10">
        <f>AVERAGE(M54:M59)</f>
        <v>2338.2494374905009</v>
      </c>
      <c r="N60" s="9">
        <f t="shared" si="15"/>
        <v>206.31612683739712</v>
      </c>
      <c r="O60" s="11">
        <f t="shared" si="16"/>
        <v>0</v>
      </c>
      <c r="P60" s="12">
        <f t="shared" si="17"/>
        <v>-12.801520221426415</v>
      </c>
      <c r="Q60" s="451">
        <f t="shared" si="18"/>
        <v>0.94157695469416136</v>
      </c>
      <c r="R60" s="533"/>
      <c r="S60" s="24"/>
      <c r="T60" s="24"/>
      <c r="U60" s="9"/>
      <c r="V60" s="460"/>
      <c r="W60" s="9"/>
      <c r="X60" s="9"/>
      <c r="Y60" s="528"/>
      <c r="Z60" s="528"/>
      <c r="AA60" s="11">
        <f t="shared" si="19"/>
        <v>-145.08389584283259</v>
      </c>
      <c r="AB60" s="451">
        <f t="shared" si="20"/>
        <v>0.94157695469416136</v>
      </c>
      <c r="AC60" s="533"/>
    </row>
    <row r="61" spans="1:29" ht="15.75" customHeight="1">
      <c r="A61" s="531" t="s">
        <v>387</v>
      </c>
      <c r="B61" s="461" t="s">
        <v>24</v>
      </c>
      <c r="C61" s="529" t="s">
        <v>67</v>
      </c>
      <c r="D61" s="529"/>
      <c r="E61" s="26">
        <v>32.03</v>
      </c>
      <c r="F61" s="461">
        <v>696</v>
      </c>
      <c r="G61" s="452">
        <f>E61*F61</f>
        <v>22292.880000000001</v>
      </c>
      <c r="H61" s="462" t="s">
        <v>52</v>
      </c>
      <c r="I61" s="459">
        <v>19</v>
      </c>
      <c r="J61" s="18">
        <v>2400</v>
      </c>
      <c r="K61" s="9">
        <f t="shared" si="14"/>
        <v>126.31578947368421</v>
      </c>
      <c r="L61" s="17">
        <v>19</v>
      </c>
      <c r="M61" s="10">
        <f>F61/V61*60</f>
        <v>2319.9999999999982</v>
      </c>
      <c r="N61" s="9">
        <f t="shared" si="15"/>
        <v>122.10526315789464</v>
      </c>
      <c r="O61" s="11">
        <f t="shared" si="16"/>
        <v>0</v>
      </c>
      <c r="P61" s="12">
        <f t="shared" si="17"/>
        <v>-4.2105263157895649</v>
      </c>
      <c r="Q61" s="451">
        <f t="shared" si="18"/>
        <v>0.9666666666666659</v>
      </c>
      <c r="R61" s="533">
        <f>Q66</f>
        <v>0.94251923794596204</v>
      </c>
      <c r="S61" s="24">
        <v>0.125</v>
      </c>
      <c r="T61" s="24">
        <v>0.13750000000000001</v>
      </c>
      <c r="U61" s="15"/>
      <c r="V61" s="460">
        <f>(T61-S61)*24*60</f>
        <v>18.000000000000014</v>
      </c>
      <c r="W61" s="14">
        <f>T61</f>
        <v>0.13750000000000001</v>
      </c>
      <c r="X61" s="14">
        <f>S62</f>
        <v>0.15763888888888891</v>
      </c>
      <c r="Y61" s="528"/>
      <c r="Z61" s="528"/>
      <c r="AA61" s="11">
        <f t="shared" si="19"/>
        <v>-80.000000000001819</v>
      </c>
      <c r="AB61" s="451">
        <f t="shared" si="20"/>
        <v>0.9666666666666659</v>
      </c>
      <c r="AC61" s="533">
        <f>AB66</f>
        <v>0.94251923794596182</v>
      </c>
    </row>
    <row r="62" spans="1:29" ht="15.75" customHeight="1">
      <c r="A62" s="531" t="s">
        <v>387</v>
      </c>
      <c r="B62" s="461" t="s">
        <v>24</v>
      </c>
      <c r="C62" s="529" t="s">
        <v>51</v>
      </c>
      <c r="D62" s="529"/>
      <c r="E62" s="26">
        <v>20.2</v>
      </c>
      <c r="F62" s="461">
        <v>2034</v>
      </c>
      <c r="G62" s="452">
        <f>E62*F62</f>
        <v>41086.799999999996</v>
      </c>
      <c r="H62" s="462" t="s">
        <v>52</v>
      </c>
      <c r="I62" s="459">
        <v>19</v>
      </c>
      <c r="J62" s="18">
        <v>2400</v>
      </c>
      <c r="K62" s="9">
        <f t="shared" si="14"/>
        <v>126.31578947368421</v>
      </c>
      <c r="L62" s="17">
        <v>19</v>
      </c>
      <c r="M62" s="10">
        <f>F62/V62*60</f>
        <v>2260</v>
      </c>
      <c r="N62" s="9">
        <f t="shared" si="15"/>
        <v>118.94736842105263</v>
      </c>
      <c r="O62" s="11">
        <f t="shared" si="16"/>
        <v>0</v>
      </c>
      <c r="P62" s="12">
        <f t="shared" si="17"/>
        <v>-7.3684210526315752</v>
      </c>
      <c r="Q62" s="451">
        <f t="shared" si="18"/>
        <v>0.94166666666666665</v>
      </c>
      <c r="R62" s="533"/>
      <c r="S62" s="24">
        <v>0.15763888888888891</v>
      </c>
      <c r="T62" s="24">
        <v>0.19513888888888892</v>
      </c>
      <c r="U62" s="452">
        <f>(S62-T61)*24*60</f>
        <v>29.000000000000018</v>
      </c>
      <c r="V62" s="460">
        <f>(T62-S62)*24*60</f>
        <v>54.000000000000007</v>
      </c>
      <c r="W62" s="14"/>
      <c r="X62" s="14"/>
      <c r="Y62" s="528"/>
      <c r="Z62" s="528"/>
      <c r="AA62" s="11">
        <f t="shared" si="19"/>
        <v>-140</v>
      </c>
      <c r="AB62" s="451">
        <f t="shared" si="20"/>
        <v>0.94166666666666665</v>
      </c>
      <c r="AC62" s="533"/>
    </row>
    <row r="63" spans="1:29" ht="15.75" customHeight="1">
      <c r="A63" s="531" t="s">
        <v>387</v>
      </c>
      <c r="B63" s="461" t="s">
        <v>24</v>
      </c>
      <c r="C63" s="529" t="s">
        <v>41</v>
      </c>
      <c r="D63" s="529"/>
      <c r="E63" s="26">
        <v>19.02</v>
      </c>
      <c r="F63" s="461">
        <v>7841</v>
      </c>
      <c r="G63" s="452">
        <f>E63*F63</f>
        <v>149135.82</v>
      </c>
      <c r="H63" s="462" t="s">
        <v>52</v>
      </c>
      <c r="I63" s="459">
        <v>15</v>
      </c>
      <c r="J63" s="18">
        <v>2400</v>
      </c>
      <c r="K63" s="9">
        <f t="shared" si="14"/>
        <v>160</v>
      </c>
      <c r="L63" s="17">
        <v>15</v>
      </c>
      <c r="M63" s="10">
        <f>F63/V63*60</f>
        <v>2240.2857142857142</v>
      </c>
      <c r="N63" s="9">
        <f t="shared" si="15"/>
        <v>149.35238095238094</v>
      </c>
      <c r="O63" s="11">
        <f t="shared" si="16"/>
        <v>0</v>
      </c>
      <c r="P63" s="12">
        <f t="shared" si="17"/>
        <v>-10.64761904761906</v>
      </c>
      <c r="Q63" s="451">
        <f t="shared" si="18"/>
        <v>0.93345238095238092</v>
      </c>
      <c r="R63" s="533"/>
      <c r="S63" s="24">
        <v>0.1993055555555556</v>
      </c>
      <c r="T63" s="24">
        <v>0.34513888888888894</v>
      </c>
      <c r="U63" s="452">
        <f>(S63-T62)*24*60</f>
        <v>6.0000000000000187</v>
      </c>
      <c r="V63" s="460">
        <f>(T63-S63)*24*60</f>
        <v>210</v>
      </c>
      <c r="W63" s="14"/>
      <c r="X63" s="14"/>
      <c r="Y63" s="528"/>
      <c r="Z63" s="528"/>
      <c r="AA63" s="11">
        <f t="shared" si="19"/>
        <v>-159.71428571428578</v>
      </c>
      <c r="AB63" s="451">
        <f t="shared" si="20"/>
        <v>0.93345238095238092</v>
      </c>
      <c r="AC63" s="533"/>
    </row>
    <row r="64" spans="1:29" ht="15.75" customHeight="1">
      <c r="A64" s="531" t="s">
        <v>387</v>
      </c>
      <c r="B64" s="461" t="s">
        <v>24</v>
      </c>
      <c r="C64" s="529" t="s">
        <v>42</v>
      </c>
      <c r="D64" s="529"/>
      <c r="E64" s="26">
        <v>25</v>
      </c>
      <c r="F64" s="461">
        <v>3307</v>
      </c>
      <c r="G64" s="452">
        <f>E64*F64</f>
        <v>82675</v>
      </c>
      <c r="H64" s="462" t="s">
        <v>52</v>
      </c>
      <c r="I64" s="459">
        <v>15</v>
      </c>
      <c r="J64" s="18">
        <v>2400</v>
      </c>
      <c r="K64" s="9">
        <f t="shared" si="14"/>
        <v>160</v>
      </c>
      <c r="L64" s="17">
        <v>15</v>
      </c>
      <c r="M64" s="10">
        <f>F64/V64*60</f>
        <v>2254.772727272727</v>
      </c>
      <c r="N64" s="9">
        <f t="shared" si="15"/>
        <v>150.31818181818181</v>
      </c>
      <c r="O64" s="11">
        <f t="shared" si="16"/>
        <v>0</v>
      </c>
      <c r="P64" s="12">
        <f t="shared" si="17"/>
        <v>-9.681818181818187</v>
      </c>
      <c r="Q64" s="451">
        <f t="shared" si="18"/>
        <v>0.93948863636363633</v>
      </c>
      <c r="R64" s="533"/>
      <c r="S64" s="24">
        <v>0.35000000000000003</v>
      </c>
      <c r="T64" s="24">
        <v>0.41111111111111115</v>
      </c>
      <c r="U64" s="452">
        <f>(S64-T63)*24*60</f>
        <v>6.9999999999999751</v>
      </c>
      <c r="V64" s="460">
        <f>(T64-S64)*24*60</f>
        <v>88</v>
      </c>
      <c r="W64" s="14"/>
      <c r="X64" s="14"/>
      <c r="Y64" s="528"/>
      <c r="Z64" s="528"/>
      <c r="AA64" s="11">
        <f t="shared" si="19"/>
        <v>-145.22727272727298</v>
      </c>
      <c r="AB64" s="451">
        <f t="shared" si="20"/>
        <v>0.93948863636363622</v>
      </c>
      <c r="AC64" s="533"/>
    </row>
    <row r="65" spans="1:29" ht="15.75" customHeight="1">
      <c r="A65" s="531" t="s">
        <v>387</v>
      </c>
      <c r="B65" s="461" t="s">
        <v>24</v>
      </c>
      <c r="C65" s="529" t="s">
        <v>25</v>
      </c>
      <c r="D65" s="529"/>
      <c r="E65" s="26">
        <v>20.52</v>
      </c>
      <c r="F65" s="461">
        <v>3241</v>
      </c>
      <c r="G65" s="452">
        <f>E65*F65</f>
        <v>66505.319999999992</v>
      </c>
      <c r="H65" s="462" t="s">
        <v>52</v>
      </c>
      <c r="I65" s="459">
        <v>18</v>
      </c>
      <c r="J65" s="18">
        <v>2400</v>
      </c>
      <c r="K65" s="9">
        <f t="shared" si="14"/>
        <v>133.33333333333334</v>
      </c>
      <c r="L65" s="17">
        <v>18</v>
      </c>
      <c r="M65" s="10">
        <f>F65/V65*60</f>
        <v>2235.1724137931033</v>
      </c>
      <c r="N65" s="9">
        <f t="shared" si="15"/>
        <v>124.17624521072796</v>
      </c>
      <c r="O65" s="11">
        <f t="shared" si="16"/>
        <v>0</v>
      </c>
      <c r="P65" s="12">
        <f t="shared" si="17"/>
        <v>-9.1570881226053871</v>
      </c>
      <c r="Q65" s="451">
        <f t="shared" si="18"/>
        <v>0.93132183908045962</v>
      </c>
      <c r="R65" s="533"/>
      <c r="S65" s="24">
        <v>0.41458333333333336</v>
      </c>
      <c r="T65" s="24">
        <v>0.47500000000000003</v>
      </c>
      <c r="U65" s="452">
        <f>(S65-T64)*24*60</f>
        <v>4.9999999999999822</v>
      </c>
      <c r="V65" s="460">
        <f>(T65-S65)*24*60</f>
        <v>87.000000000000014</v>
      </c>
      <c r="W65" s="14"/>
      <c r="X65" s="14"/>
      <c r="Y65" s="528"/>
      <c r="Z65" s="528"/>
      <c r="AA65" s="11">
        <f t="shared" si="19"/>
        <v>-164.82758620689674</v>
      </c>
      <c r="AB65" s="451">
        <f t="shared" si="20"/>
        <v>0.93132183908045973</v>
      </c>
      <c r="AC65" s="533"/>
    </row>
    <row r="66" spans="1:29" ht="16.5" customHeight="1">
      <c r="A66" s="532" t="s">
        <v>1785</v>
      </c>
      <c r="B66" s="26" t="s">
        <v>1784</v>
      </c>
      <c r="C66" s="530"/>
      <c r="D66" s="530"/>
      <c r="E66" s="453"/>
      <c r="F66" s="16"/>
      <c r="G66" s="9"/>
      <c r="H66" s="461"/>
      <c r="I66" s="17">
        <v>17.2</v>
      </c>
      <c r="J66" s="18">
        <v>2400</v>
      </c>
      <c r="K66" s="9">
        <f t="shared" si="14"/>
        <v>139.53488372093022</v>
      </c>
      <c r="L66" s="17">
        <v>17.2</v>
      </c>
      <c r="M66" s="10">
        <f>AVERAGE(M61:M65)</f>
        <v>2262.0461710703084</v>
      </c>
      <c r="N66" s="9">
        <f t="shared" si="15"/>
        <v>131.51431227152958</v>
      </c>
      <c r="O66" s="11">
        <f t="shared" si="16"/>
        <v>0</v>
      </c>
      <c r="P66" s="12">
        <f t="shared" si="17"/>
        <v>-8.0205714494006486</v>
      </c>
      <c r="Q66" s="451">
        <f t="shared" si="18"/>
        <v>0.94251923794596204</v>
      </c>
      <c r="R66" s="533"/>
      <c r="S66" s="24"/>
      <c r="T66" s="24"/>
      <c r="U66" s="9"/>
      <c r="V66" s="460"/>
      <c r="W66" s="9"/>
      <c r="X66" s="9"/>
      <c r="Y66" s="528"/>
      <c r="Z66" s="528"/>
      <c r="AA66" s="11">
        <f t="shared" si="19"/>
        <v>-137.95382892969155</v>
      </c>
      <c r="AB66" s="451">
        <f t="shared" si="20"/>
        <v>0.94251923794596182</v>
      </c>
      <c r="AC66" s="533"/>
    </row>
    <row r="67" spans="1:29">
      <c r="D67" s="19"/>
      <c r="E67" s="19"/>
    </row>
  </sheetData>
  <mergeCells count="180"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N3:N4"/>
    <mergeCell ref="O3:O4"/>
    <mergeCell ref="S1:X2"/>
    <mergeCell ref="U3:U4"/>
    <mergeCell ref="V3:V4"/>
    <mergeCell ref="W3:X3"/>
    <mergeCell ref="Y3:Z4"/>
    <mergeCell ref="AA3:AA4"/>
    <mergeCell ref="AB3:AB4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C8:D8"/>
    <mergeCell ref="Y8:Z8"/>
    <mergeCell ref="H3:H4"/>
    <mergeCell ref="I3:I4"/>
    <mergeCell ref="J3:J4"/>
    <mergeCell ref="K3:K4"/>
    <mergeCell ref="L3:L4"/>
    <mergeCell ref="M3:M4"/>
    <mergeCell ref="A14:A17"/>
    <mergeCell ref="C14:D14"/>
    <mergeCell ref="R14:R17"/>
    <mergeCell ref="Y14:Z14"/>
    <mergeCell ref="AC9:AC13"/>
    <mergeCell ref="C10:D10"/>
    <mergeCell ref="Y10:Z10"/>
    <mergeCell ref="C11:D11"/>
    <mergeCell ref="Y11:Z11"/>
    <mergeCell ref="C12:D12"/>
    <mergeCell ref="A9:A13"/>
    <mergeCell ref="C9:D9"/>
    <mergeCell ref="R9:R13"/>
    <mergeCell ref="Y9:Z9"/>
    <mergeCell ref="C13:D13"/>
    <mergeCell ref="Y13:Z13"/>
    <mergeCell ref="Y12:Z12"/>
    <mergeCell ref="AC14:AC17"/>
    <mergeCell ref="C15:D15"/>
    <mergeCell ref="Y15:Z15"/>
    <mergeCell ref="C16:D16"/>
    <mergeCell ref="Y16:Z16"/>
    <mergeCell ref="Y21:Z21"/>
    <mergeCell ref="C22:D22"/>
    <mergeCell ref="Y22:Z22"/>
    <mergeCell ref="C17:D17"/>
    <mergeCell ref="Y17:Z17"/>
    <mergeCell ref="C18:D18"/>
    <mergeCell ref="R18:R24"/>
    <mergeCell ref="Y18:Z18"/>
    <mergeCell ref="Y23:Z23"/>
    <mergeCell ref="C23:D23"/>
    <mergeCell ref="A25:A30"/>
    <mergeCell ref="C25:D25"/>
    <mergeCell ref="R25:R30"/>
    <mergeCell ref="Y25:Z25"/>
    <mergeCell ref="AC18:AC24"/>
    <mergeCell ref="C19:D19"/>
    <mergeCell ref="Y19:Z19"/>
    <mergeCell ref="C20:D20"/>
    <mergeCell ref="Y20:Z20"/>
    <mergeCell ref="C21:D21"/>
    <mergeCell ref="A18:A24"/>
    <mergeCell ref="AC25:AC30"/>
    <mergeCell ref="C26:D26"/>
    <mergeCell ref="Y26:Z26"/>
    <mergeCell ref="C27:D27"/>
    <mergeCell ref="Y27:Z27"/>
    <mergeCell ref="C28:D28"/>
    <mergeCell ref="Y28:Z28"/>
    <mergeCell ref="C29:D29"/>
    <mergeCell ref="Y29:Z29"/>
    <mergeCell ref="C30:D30"/>
    <mergeCell ref="Y30:Z30"/>
    <mergeCell ref="C24:D24"/>
    <mergeCell ref="Y24:Z24"/>
    <mergeCell ref="Y33:Z33"/>
    <mergeCell ref="C34:D34"/>
    <mergeCell ref="R31:R39"/>
    <mergeCell ref="Y31:Z31"/>
    <mergeCell ref="C39:D39"/>
    <mergeCell ref="Y39:Z39"/>
    <mergeCell ref="C38:D38"/>
    <mergeCell ref="Y38:Z38"/>
    <mergeCell ref="Y34:Z34"/>
    <mergeCell ref="C35:D35"/>
    <mergeCell ref="Y35:Z35"/>
    <mergeCell ref="C36:D36"/>
    <mergeCell ref="Y36:Z36"/>
    <mergeCell ref="C37:D37"/>
    <mergeCell ref="Y37:Z37"/>
    <mergeCell ref="A31:A39"/>
    <mergeCell ref="C31:D31"/>
    <mergeCell ref="C47:D47"/>
    <mergeCell ref="Y47:Z47"/>
    <mergeCell ref="AC40:AC47"/>
    <mergeCell ref="C41:D41"/>
    <mergeCell ref="Y41:Z41"/>
    <mergeCell ref="C42:D42"/>
    <mergeCell ref="Y42:Z42"/>
    <mergeCell ref="C43:D43"/>
    <mergeCell ref="A40:A47"/>
    <mergeCell ref="C40:D40"/>
    <mergeCell ref="R40:R47"/>
    <mergeCell ref="Y40:Z40"/>
    <mergeCell ref="Y45:Z45"/>
    <mergeCell ref="C46:D46"/>
    <mergeCell ref="Y46:Z46"/>
    <mergeCell ref="Y43:Z43"/>
    <mergeCell ref="C44:D44"/>
    <mergeCell ref="Y44:Z44"/>
    <mergeCell ref="AC31:AC39"/>
    <mergeCell ref="C32:D32"/>
    <mergeCell ref="Y32:Z32"/>
    <mergeCell ref="C33:D33"/>
    <mergeCell ref="AC54:AC60"/>
    <mergeCell ref="C55:D55"/>
    <mergeCell ref="Y55:Z55"/>
    <mergeCell ref="C56:D56"/>
    <mergeCell ref="Y56:Z56"/>
    <mergeCell ref="C57:D57"/>
    <mergeCell ref="C53:D53"/>
    <mergeCell ref="Y53:Z53"/>
    <mergeCell ref="C60:D60"/>
    <mergeCell ref="A48:A53"/>
    <mergeCell ref="C48:D48"/>
    <mergeCell ref="R48:R53"/>
    <mergeCell ref="Y48:Z48"/>
    <mergeCell ref="AC48:AC53"/>
    <mergeCell ref="C49:D49"/>
    <mergeCell ref="Y49:Z49"/>
    <mergeCell ref="C50:D50"/>
    <mergeCell ref="C45:D45"/>
    <mergeCell ref="A54:A60"/>
    <mergeCell ref="C54:D54"/>
    <mergeCell ref="R54:R60"/>
    <mergeCell ref="Y54:Z54"/>
    <mergeCell ref="C66:D66"/>
    <mergeCell ref="Y66:Z66"/>
    <mergeCell ref="Y60:Z60"/>
    <mergeCell ref="A61:A66"/>
    <mergeCell ref="C61:D61"/>
    <mergeCell ref="R61:R66"/>
    <mergeCell ref="Y61:Z61"/>
    <mergeCell ref="Y57:Z57"/>
    <mergeCell ref="C58:D58"/>
    <mergeCell ref="Y58:Z58"/>
    <mergeCell ref="C59:D59"/>
    <mergeCell ref="Y59:Z59"/>
    <mergeCell ref="AC61:AC66"/>
    <mergeCell ref="C62:D62"/>
    <mergeCell ref="Y62:Z62"/>
    <mergeCell ref="C63:D63"/>
    <mergeCell ref="Y63:Z63"/>
    <mergeCell ref="C64:D64"/>
    <mergeCell ref="Y64:Z64"/>
    <mergeCell ref="C65:D65"/>
    <mergeCell ref="Y65:Z65"/>
  </mergeCells>
  <phoneticPr fontId="3" type="noConversion"/>
  <conditionalFormatting sqref="O57:O66 O5:O9 O13:O15 O47:O54 O17:O45">
    <cfRule type="cellIs" dxfId="1621" priority="37" operator="greaterThan">
      <formula>0</formula>
    </cfRule>
  </conditionalFormatting>
  <conditionalFormatting sqref="P5:P7 P57:P59 AA57:AA59 P61:P65 P25:P29 P54 P9 P13:P15 P18:P23 P48:P52 P31:P45 AA5:AA54 AA61:AA66">
    <cfRule type="cellIs" dxfId="1620" priority="41" operator="lessThan">
      <formula>0</formula>
    </cfRule>
  </conditionalFormatting>
  <conditionalFormatting sqref="AB57:AB59 Q57:Q66 Q5:Q9 Q13:Q15 Q47:Q54 Q17:Q45 AB5:AB54 AB61:AB66">
    <cfRule type="cellIs" dxfId="1619" priority="38" operator="greaterThan">
      <formula>1</formula>
    </cfRule>
    <cfRule type="cellIs" dxfId="1618" priority="39" operator="lessThan">
      <formula>0.8</formula>
    </cfRule>
  </conditionalFormatting>
  <conditionalFormatting sqref="AC14:AC15 R14:R15 AC57 R57:R66 AC5:AC9 R5:R9 R17:R45 AC17:AC45 AC47:AC54 R47:R54">
    <cfRule type="cellIs" dxfId="1617" priority="43" operator="lessThan">
      <formula>0.8</formula>
    </cfRule>
  </conditionalFormatting>
  <conditionalFormatting sqref="AC40">
    <cfRule type="cellIs" dxfId="1616" priority="45" operator="lessThan">
      <formula>0.8</formula>
    </cfRule>
  </conditionalFormatting>
  <conditionalFormatting sqref="AC18:AC23">
    <cfRule type="cellIs" dxfId="1615" priority="42" operator="lessThan">
      <formula>0.8</formula>
    </cfRule>
  </conditionalFormatting>
  <conditionalFormatting sqref="AC25">
    <cfRule type="cellIs" dxfId="1614" priority="44" operator="lessThan">
      <formula>0.8</formula>
    </cfRule>
  </conditionalFormatting>
  <conditionalFormatting sqref="AC31:AC38">
    <cfRule type="cellIs" dxfId="1613" priority="40" operator="lessThan">
      <formula>0.8</formula>
    </cfRule>
  </conditionalFormatting>
  <conditionalFormatting sqref="AA60">
    <cfRule type="cellIs" dxfId="1612" priority="36" operator="lessThan">
      <formula>0</formula>
    </cfRule>
  </conditionalFormatting>
  <conditionalFormatting sqref="AB60">
    <cfRule type="cellIs" dxfId="1611" priority="34" operator="greaterThan">
      <formula>1</formula>
    </cfRule>
    <cfRule type="cellIs" dxfId="1610" priority="35" operator="lessThan">
      <formula>0.8</formula>
    </cfRule>
  </conditionalFormatting>
  <conditionalFormatting sqref="O16">
    <cfRule type="cellIs" dxfId="1609" priority="29" operator="greaterThan">
      <formula>0</formula>
    </cfRule>
  </conditionalFormatting>
  <conditionalFormatting sqref="P16">
    <cfRule type="cellIs" dxfId="1608" priority="32" operator="lessThan">
      <formula>0</formula>
    </cfRule>
  </conditionalFormatting>
  <conditionalFormatting sqref="Q16">
    <cfRule type="cellIs" dxfId="1607" priority="30" operator="greaterThan">
      <formula>1</formula>
    </cfRule>
    <cfRule type="cellIs" dxfId="1606" priority="31" operator="lessThan">
      <formula>0.8</formula>
    </cfRule>
  </conditionalFormatting>
  <conditionalFormatting sqref="R16 AC16">
    <cfRule type="cellIs" dxfId="1605" priority="33" operator="lessThan">
      <formula>0.8</formula>
    </cfRule>
  </conditionalFormatting>
  <conditionalFormatting sqref="O10:O12">
    <cfRule type="cellIs" dxfId="1604" priority="25" operator="greaterThan">
      <formula>0</formula>
    </cfRule>
  </conditionalFormatting>
  <conditionalFormatting sqref="P10:P12">
    <cfRule type="cellIs" dxfId="1603" priority="28" operator="lessThan">
      <formula>0</formula>
    </cfRule>
  </conditionalFormatting>
  <conditionalFormatting sqref="Q10:Q12">
    <cfRule type="cellIs" dxfId="1602" priority="26" operator="greaterThan">
      <formula>1</formula>
    </cfRule>
    <cfRule type="cellIs" dxfId="1601" priority="27" operator="lessThan">
      <formula>0.8</formula>
    </cfRule>
  </conditionalFormatting>
  <conditionalFormatting sqref="O56">
    <cfRule type="cellIs" dxfId="1600" priority="20" operator="greaterThan">
      <formula>0</formula>
    </cfRule>
  </conditionalFormatting>
  <conditionalFormatting sqref="P56 AA56">
    <cfRule type="cellIs" dxfId="1599" priority="23" operator="lessThan">
      <formula>0</formula>
    </cfRule>
  </conditionalFormatting>
  <conditionalFormatting sqref="Q56 AB56">
    <cfRule type="cellIs" dxfId="1598" priority="21" operator="greaterThan">
      <formula>1</formula>
    </cfRule>
    <cfRule type="cellIs" dxfId="1597" priority="22" operator="lessThan">
      <formula>0.8</formula>
    </cfRule>
  </conditionalFormatting>
  <conditionalFormatting sqref="R56 AC56">
    <cfRule type="cellIs" dxfId="1596" priority="24" operator="lessThan">
      <formula>0.8</formula>
    </cfRule>
  </conditionalFormatting>
  <conditionalFormatting sqref="O46">
    <cfRule type="cellIs" dxfId="1595" priority="14" operator="greaterThan">
      <formula>0</formula>
    </cfRule>
  </conditionalFormatting>
  <conditionalFormatting sqref="P46">
    <cfRule type="cellIs" dxfId="1594" priority="18" operator="lessThan">
      <formula>0</formula>
    </cfRule>
  </conditionalFormatting>
  <conditionalFormatting sqref="Q46">
    <cfRule type="cellIs" dxfId="1593" priority="15" operator="greaterThan">
      <formula>1</formula>
    </cfRule>
    <cfRule type="cellIs" dxfId="1592" priority="16" operator="lessThan">
      <formula>0.8</formula>
    </cfRule>
  </conditionalFormatting>
  <conditionalFormatting sqref="R46 AC46">
    <cfRule type="cellIs" dxfId="1591" priority="19" operator="lessThan">
      <formula>0.8</formula>
    </cfRule>
  </conditionalFormatting>
  <conditionalFormatting sqref="AC46">
    <cfRule type="cellIs" dxfId="1590" priority="17" operator="lessThan">
      <formula>0.8</formula>
    </cfRule>
  </conditionalFormatting>
  <conditionalFormatting sqref="O55">
    <cfRule type="cellIs" dxfId="1589" priority="9" operator="greaterThan">
      <formula>0</formula>
    </cfRule>
  </conditionalFormatting>
  <conditionalFormatting sqref="P55 AA55">
    <cfRule type="cellIs" dxfId="1588" priority="12" operator="lessThan">
      <formula>0</formula>
    </cfRule>
  </conditionalFormatting>
  <conditionalFormatting sqref="Q55 AB55">
    <cfRule type="cellIs" dxfId="1587" priority="10" operator="greaterThan">
      <formula>1</formula>
    </cfRule>
    <cfRule type="cellIs" dxfId="1586" priority="11" operator="lessThan">
      <formula>0.8</formula>
    </cfRule>
  </conditionalFormatting>
  <conditionalFormatting sqref="R55 AC55">
    <cfRule type="cellIs" dxfId="1585" priority="13" operator="lessThan">
      <formula>0.8</formula>
    </cfRule>
  </conditionalFormatting>
  <conditionalFormatting sqref="P8">
    <cfRule type="cellIs" dxfId="1584" priority="8" operator="lessThan">
      <formula>0</formula>
    </cfRule>
  </conditionalFormatting>
  <conditionalFormatting sqref="P17">
    <cfRule type="cellIs" dxfId="1583" priority="7" operator="lessThan">
      <formula>0</formula>
    </cfRule>
  </conditionalFormatting>
  <conditionalFormatting sqref="P24">
    <cfRule type="cellIs" dxfId="1582" priority="6" operator="lessThan">
      <formula>0</formula>
    </cfRule>
  </conditionalFormatting>
  <conditionalFormatting sqref="P30">
    <cfRule type="cellIs" dxfId="1581" priority="5" operator="lessThan">
      <formula>0</formula>
    </cfRule>
  </conditionalFormatting>
  <conditionalFormatting sqref="P47">
    <cfRule type="cellIs" dxfId="1580" priority="4" operator="lessThan">
      <formula>0</formula>
    </cfRule>
  </conditionalFormatting>
  <conditionalFormatting sqref="P53">
    <cfRule type="cellIs" dxfId="1579" priority="3" operator="lessThan">
      <formula>0</formula>
    </cfRule>
  </conditionalFormatting>
  <conditionalFormatting sqref="P60">
    <cfRule type="cellIs" dxfId="1578" priority="2" operator="lessThan">
      <formula>0</formula>
    </cfRule>
  </conditionalFormatting>
  <conditionalFormatting sqref="P66">
    <cfRule type="cellIs" dxfId="1577" priority="1" operator="lessThan">
      <formula>0</formula>
    </cfRule>
  </conditionalFormatting>
  <dataValidations count="1">
    <dataValidation type="list" allowBlank="1" showInputMessage="1" showErrorMessage="1" sqref="Z8 Z58:Z59 Y5:Z7 Y8:Y59 Z10:Z54 Y60:Z66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6"/>
  <dimension ref="B1:Q28"/>
  <sheetViews>
    <sheetView zoomScale="80" zoomScaleNormal="80" workbookViewId="0">
      <selection activeCell="G14" sqref="G14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521" t="s">
        <v>1756</v>
      </c>
      <c r="C1" s="521"/>
      <c r="D1" s="521"/>
      <c r="E1" s="521"/>
      <c r="F1" s="521"/>
      <c r="G1" s="521"/>
      <c r="H1" s="521"/>
      <c r="I1" s="521"/>
      <c r="J1" s="521"/>
      <c r="K1" s="28"/>
      <c r="L1" s="28"/>
      <c r="M1" s="28"/>
      <c r="N1" s="28"/>
      <c r="O1" s="28"/>
      <c r="P1" s="28"/>
    </row>
    <row r="2" spans="2:17" ht="27.75" customHeight="1">
      <c r="B2" s="522"/>
      <c r="C2" s="522"/>
      <c r="D2" s="522"/>
      <c r="E2" s="522"/>
      <c r="F2" s="522"/>
      <c r="G2" s="522"/>
      <c r="H2" s="522"/>
      <c r="I2" s="522"/>
      <c r="J2" s="522"/>
      <c r="K2" s="30"/>
      <c r="L2" s="30"/>
      <c r="M2" s="30"/>
      <c r="N2" s="28"/>
      <c r="O2" s="28"/>
      <c r="P2" s="28"/>
    </row>
    <row r="3" spans="2:17" ht="46.5" customHeight="1">
      <c r="B3" s="436" t="s">
        <v>1755</v>
      </c>
      <c r="C3" s="523" t="str">
        <f>TEXT('0828 4度C'!A2,"yyyy.mm.ddaaaa")</f>
        <v>2025.08.28星期四</v>
      </c>
      <c r="D3" s="523"/>
      <c r="E3" s="436" t="s">
        <v>123</v>
      </c>
      <c r="F3" s="524">
        <f>'0828 4度C'!D1</f>
        <v>155645</v>
      </c>
      <c r="G3" s="524"/>
      <c r="H3" s="436" t="s">
        <v>90</v>
      </c>
      <c r="I3" s="525">
        <f>'0828 4度C'!F1</f>
        <v>5359266.3099999987</v>
      </c>
      <c r="J3" s="525"/>
      <c r="K3" s="31"/>
      <c r="L3" s="33"/>
      <c r="N3" s="33"/>
    </row>
    <row r="4" spans="2:17" ht="28.5" customHeight="1">
      <c r="B4" s="516" t="s">
        <v>1754</v>
      </c>
      <c r="C4" s="516" t="s">
        <v>105</v>
      </c>
      <c r="D4" s="516"/>
      <c r="E4" s="526" t="s">
        <v>1753</v>
      </c>
      <c r="F4" s="526"/>
      <c r="G4" s="526" t="s">
        <v>107</v>
      </c>
      <c r="H4" s="526"/>
      <c r="I4" s="527" t="s">
        <v>1752</v>
      </c>
      <c r="J4" s="527"/>
      <c r="N4" s="33"/>
    </row>
    <row r="5" spans="2:17" ht="28.5" customHeight="1">
      <c r="B5" s="516"/>
      <c r="C5" s="516" t="s">
        <v>1751</v>
      </c>
      <c r="D5" s="516"/>
      <c r="E5" s="516" t="s">
        <v>125</v>
      </c>
      <c r="F5" s="516"/>
      <c r="G5" s="517" t="s">
        <v>1750</v>
      </c>
      <c r="H5" s="517"/>
      <c r="I5" s="518" t="s">
        <v>111</v>
      </c>
      <c r="J5" s="518"/>
      <c r="K5" s="33"/>
      <c r="M5" s="33"/>
      <c r="N5" s="33"/>
    </row>
    <row r="6" spans="2:17" ht="28.5" customHeight="1">
      <c r="B6" s="516"/>
      <c r="C6" s="516" t="s">
        <v>43</v>
      </c>
      <c r="D6" s="516"/>
      <c r="E6" s="519">
        <f>AVERAGE(D13:M13)</f>
        <v>145.49950219601959</v>
      </c>
      <c r="F6" s="516">
        <f>AVERAGE(D27:O27,D13:J13)</f>
        <v>149.1830091275672</v>
      </c>
      <c r="G6" s="520">
        <f>AVERAGE(D13:J13)</f>
        <v>149.1830091275672</v>
      </c>
      <c r="H6" s="520"/>
      <c r="I6" s="520">
        <f>AVERAGE(K13:M13)</f>
        <v>136.90465268907505</v>
      </c>
      <c r="J6" s="520"/>
      <c r="K6" s="33"/>
      <c r="M6" s="33"/>
      <c r="N6" s="33"/>
    </row>
    <row r="7" spans="2:17" ht="28.5" customHeight="1">
      <c r="B7" s="516"/>
      <c r="C7" s="510" t="s">
        <v>44</v>
      </c>
      <c r="D7" s="510"/>
      <c r="E7" s="511">
        <f>AVERAGE(D14:M14)</f>
        <v>136.52884627606065</v>
      </c>
      <c r="F7" s="512">
        <f>AVERAGE(D28:O28,D14:J14)</f>
        <v>139.91857261407046</v>
      </c>
      <c r="G7" s="513">
        <f>AVERAGE(D14:J14)</f>
        <v>139.91857261407046</v>
      </c>
      <c r="H7" s="513"/>
      <c r="I7" s="513">
        <f>AVERAGE(K14:M14)</f>
        <v>128.61948482070443</v>
      </c>
      <c r="J7" s="513"/>
      <c r="K7" s="33"/>
      <c r="N7" s="33"/>
    </row>
    <row r="8" spans="2:17" ht="28.5" customHeight="1">
      <c r="B8" s="516"/>
      <c r="C8" s="510" t="s">
        <v>45</v>
      </c>
      <c r="D8" s="510"/>
      <c r="E8" s="514">
        <f>AVERAGE(D15:M15)</f>
        <v>0.9379400397239076</v>
      </c>
      <c r="F8" s="510">
        <f>AVERAGE(D15:J15,D29:O29)</f>
        <v>0.93730659637614622</v>
      </c>
      <c r="G8" s="515">
        <f>AVERAGE(D15:J15)</f>
        <v>0.93730659637614622</v>
      </c>
      <c r="H8" s="515"/>
      <c r="I8" s="515">
        <f>AVERAGE(K15:M15)</f>
        <v>0.93941807420201717</v>
      </c>
      <c r="J8" s="515"/>
      <c r="K8" s="34" t="s">
        <v>126</v>
      </c>
      <c r="M8" s="33"/>
      <c r="N8" s="33"/>
    </row>
    <row r="9" spans="2:17" ht="28.5" customHeight="1" thickBot="1">
      <c r="H9" s="36"/>
      <c r="I9" s="291"/>
      <c r="N9" s="33"/>
      <c r="O9" s="33"/>
      <c r="P9" s="33"/>
      <c r="Q9" s="33"/>
    </row>
    <row r="10" spans="2:17" ht="30" customHeight="1">
      <c r="B10" s="501" t="s">
        <v>1749</v>
      </c>
      <c r="C10" s="502"/>
      <c r="D10" s="503" t="s">
        <v>128</v>
      </c>
      <c r="E10" s="504"/>
      <c r="F10" s="504"/>
      <c r="G10" s="504"/>
      <c r="H10" s="504"/>
      <c r="I10" s="504"/>
      <c r="J10" s="505"/>
      <c r="K10" s="506" t="s">
        <v>129</v>
      </c>
      <c r="L10" s="504"/>
      <c r="M10" s="507"/>
      <c r="P10" s="37"/>
      <c r="Q10" s="37"/>
    </row>
    <row r="11" spans="2:17" ht="17.25" customHeight="1">
      <c r="B11" s="493" t="s">
        <v>1748</v>
      </c>
      <c r="C11" s="494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292">
        <v>6</v>
      </c>
      <c r="J11" s="40">
        <v>7</v>
      </c>
      <c r="K11" s="38">
        <v>1</v>
      </c>
      <c r="L11" s="292">
        <v>2</v>
      </c>
      <c r="M11" s="40">
        <v>3</v>
      </c>
      <c r="P11" s="37"/>
      <c r="Q11" s="37"/>
    </row>
    <row r="12" spans="2:17" ht="34.15" customHeight="1">
      <c r="B12" s="493"/>
      <c r="C12" s="494"/>
      <c r="D12" s="41" t="s">
        <v>345</v>
      </c>
      <c r="E12" s="42" t="s">
        <v>346</v>
      </c>
      <c r="F12" s="42" t="s">
        <v>347</v>
      </c>
      <c r="G12" s="42" t="s">
        <v>348</v>
      </c>
      <c r="H12" s="42" t="s">
        <v>349</v>
      </c>
      <c r="I12" s="293" t="s">
        <v>350</v>
      </c>
      <c r="J12" s="43" t="s">
        <v>351</v>
      </c>
      <c r="K12" s="41" t="s">
        <v>352</v>
      </c>
      <c r="L12" s="293" t="s">
        <v>353</v>
      </c>
      <c r="M12" s="43" t="s">
        <v>354</v>
      </c>
    </row>
    <row r="13" spans="2:17" ht="40.15" customHeight="1">
      <c r="B13" s="508" t="s">
        <v>1747</v>
      </c>
      <c r="C13" s="44" t="s">
        <v>1746</v>
      </c>
      <c r="D13" s="45">
        <f>SUMIFS('0828 4度C'!$K:$K,'0828 4度C'!$A:$A,"新豐6線",'0828 4度C'!$B:$B,"平均")</f>
        <v>117.64705882352941</v>
      </c>
      <c r="E13" s="46">
        <f>SUMIFS('0828 4度C'!$K:$K,'0828 4度C'!$A:$A,"新豐2線",'0828 4度C'!$B:$B,"平均")</f>
        <v>83.333333333333329</v>
      </c>
      <c r="F13" s="47">
        <f>SUMIFS('0828 4度C'!$K:$K,'0828 4度C'!$A:$A,"新豐5線",'0828 4度C'!$B:$B,"平均")</f>
        <v>93.220338983050837</v>
      </c>
      <c r="G13" s="47">
        <f>SUMIFS('0828 4度C'!$K:$K,'0828 4度C'!$A:$A,"新豐7線",'0828 4度C'!$B:$B,"平均")</f>
        <v>116.50485436893203</v>
      </c>
      <c r="H13" s="47">
        <f>SUMIFS('0828 4度C'!$K:$K,'0828 4度C'!$A:$A,"新豐3線",'0828 4度C'!$B:$B,"平均")</f>
        <v>300</v>
      </c>
      <c r="I13" s="294">
        <f>SUMIFS('0828 4度C'!$K:$K,'0828 4度C'!$A:$A,"新豐1線",'0828 4度C'!$B:$B,"平均")</f>
        <v>114.4578313253012</v>
      </c>
      <c r="J13" s="48">
        <f>SUMIFS('0828 4度C'!$K:$K,'0828 4度C'!$A:$A,"新豐10線",'0828 4度C'!$B:$B,"平均")</f>
        <v>219.11764705882354</v>
      </c>
      <c r="K13" s="49">
        <f>SUMIFS('0828 4度C'!$K:$K,'0828 4度C'!$A:$A,"新豐8線",'0828 4度C'!$B:$B,"平均")</f>
        <v>137.70491803278691</v>
      </c>
      <c r="L13" s="301">
        <f>SUMIFS('0828 4度C'!$K:$K,'0828 4度C'!$A:$A,"新豐9線",'0828 4度C'!$B:$B,"平均")</f>
        <v>130.43478260869566</v>
      </c>
      <c r="M13" s="48">
        <f>SUMIFS('0828 4度C'!$K:$K,'0828 4度C'!$A:$A,"新豐4線",'0828 4度C'!$B:$B,"平均")</f>
        <v>142.57425742574259</v>
      </c>
    </row>
    <row r="14" spans="2:17" ht="39.6" customHeight="1">
      <c r="B14" s="508"/>
      <c r="C14" s="51" t="s">
        <v>69</v>
      </c>
      <c r="D14" s="52">
        <f>SUMIFS('0828 4度C'!$N:$N,'0828 4度C'!$A:$A,"新豐6線",'0828 4度C'!$B:$B,"平均")</f>
        <v>110.06949521804948</v>
      </c>
      <c r="E14" s="53">
        <f>SUMIFS('0828 4度C'!$N:$N,'0828 4度C'!$A:$A,"新豐2線",'0828 4度C'!$B:$B,"平均")</f>
        <v>77.927128457964301</v>
      </c>
      <c r="F14" s="53">
        <f>SUMIFS('0828 4度C'!$N:$N,'0828 4度C'!$A:$A,"新豐5線",'0828 4度C'!$B:$B,"平均")</f>
        <v>87.329670513837527</v>
      </c>
      <c r="G14" s="53">
        <f>SUMIFS('0828 4度C'!$N:$N,'0828 4度C'!$A:$A,"新豐7線",'0828 4度C'!$B:$B,"平均")</f>
        <v>109.5410713650659</v>
      </c>
      <c r="H14" s="53">
        <f>SUMIFS('0828 4度C'!$N:$N,'0828 4度C'!$A:$A,"新豐3線",'0828 4度C'!$B:$B,"平均")</f>
        <v>281.54351159855747</v>
      </c>
      <c r="I14" s="295">
        <f>SUMIFS('0828 4度C'!$N:$N,'0828 4度C'!$A:$A,"新豐1線",'0828 4度C'!$B:$B,"平均")</f>
        <v>106.96433965921652</v>
      </c>
      <c r="J14" s="54">
        <f>SUMIFS('0828 4度C'!$N:$N,'0828 4度C'!$A:$A,"新豐10線",'0828 4度C'!$B:$B,"平均")</f>
        <v>206.05479148580199</v>
      </c>
      <c r="K14" s="55">
        <f>SUMIFS('0828 4度C'!$N:$N,'0828 4度C'!$A:$A,"新豐8線",'0828 4度C'!$B:$B,"平均")</f>
        <v>129.26268900521251</v>
      </c>
      <c r="L14" s="302">
        <f>SUMIFS('0828 4度C'!$N:$N,'0828 4度C'!$A:$A,"新豐9線",'0828 4度C'!$B:$B,"平均")</f>
        <v>122.28770682136162</v>
      </c>
      <c r="M14" s="54">
        <f>SUMIFS('0828 4度C'!$N:$N,'0828 4度C'!$A:$A,"新豐4線",'0828 4度C'!$B:$B,"平均")</f>
        <v>134.3080586355392</v>
      </c>
    </row>
    <row r="15" spans="2:17" ht="40.15" customHeight="1">
      <c r="B15" s="508"/>
      <c r="C15" s="57" t="s">
        <v>142</v>
      </c>
      <c r="D15" s="58">
        <f t="shared" ref="D15:M15" si="0">D14/D13</f>
        <v>0.93559070935342059</v>
      </c>
      <c r="E15" s="59">
        <f t="shared" si="0"/>
        <v>0.9351255414955717</v>
      </c>
      <c r="F15" s="59">
        <f t="shared" si="0"/>
        <v>0.93680919278480268</v>
      </c>
      <c r="G15" s="59">
        <f t="shared" si="0"/>
        <v>0.94022752921681574</v>
      </c>
      <c r="H15" s="59">
        <f t="shared" si="0"/>
        <v>0.93847837199519157</v>
      </c>
      <c r="I15" s="296">
        <f t="shared" si="0"/>
        <v>0.93453054649631284</v>
      </c>
      <c r="J15" s="60">
        <f t="shared" si="0"/>
        <v>0.9403842832909084</v>
      </c>
      <c r="K15" s="58">
        <f t="shared" si="0"/>
        <v>0.93869333682356693</v>
      </c>
      <c r="L15" s="296">
        <f t="shared" si="0"/>
        <v>0.93753908563043908</v>
      </c>
      <c r="M15" s="60">
        <f t="shared" si="0"/>
        <v>0.94202180015204562</v>
      </c>
    </row>
    <row r="16" spans="2:17" ht="17.25" customHeight="1">
      <c r="B16" s="509" t="s">
        <v>1745</v>
      </c>
      <c r="C16" s="435" t="s">
        <v>71</v>
      </c>
      <c r="D16" s="61">
        <f>VLOOKUP("新豐6線",'0828 4度C'!$A:$T,19,0)</f>
        <v>0.70833333333333337</v>
      </c>
      <c r="E16" s="24">
        <f>VLOOKUP("新豐2線",'0828 4度C'!$A:$T,19,0)</f>
        <v>0.125</v>
      </c>
      <c r="F16" s="24">
        <f>VLOOKUP("新豐5線",'0828 4度C'!$A:$T,19,0)</f>
        <v>0.25</v>
      </c>
      <c r="G16" s="24">
        <f>VLOOKUP("新豐7線",'0828 4度C'!$A:$T,19,0)</f>
        <v>0.20833333333333334</v>
      </c>
      <c r="H16" s="24">
        <f>VLOOKUP("新豐3線",'0828 4度C'!$A:$T,19,0)</f>
        <v>0.125</v>
      </c>
      <c r="I16" s="297">
        <f>VLOOKUP("新豐1線",'0828 4度C'!$A:$T,19,0)</f>
        <v>0.29166666666666669</v>
      </c>
      <c r="J16" s="62">
        <f>VLOOKUP("新豐10線",'0828 4度C'!$A:$T,19,0)</f>
        <v>0.125</v>
      </c>
      <c r="K16" s="63">
        <f>VLOOKUP("新豐8線",'0828 4度C'!$A:$T,19,0)</f>
        <v>0.125</v>
      </c>
      <c r="L16" s="303">
        <f>VLOOKUP("新豐9線",'0828 4度C'!$A:$T,19,0)</f>
        <v>0.125</v>
      </c>
      <c r="M16" s="65">
        <f>VLOOKUP("新豐4線",'0828 4度C'!$A:$T,19,0)</f>
        <v>0.125</v>
      </c>
    </row>
    <row r="17" spans="2:13" ht="17.25" customHeight="1">
      <c r="B17" s="493"/>
      <c r="C17" s="435" t="s">
        <v>144</v>
      </c>
      <c r="D17" s="63">
        <f>LOOKUP(2,1/(('0828 4度C'!$A:$A="新豐6線")*('0828 4度C'!$T:$T&lt;&gt;"")),'0828 4度C'!$T:$T)</f>
        <v>0.81319444444444444</v>
      </c>
      <c r="E17" s="24">
        <f>LOOKUP(2,1/(('0828 4度C'!$A:$A="新豐2線")*('0828 4度C'!$T:$T&lt;&gt;"")),'0828 4度C'!$T:$T)</f>
        <v>0.62638888888888877</v>
      </c>
      <c r="F17" s="24">
        <f>LOOKUP(2,1/(('0828 4度C'!$A:$A="新豐5線")*('0828 4度C'!$T:$T&lt;&gt;"")),'0828 4度C'!$T:$T)</f>
        <v>0.83194444444444449</v>
      </c>
      <c r="G17" s="24">
        <f>LOOKUP(2,1/(('0828 4度C'!$A:$A="新豐7線")*('0828 4度C'!$T:$T&lt;&gt;"")),'0828 4度C'!$T:$T)</f>
        <v>0.78888888888888886</v>
      </c>
      <c r="H17" s="24">
        <f>LOOKUP(2,1/(('0828 4度C'!$A:$A="新豐3線")*('0828 4度C'!$T:$T&lt;&gt;"")),'0828 4度C'!$T:$T)</f>
        <v>0.50694444444444442</v>
      </c>
      <c r="I17" s="297">
        <f>LOOKUP(2,1/(('0828 4度C'!$A:$A="新豐1線")*('0828 4度C'!$T:$T&lt;&gt;"")),'0828 4度C'!$T:$T)</f>
        <v>0.82986111111111105</v>
      </c>
      <c r="J17" s="62">
        <f>LOOKUP(2,1/(('0828 4度C'!$A:$A="新豐10線")*('0828 4度C'!$T:$T&lt;&gt;"")),'0828 4度C'!$T:$T)</f>
        <v>0.43194444444444441</v>
      </c>
      <c r="K17" s="61">
        <f>LOOKUP(2,1/(('0828 4度C'!$A:$A="新豐8線")*('0828 4度C'!$T:$T&lt;&gt;"")),'0828 4度C'!$T:$T)</f>
        <v>0.62569444444444433</v>
      </c>
      <c r="L17" s="297">
        <f>LOOKUP(2,1/(('0828 4度C'!$A:$A="新豐9線")*('0828 4度C'!$T:$T&lt;&gt;"")),'0828 4度C'!$T:$T)</f>
        <v>0.69444444444444431</v>
      </c>
      <c r="M17" s="62">
        <f>LOOKUP(2,1/(('0828 4度C'!$A:$A="新豐4線")*('0828 4度C'!$T:$T&lt;&gt;"")),'0828 4度C'!$T:$T)</f>
        <v>0.59097222222222223</v>
      </c>
    </row>
    <row r="18" spans="2:13" ht="17.25" customHeight="1">
      <c r="B18" s="493" t="s">
        <v>1744</v>
      </c>
      <c r="C18" s="494"/>
      <c r="D18" s="66">
        <f>SUMIFS('0828 4度C'!$I:$I,'0828 4度C'!$A:$A,"新豐6線",'0828 4度C'!$B:$B,"平均")</f>
        <v>17</v>
      </c>
      <c r="E18" s="67">
        <f>SUMIFS('0828 4度C'!$I:$I,'0828 4度C'!$A:$A,"新豐2線",'0828 4度C'!$B:$B,"平均")</f>
        <v>18</v>
      </c>
      <c r="F18" s="67">
        <f>SUMIFS('0828 4度C'!$I:$I,'0828 4度C'!$A:$A,"新豐5線",'0828 4度C'!$B:$B,"平均")</f>
        <v>19.666666666666668</v>
      </c>
      <c r="G18" s="67">
        <f>SUMIFS('0828 4度C'!$I:$I,'0828 4度C'!$A:$A,"新豐7線",'0828 4度C'!$B:$B,"平均")</f>
        <v>17.166666666666668</v>
      </c>
      <c r="H18" s="67">
        <f>SUMIFS('0828 4度C'!$I:$I,'0828 4度C'!$A:$A,"新豐3線",'0828 4度C'!$B:$B,"平均")</f>
        <v>10</v>
      </c>
      <c r="I18" s="298">
        <f>SUMIFS('0828 4度C'!$I:$I,'0828 4度C'!$A:$A,"新豐1線",'0828 4度C'!$B:$B,"平均")</f>
        <v>16.600000000000001</v>
      </c>
      <c r="J18" s="68">
        <f>SUMIFS('0828 4度C'!$I:$I,'0828 4度C'!$A:$A,"新豐10線",'0828 4度C'!$B:$B,"平均")</f>
        <v>11.333333333333334</v>
      </c>
      <c r="K18" s="66">
        <f>SUMIFS('0828 4度C'!$I:$I,'0828 4度C'!$A:$A,"新豐8線",'0828 4度C'!$B:$B,"平均")</f>
        <v>17.428571428571427</v>
      </c>
      <c r="L18" s="298">
        <f>SUMIFS('0828 4度C'!$I:$I,'0828 4度C'!$A:$A,"新豐9線",'0828 4度C'!$B:$B,"平均")</f>
        <v>18.399999999999999</v>
      </c>
      <c r="M18" s="68">
        <f>SUMIFS('0828 4度C'!$I:$I,'0828 4度C'!$A:$A,"新豐4線",'0828 4度C'!$B:$B,"平均")</f>
        <v>16.833333333333332</v>
      </c>
    </row>
    <row r="19" spans="2:13" ht="17.25" customHeight="1">
      <c r="B19" s="495" t="s">
        <v>1743</v>
      </c>
      <c r="C19" s="496"/>
      <c r="D19" s="69" t="s">
        <v>46</v>
      </c>
      <c r="E19" s="70" t="s">
        <v>47</v>
      </c>
      <c r="F19" s="70" t="s">
        <v>93</v>
      </c>
      <c r="G19" s="70" t="s">
        <v>93</v>
      </c>
      <c r="H19" s="70" t="s">
        <v>48</v>
      </c>
      <c r="I19" s="299" t="s">
        <v>46</v>
      </c>
      <c r="J19" s="71" t="s">
        <v>48</v>
      </c>
      <c r="K19" s="69" t="s">
        <v>72</v>
      </c>
      <c r="L19" s="299" t="s">
        <v>1742</v>
      </c>
      <c r="M19" s="71" t="s">
        <v>72</v>
      </c>
    </row>
    <row r="20" spans="2:13" ht="17.25" customHeight="1">
      <c r="B20" s="495" t="s">
        <v>148</v>
      </c>
      <c r="C20" s="496"/>
      <c r="D20" s="69"/>
      <c r="E20" s="70"/>
      <c r="F20" s="70" t="s">
        <v>1741</v>
      </c>
      <c r="G20" s="70" t="s">
        <v>46</v>
      </c>
      <c r="H20" s="70"/>
      <c r="I20" s="299"/>
      <c r="J20" s="71"/>
      <c r="K20" s="69"/>
      <c r="L20" s="299"/>
      <c r="M20" s="71"/>
    </row>
    <row r="21" spans="2:13" ht="17.25" customHeight="1" thickBot="1">
      <c r="B21" s="497" t="s">
        <v>94</v>
      </c>
      <c r="C21" s="498"/>
      <c r="D21" s="72"/>
      <c r="E21" s="73" t="s">
        <v>1740</v>
      </c>
      <c r="F21" s="499" t="s">
        <v>95</v>
      </c>
      <c r="G21" s="500"/>
      <c r="H21" s="73" t="s">
        <v>73</v>
      </c>
      <c r="I21" s="300" t="s">
        <v>152</v>
      </c>
      <c r="J21" s="74" t="s">
        <v>73</v>
      </c>
      <c r="K21" s="75"/>
      <c r="L21" s="300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D10:J10"/>
    <mergeCell ref="B11:C12"/>
    <mergeCell ref="B13:B15"/>
    <mergeCell ref="B18:C18"/>
    <mergeCell ref="B19:C19"/>
    <mergeCell ref="B16:B17"/>
    <mergeCell ref="C8:D8"/>
    <mergeCell ref="E8:F8"/>
    <mergeCell ref="G8:H8"/>
    <mergeCell ref="I8:J8"/>
    <mergeCell ref="K10:M10"/>
    <mergeCell ref="B10:C10"/>
    <mergeCell ref="I6:J6"/>
    <mergeCell ref="C7:D7"/>
    <mergeCell ref="E7:F7"/>
    <mergeCell ref="G7:H7"/>
    <mergeCell ref="I7:J7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157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7">
    <pageSetUpPr fitToPage="1"/>
  </sheetPr>
  <dimension ref="A1:AC72"/>
  <sheetViews>
    <sheetView topLeftCell="I1" zoomScale="80" zoomScaleNormal="80" workbookViewId="0">
      <pane ySplit="4" topLeftCell="A53" activePane="bottomLeft" state="frozen"/>
      <selection activeCell="G14" sqref="G14"/>
      <selection pane="bottomLeft" activeCell="U12" sqref="U12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20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112</v>
      </c>
      <c r="B1" s="1"/>
      <c r="C1" s="2" t="s">
        <v>96</v>
      </c>
      <c r="D1" s="3">
        <f>SUM(F5:F71)</f>
        <v>155645</v>
      </c>
      <c r="E1" s="438" t="s">
        <v>113</v>
      </c>
      <c r="F1" s="1">
        <f>SUM(G5:G71)</f>
        <v>5359266.3099999987</v>
      </c>
      <c r="G1" s="1" t="s">
        <v>153</v>
      </c>
      <c r="H1" s="358">
        <v>162.42857142857142</v>
      </c>
      <c r="I1" s="572" t="s">
        <v>1739</v>
      </c>
      <c r="J1" s="572"/>
      <c r="K1" s="572"/>
      <c r="L1" s="572" t="s">
        <v>154</v>
      </c>
      <c r="M1" s="572"/>
      <c r="N1" s="572"/>
      <c r="O1" s="572" t="s">
        <v>1738</v>
      </c>
      <c r="P1" s="572"/>
      <c r="Q1" s="572"/>
      <c r="R1" s="572"/>
      <c r="S1" s="572" t="s">
        <v>1737</v>
      </c>
      <c r="T1" s="572"/>
      <c r="U1" s="572"/>
      <c r="V1" s="572"/>
      <c r="W1" s="572"/>
      <c r="X1" s="572"/>
      <c r="Y1" s="572" t="s">
        <v>1736</v>
      </c>
      <c r="Z1" s="572"/>
      <c r="AA1" s="572" t="s">
        <v>155</v>
      </c>
      <c r="AB1" s="573"/>
      <c r="AC1" s="573"/>
    </row>
    <row r="2" spans="1:29" ht="26.25" customHeight="1">
      <c r="A2" s="357">
        <v>45897</v>
      </c>
      <c r="B2" s="356" t="s">
        <v>337</v>
      </c>
      <c r="C2" s="2" t="s">
        <v>1733</v>
      </c>
      <c r="D2" s="6">
        <f>AVERAGE(N8,N13,N51,N57,N17,N64,N24,N32,N43,N71)</f>
        <v>136.52884627606065</v>
      </c>
      <c r="E2" s="7" t="s">
        <v>0</v>
      </c>
      <c r="F2" s="8">
        <f>F1/D1</f>
        <v>34.432627517748713</v>
      </c>
      <c r="G2" s="1" t="s">
        <v>117</v>
      </c>
      <c r="H2" s="355">
        <v>8</v>
      </c>
      <c r="I2" s="572"/>
      <c r="J2" s="572"/>
      <c r="K2" s="572"/>
      <c r="L2" s="572"/>
      <c r="M2" s="572"/>
      <c r="N2" s="572"/>
      <c r="O2" s="572"/>
      <c r="P2" s="572"/>
      <c r="Q2" s="572"/>
      <c r="R2" s="572"/>
      <c r="S2" s="572"/>
      <c r="T2" s="572"/>
      <c r="U2" s="572"/>
      <c r="V2" s="572"/>
      <c r="W2" s="572"/>
      <c r="X2" s="572"/>
      <c r="Y2" s="572"/>
      <c r="Z2" s="572"/>
      <c r="AA2" s="573"/>
      <c r="AB2" s="573"/>
      <c r="AC2" s="573"/>
    </row>
    <row r="3" spans="1:29" ht="23.25" customHeight="1">
      <c r="A3" s="528" t="s">
        <v>1735</v>
      </c>
      <c r="B3" s="528" t="s">
        <v>118</v>
      </c>
      <c r="C3" s="528" t="s">
        <v>119</v>
      </c>
      <c r="D3" s="528"/>
      <c r="E3" s="570" t="s">
        <v>157</v>
      </c>
      <c r="F3" s="528" t="s">
        <v>120</v>
      </c>
      <c r="G3" s="570" t="s">
        <v>158</v>
      </c>
      <c r="H3" s="574" t="s">
        <v>99</v>
      </c>
      <c r="I3" s="561" t="s">
        <v>101</v>
      </c>
      <c r="J3" s="566" t="s">
        <v>100</v>
      </c>
      <c r="K3" s="568" t="s">
        <v>1734</v>
      </c>
      <c r="L3" s="561" t="s">
        <v>101</v>
      </c>
      <c r="M3" s="566" t="s">
        <v>100</v>
      </c>
      <c r="N3" s="568" t="s">
        <v>1733</v>
      </c>
      <c r="O3" s="561" t="s">
        <v>1732</v>
      </c>
      <c r="P3" s="568" t="s">
        <v>116</v>
      </c>
      <c r="Q3" s="567" t="s">
        <v>1731</v>
      </c>
      <c r="R3" s="542" t="s">
        <v>1728</v>
      </c>
      <c r="S3" s="569" t="s">
        <v>1</v>
      </c>
      <c r="T3" s="569"/>
      <c r="U3" s="563" t="s">
        <v>2</v>
      </c>
      <c r="V3" s="563" t="s">
        <v>1730</v>
      </c>
      <c r="W3" s="528" t="s">
        <v>160</v>
      </c>
      <c r="X3" s="528"/>
      <c r="Y3" s="564" t="s">
        <v>161</v>
      </c>
      <c r="Z3" s="565"/>
      <c r="AA3" s="566" t="s">
        <v>1729</v>
      </c>
      <c r="AB3" s="567" t="s">
        <v>102</v>
      </c>
      <c r="AC3" s="542" t="s">
        <v>1728</v>
      </c>
    </row>
    <row r="4" spans="1:29">
      <c r="A4" s="528"/>
      <c r="B4" s="528"/>
      <c r="C4" s="528"/>
      <c r="D4" s="528"/>
      <c r="E4" s="571"/>
      <c r="F4" s="528"/>
      <c r="G4" s="571"/>
      <c r="H4" s="574"/>
      <c r="I4" s="561"/>
      <c r="J4" s="566"/>
      <c r="K4" s="568"/>
      <c r="L4" s="561"/>
      <c r="M4" s="566"/>
      <c r="N4" s="568"/>
      <c r="O4" s="561"/>
      <c r="P4" s="568"/>
      <c r="Q4" s="567"/>
      <c r="R4" s="542"/>
      <c r="S4" s="447" t="s">
        <v>3</v>
      </c>
      <c r="T4" s="447" t="s">
        <v>4</v>
      </c>
      <c r="U4" s="563"/>
      <c r="V4" s="563"/>
      <c r="W4" s="438" t="s">
        <v>1727</v>
      </c>
      <c r="X4" s="438" t="s">
        <v>1726</v>
      </c>
      <c r="Y4" s="565"/>
      <c r="Z4" s="565"/>
      <c r="AA4" s="566"/>
      <c r="AB4" s="567"/>
      <c r="AC4" s="542"/>
    </row>
    <row r="5" spans="1:29">
      <c r="A5" s="560" t="s">
        <v>366</v>
      </c>
      <c r="B5" s="26" t="s">
        <v>13</v>
      </c>
      <c r="C5" s="562" t="s">
        <v>53</v>
      </c>
      <c r="D5" s="562"/>
      <c r="E5" s="26">
        <v>46.93</v>
      </c>
      <c r="F5" s="447">
        <v>780</v>
      </c>
      <c r="G5" s="438">
        <f>E5*F5</f>
        <v>36605.4</v>
      </c>
      <c r="H5" s="448" t="s">
        <v>52</v>
      </c>
      <c r="I5" s="445">
        <v>17</v>
      </c>
      <c r="J5" s="18">
        <v>2000</v>
      </c>
      <c r="K5" s="9">
        <f t="shared" ref="K5:K36" si="0">J5/I5</f>
        <v>117.64705882352941</v>
      </c>
      <c r="L5" s="445">
        <v>17</v>
      </c>
      <c r="M5" s="10">
        <f>F5/V5*60</f>
        <v>1871.9999999999945</v>
      </c>
      <c r="N5" s="9">
        <f t="shared" ref="N5:N36" si="1">M5/L5</f>
        <v>110.11764705882321</v>
      </c>
      <c r="O5" s="11">
        <f t="shared" ref="O5:O36" si="2">L5-I5</f>
        <v>0</v>
      </c>
      <c r="P5" s="12">
        <f t="shared" ref="P5:P36" si="3">N5-K5</f>
        <v>-7.5294117647061967</v>
      </c>
      <c r="Q5" s="437">
        <f t="shared" ref="Q5:Q36" si="4">N5/K5</f>
        <v>0.93599999999999728</v>
      </c>
      <c r="R5" s="533">
        <f>Q8</f>
        <v>0.93559070935342059</v>
      </c>
      <c r="S5" s="24">
        <v>0.70833333333333337</v>
      </c>
      <c r="T5" s="24">
        <v>0.72569444444444453</v>
      </c>
      <c r="U5" s="438"/>
      <c r="V5" s="446">
        <f>(T5-S5)*24*60</f>
        <v>25.000000000000071</v>
      </c>
      <c r="W5" s="14"/>
      <c r="X5" s="13"/>
      <c r="Y5" s="528"/>
      <c r="Z5" s="528"/>
      <c r="AA5" s="11">
        <f t="shared" ref="AA5:AA36" si="5">M5-J5</f>
        <v>-128.00000000000546</v>
      </c>
      <c r="AB5" s="437">
        <f t="shared" ref="AB5:AB36" si="6">M5/J5</f>
        <v>0.93599999999999728</v>
      </c>
      <c r="AC5" s="533">
        <f>AB8</f>
        <v>0.93559070935342059</v>
      </c>
    </row>
    <row r="6" spans="1:29">
      <c r="A6" s="561" t="s">
        <v>366</v>
      </c>
      <c r="B6" s="26" t="s">
        <v>13</v>
      </c>
      <c r="C6" s="562" t="s">
        <v>55</v>
      </c>
      <c r="D6" s="562"/>
      <c r="E6" s="26">
        <v>50.49</v>
      </c>
      <c r="F6" s="447">
        <v>1848</v>
      </c>
      <c r="G6" s="438">
        <f>E6*F6</f>
        <v>93305.52</v>
      </c>
      <c r="H6" s="448" t="s">
        <v>52</v>
      </c>
      <c r="I6" s="445">
        <v>16</v>
      </c>
      <c r="J6" s="18">
        <v>2000</v>
      </c>
      <c r="K6" s="9">
        <f t="shared" si="0"/>
        <v>125</v>
      </c>
      <c r="L6" s="445">
        <v>16</v>
      </c>
      <c r="M6" s="10">
        <f>F6/V6*60</f>
        <v>1879.3220338983067</v>
      </c>
      <c r="N6" s="9">
        <f t="shared" si="1"/>
        <v>117.45762711864417</v>
      </c>
      <c r="O6" s="11">
        <f t="shared" si="2"/>
        <v>0</v>
      </c>
      <c r="P6" s="12">
        <f t="shared" si="3"/>
        <v>-7.5423728813558313</v>
      </c>
      <c r="Q6" s="437">
        <f t="shared" si="4"/>
        <v>0.93966101694915338</v>
      </c>
      <c r="R6" s="533"/>
      <c r="S6" s="24">
        <v>0.73125000000000007</v>
      </c>
      <c r="T6" s="24">
        <v>0.77222222222222225</v>
      </c>
      <c r="U6" s="438">
        <f>(S6-T5)*24*60</f>
        <v>7.9999999999999716</v>
      </c>
      <c r="V6" s="446">
        <f>(T6-S6)*24*60</f>
        <v>58.99999999999995</v>
      </c>
      <c r="W6" s="14"/>
      <c r="X6" s="14"/>
      <c r="Y6" s="528"/>
      <c r="Z6" s="528"/>
      <c r="AA6" s="11">
        <f t="shared" si="5"/>
        <v>-120.6779661016933</v>
      </c>
      <c r="AB6" s="437">
        <f t="shared" si="6"/>
        <v>0.93966101694915338</v>
      </c>
      <c r="AC6" s="533"/>
    </row>
    <row r="7" spans="1:29">
      <c r="A7" s="561" t="s">
        <v>366</v>
      </c>
      <c r="B7" s="26" t="s">
        <v>13</v>
      </c>
      <c r="C7" s="558" t="s">
        <v>76</v>
      </c>
      <c r="D7" s="559"/>
      <c r="E7" s="26">
        <v>50.67</v>
      </c>
      <c r="F7" s="447">
        <v>1676</v>
      </c>
      <c r="G7" s="438">
        <f>E7*F7</f>
        <v>84922.92</v>
      </c>
      <c r="H7" s="448" t="s">
        <v>52</v>
      </c>
      <c r="I7" s="445">
        <v>18</v>
      </c>
      <c r="J7" s="18">
        <v>2000</v>
      </c>
      <c r="K7" s="9">
        <f t="shared" si="0"/>
        <v>111.11111111111111</v>
      </c>
      <c r="L7" s="445">
        <v>18</v>
      </c>
      <c r="M7" s="10">
        <f>F7/V7*60</f>
        <v>1862.2222222222231</v>
      </c>
      <c r="N7" s="9">
        <f t="shared" si="1"/>
        <v>103.45679012345684</v>
      </c>
      <c r="O7" s="11">
        <f t="shared" si="2"/>
        <v>0</v>
      </c>
      <c r="P7" s="12">
        <f t="shared" si="3"/>
        <v>-7.6543209876542733</v>
      </c>
      <c r="Q7" s="437">
        <f t="shared" si="4"/>
        <v>0.93111111111111156</v>
      </c>
      <c r="R7" s="533"/>
      <c r="S7" s="24">
        <v>0.77569444444444446</v>
      </c>
      <c r="T7" s="24">
        <v>0.81319444444444444</v>
      </c>
      <c r="U7" s="438">
        <f>(S7-T6)*24*60</f>
        <v>4.9999999999999822</v>
      </c>
      <c r="V7" s="446">
        <f>(T7-S7)*24*60</f>
        <v>53.999999999999972</v>
      </c>
      <c r="W7" s="14"/>
      <c r="X7" s="14"/>
      <c r="Y7" s="536"/>
      <c r="Z7" s="537"/>
      <c r="AA7" s="11">
        <f t="shared" si="5"/>
        <v>-137.77777777777692</v>
      </c>
      <c r="AB7" s="437">
        <f t="shared" si="6"/>
        <v>0.93111111111111156</v>
      </c>
      <c r="AC7" s="533"/>
    </row>
    <row r="8" spans="1:29">
      <c r="A8" s="561" t="s">
        <v>1725</v>
      </c>
      <c r="B8" s="26" t="s">
        <v>1708</v>
      </c>
      <c r="C8" s="530"/>
      <c r="D8" s="530"/>
      <c r="E8" s="439"/>
      <c r="F8" s="16"/>
      <c r="G8" s="9"/>
      <c r="H8" s="447"/>
      <c r="I8" s="17">
        <v>17</v>
      </c>
      <c r="J8" s="18">
        <v>2000</v>
      </c>
      <c r="K8" s="9">
        <f t="shared" si="0"/>
        <v>117.64705882352941</v>
      </c>
      <c r="L8" s="17">
        <v>17</v>
      </c>
      <c r="M8" s="10">
        <f>AVERAGE(M5:M7)</f>
        <v>1871.1814187068412</v>
      </c>
      <c r="N8" s="9">
        <f t="shared" si="1"/>
        <v>110.06949521804948</v>
      </c>
      <c r="O8" s="11">
        <f t="shared" si="2"/>
        <v>0</v>
      </c>
      <c r="P8" s="12">
        <f t="shared" si="3"/>
        <v>-7.5775636054799236</v>
      </c>
      <c r="Q8" s="437">
        <f t="shared" si="4"/>
        <v>0.93559070935342059</v>
      </c>
      <c r="R8" s="533"/>
      <c r="S8" s="24"/>
      <c r="T8" s="24"/>
      <c r="U8" s="438"/>
      <c r="V8" s="446"/>
      <c r="W8" s="9"/>
      <c r="X8" s="9"/>
      <c r="Y8" s="528"/>
      <c r="Z8" s="528"/>
      <c r="AA8" s="11">
        <f t="shared" si="5"/>
        <v>-128.81858129315879</v>
      </c>
      <c r="AB8" s="437">
        <f t="shared" si="6"/>
        <v>0.93559070935342059</v>
      </c>
      <c r="AC8" s="533"/>
    </row>
    <row r="9" spans="1:29" ht="15.75" customHeight="1">
      <c r="A9" s="531" t="s">
        <v>369</v>
      </c>
      <c r="B9" s="26" t="s">
        <v>15</v>
      </c>
      <c r="C9" s="558" t="s">
        <v>16</v>
      </c>
      <c r="D9" s="559"/>
      <c r="E9" s="26">
        <v>39.619999999999997</v>
      </c>
      <c r="F9" s="447">
        <v>4651</v>
      </c>
      <c r="G9" s="438">
        <f>E9*F9</f>
        <v>184272.62</v>
      </c>
      <c r="H9" s="448" t="s">
        <v>52</v>
      </c>
      <c r="I9" s="445">
        <v>19</v>
      </c>
      <c r="J9" s="18">
        <v>1500</v>
      </c>
      <c r="K9" s="9">
        <f t="shared" si="0"/>
        <v>78.94736842105263</v>
      </c>
      <c r="L9" s="445">
        <v>19</v>
      </c>
      <c r="M9" s="10">
        <f>F9/V9*60</f>
        <v>1402.3115577889448</v>
      </c>
      <c r="N9" s="9">
        <f t="shared" si="1"/>
        <v>73.805871462576036</v>
      </c>
      <c r="O9" s="11">
        <f t="shared" si="2"/>
        <v>0</v>
      </c>
      <c r="P9" s="12">
        <f t="shared" si="3"/>
        <v>-5.1414969584765942</v>
      </c>
      <c r="Q9" s="437">
        <f t="shared" si="4"/>
        <v>0.93487437185929645</v>
      </c>
      <c r="R9" s="533">
        <f>Q13</f>
        <v>0.9351255414955717</v>
      </c>
      <c r="S9" s="24">
        <v>0.125</v>
      </c>
      <c r="T9" s="24">
        <v>0.26319444444444445</v>
      </c>
      <c r="U9" s="438"/>
      <c r="V9" s="446">
        <f>(T9-S9)*24*60</f>
        <v>199</v>
      </c>
      <c r="W9" s="14">
        <f>T9</f>
        <v>0.26319444444444445</v>
      </c>
      <c r="X9" s="14">
        <f>S10</f>
        <v>0.28125</v>
      </c>
      <c r="Y9" s="528"/>
      <c r="Z9" s="528"/>
      <c r="AA9" s="11">
        <f t="shared" si="5"/>
        <v>-97.68844221105519</v>
      </c>
      <c r="AB9" s="437">
        <f t="shared" si="6"/>
        <v>0.93487437185929656</v>
      </c>
      <c r="AC9" s="533">
        <f>AB13</f>
        <v>0.93512554149557159</v>
      </c>
    </row>
    <row r="10" spans="1:29" ht="15.75" customHeight="1">
      <c r="A10" s="531" t="s">
        <v>369</v>
      </c>
      <c r="B10" s="26" t="s">
        <v>15</v>
      </c>
      <c r="C10" s="558" t="s">
        <v>17</v>
      </c>
      <c r="D10" s="559"/>
      <c r="E10" s="26">
        <v>39.799999999999997</v>
      </c>
      <c r="F10" s="447">
        <v>4000</v>
      </c>
      <c r="G10" s="438">
        <f>E10*F10</f>
        <v>159200</v>
      </c>
      <c r="H10" s="448">
        <v>2</v>
      </c>
      <c r="I10" s="445">
        <v>17</v>
      </c>
      <c r="J10" s="18">
        <v>1500</v>
      </c>
      <c r="K10" s="9">
        <f t="shared" si="0"/>
        <v>88.235294117647058</v>
      </c>
      <c r="L10" s="445">
        <v>17</v>
      </c>
      <c r="M10" s="10">
        <f>F10/V10*60</f>
        <v>1403.5087719298244</v>
      </c>
      <c r="N10" s="9">
        <f t="shared" si="1"/>
        <v>82.559339525283789</v>
      </c>
      <c r="O10" s="11">
        <f t="shared" si="2"/>
        <v>0</v>
      </c>
      <c r="P10" s="12">
        <f t="shared" si="3"/>
        <v>-5.6759545923632686</v>
      </c>
      <c r="Q10" s="437">
        <f t="shared" si="4"/>
        <v>0.93567251461988299</v>
      </c>
      <c r="R10" s="533"/>
      <c r="S10" s="24">
        <v>0.28125</v>
      </c>
      <c r="T10" s="24">
        <v>0.4</v>
      </c>
      <c r="U10" s="438">
        <f>(S10-T9)*24*60</f>
        <v>25.999999999999986</v>
      </c>
      <c r="V10" s="446">
        <f>(T10-S10)*24*60</f>
        <v>171.00000000000003</v>
      </c>
      <c r="W10" s="14"/>
      <c r="X10" s="14"/>
      <c r="Y10" s="528"/>
      <c r="Z10" s="528"/>
      <c r="AA10" s="11">
        <f t="shared" si="5"/>
        <v>-96.491228070175566</v>
      </c>
      <c r="AB10" s="437">
        <f t="shared" si="6"/>
        <v>0.93567251461988299</v>
      </c>
      <c r="AC10" s="533"/>
    </row>
    <row r="11" spans="1:29" ht="15.75" customHeight="1">
      <c r="A11" s="531" t="s">
        <v>1724</v>
      </c>
      <c r="B11" s="26" t="s">
        <v>15</v>
      </c>
      <c r="C11" s="558" t="s">
        <v>80</v>
      </c>
      <c r="D11" s="559"/>
      <c r="E11" s="26">
        <v>39.29</v>
      </c>
      <c r="F11" s="447">
        <v>3764</v>
      </c>
      <c r="G11" s="438">
        <f>E11*F11</f>
        <v>147887.56</v>
      </c>
      <c r="H11" s="448" t="s">
        <v>52</v>
      </c>
      <c r="I11" s="445">
        <v>19</v>
      </c>
      <c r="J11" s="18">
        <v>1500</v>
      </c>
      <c r="K11" s="9">
        <f t="shared" si="0"/>
        <v>78.94736842105263</v>
      </c>
      <c r="L11" s="445">
        <v>19</v>
      </c>
      <c r="M11" s="10">
        <f>F11/V11*60</f>
        <v>1402.7329192546592</v>
      </c>
      <c r="N11" s="9">
        <f t="shared" si="1"/>
        <v>73.828048381824175</v>
      </c>
      <c r="O11" s="11">
        <f t="shared" si="2"/>
        <v>0</v>
      </c>
      <c r="P11" s="12">
        <f t="shared" si="3"/>
        <v>-5.1193200392284552</v>
      </c>
      <c r="Q11" s="437">
        <f t="shared" si="4"/>
        <v>0.93515527950310628</v>
      </c>
      <c r="R11" s="533"/>
      <c r="S11" s="24">
        <v>0.40347222222222223</v>
      </c>
      <c r="T11" s="24">
        <v>0.51527777777777772</v>
      </c>
      <c r="U11" s="438">
        <f>(S11-T10)*24*60</f>
        <v>4.9999999999999822</v>
      </c>
      <c r="V11" s="446">
        <f>(T11-S11)*24*60</f>
        <v>160.99999999999991</v>
      </c>
      <c r="W11" s="14">
        <f>T11</f>
        <v>0.51527777777777772</v>
      </c>
      <c r="X11" s="14">
        <f>S12</f>
        <v>0.55694444444444435</v>
      </c>
      <c r="Y11" s="528"/>
      <c r="Z11" s="528"/>
      <c r="AA11" s="11">
        <f t="shared" si="5"/>
        <v>-97.267080745340763</v>
      </c>
      <c r="AB11" s="437">
        <f t="shared" si="6"/>
        <v>0.93515527950310617</v>
      </c>
      <c r="AC11" s="533"/>
    </row>
    <row r="12" spans="1:29" ht="15.75" customHeight="1">
      <c r="A12" s="531" t="s">
        <v>1723</v>
      </c>
      <c r="B12" s="26" t="s">
        <v>15</v>
      </c>
      <c r="C12" s="558" t="s">
        <v>17</v>
      </c>
      <c r="D12" s="559"/>
      <c r="E12" s="26">
        <v>39.799999999999997</v>
      </c>
      <c r="F12" s="447">
        <v>2337</v>
      </c>
      <c r="G12" s="438">
        <f>E12*F12</f>
        <v>93012.599999999991</v>
      </c>
      <c r="H12" s="448" t="s">
        <v>52</v>
      </c>
      <c r="I12" s="445">
        <v>17</v>
      </c>
      <c r="J12" s="18">
        <v>1500</v>
      </c>
      <c r="K12" s="9">
        <f t="shared" si="0"/>
        <v>88.235294117647058</v>
      </c>
      <c r="L12" s="445">
        <v>17</v>
      </c>
      <c r="M12" s="10">
        <f>F12/V12*60</f>
        <v>1402.2000000000005</v>
      </c>
      <c r="N12" s="9">
        <f t="shared" si="1"/>
        <v>82.482352941176501</v>
      </c>
      <c r="O12" s="11">
        <f t="shared" si="2"/>
        <v>0</v>
      </c>
      <c r="P12" s="12">
        <f t="shared" si="3"/>
        <v>-5.7529411764705571</v>
      </c>
      <c r="Q12" s="437">
        <f t="shared" si="4"/>
        <v>0.9348000000000003</v>
      </c>
      <c r="R12" s="533"/>
      <c r="S12" s="24">
        <v>0.55694444444444435</v>
      </c>
      <c r="T12" s="24">
        <v>0.62638888888888877</v>
      </c>
      <c r="U12" s="438">
        <f>(S12-T11)*24*60</f>
        <v>59.999999999999943</v>
      </c>
      <c r="V12" s="446">
        <f>(T12-S12)*24*60</f>
        <v>99.999999999999972</v>
      </c>
      <c r="W12" s="14"/>
      <c r="X12" s="14"/>
      <c r="Y12" s="528"/>
      <c r="Z12" s="528"/>
      <c r="AA12" s="11">
        <f t="shared" si="5"/>
        <v>-97.7999999999995</v>
      </c>
      <c r="AB12" s="437">
        <f t="shared" si="6"/>
        <v>0.9348000000000003</v>
      </c>
      <c r="AC12" s="533"/>
    </row>
    <row r="13" spans="1:29" ht="16.5" customHeight="1">
      <c r="A13" s="531" t="s">
        <v>369</v>
      </c>
      <c r="B13" s="26" t="s">
        <v>1713</v>
      </c>
      <c r="C13" s="530"/>
      <c r="D13" s="530"/>
      <c r="E13" s="439"/>
      <c r="F13" s="18"/>
      <c r="G13" s="10"/>
      <c r="H13" s="447"/>
      <c r="I13" s="17">
        <v>18</v>
      </c>
      <c r="J13" s="18">
        <v>1500</v>
      </c>
      <c r="K13" s="9">
        <f t="shared" si="0"/>
        <v>83.333333333333329</v>
      </c>
      <c r="L13" s="17">
        <v>18</v>
      </c>
      <c r="M13" s="10">
        <f>AVERAGE(M9:M12)</f>
        <v>1402.6883122433574</v>
      </c>
      <c r="N13" s="9">
        <f t="shared" si="1"/>
        <v>77.927128457964301</v>
      </c>
      <c r="O13" s="11">
        <f t="shared" si="2"/>
        <v>0</v>
      </c>
      <c r="P13" s="12">
        <f t="shared" si="3"/>
        <v>-5.4062048753690277</v>
      </c>
      <c r="Q13" s="437">
        <f t="shared" si="4"/>
        <v>0.9351255414955717</v>
      </c>
      <c r="R13" s="533"/>
      <c r="S13" s="24"/>
      <c r="T13" s="24"/>
      <c r="U13" s="9"/>
      <c r="V13" s="446"/>
      <c r="W13" s="9"/>
      <c r="X13" s="9"/>
      <c r="Y13" s="528"/>
      <c r="Z13" s="528"/>
      <c r="AA13" s="11">
        <f t="shared" si="5"/>
        <v>-97.311687756642641</v>
      </c>
      <c r="AB13" s="437">
        <f t="shared" si="6"/>
        <v>0.93512554149557159</v>
      </c>
      <c r="AC13" s="533"/>
    </row>
    <row r="14" spans="1:29" ht="16.5" customHeight="1">
      <c r="A14" s="556" t="s">
        <v>1722</v>
      </c>
      <c r="B14" s="447" t="s">
        <v>21</v>
      </c>
      <c r="C14" s="552" t="s">
        <v>19</v>
      </c>
      <c r="D14" s="552"/>
      <c r="E14" s="26">
        <v>41</v>
      </c>
      <c r="F14" s="447">
        <v>1743</v>
      </c>
      <c r="G14" s="438">
        <f>E14*F14</f>
        <v>71463</v>
      </c>
      <c r="H14" s="448" t="s">
        <v>52</v>
      </c>
      <c r="I14" s="445">
        <v>26</v>
      </c>
      <c r="J14" s="18">
        <v>1500</v>
      </c>
      <c r="K14" s="9">
        <f t="shared" si="0"/>
        <v>57.692307692307693</v>
      </c>
      <c r="L14" s="445">
        <v>26</v>
      </c>
      <c r="M14" s="10">
        <f>F14/V14*60</f>
        <v>1413.2432432432438</v>
      </c>
      <c r="N14" s="9">
        <f t="shared" si="1"/>
        <v>54.355509355509376</v>
      </c>
      <c r="O14" s="11">
        <f t="shared" si="2"/>
        <v>0</v>
      </c>
      <c r="P14" s="12">
        <f t="shared" si="3"/>
        <v>-3.3367983367983172</v>
      </c>
      <c r="Q14" s="437">
        <f t="shared" si="4"/>
        <v>0.94216216216216253</v>
      </c>
      <c r="R14" s="533">
        <f>Q17</f>
        <v>0.93680919278480268</v>
      </c>
      <c r="S14" s="24">
        <v>0.25</v>
      </c>
      <c r="T14" s="24">
        <v>0.30138888888888887</v>
      </c>
      <c r="U14" s="438"/>
      <c r="V14" s="446">
        <f>(T14-S14)*24*60</f>
        <v>73.999999999999972</v>
      </c>
      <c r="W14" s="15"/>
      <c r="X14" s="15"/>
      <c r="Y14" s="528"/>
      <c r="Z14" s="528"/>
      <c r="AA14" s="11">
        <f t="shared" si="5"/>
        <v>-86.756756756756204</v>
      </c>
      <c r="AB14" s="437">
        <f t="shared" si="6"/>
        <v>0.94216216216216253</v>
      </c>
      <c r="AC14" s="533">
        <f>AB17</f>
        <v>0.93680919278480257</v>
      </c>
    </row>
    <row r="15" spans="1:29" ht="16.5" customHeight="1">
      <c r="A15" s="557" t="s">
        <v>1721</v>
      </c>
      <c r="B15" s="447" t="s">
        <v>13</v>
      </c>
      <c r="C15" s="552" t="s">
        <v>57</v>
      </c>
      <c r="D15" s="552"/>
      <c r="E15" s="26">
        <v>50.98</v>
      </c>
      <c r="F15" s="447">
        <v>2558</v>
      </c>
      <c r="G15" s="438">
        <f>E15*F15</f>
        <v>130406.84</v>
      </c>
      <c r="H15" s="448" t="s">
        <v>52</v>
      </c>
      <c r="I15" s="445">
        <v>17</v>
      </c>
      <c r="J15" s="18">
        <v>2000</v>
      </c>
      <c r="K15" s="9">
        <f t="shared" si="0"/>
        <v>117.64705882352941</v>
      </c>
      <c r="L15" s="445">
        <v>17</v>
      </c>
      <c r="M15" s="10">
        <f>F15/V15*60</f>
        <v>1871.7073170731701</v>
      </c>
      <c r="N15" s="9">
        <f t="shared" si="1"/>
        <v>110.10043041606883</v>
      </c>
      <c r="O15" s="11">
        <f t="shared" si="2"/>
        <v>0</v>
      </c>
      <c r="P15" s="12">
        <f t="shared" si="3"/>
        <v>-7.5466284074605738</v>
      </c>
      <c r="Q15" s="437">
        <f t="shared" si="4"/>
        <v>0.93585365853658509</v>
      </c>
      <c r="R15" s="533"/>
      <c r="S15" s="24">
        <v>0.70833333333333337</v>
      </c>
      <c r="T15" s="24">
        <v>0.76527777777777783</v>
      </c>
      <c r="U15" s="438" t="str">
        <f>IF(S15=TIME(17,0,0),"",(S15-T14)*24*60)</f>
        <v/>
      </c>
      <c r="V15" s="446">
        <f>(T15-S15)*24*60</f>
        <v>82.000000000000028</v>
      </c>
      <c r="W15" s="14"/>
      <c r="X15" s="14"/>
      <c r="Y15" s="528"/>
      <c r="Z15" s="528"/>
      <c r="AA15" s="11">
        <f t="shared" si="5"/>
        <v>-128.29268292682991</v>
      </c>
      <c r="AB15" s="437">
        <f t="shared" si="6"/>
        <v>0.93585365853658509</v>
      </c>
      <c r="AC15" s="533"/>
    </row>
    <row r="16" spans="1:29" ht="16.5" customHeight="1">
      <c r="A16" s="557" t="s">
        <v>373</v>
      </c>
      <c r="B16" s="447" t="s">
        <v>13</v>
      </c>
      <c r="C16" s="552" t="s">
        <v>54</v>
      </c>
      <c r="D16" s="552"/>
      <c r="E16" s="26">
        <v>50.92</v>
      </c>
      <c r="F16" s="447">
        <v>2739</v>
      </c>
      <c r="G16" s="438">
        <f>E16*F16</f>
        <v>139469.88</v>
      </c>
      <c r="H16" s="448" t="s">
        <v>52</v>
      </c>
      <c r="I16" s="445">
        <v>16</v>
      </c>
      <c r="J16" s="18">
        <v>2000</v>
      </c>
      <c r="K16" s="9">
        <f t="shared" si="0"/>
        <v>125</v>
      </c>
      <c r="L16" s="445">
        <v>16</v>
      </c>
      <c r="M16" s="10">
        <f>F16/V16*60</f>
        <v>1867.5</v>
      </c>
      <c r="N16" s="9">
        <f t="shared" si="1"/>
        <v>116.71875</v>
      </c>
      <c r="O16" s="11">
        <f t="shared" si="2"/>
        <v>0</v>
      </c>
      <c r="P16" s="12">
        <f t="shared" si="3"/>
        <v>-8.28125</v>
      </c>
      <c r="Q16" s="437">
        <f t="shared" si="4"/>
        <v>0.93374999999999997</v>
      </c>
      <c r="R16" s="533"/>
      <c r="S16" s="24">
        <v>0.77083333333333337</v>
      </c>
      <c r="T16" s="24">
        <v>0.83194444444444449</v>
      </c>
      <c r="U16" s="438">
        <f>IF(S16=TIME(17,0,0),"",(S16-T15)*24*60)</f>
        <v>7.9999999999999716</v>
      </c>
      <c r="V16" s="446">
        <f>(T16-S16)*24*60</f>
        <v>88</v>
      </c>
      <c r="W16" s="14"/>
      <c r="X16" s="14"/>
      <c r="Y16" s="528"/>
      <c r="Z16" s="528"/>
      <c r="AA16" s="11">
        <f t="shared" si="5"/>
        <v>-132.5</v>
      </c>
      <c r="AB16" s="437">
        <f t="shared" si="6"/>
        <v>0.93374999999999997</v>
      </c>
      <c r="AC16" s="533"/>
    </row>
    <row r="17" spans="1:29" ht="16.5" customHeight="1">
      <c r="A17" s="557" t="s">
        <v>1721</v>
      </c>
      <c r="B17" s="26" t="s">
        <v>1713</v>
      </c>
      <c r="C17" s="530"/>
      <c r="D17" s="530"/>
      <c r="E17" s="439"/>
      <c r="F17" s="16"/>
      <c r="G17" s="9"/>
      <c r="H17" s="447"/>
      <c r="I17" s="17">
        <v>19.666666666666668</v>
      </c>
      <c r="J17" s="18">
        <v>1833.3333333333333</v>
      </c>
      <c r="K17" s="9">
        <f t="shared" si="0"/>
        <v>93.220338983050837</v>
      </c>
      <c r="L17" s="17">
        <v>19.666666666666668</v>
      </c>
      <c r="M17" s="10">
        <f>AVERAGE(M14:M16)</f>
        <v>1717.4835201054714</v>
      </c>
      <c r="N17" s="9">
        <f t="shared" si="1"/>
        <v>87.329670513837527</v>
      </c>
      <c r="O17" s="11">
        <f t="shared" si="2"/>
        <v>0</v>
      </c>
      <c r="P17" s="12">
        <f t="shared" si="3"/>
        <v>-5.8906684692133098</v>
      </c>
      <c r="Q17" s="437">
        <f t="shared" si="4"/>
        <v>0.93680919278480268</v>
      </c>
      <c r="R17" s="533"/>
      <c r="S17" s="24"/>
      <c r="T17" s="24"/>
      <c r="U17" s="438"/>
      <c r="V17" s="446"/>
      <c r="W17" s="9"/>
      <c r="X17" s="9"/>
      <c r="Y17" s="528"/>
      <c r="Z17" s="528"/>
      <c r="AA17" s="11">
        <f t="shared" si="5"/>
        <v>-115.84981322786189</v>
      </c>
      <c r="AB17" s="437">
        <f t="shared" si="6"/>
        <v>0.93680919278480257</v>
      </c>
      <c r="AC17" s="533"/>
    </row>
    <row r="18" spans="1:29" ht="15.75" customHeight="1">
      <c r="A18" s="554" t="s">
        <v>375</v>
      </c>
      <c r="B18" s="26" t="s">
        <v>21</v>
      </c>
      <c r="C18" s="552" t="s">
        <v>22</v>
      </c>
      <c r="D18" s="552"/>
      <c r="E18" s="26">
        <v>43.14</v>
      </c>
      <c r="F18" s="447">
        <v>1399</v>
      </c>
      <c r="G18" s="438">
        <f t="shared" ref="G18:G23" si="7">E18*F18</f>
        <v>60352.86</v>
      </c>
      <c r="H18" s="448" t="s">
        <v>52</v>
      </c>
      <c r="I18" s="445">
        <v>17</v>
      </c>
      <c r="J18" s="18">
        <v>2000</v>
      </c>
      <c r="K18" s="9">
        <f t="shared" si="0"/>
        <v>117.64705882352941</v>
      </c>
      <c r="L18" s="445">
        <v>17</v>
      </c>
      <c r="M18" s="10">
        <f t="shared" ref="M18:M23" si="8">F18/V18*60</f>
        <v>1865.3333333333333</v>
      </c>
      <c r="N18" s="9">
        <f t="shared" si="1"/>
        <v>109.72549019607843</v>
      </c>
      <c r="O18" s="11">
        <f t="shared" si="2"/>
        <v>0</v>
      </c>
      <c r="P18" s="12">
        <f t="shared" si="3"/>
        <v>-7.9215686274509807</v>
      </c>
      <c r="Q18" s="437">
        <f t="shared" si="4"/>
        <v>0.93266666666666664</v>
      </c>
      <c r="R18" s="533">
        <f>Q24</f>
        <v>0.94022752921681574</v>
      </c>
      <c r="S18" s="24">
        <v>0.20833333333333334</v>
      </c>
      <c r="T18" s="24">
        <v>0.23958333333333334</v>
      </c>
      <c r="U18" s="438"/>
      <c r="V18" s="446">
        <f t="shared" ref="V18:V23" si="9">(T18-S18)*24*60</f>
        <v>45</v>
      </c>
      <c r="W18" s="15"/>
      <c r="X18" s="15"/>
      <c r="Y18" s="528"/>
      <c r="Z18" s="528"/>
      <c r="AA18" s="11">
        <f t="shared" si="5"/>
        <v>-134.66666666666674</v>
      </c>
      <c r="AB18" s="437">
        <f t="shared" si="6"/>
        <v>0.93266666666666664</v>
      </c>
      <c r="AC18" s="533">
        <f>AB24</f>
        <v>0.94022752921681574</v>
      </c>
    </row>
    <row r="19" spans="1:29" ht="15.75" customHeight="1">
      <c r="A19" s="555" t="s">
        <v>375</v>
      </c>
      <c r="B19" s="26" t="s">
        <v>13</v>
      </c>
      <c r="C19" s="552" t="s">
        <v>23</v>
      </c>
      <c r="D19" s="552"/>
      <c r="E19" s="26">
        <v>57.73</v>
      </c>
      <c r="F19" s="447">
        <v>2490</v>
      </c>
      <c r="G19" s="438">
        <f t="shared" si="7"/>
        <v>143747.69999999998</v>
      </c>
      <c r="H19" s="448" t="s">
        <v>52</v>
      </c>
      <c r="I19" s="445">
        <v>16</v>
      </c>
      <c r="J19" s="18">
        <v>2000</v>
      </c>
      <c r="K19" s="9">
        <f t="shared" si="0"/>
        <v>125</v>
      </c>
      <c r="L19" s="445">
        <v>16</v>
      </c>
      <c r="M19" s="10">
        <f t="shared" si="8"/>
        <v>1867.4999999999993</v>
      </c>
      <c r="N19" s="9">
        <f t="shared" si="1"/>
        <v>116.71874999999996</v>
      </c>
      <c r="O19" s="11">
        <f t="shared" si="2"/>
        <v>0</v>
      </c>
      <c r="P19" s="12">
        <f t="shared" si="3"/>
        <v>-8.2812500000000426</v>
      </c>
      <c r="Q19" s="437">
        <f t="shared" si="4"/>
        <v>0.93374999999999964</v>
      </c>
      <c r="R19" s="533"/>
      <c r="S19" s="24">
        <v>0.24444444444444446</v>
      </c>
      <c r="T19" s="24">
        <v>0.30000000000000004</v>
      </c>
      <c r="U19" s="438">
        <f>IF(S19=TIME(17,0,0),"",(S19-T18)*24*60)</f>
        <v>7.0000000000000151</v>
      </c>
      <c r="V19" s="446">
        <f t="shared" si="9"/>
        <v>80.000000000000028</v>
      </c>
      <c r="W19" s="14"/>
      <c r="X19" s="438"/>
      <c r="Y19" s="528"/>
      <c r="Z19" s="528"/>
      <c r="AA19" s="11">
        <f t="shared" si="5"/>
        <v>-132.50000000000068</v>
      </c>
      <c r="AB19" s="437">
        <f t="shared" si="6"/>
        <v>0.93374999999999964</v>
      </c>
      <c r="AC19" s="533"/>
    </row>
    <row r="20" spans="1:29" ht="15.75" customHeight="1">
      <c r="A20" s="555" t="s">
        <v>1720</v>
      </c>
      <c r="B20" s="26" t="s">
        <v>13</v>
      </c>
      <c r="C20" s="552" t="s">
        <v>14</v>
      </c>
      <c r="D20" s="552"/>
      <c r="E20" s="26">
        <v>53.68</v>
      </c>
      <c r="F20" s="447">
        <v>1642</v>
      </c>
      <c r="G20" s="438">
        <f t="shared" si="7"/>
        <v>88142.56</v>
      </c>
      <c r="H20" s="448" t="s">
        <v>52</v>
      </c>
      <c r="I20" s="445">
        <v>17</v>
      </c>
      <c r="J20" s="18">
        <v>2000</v>
      </c>
      <c r="K20" s="9">
        <f t="shared" si="0"/>
        <v>117.64705882352941</v>
      </c>
      <c r="L20" s="445">
        <v>17</v>
      </c>
      <c r="M20" s="10">
        <f t="shared" si="8"/>
        <v>1894.6153846153857</v>
      </c>
      <c r="N20" s="9">
        <f t="shared" si="1"/>
        <v>111.44796380090504</v>
      </c>
      <c r="O20" s="11">
        <f t="shared" si="2"/>
        <v>0</v>
      </c>
      <c r="P20" s="12">
        <f t="shared" si="3"/>
        <v>-6.1990950226243626</v>
      </c>
      <c r="Q20" s="437">
        <f t="shared" si="4"/>
        <v>0.94730769230769296</v>
      </c>
      <c r="R20" s="533"/>
      <c r="S20" s="24">
        <v>0.30486111111111114</v>
      </c>
      <c r="T20" s="24">
        <v>0.34097222222222223</v>
      </c>
      <c r="U20" s="438">
        <f>IF(S20=TIME(17,0,0),"",(S20-T19)*24*60)</f>
        <v>6.9999999999999751</v>
      </c>
      <c r="V20" s="446">
        <f t="shared" si="9"/>
        <v>51.999999999999972</v>
      </c>
      <c r="W20" s="14"/>
      <c r="X20" s="438"/>
      <c r="Y20" s="528"/>
      <c r="Z20" s="528"/>
      <c r="AA20" s="11">
        <f t="shared" si="5"/>
        <v>-105.38461538461434</v>
      </c>
      <c r="AB20" s="437">
        <f t="shared" si="6"/>
        <v>0.94730769230769285</v>
      </c>
      <c r="AC20" s="533"/>
    </row>
    <row r="21" spans="1:29" ht="15.75" customHeight="1">
      <c r="A21" s="555" t="s">
        <v>375</v>
      </c>
      <c r="B21" s="26" t="s">
        <v>13</v>
      </c>
      <c r="C21" s="552" t="s">
        <v>81</v>
      </c>
      <c r="D21" s="552"/>
      <c r="E21" s="26">
        <v>58.17</v>
      </c>
      <c r="F21" s="447">
        <v>1576</v>
      </c>
      <c r="G21" s="438">
        <f t="shared" si="7"/>
        <v>91675.92</v>
      </c>
      <c r="H21" s="448" t="s">
        <v>52</v>
      </c>
      <c r="I21" s="445">
        <v>18</v>
      </c>
      <c r="J21" s="18">
        <v>2000</v>
      </c>
      <c r="K21" s="9">
        <f t="shared" si="0"/>
        <v>111.11111111111111</v>
      </c>
      <c r="L21" s="445">
        <v>18</v>
      </c>
      <c r="M21" s="10">
        <f t="shared" si="8"/>
        <v>1891.2000000000007</v>
      </c>
      <c r="N21" s="9">
        <f t="shared" si="1"/>
        <v>105.06666666666671</v>
      </c>
      <c r="O21" s="11">
        <f t="shared" si="2"/>
        <v>0</v>
      </c>
      <c r="P21" s="12">
        <f t="shared" si="3"/>
        <v>-6.0444444444444088</v>
      </c>
      <c r="Q21" s="437">
        <f t="shared" si="4"/>
        <v>0.94560000000000033</v>
      </c>
      <c r="R21" s="533"/>
      <c r="S21" s="24">
        <v>0.34652777777777777</v>
      </c>
      <c r="T21" s="24">
        <v>0.38124999999999998</v>
      </c>
      <c r="U21" s="438">
        <f>IF(S21=TIME(17,0,0),"",(S21-T20)*24*60)</f>
        <v>7.9999999999999716</v>
      </c>
      <c r="V21" s="446">
        <f t="shared" si="9"/>
        <v>49.999999999999986</v>
      </c>
      <c r="W21" s="14"/>
      <c r="X21" s="438"/>
      <c r="Y21" s="528"/>
      <c r="Z21" s="528"/>
      <c r="AA21" s="11">
        <f t="shared" si="5"/>
        <v>-108.79999999999927</v>
      </c>
      <c r="AB21" s="437">
        <f t="shared" si="6"/>
        <v>0.94560000000000033</v>
      </c>
      <c r="AC21" s="533"/>
    </row>
    <row r="22" spans="1:29" ht="15.75" customHeight="1">
      <c r="A22" s="555" t="s">
        <v>375</v>
      </c>
      <c r="B22" s="26" t="s">
        <v>13</v>
      </c>
      <c r="C22" s="552" t="s">
        <v>85</v>
      </c>
      <c r="D22" s="552"/>
      <c r="E22" s="26">
        <v>54.09</v>
      </c>
      <c r="F22" s="447">
        <v>3061</v>
      </c>
      <c r="G22" s="438">
        <f t="shared" si="7"/>
        <v>165569.49000000002</v>
      </c>
      <c r="H22" s="448" t="s">
        <v>52</v>
      </c>
      <c r="I22" s="445">
        <v>20</v>
      </c>
      <c r="J22" s="18">
        <v>2000</v>
      </c>
      <c r="K22" s="9">
        <f t="shared" si="0"/>
        <v>100</v>
      </c>
      <c r="L22" s="445">
        <v>20</v>
      </c>
      <c r="M22" s="10">
        <f t="shared" si="8"/>
        <v>1874.0816326530619</v>
      </c>
      <c r="N22" s="9">
        <f t="shared" si="1"/>
        <v>93.7040816326531</v>
      </c>
      <c r="O22" s="11">
        <f t="shared" si="2"/>
        <v>0</v>
      </c>
      <c r="P22" s="12">
        <f t="shared" si="3"/>
        <v>-6.2959183673468999</v>
      </c>
      <c r="Q22" s="437">
        <f t="shared" si="4"/>
        <v>0.93704081632653102</v>
      </c>
      <c r="R22" s="533"/>
      <c r="S22" s="24">
        <v>0.70833333333333337</v>
      </c>
      <c r="T22" s="24">
        <v>0.77638888888888891</v>
      </c>
      <c r="U22" s="438" t="str">
        <f>IF(S22=TIME(17,0,0),"",(S22-T21)*24*60)</f>
        <v/>
      </c>
      <c r="V22" s="446">
        <f t="shared" si="9"/>
        <v>97.999999999999972</v>
      </c>
      <c r="W22" s="14"/>
      <c r="X22" s="438"/>
      <c r="Y22" s="528"/>
      <c r="Z22" s="528"/>
      <c r="AA22" s="11">
        <f t="shared" si="5"/>
        <v>-125.91836734693811</v>
      </c>
      <c r="AB22" s="437">
        <f t="shared" si="6"/>
        <v>0.93704081632653091</v>
      </c>
      <c r="AC22" s="533"/>
    </row>
    <row r="23" spans="1:29" ht="15.75" customHeight="1">
      <c r="A23" s="555" t="s">
        <v>375</v>
      </c>
      <c r="B23" s="26" t="s">
        <v>13</v>
      </c>
      <c r="C23" s="552" t="s">
        <v>56</v>
      </c>
      <c r="D23" s="552"/>
      <c r="E23" s="26">
        <v>53.27</v>
      </c>
      <c r="F23" s="447">
        <v>378</v>
      </c>
      <c r="G23" s="438">
        <f t="shared" si="7"/>
        <v>20136.060000000001</v>
      </c>
      <c r="H23" s="448" t="s">
        <v>52</v>
      </c>
      <c r="I23" s="445">
        <v>15</v>
      </c>
      <c r="J23" s="18">
        <v>2000</v>
      </c>
      <c r="K23" s="9">
        <f t="shared" si="0"/>
        <v>133.33333333333334</v>
      </c>
      <c r="L23" s="445">
        <v>15</v>
      </c>
      <c r="M23" s="10">
        <f t="shared" si="8"/>
        <v>1890.0000000000068</v>
      </c>
      <c r="N23" s="9">
        <f t="shared" si="1"/>
        <v>126.00000000000045</v>
      </c>
      <c r="O23" s="11">
        <f t="shared" si="2"/>
        <v>0</v>
      </c>
      <c r="P23" s="12">
        <f t="shared" si="3"/>
        <v>-7.3333333333328881</v>
      </c>
      <c r="Q23" s="437">
        <f t="shared" si="4"/>
        <v>0.94500000000000339</v>
      </c>
      <c r="R23" s="533"/>
      <c r="S23" s="24">
        <v>0.78055555555555556</v>
      </c>
      <c r="T23" s="24">
        <v>0.78888888888888886</v>
      </c>
      <c r="U23" s="438">
        <f>IF(S23=TIME(17,0,0),"",(S23-T22)*24*60)</f>
        <v>5.9999999999999787</v>
      </c>
      <c r="V23" s="446">
        <f t="shared" si="9"/>
        <v>11.999999999999957</v>
      </c>
      <c r="W23" s="14"/>
      <c r="X23" s="15"/>
      <c r="Y23" s="528"/>
      <c r="Z23" s="528"/>
      <c r="AA23" s="11">
        <f t="shared" si="5"/>
        <v>-109.99999999999318</v>
      </c>
      <c r="AB23" s="437">
        <f t="shared" si="6"/>
        <v>0.94500000000000339</v>
      </c>
      <c r="AC23" s="533"/>
    </row>
    <row r="24" spans="1:29" ht="15.75" customHeight="1">
      <c r="A24" s="555" t="s">
        <v>375</v>
      </c>
      <c r="B24" s="26" t="s">
        <v>1713</v>
      </c>
      <c r="C24" s="530"/>
      <c r="D24" s="530"/>
      <c r="E24" s="439"/>
      <c r="F24" s="447"/>
      <c r="G24" s="438"/>
      <c r="H24" s="447"/>
      <c r="I24" s="17">
        <v>17.166666666666668</v>
      </c>
      <c r="J24" s="18">
        <v>2000</v>
      </c>
      <c r="K24" s="9">
        <f t="shared" si="0"/>
        <v>116.50485436893203</v>
      </c>
      <c r="L24" s="17">
        <v>17.166666666666668</v>
      </c>
      <c r="M24" s="10">
        <f>AVERAGE(M18:M23)</f>
        <v>1880.4550584336314</v>
      </c>
      <c r="N24" s="9">
        <f t="shared" si="1"/>
        <v>109.5410713650659</v>
      </c>
      <c r="O24" s="11">
        <f t="shared" si="2"/>
        <v>0</v>
      </c>
      <c r="P24" s="12">
        <f t="shared" si="3"/>
        <v>-6.9637830038661264</v>
      </c>
      <c r="Q24" s="437">
        <f t="shared" si="4"/>
        <v>0.94022752921681574</v>
      </c>
      <c r="R24" s="533"/>
      <c r="S24" s="24"/>
      <c r="T24" s="24"/>
      <c r="U24" s="9"/>
      <c r="V24" s="446"/>
      <c r="W24" s="9"/>
      <c r="X24" s="9"/>
      <c r="Y24" s="528"/>
      <c r="Z24" s="528"/>
      <c r="AA24" s="11">
        <f t="shared" si="5"/>
        <v>-119.54494156636861</v>
      </c>
      <c r="AB24" s="437">
        <f t="shared" si="6"/>
        <v>0.94022752921681574</v>
      </c>
      <c r="AC24" s="533"/>
    </row>
    <row r="25" spans="1:29" ht="15.75" customHeight="1">
      <c r="A25" s="553" t="s">
        <v>377</v>
      </c>
      <c r="B25" s="26" t="s">
        <v>24</v>
      </c>
      <c r="C25" s="552" t="s">
        <v>26</v>
      </c>
      <c r="D25" s="552"/>
      <c r="E25" s="26">
        <v>26.2</v>
      </c>
      <c r="F25" s="447">
        <v>3882</v>
      </c>
      <c r="G25" s="438">
        <f t="shared" ref="G25:G31" si="10">E25*F25</f>
        <v>101708.4</v>
      </c>
      <c r="H25" s="448" t="s">
        <v>52</v>
      </c>
      <c r="I25" s="445">
        <v>20</v>
      </c>
      <c r="J25" s="18">
        <v>2400</v>
      </c>
      <c r="K25" s="9">
        <f t="shared" si="0"/>
        <v>120</v>
      </c>
      <c r="L25" s="445">
        <v>20</v>
      </c>
      <c r="M25" s="10">
        <f t="shared" ref="M25:M31" si="11">F25/V25*60</f>
        <v>2239.6153846153838</v>
      </c>
      <c r="N25" s="9">
        <f t="shared" si="1"/>
        <v>111.9807692307692</v>
      </c>
      <c r="O25" s="11">
        <f t="shared" si="2"/>
        <v>0</v>
      </c>
      <c r="P25" s="12">
        <f t="shared" si="3"/>
        <v>-8.019230769230802</v>
      </c>
      <c r="Q25" s="437">
        <f t="shared" si="4"/>
        <v>0.93317307692307661</v>
      </c>
      <c r="R25" s="533">
        <f>Q32</f>
        <v>0.93869333682356693</v>
      </c>
      <c r="S25" s="24">
        <v>0.125</v>
      </c>
      <c r="T25" s="24">
        <v>0.19722222222222224</v>
      </c>
      <c r="U25" s="438"/>
      <c r="V25" s="446">
        <f t="shared" ref="V25:V31" si="12">(T25-S25)*24*60</f>
        <v>104.00000000000003</v>
      </c>
      <c r="W25" s="14">
        <f>T25</f>
        <v>0.19722222222222224</v>
      </c>
      <c r="X25" s="14">
        <f>S26</f>
        <v>0.21597222222222226</v>
      </c>
      <c r="Y25" s="528"/>
      <c r="Z25" s="528"/>
      <c r="AA25" s="11">
        <f t="shared" si="5"/>
        <v>-160.38461538461615</v>
      </c>
      <c r="AB25" s="437">
        <f t="shared" si="6"/>
        <v>0.93317307692307661</v>
      </c>
      <c r="AC25" s="533">
        <f>AB32</f>
        <v>0.93869333682356704</v>
      </c>
    </row>
    <row r="26" spans="1:29" ht="15.75" customHeight="1">
      <c r="A26" s="553" t="s">
        <v>1718</v>
      </c>
      <c r="B26" s="26" t="s">
        <v>24</v>
      </c>
      <c r="C26" s="552" t="s">
        <v>79</v>
      </c>
      <c r="D26" s="552"/>
      <c r="E26" s="26">
        <v>31.29</v>
      </c>
      <c r="F26" s="447">
        <v>8909</v>
      </c>
      <c r="G26" s="438">
        <f t="shared" si="10"/>
        <v>278762.61</v>
      </c>
      <c r="H26" s="448" t="s">
        <v>52</v>
      </c>
      <c r="I26" s="445">
        <v>16</v>
      </c>
      <c r="J26" s="18">
        <v>2400</v>
      </c>
      <c r="K26" s="9">
        <f t="shared" si="0"/>
        <v>150</v>
      </c>
      <c r="L26" s="445">
        <v>16</v>
      </c>
      <c r="M26" s="10">
        <f t="shared" si="11"/>
        <v>2236.5690376569037</v>
      </c>
      <c r="N26" s="9">
        <f t="shared" si="1"/>
        <v>139.78556485355648</v>
      </c>
      <c r="O26" s="11">
        <f t="shared" si="2"/>
        <v>0</v>
      </c>
      <c r="P26" s="12">
        <f t="shared" si="3"/>
        <v>-10.21443514644352</v>
      </c>
      <c r="Q26" s="437">
        <f t="shared" si="4"/>
        <v>0.93190376569037658</v>
      </c>
      <c r="R26" s="533"/>
      <c r="S26" s="24">
        <v>0.21597222222222226</v>
      </c>
      <c r="T26" s="24">
        <v>0.38194444444444448</v>
      </c>
      <c r="U26" s="438">
        <f t="shared" ref="U26:U31" si="13">(S26-T25)*24*60</f>
        <v>27.000000000000025</v>
      </c>
      <c r="V26" s="446">
        <f t="shared" si="12"/>
        <v>239</v>
      </c>
      <c r="W26" s="14"/>
      <c r="X26" s="14"/>
      <c r="Y26" s="528"/>
      <c r="Z26" s="528"/>
      <c r="AA26" s="11">
        <f t="shared" si="5"/>
        <v>-163.43096234309633</v>
      </c>
      <c r="AB26" s="437">
        <f t="shared" si="6"/>
        <v>0.93190376569037658</v>
      </c>
      <c r="AC26" s="533"/>
    </row>
    <row r="27" spans="1:29" ht="15.75" customHeight="1">
      <c r="A27" s="553" t="s">
        <v>377</v>
      </c>
      <c r="B27" s="26" t="s">
        <v>24</v>
      </c>
      <c r="C27" s="552" t="s">
        <v>68</v>
      </c>
      <c r="D27" s="552"/>
      <c r="E27" s="26">
        <v>24.25</v>
      </c>
      <c r="F27" s="447">
        <v>2400</v>
      </c>
      <c r="G27" s="438">
        <f t="shared" si="10"/>
        <v>58200</v>
      </c>
      <c r="H27" s="448">
        <v>2</v>
      </c>
      <c r="I27" s="445">
        <v>18</v>
      </c>
      <c r="J27" s="18">
        <v>2400</v>
      </c>
      <c r="K27" s="9">
        <f t="shared" si="0"/>
        <v>133.33333333333334</v>
      </c>
      <c r="L27" s="445">
        <v>18</v>
      </c>
      <c r="M27" s="10">
        <f t="shared" si="11"/>
        <v>2249.9999999999995</v>
      </c>
      <c r="N27" s="9">
        <f t="shared" si="1"/>
        <v>124.99999999999997</v>
      </c>
      <c r="O27" s="11">
        <f t="shared" si="2"/>
        <v>0</v>
      </c>
      <c r="P27" s="12">
        <f t="shared" si="3"/>
        <v>-8.3333333333333712</v>
      </c>
      <c r="Q27" s="437">
        <f t="shared" si="4"/>
        <v>0.93749999999999967</v>
      </c>
      <c r="R27" s="533"/>
      <c r="S27" s="24">
        <v>0.38541666666666669</v>
      </c>
      <c r="T27" s="24">
        <v>0.42986111111111114</v>
      </c>
      <c r="U27" s="438">
        <f t="shared" si="13"/>
        <v>4.9999999999999822</v>
      </c>
      <c r="V27" s="446">
        <f t="shared" si="12"/>
        <v>64.000000000000014</v>
      </c>
      <c r="W27" s="14"/>
      <c r="X27" s="14"/>
      <c r="Y27" s="528"/>
      <c r="Z27" s="528"/>
      <c r="AA27" s="11">
        <f t="shared" si="5"/>
        <v>-150.00000000000045</v>
      </c>
      <c r="AB27" s="437">
        <f t="shared" si="6"/>
        <v>0.93749999999999978</v>
      </c>
      <c r="AC27" s="533"/>
    </row>
    <row r="28" spans="1:29" ht="15.75" customHeight="1">
      <c r="A28" s="553" t="s">
        <v>377</v>
      </c>
      <c r="B28" s="26" t="s">
        <v>24</v>
      </c>
      <c r="C28" s="552" t="s">
        <v>328</v>
      </c>
      <c r="D28" s="552"/>
      <c r="E28" s="26">
        <v>25.98</v>
      </c>
      <c r="F28" s="447">
        <v>2400</v>
      </c>
      <c r="G28" s="438">
        <f t="shared" si="10"/>
        <v>62352</v>
      </c>
      <c r="H28" s="448">
        <v>2</v>
      </c>
      <c r="I28" s="445">
        <v>17</v>
      </c>
      <c r="J28" s="18">
        <v>2400</v>
      </c>
      <c r="K28" s="9">
        <f t="shared" si="0"/>
        <v>141.1764705882353</v>
      </c>
      <c r="L28" s="445">
        <v>17</v>
      </c>
      <c r="M28" s="10">
        <f t="shared" si="11"/>
        <v>2249.9999999999995</v>
      </c>
      <c r="N28" s="9">
        <f t="shared" si="1"/>
        <v>132.35294117647055</v>
      </c>
      <c r="O28" s="11">
        <f t="shared" si="2"/>
        <v>0</v>
      </c>
      <c r="P28" s="12">
        <f t="shared" si="3"/>
        <v>-8.8235294117647527</v>
      </c>
      <c r="Q28" s="437">
        <f t="shared" si="4"/>
        <v>0.93749999999999967</v>
      </c>
      <c r="R28" s="533"/>
      <c r="S28" s="24">
        <v>0.43472222222222223</v>
      </c>
      <c r="T28" s="24">
        <v>0.47916666666666669</v>
      </c>
      <c r="U28" s="438">
        <f t="shared" si="13"/>
        <v>6.9999999999999751</v>
      </c>
      <c r="V28" s="446">
        <f t="shared" si="12"/>
        <v>64.000000000000014</v>
      </c>
      <c r="W28" s="14"/>
      <c r="X28" s="14"/>
      <c r="Y28" s="528"/>
      <c r="Z28" s="528"/>
      <c r="AA28" s="11">
        <f t="shared" si="5"/>
        <v>-150.00000000000045</v>
      </c>
      <c r="AB28" s="437">
        <f t="shared" si="6"/>
        <v>0.93749999999999978</v>
      </c>
      <c r="AC28" s="533"/>
    </row>
    <row r="29" spans="1:29" ht="15.75" customHeight="1">
      <c r="A29" s="553" t="s">
        <v>377</v>
      </c>
      <c r="B29" s="26" t="s">
        <v>24</v>
      </c>
      <c r="C29" s="552" t="s">
        <v>62</v>
      </c>
      <c r="D29" s="552"/>
      <c r="E29" s="26">
        <v>22.35</v>
      </c>
      <c r="F29" s="447">
        <v>1673</v>
      </c>
      <c r="G29" s="438">
        <f t="shared" si="10"/>
        <v>37391.550000000003</v>
      </c>
      <c r="H29" s="448" t="s">
        <v>52</v>
      </c>
      <c r="I29" s="445">
        <v>16</v>
      </c>
      <c r="J29" s="18">
        <v>2400</v>
      </c>
      <c r="K29" s="9">
        <f t="shared" si="0"/>
        <v>150</v>
      </c>
      <c r="L29" s="445">
        <v>16</v>
      </c>
      <c r="M29" s="10">
        <f t="shared" si="11"/>
        <v>2281.3636363636401</v>
      </c>
      <c r="N29" s="9">
        <f t="shared" si="1"/>
        <v>142.58522727272751</v>
      </c>
      <c r="O29" s="11">
        <f t="shared" si="2"/>
        <v>0</v>
      </c>
      <c r="P29" s="12">
        <f t="shared" si="3"/>
        <v>-7.4147727272724921</v>
      </c>
      <c r="Q29" s="437">
        <f t="shared" si="4"/>
        <v>0.95056818181818337</v>
      </c>
      <c r="R29" s="533"/>
      <c r="S29" s="24">
        <v>0.48402777777777778</v>
      </c>
      <c r="T29" s="24">
        <v>0.51458333333333328</v>
      </c>
      <c r="U29" s="438">
        <f t="shared" si="13"/>
        <v>6.9999999999999751</v>
      </c>
      <c r="V29" s="446">
        <f t="shared" si="12"/>
        <v>43.999999999999922</v>
      </c>
      <c r="W29" s="14">
        <f>T29</f>
        <v>0.51458333333333328</v>
      </c>
      <c r="X29" s="14">
        <f>S30</f>
        <v>0.55624999999999991</v>
      </c>
      <c r="Y29" s="528"/>
      <c r="Z29" s="528"/>
      <c r="AA29" s="11">
        <f t="shared" si="5"/>
        <v>-118.63636363635987</v>
      </c>
      <c r="AB29" s="437">
        <f t="shared" si="6"/>
        <v>0.95056818181818337</v>
      </c>
      <c r="AC29" s="533"/>
    </row>
    <row r="30" spans="1:29" ht="15.75" customHeight="1">
      <c r="A30" s="553" t="s">
        <v>1719</v>
      </c>
      <c r="B30" s="26" t="s">
        <v>24</v>
      </c>
      <c r="C30" s="552" t="s">
        <v>68</v>
      </c>
      <c r="D30" s="552"/>
      <c r="E30" s="26">
        <v>24.25</v>
      </c>
      <c r="F30" s="447">
        <v>1798</v>
      </c>
      <c r="G30" s="438">
        <f t="shared" si="10"/>
        <v>43601.5</v>
      </c>
      <c r="H30" s="448" t="s">
        <v>52</v>
      </c>
      <c r="I30" s="445">
        <v>18</v>
      </c>
      <c r="J30" s="18">
        <v>2400</v>
      </c>
      <c r="K30" s="9">
        <f t="shared" si="0"/>
        <v>133.33333333333334</v>
      </c>
      <c r="L30" s="445">
        <v>18</v>
      </c>
      <c r="M30" s="10">
        <f t="shared" si="11"/>
        <v>2247.5000000000005</v>
      </c>
      <c r="N30" s="9">
        <f t="shared" si="1"/>
        <v>124.86111111111114</v>
      </c>
      <c r="O30" s="11">
        <f t="shared" si="2"/>
        <v>0</v>
      </c>
      <c r="P30" s="12">
        <f t="shared" si="3"/>
        <v>-8.4722222222222001</v>
      </c>
      <c r="Q30" s="437">
        <f t="shared" si="4"/>
        <v>0.9364583333333335</v>
      </c>
      <c r="R30" s="533"/>
      <c r="S30" s="24">
        <v>0.55624999999999991</v>
      </c>
      <c r="T30" s="24">
        <v>0.58958333333333324</v>
      </c>
      <c r="U30" s="438">
        <f t="shared" si="13"/>
        <v>59.999999999999943</v>
      </c>
      <c r="V30" s="446">
        <f t="shared" si="12"/>
        <v>47.999999999999986</v>
      </c>
      <c r="W30" s="14"/>
      <c r="X30" s="14"/>
      <c r="Y30" s="528"/>
      <c r="Z30" s="528"/>
      <c r="AA30" s="11">
        <f t="shared" si="5"/>
        <v>-152.49999999999955</v>
      </c>
      <c r="AB30" s="437">
        <f t="shared" si="6"/>
        <v>0.9364583333333335</v>
      </c>
      <c r="AC30" s="533"/>
    </row>
    <row r="31" spans="1:29" ht="15.75" customHeight="1">
      <c r="A31" s="553" t="s">
        <v>1718</v>
      </c>
      <c r="B31" s="26" t="s">
        <v>24</v>
      </c>
      <c r="C31" s="552" t="s">
        <v>328</v>
      </c>
      <c r="D31" s="552"/>
      <c r="E31" s="26">
        <v>25.98</v>
      </c>
      <c r="F31" s="447">
        <v>1661</v>
      </c>
      <c r="G31" s="438">
        <f t="shared" si="10"/>
        <v>43152.78</v>
      </c>
      <c r="H31" s="448" t="s">
        <v>52</v>
      </c>
      <c r="I31" s="445">
        <v>17</v>
      </c>
      <c r="J31" s="18">
        <v>2400</v>
      </c>
      <c r="K31" s="9">
        <f t="shared" si="0"/>
        <v>141.1764705882353</v>
      </c>
      <c r="L31" s="445">
        <v>17</v>
      </c>
      <c r="M31" s="10">
        <f t="shared" si="11"/>
        <v>2265</v>
      </c>
      <c r="N31" s="9">
        <f t="shared" si="1"/>
        <v>133.23529411764707</v>
      </c>
      <c r="O31" s="11">
        <f t="shared" si="2"/>
        <v>0</v>
      </c>
      <c r="P31" s="12">
        <f t="shared" si="3"/>
        <v>-7.941176470588232</v>
      </c>
      <c r="Q31" s="437">
        <f t="shared" si="4"/>
        <v>0.94374999999999998</v>
      </c>
      <c r="R31" s="533"/>
      <c r="S31" s="24">
        <v>0.59513888888888877</v>
      </c>
      <c r="T31" s="24">
        <v>0.62569444444444433</v>
      </c>
      <c r="U31" s="438">
        <f t="shared" si="13"/>
        <v>7.9999999999999716</v>
      </c>
      <c r="V31" s="446">
        <f t="shared" si="12"/>
        <v>44</v>
      </c>
      <c r="W31" s="14"/>
      <c r="X31" s="14"/>
      <c r="Y31" s="528"/>
      <c r="Z31" s="528"/>
      <c r="AA31" s="11">
        <f t="shared" si="5"/>
        <v>-135</v>
      </c>
      <c r="AB31" s="437">
        <f t="shared" si="6"/>
        <v>0.94374999999999998</v>
      </c>
      <c r="AC31" s="533"/>
    </row>
    <row r="32" spans="1:29" ht="15.75" customHeight="1">
      <c r="A32" s="553" t="s">
        <v>377</v>
      </c>
      <c r="B32" s="26" t="s">
        <v>1713</v>
      </c>
      <c r="C32" s="530"/>
      <c r="D32" s="530"/>
      <c r="E32" s="439"/>
      <c r="F32" s="447"/>
      <c r="G32" s="438"/>
      <c r="H32" s="447"/>
      <c r="I32" s="17">
        <v>17.428571428571427</v>
      </c>
      <c r="J32" s="18">
        <v>2400</v>
      </c>
      <c r="K32" s="9">
        <f t="shared" si="0"/>
        <v>137.70491803278691</v>
      </c>
      <c r="L32" s="17">
        <v>17.428571428571427</v>
      </c>
      <c r="M32" s="10">
        <f>AVERAGE(M25:M31)</f>
        <v>2252.8640083765608</v>
      </c>
      <c r="N32" s="9">
        <f t="shared" si="1"/>
        <v>129.26268900521251</v>
      </c>
      <c r="O32" s="11">
        <f t="shared" si="2"/>
        <v>0</v>
      </c>
      <c r="P32" s="12">
        <f t="shared" si="3"/>
        <v>-8.442229027574399</v>
      </c>
      <c r="Q32" s="437">
        <f t="shared" si="4"/>
        <v>0.93869333682356693</v>
      </c>
      <c r="R32" s="533"/>
      <c r="S32" s="24"/>
      <c r="T32" s="24"/>
      <c r="U32" s="438"/>
      <c r="V32" s="446"/>
      <c r="W32" s="438"/>
      <c r="X32" s="438"/>
      <c r="Y32" s="528"/>
      <c r="Z32" s="528"/>
      <c r="AA32" s="11">
        <f t="shared" si="5"/>
        <v>-147.13599162343917</v>
      </c>
      <c r="AB32" s="437">
        <f t="shared" si="6"/>
        <v>0.93869333682356704</v>
      </c>
      <c r="AC32" s="533"/>
    </row>
    <row r="33" spans="1:29" ht="15.75" customHeight="1">
      <c r="A33" s="550" t="s">
        <v>1716</v>
      </c>
      <c r="B33" s="26" t="s">
        <v>24</v>
      </c>
      <c r="C33" s="529" t="s">
        <v>28</v>
      </c>
      <c r="D33" s="529"/>
      <c r="E33" s="26">
        <v>26.2</v>
      </c>
      <c r="F33" s="447">
        <v>3500</v>
      </c>
      <c r="G33" s="438">
        <f t="shared" ref="G33:G42" si="14">E33*F33</f>
        <v>91700</v>
      </c>
      <c r="H33" s="448">
        <v>2</v>
      </c>
      <c r="I33" s="445">
        <v>18</v>
      </c>
      <c r="J33" s="18">
        <v>2400</v>
      </c>
      <c r="K33" s="9">
        <f t="shared" si="0"/>
        <v>133.33333333333334</v>
      </c>
      <c r="L33" s="445">
        <v>18</v>
      </c>
      <c r="M33" s="10">
        <f t="shared" ref="M33:M42" si="15">F33/V33*60</f>
        <v>2258.0645161290327</v>
      </c>
      <c r="N33" s="9">
        <f t="shared" si="1"/>
        <v>125.44802867383515</v>
      </c>
      <c r="O33" s="11">
        <f t="shared" si="2"/>
        <v>0</v>
      </c>
      <c r="P33" s="12">
        <f t="shared" si="3"/>
        <v>-7.885304659498189</v>
      </c>
      <c r="Q33" s="437">
        <f t="shared" si="4"/>
        <v>0.9408602150537636</v>
      </c>
      <c r="R33" s="533">
        <f>Q43</f>
        <v>0.93753908563043908</v>
      </c>
      <c r="S33" s="24">
        <v>0.125</v>
      </c>
      <c r="T33" s="24">
        <v>0.18958333333333333</v>
      </c>
      <c r="U33" s="438"/>
      <c r="V33" s="446">
        <f t="shared" ref="V33:V42" si="16">(T33-S33)*24*60</f>
        <v>92.999999999999986</v>
      </c>
      <c r="W33" s="15">
        <f>T33</f>
        <v>0.18958333333333333</v>
      </c>
      <c r="X33" s="15">
        <f>S34</f>
        <v>0.2069444444444444</v>
      </c>
      <c r="Y33" s="528"/>
      <c r="Z33" s="528"/>
      <c r="AA33" s="11">
        <f t="shared" si="5"/>
        <v>-141.93548387096735</v>
      </c>
      <c r="AB33" s="437">
        <f t="shared" si="6"/>
        <v>0.9408602150537636</v>
      </c>
      <c r="AC33" s="533">
        <f>AB43</f>
        <v>0.93753908563043897</v>
      </c>
    </row>
    <row r="34" spans="1:29" ht="15.75" customHeight="1">
      <c r="A34" s="550" t="s">
        <v>1717</v>
      </c>
      <c r="B34" s="26" t="s">
        <v>24</v>
      </c>
      <c r="C34" s="529" t="s">
        <v>30</v>
      </c>
      <c r="D34" s="529"/>
      <c r="E34" s="26">
        <v>24.45</v>
      </c>
      <c r="F34" s="447">
        <v>1981</v>
      </c>
      <c r="G34" s="438">
        <f t="shared" si="14"/>
        <v>48435.45</v>
      </c>
      <c r="H34" s="448" t="s">
        <v>52</v>
      </c>
      <c r="I34" s="445">
        <v>20</v>
      </c>
      <c r="J34" s="18">
        <v>2400</v>
      </c>
      <c r="K34" s="9">
        <f t="shared" si="0"/>
        <v>120</v>
      </c>
      <c r="L34" s="445">
        <v>20</v>
      </c>
      <c r="M34" s="10">
        <f t="shared" si="15"/>
        <v>2242.6415094339613</v>
      </c>
      <c r="N34" s="9">
        <f t="shared" si="1"/>
        <v>112.13207547169807</v>
      </c>
      <c r="O34" s="11">
        <f t="shared" si="2"/>
        <v>0</v>
      </c>
      <c r="P34" s="12">
        <f t="shared" si="3"/>
        <v>-7.867924528301927</v>
      </c>
      <c r="Q34" s="437">
        <f t="shared" si="4"/>
        <v>0.93443396226415065</v>
      </c>
      <c r="R34" s="533"/>
      <c r="S34" s="24">
        <v>0.2069444444444444</v>
      </c>
      <c r="T34" s="24">
        <v>0.24374999999999997</v>
      </c>
      <c r="U34" s="438">
        <f t="shared" ref="U34:U42" si="17">(S34-T33)*24*60</f>
        <v>24.99999999999995</v>
      </c>
      <c r="V34" s="446">
        <f t="shared" si="16"/>
        <v>53.000000000000014</v>
      </c>
      <c r="W34" s="438"/>
      <c r="X34" s="438"/>
      <c r="Y34" s="528"/>
      <c r="Z34" s="528"/>
      <c r="AA34" s="11">
        <f t="shared" si="5"/>
        <v>-157.35849056603865</v>
      </c>
      <c r="AB34" s="437">
        <f t="shared" si="6"/>
        <v>0.93443396226415054</v>
      </c>
      <c r="AC34" s="533"/>
    </row>
    <row r="35" spans="1:29">
      <c r="A35" s="551" t="s">
        <v>379</v>
      </c>
      <c r="B35" s="26" t="s">
        <v>24</v>
      </c>
      <c r="C35" s="529" t="s">
        <v>29</v>
      </c>
      <c r="D35" s="529"/>
      <c r="E35" s="26">
        <v>26.39</v>
      </c>
      <c r="F35" s="447">
        <v>3100</v>
      </c>
      <c r="G35" s="438">
        <f t="shared" si="14"/>
        <v>81809</v>
      </c>
      <c r="H35" s="448">
        <v>2</v>
      </c>
      <c r="I35" s="445">
        <v>19</v>
      </c>
      <c r="J35" s="18">
        <v>2400</v>
      </c>
      <c r="K35" s="9">
        <f t="shared" si="0"/>
        <v>126.31578947368421</v>
      </c>
      <c r="L35" s="445">
        <v>19</v>
      </c>
      <c r="M35" s="10">
        <f t="shared" si="15"/>
        <v>2240.9638554216872</v>
      </c>
      <c r="N35" s="9">
        <f t="shared" si="1"/>
        <v>117.94546607482565</v>
      </c>
      <c r="O35" s="11">
        <f t="shared" si="2"/>
        <v>0</v>
      </c>
      <c r="P35" s="12">
        <f t="shared" si="3"/>
        <v>-8.3703233988585595</v>
      </c>
      <c r="Q35" s="437">
        <f t="shared" si="4"/>
        <v>0.93373493975903643</v>
      </c>
      <c r="R35" s="533"/>
      <c r="S35" s="24">
        <v>0.24861111111111109</v>
      </c>
      <c r="T35" s="24">
        <v>0.30624999999999997</v>
      </c>
      <c r="U35" s="438">
        <f t="shared" si="17"/>
        <v>7.0000000000000151</v>
      </c>
      <c r="V35" s="446">
        <f t="shared" si="16"/>
        <v>82.999999999999986</v>
      </c>
      <c r="W35" s="438"/>
      <c r="X35" s="438"/>
      <c r="Y35" s="528"/>
      <c r="Z35" s="528"/>
      <c r="AA35" s="11">
        <f t="shared" si="5"/>
        <v>-159.03614457831281</v>
      </c>
      <c r="AB35" s="437">
        <f t="shared" si="6"/>
        <v>0.93373493975903632</v>
      </c>
      <c r="AC35" s="533"/>
    </row>
    <row r="36" spans="1:29">
      <c r="A36" s="551" t="s">
        <v>1716</v>
      </c>
      <c r="B36" s="26" t="s">
        <v>24</v>
      </c>
      <c r="C36" s="529" t="s">
        <v>27</v>
      </c>
      <c r="D36" s="529"/>
      <c r="E36" s="26">
        <v>20.52</v>
      </c>
      <c r="F36" s="447">
        <v>3118</v>
      </c>
      <c r="G36" s="438">
        <f t="shared" si="14"/>
        <v>63981.36</v>
      </c>
      <c r="H36" s="448" t="s">
        <v>52</v>
      </c>
      <c r="I36" s="445">
        <v>18</v>
      </c>
      <c r="J36" s="18">
        <v>2400</v>
      </c>
      <c r="K36" s="9">
        <f t="shared" si="0"/>
        <v>133.33333333333334</v>
      </c>
      <c r="L36" s="445">
        <v>18</v>
      </c>
      <c r="M36" s="10">
        <f t="shared" si="15"/>
        <v>2253.9759036144569</v>
      </c>
      <c r="N36" s="9">
        <f t="shared" si="1"/>
        <v>125.22088353413649</v>
      </c>
      <c r="O36" s="11">
        <f t="shared" si="2"/>
        <v>0</v>
      </c>
      <c r="P36" s="12">
        <f t="shared" si="3"/>
        <v>-8.1124497991968525</v>
      </c>
      <c r="Q36" s="437">
        <f t="shared" si="4"/>
        <v>0.93915662650602361</v>
      </c>
      <c r="R36" s="533"/>
      <c r="S36" s="24">
        <v>0.31111111111111106</v>
      </c>
      <c r="T36" s="24">
        <v>0.36874999999999997</v>
      </c>
      <c r="U36" s="438">
        <f t="shared" si="17"/>
        <v>6.9999999999999751</v>
      </c>
      <c r="V36" s="446">
        <f t="shared" si="16"/>
        <v>83.000000000000028</v>
      </c>
      <c r="W36" s="14"/>
      <c r="X36" s="14"/>
      <c r="Y36" s="528"/>
      <c r="Z36" s="528"/>
      <c r="AA36" s="11">
        <f t="shared" si="5"/>
        <v>-146.02409638554309</v>
      </c>
      <c r="AB36" s="437">
        <f t="shared" si="6"/>
        <v>0.93915662650602372</v>
      </c>
      <c r="AC36" s="533"/>
    </row>
    <row r="37" spans="1:29">
      <c r="A37" s="551" t="s">
        <v>379</v>
      </c>
      <c r="B37" s="26" t="s">
        <v>24</v>
      </c>
      <c r="C37" s="529" t="s">
        <v>50</v>
      </c>
      <c r="D37" s="529"/>
      <c r="E37" s="26">
        <v>26.2</v>
      </c>
      <c r="F37" s="447">
        <v>3000</v>
      </c>
      <c r="G37" s="438">
        <f t="shared" si="14"/>
        <v>78600</v>
      </c>
      <c r="H37" s="448">
        <v>2</v>
      </c>
      <c r="I37" s="445">
        <v>19</v>
      </c>
      <c r="J37" s="18">
        <v>2400</v>
      </c>
      <c r="K37" s="9">
        <f t="shared" ref="K37:K68" si="18">J37/I37</f>
        <v>126.31578947368421</v>
      </c>
      <c r="L37" s="445">
        <v>19</v>
      </c>
      <c r="M37" s="10">
        <f t="shared" si="15"/>
        <v>2250.0000000000014</v>
      </c>
      <c r="N37" s="9">
        <f t="shared" ref="N37:N68" si="19">M37/L37</f>
        <v>118.42105263157902</v>
      </c>
      <c r="O37" s="11">
        <f t="shared" ref="O37:O71" si="20">L37-I37</f>
        <v>0</v>
      </c>
      <c r="P37" s="12">
        <f t="shared" ref="P37:P71" si="21">N37-K37</f>
        <v>-7.8947368421051891</v>
      </c>
      <c r="Q37" s="437">
        <f t="shared" ref="Q37:Q71" si="22">N37/K37</f>
        <v>0.93750000000000056</v>
      </c>
      <c r="R37" s="533"/>
      <c r="S37" s="24">
        <v>0.37361111111111106</v>
      </c>
      <c r="T37" s="24">
        <v>0.42916666666666659</v>
      </c>
      <c r="U37" s="438">
        <f t="shared" si="17"/>
        <v>6.9999999999999751</v>
      </c>
      <c r="V37" s="446">
        <f t="shared" si="16"/>
        <v>79.999999999999957</v>
      </c>
      <c r="W37" s="14"/>
      <c r="X37" s="14"/>
      <c r="Y37" s="528"/>
      <c r="Z37" s="528"/>
      <c r="AA37" s="11">
        <f t="shared" ref="AA37:AA71" si="23">M37-J37</f>
        <v>-149.99999999999864</v>
      </c>
      <c r="AB37" s="437">
        <f t="shared" ref="AB37:AB71" si="24">M37/J37</f>
        <v>0.93750000000000056</v>
      </c>
      <c r="AC37" s="533"/>
    </row>
    <row r="38" spans="1:29">
      <c r="A38" s="551" t="s">
        <v>379</v>
      </c>
      <c r="B38" s="26" t="s">
        <v>24</v>
      </c>
      <c r="C38" s="529" t="s">
        <v>1079</v>
      </c>
      <c r="D38" s="529"/>
      <c r="E38" s="26">
        <v>25.98</v>
      </c>
      <c r="F38" s="447">
        <v>2600</v>
      </c>
      <c r="G38" s="438">
        <f t="shared" si="14"/>
        <v>67548</v>
      </c>
      <c r="H38" s="448">
        <v>2</v>
      </c>
      <c r="I38" s="445">
        <v>17</v>
      </c>
      <c r="J38" s="18">
        <v>2400</v>
      </c>
      <c r="K38" s="9">
        <f t="shared" si="18"/>
        <v>141.1764705882353</v>
      </c>
      <c r="L38" s="445">
        <v>17</v>
      </c>
      <c r="M38" s="10">
        <f t="shared" si="15"/>
        <v>2260.869565217391</v>
      </c>
      <c r="N38" s="9">
        <f t="shared" si="19"/>
        <v>132.9923273657289</v>
      </c>
      <c r="O38" s="11">
        <f t="shared" si="20"/>
        <v>0</v>
      </c>
      <c r="P38" s="12">
        <f t="shared" si="21"/>
        <v>-8.1841432225064068</v>
      </c>
      <c r="Q38" s="437">
        <f t="shared" si="22"/>
        <v>0.94202898550724634</v>
      </c>
      <c r="R38" s="533"/>
      <c r="S38" s="24">
        <v>0.43402777777777768</v>
      </c>
      <c r="T38" s="24">
        <v>0.48194444444444434</v>
      </c>
      <c r="U38" s="438">
        <f t="shared" si="17"/>
        <v>6.9999999999999751</v>
      </c>
      <c r="V38" s="446">
        <f t="shared" si="16"/>
        <v>69</v>
      </c>
      <c r="W38" s="14">
        <f>T38</f>
        <v>0.48194444444444434</v>
      </c>
      <c r="X38" s="14">
        <f>S39</f>
        <v>0.5215277777777777</v>
      </c>
      <c r="Y38" s="528"/>
      <c r="Z38" s="528"/>
      <c r="AA38" s="11">
        <f t="shared" si="23"/>
        <v>-139.13043478260897</v>
      </c>
      <c r="AB38" s="437">
        <f t="shared" si="24"/>
        <v>0.94202898550724623</v>
      </c>
      <c r="AC38" s="533"/>
    </row>
    <row r="39" spans="1:29">
      <c r="A39" s="551" t="s">
        <v>1717</v>
      </c>
      <c r="B39" s="26" t="s">
        <v>24</v>
      </c>
      <c r="C39" s="529" t="s">
        <v>29</v>
      </c>
      <c r="D39" s="529"/>
      <c r="E39" s="26">
        <v>26.39</v>
      </c>
      <c r="F39" s="447">
        <v>2259</v>
      </c>
      <c r="G39" s="438">
        <f t="shared" si="14"/>
        <v>59615.01</v>
      </c>
      <c r="H39" s="448" t="s">
        <v>52</v>
      </c>
      <c r="I39" s="445">
        <v>19</v>
      </c>
      <c r="J39" s="18">
        <v>2400</v>
      </c>
      <c r="K39" s="9">
        <f t="shared" si="18"/>
        <v>126.31578947368421</v>
      </c>
      <c r="L39" s="445">
        <v>19</v>
      </c>
      <c r="M39" s="10">
        <f t="shared" si="15"/>
        <v>2259.0000000000018</v>
      </c>
      <c r="N39" s="9">
        <f t="shared" si="19"/>
        <v>118.89473684210536</v>
      </c>
      <c r="O39" s="11">
        <f t="shared" si="20"/>
        <v>0</v>
      </c>
      <c r="P39" s="12">
        <f t="shared" si="21"/>
        <v>-7.4210526315788456</v>
      </c>
      <c r="Q39" s="437">
        <f t="shared" si="22"/>
        <v>0.94125000000000081</v>
      </c>
      <c r="R39" s="533"/>
      <c r="S39" s="24">
        <v>0.5215277777777777</v>
      </c>
      <c r="T39" s="24">
        <v>0.56319444444444433</v>
      </c>
      <c r="U39" s="438">
        <f t="shared" si="17"/>
        <v>57.000000000000036</v>
      </c>
      <c r="V39" s="446">
        <f t="shared" si="16"/>
        <v>59.999999999999943</v>
      </c>
      <c r="W39" s="14"/>
      <c r="X39" s="14"/>
      <c r="Y39" s="536"/>
      <c r="Z39" s="537"/>
      <c r="AA39" s="11">
        <f t="shared" si="23"/>
        <v>-140.99999999999818</v>
      </c>
      <c r="AB39" s="437">
        <f t="shared" si="24"/>
        <v>0.94125000000000081</v>
      </c>
      <c r="AC39" s="533"/>
    </row>
    <row r="40" spans="1:29">
      <c r="A40" s="551" t="s">
        <v>379</v>
      </c>
      <c r="B40" s="26" t="s">
        <v>24</v>
      </c>
      <c r="C40" s="529" t="s">
        <v>50</v>
      </c>
      <c r="D40" s="529"/>
      <c r="E40" s="26">
        <v>26.2</v>
      </c>
      <c r="F40" s="447">
        <v>2029</v>
      </c>
      <c r="G40" s="438">
        <f t="shared" si="14"/>
        <v>53159.799999999996</v>
      </c>
      <c r="H40" s="448" t="s">
        <v>52</v>
      </c>
      <c r="I40" s="445">
        <v>19</v>
      </c>
      <c r="J40" s="18">
        <v>2400</v>
      </c>
      <c r="K40" s="9">
        <f t="shared" si="18"/>
        <v>126.31578947368421</v>
      </c>
      <c r="L40" s="445">
        <v>19</v>
      </c>
      <c r="M40" s="10">
        <f t="shared" si="15"/>
        <v>2254.4444444444453</v>
      </c>
      <c r="N40" s="9">
        <f t="shared" si="19"/>
        <v>118.65497076023397</v>
      </c>
      <c r="O40" s="11">
        <f t="shared" si="20"/>
        <v>0</v>
      </c>
      <c r="P40" s="12">
        <f t="shared" si="21"/>
        <v>-7.6608187134502401</v>
      </c>
      <c r="Q40" s="437">
        <f t="shared" si="22"/>
        <v>0.93935185185185222</v>
      </c>
      <c r="R40" s="533"/>
      <c r="S40" s="24">
        <v>0.56666666666666654</v>
      </c>
      <c r="T40" s="24">
        <v>0.60416666666666652</v>
      </c>
      <c r="U40" s="438">
        <f t="shared" si="17"/>
        <v>4.9999999999999822</v>
      </c>
      <c r="V40" s="446">
        <f t="shared" si="16"/>
        <v>53.999999999999972</v>
      </c>
      <c r="W40" s="14"/>
      <c r="X40" s="14"/>
      <c r="Y40" s="536"/>
      <c r="Z40" s="537"/>
      <c r="AA40" s="11">
        <f t="shared" si="23"/>
        <v>-145.55555555555475</v>
      </c>
      <c r="AB40" s="437">
        <f t="shared" si="24"/>
        <v>0.93935185185185222</v>
      </c>
      <c r="AC40" s="533"/>
    </row>
    <row r="41" spans="1:29">
      <c r="A41" s="551" t="s">
        <v>1716</v>
      </c>
      <c r="B41" s="26" t="s">
        <v>24</v>
      </c>
      <c r="C41" s="529" t="s">
        <v>1079</v>
      </c>
      <c r="D41" s="529"/>
      <c r="E41" s="26">
        <v>25.98</v>
      </c>
      <c r="F41" s="447">
        <v>1720</v>
      </c>
      <c r="G41" s="438">
        <f t="shared" si="14"/>
        <v>44685.599999999999</v>
      </c>
      <c r="H41" s="448" t="s">
        <v>52</v>
      </c>
      <c r="I41" s="445">
        <v>17</v>
      </c>
      <c r="J41" s="18">
        <v>2400</v>
      </c>
      <c r="K41" s="9">
        <f t="shared" si="18"/>
        <v>141.1764705882353</v>
      </c>
      <c r="L41" s="445">
        <v>17</v>
      </c>
      <c r="M41" s="10">
        <f t="shared" si="15"/>
        <v>2243.478260869565</v>
      </c>
      <c r="N41" s="9">
        <f t="shared" si="19"/>
        <v>131.96930946291559</v>
      </c>
      <c r="O41" s="11">
        <f t="shared" si="20"/>
        <v>0</v>
      </c>
      <c r="P41" s="12">
        <f t="shared" si="21"/>
        <v>-9.2071611253197148</v>
      </c>
      <c r="Q41" s="437">
        <f t="shared" si="22"/>
        <v>0.934782608695652</v>
      </c>
      <c r="R41" s="533"/>
      <c r="S41" s="24">
        <v>0.60902777777777761</v>
      </c>
      <c r="T41" s="24">
        <v>0.64097222222222205</v>
      </c>
      <c r="U41" s="438">
        <f t="shared" si="17"/>
        <v>6.9999999999999751</v>
      </c>
      <c r="V41" s="446">
        <f t="shared" si="16"/>
        <v>46</v>
      </c>
      <c r="W41" s="14"/>
      <c r="X41" s="14"/>
      <c r="Y41" s="536"/>
      <c r="Z41" s="537"/>
      <c r="AA41" s="11">
        <f t="shared" si="23"/>
        <v>-156.52173913043498</v>
      </c>
      <c r="AB41" s="437">
        <f t="shared" si="24"/>
        <v>0.93478260869565211</v>
      </c>
      <c r="AC41" s="533"/>
    </row>
    <row r="42" spans="1:29">
      <c r="A42" s="551" t="s">
        <v>1716</v>
      </c>
      <c r="B42" s="26" t="s">
        <v>24</v>
      </c>
      <c r="C42" s="529" t="s">
        <v>28</v>
      </c>
      <c r="D42" s="529"/>
      <c r="E42" s="26">
        <v>26.2</v>
      </c>
      <c r="F42" s="447">
        <v>2685</v>
      </c>
      <c r="G42" s="438">
        <f t="shared" si="14"/>
        <v>70347</v>
      </c>
      <c r="H42" s="448" t="s">
        <v>52</v>
      </c>
      <c r="I42" s="445">
        <v>18</v>
      </c>
      <c r="J42" s="18">
        <v>2400</v>
      </c>
      <c r="K42" s="9">
        <f t="shared" si="18"/>
        <v>133.33333333333334</v>
      </c>
      <c r="L42" s="445">
        <v>18</v>
      </c>
      <c r="M42" s="10">
        <f t="shared" si="15"/>
        <v>2237.4999999999982</v>
      </c>
      <c r="N42" s="9">
        <f t="shared" si="19"/>
        <v>124.30555555555546</v>
      </c>
      <c r="O42" s="11">
        <f t="shared" si="20"/>
        <v>0</v>
      </c>
      <c r="P42" s="12">
        <f t="shared" si="21"/>
        <v>-9.0277777777778851</v>
      </c>
      <c r="Q42" s="437">
        <f t="shared" si="22"/>
        <v>0.93229166666666585</v>
      </c>
      <c r="R42" s="533"/>
      <c r="S42" s="24">
        <v>0.64444444444444426</v>
      </c>
      <c r="T42" s="24">
        <v>0.69444444444444431</v>
      </c>
      <c r="U42" s="438">
        <f t="shared" si="17"/>
        <v>4.9999999999999822</v>
      </c>
      <c r="V42" s="446">
        <f t="shared" si="16"/>
        <v>72.000000000000057</v>
      </c>
      <c r="W42" s="14"/>
      <c r="X42" s="14"/>
      <c r="Y42" s="536"/>
      <c r="Z42" s="537"/>
      <c r="AA42" s="11">
        <f t="shared" si="23"/>
        <v>-162.50000000000182</v>
      </c>
      <c r="AB42" s="437">
        <f t="shared" si="24"/>
        <v>0.93229166666666596</v>
      </c>
      <c r="AC42" s="533"/>
    </row>
    <row r="43" spans="1:29">
      <c r="A43" s="551" t="s">
        <v>379</v>
      </c>
      <c r="B43" s="16" t="s">
        <v>1713</v>
      </c>
      <c r="C43" s="530"/>
      <c r="D43" s="530"/>
      <c r="E43" s="439"/>
      <c r="F43" s="16"/>
      <c r="G43" s="9"/>
      <c r="H43" s="447"/>
      <c r="I43" s="17">
        <v>18.399999999999999</v>
      </c>
      <c r="J43" s="18">
        <v>2400</v>
      </c>
      <c r="K43" s="9">
        <f t="shared" si="18"/>
        <v>130.43478260869566</v>
      </c>
      <c r="L43" s="17">
        <v>18.399999999999999</v>
      </c>
      <c r="M43" s="10">
        <f>AVERAGE(M33:M42)</f>
        <v>2250.0938055130537</v>
      </c>
      <c r="N43" s="9">
        <f t="shared" si="19"/>
        <v>122.28770682136162</v>
      </c>
      <c r="O43" s="11">
        <f t="shared" si="20"/>
        <v>0</v>
      </c>
      <c r="P43" s="12">
        <f t="shared" si="21"/>
        <v>-8.1470757873340318</v>
      </c>
      <c r="Q43" s="437">
        <f t="shared" si="22"/>
        <v>0.93753908563043908</v>
      </c>
      <c r="R43" s="533"/>
      <c r="S43" s="24"/>
      <c r="T43" s="24"/>
      <c r="U43" s="9"/>
      <c r="V43" s="446"/>
      <c r="W43" s="9"/>
      <c r="X43" s="9"/>
      <c r="Y43" s="528"/>
      <c r="Z43" s="528"/>
      <c r="AA43" s="11">
        <f t="shared" si="23"/>
        <v>-149.90619448694633</v>
      </c>
      <c r="AB43" s="437">
        <f t="shared" si="24"/>
        <v>0.93753908563043897</v>
      </c>
      <c r="AC43" s="533"/>
    </row>
    <row r="44" spans="1:29" ht="15.75" customHeight="1">
      <c r="A44" s="544" t="s">
        <v>1715</v>
      </c>
      <c r="B44" s="26" t="s">
        <v>32</v>
      </c>
      <c r="C44" s="534" t="s">
        <v>33</v>
      </c>
      <c r="D44" s="535"/>
      <c r="E44" s="26">
        <v>27.17</v>
      </c>
      <c r="F44" s="447">
        <v>5901</v>
      </c>
      <c r="G44" s="438">
        <f t="shared" ref="G44:G50" si="25">E44*F44</f>
        <v>160330.17000000001</v>
      </c>
      <c r="H44" s="448" t="s">
        <v>52</v>
      </c>
      <c r="I44" s="445">
        <v>10</v>
      </c>
      <c r="J44" s="18">
        <v>3000</v>
      </c>
      <c r="K44" s="9">
        <f t="shared" si="18"/>
        <v>300</v>
      </c>
      <c r="L44" s="445">
        <v>10</v>
      </c>
      <c r="M44" s="10">
        <f t="shared" ref="M44:M50" si="26">F44/V44*60</f>
        <v>2809.9999999999991</v>
      </c>
      <c r="N44" s="10">
        <f t="shared" si="19"/>
        <v>280.99999999999989</v>
      </c>
      <c r="O44" s="11">
        <f t="shared" si="20"/>
        <v>0</v>
      </c>
      <c r="P44" s="12">
        <f t="shared" si="21"/>
        <v>-19.000000000000114</v>
      </c>
      <c r="Q44" s="437">
        <f t="shared" si="22"/>
        <v>0.93666666666666631</v>
      </c>
      <c r="R44" s="547">
        <f>Q51</f>
        <v>0.93847837199519157</v>
      </c>
      <c r="S44" s="24">
        <v>0.125</v>
      </c>
      <c r="T44" s="24">
        <v>0.21250000000000002</v>
      </c>
      <c r="U44" s="15"/>
      <c r="V44" s="446">
        <f t="shared" ref="V44:V50" si="27">(T44-S44)*24*60</f>
        <v>126.00000000000003</v>
      </c>
      <c r="W44" s="438"/>
      <c r="X44" s="438"/>
      <c r="Y44" s="536"/>
      <c r="Z44" s="537"/>
      <c r="AA44" s="11">
        <f t="shared" si="23"/>
        <v>-190.00000000000091</v>
      </c>
      <c r="AB44" s="437">
        <f t="shared" si="24"/>
        <v>0.93666666666666631</v>
      </c>
      <c r="AC44" s="547">
        <f>AB51</f>
        <v>0.93847837199519157</v>
      </c>
    </row>
    <row r="45" spans="1:29" ht="15.75" customHeight="1">
      <c r="A45" s="545" t="s">
        <v>1714</v>
      </c>
      <c r="B45" s="26" t="s">
        <v>32</v>
      </c>
      <c r="C45" s="534" t="s">
        <v>34</v>
      </c>
      <c r="D45" s="535"/>
      <c r="E45" s="26">
        <v>21.13</v>
      </c>
      <c r="F45" s="447">
        <v>4627</v>
      </c>
      <c r="G45" s="438">
        <f t="shared" si="25"/>
        <v>97768.51</v>
      </c>
      <c r="H45" s="448" t="s">
        <v>52</v>
      </c>
      <c r="I45" s="445">
        <v>10</v>
      </c>
      <c r="J45" s="18">
        <v>3000</v>
      </c>
      <c r="K45" s="9">
        <f t="shared" si="18"/>
        <v>300</v>
      </c>
      <c r="L45" s="445">
        <v>10</v>
      </c>
      <c r="M45" s="10">
        <f t="shared" si="26"/>
        <v>2804.242424242424</v>
      </c>
      <c r="N45" s="10">
        <f t="shared" si="19"/>
        <v>280.42424242424238</v>
      </c>
      <c r="O45" s="11">
        <f t="shared" si="20"/>
        <v>0</v>
      </c>
      <c r="P45" s="12">
        <f t="shared" si="21"/>
        <v>-19.575757575757621</v>
      </c>
      <c r="Q45" s="437">
        <f t="shared" si="22"/>
        <v>0.93474747474747455</v>
      </c>
      <c r="R45" s="548"/>
      <c r="S45" s="24">
        <v>0.21736111111111114</v>
      </c>
      <c r="T45" s="24">
        <v>0.28611111111111115</v>
      </c>
      <c r="U45" s="438">
        <f t="shared" ref="U45:U50" si="28">(S45-T44)*24*60</f>
        <v>7.0000000000000151</v>
      </c>
      <c r="V45" s="446">
        <f t="shared" si="27"/>
        <v>99.000000000000014</v>
      </c>
      <c r="W45" s="14"/>
      <c r="X45" s="14"/>
      <c r="Y45" s="536"/>
      <c r="Z45" s="537"/>
      <c r="AA45" s="11">
        <f t="shared" si="23"/>
        <v>-195.75757575757598</v>
      </c>
      <c r="AB45" s="437">
        <f t="shared" si="24"/>
        <v>0.93474747474747466</v>
      </c>
      <c r="AC45" s="548"/>
    </row>
    <row r="46" spans="1:29" ht="15.75" customHeight="1">
      <c r="A46" s="545" t="s">
        <v>381</v>
      </c>
      <c r="B46" s="26" t="s">
        <v>32</v>
      </c>
      <c r="C46" s="534" t="s">
        <v>40</v>
      </c>
      <c r="D46" s="535"/>
      <c r="E46" s="26">
        <v>35.119999999999997</v>
      </c>
      <c r="F46" s="447">
        <v>4292</v>
      </c>
      <c r="G46" s="438">
        <f t="shared" si="25"/>
        <v>150735.03999999998</v>
      </c>
      <c r="H46" s="448" t="s">
        <v>52</v>
      </c>
      <c r="I46" s="445">
        <v>10</v>
      </c>
      <c r="J46" s="18">
        <v>3000</v>
      </c>
      <c r="K46" s="9">
        <f t="shared" si="18"/>
        <v>300</v>
      </c>
      <c r="L46" s="445">
        <v>10</v>
      </c>
      <c r="M46" s="10">
        <f t="shared" si="26"/>
        <v>2799.1304347826085</v>
      </c>
      <c r="N46" s="10">
        <f t="shared" si="19"/>
        <v>279.91304347826087</v>
      </c>
      <c r="O46" s="11">
        <f t="shared" si="20"/>
        <v>0</v>
      </c>
      <c r="P46" s="12">
        <f t="shared" si="21"/>
        <v>-20.086956521739125</v>
      </c>
      <c r="Q46" s="437">
        <f t="shared" si="22"/>
        <v>0.93304347826086953</v>
      </c>
      <c r="R46" s="548"/>
      <c r="S46" s="24">
        <v>0.29166666666666669</v>
      </c>
      <c r="T46" s="24">
        <v>0.35555555555555557</v>
      </c>
      <c r="U46" s="438">
        <f t="shared" si="28"/>
        <v>7.9999999999999716</v>
      </c>
      <c r="V46" s="446">
        <f t="shared" si="27"/>
        <v>92</v>
      </c>
      <c r="W46" s="14"/>
      <c r="X46" s="14"/>
      <c r="Y46" s="536"/>
      <c r="Z46" s="537"/>
      <c r="AA46" s="11">
        <f t="shared" si="23"/>
        <v>-200.86956521739148</v>
      </c>
      <c r="AB46" s="437">
        <f t="shared" si="24"/>
        <v>0.93304347826086953</v>
      </c>
      <c r="AC46" s="548"/>
    </row>
    <row r="47" spans="1:29" ht="15.75" customHeight="1">
      <c r="A47" s="545" t="s">
        <v>1715</v>
      </c>
      <c r="B47" s="26" t="s">
        <v>32</v>
      </c>
      <c r="C47" s="534" t="s">
        <v>61</v>
      </c>
      <c r="D47" s="535"/>
      <c r="E47" s="26">
        <v>40.18</v>
      </c>
      <c r="F47" s="447">
        <v>1775</v>
      </c>
      <c r="G47" s="438">
        <f t="shared" si="25"/>
        <v>71319.5</v>
      </c>
      <c r="H47" s="448" t="s">
        <v>52</v>
      </c>
      <c r="I47" s="445">
        <v>10</v>
      </c>
      <c r="J47" s="18">
        <v>3000</v>
      </c>
      <c r="K47" s="9">
        <f t="shared" si="18"/>
        <v>300</v>
      </c>
      <c r="L47" s="445">
        <v>10</v>
      </c>
      <c r="M47" s="10">
        <f t="shared" si="26"/>
        <v>2802.6315789473661</v>
      </c>
      <c r="N47" s="10">
        <f t="shared" si="19"/>
        <v>280.26315789473659</v>
      </c>
      <c r="O47" s="11">
        <f t="shared" si="20"/>
        <v>0</v>
      </c>
      <c r="P47" s="12">
        <f t="shared" si="21"/>
        <v>-19.736842105263406</v>
      </c>
      <c r="Q47" s="437">
        <f t="shared" si="22"/>
        <v>0.9342105263157886</v>
      </c>
      <c r="R47" s="548"/>
      <c r="S47" s="24">
        <v>0.36041666666666666</v>
      </c>
      <c r="T47" s="24">
        <v>0.38680555555555557</v>
      </c>
      <c r="U47" s="438">
        <f t="shared" si="28"/>
        <v>6.9999999999999751</v>
      </c>
      <c r="V47" s="446">
        <f t="shared" si="27"/>
        <v>38.000000000000028</v>
      </c>
      <c r="W47" s="14"/>
      <c r="X47" s="14"/>
      <c r="Y47" s="536"/>
      <c r="Z47" s="537"/>
      <c r="AA47" s="11">
        <f t="shared" si="23"/>
        <v>-197.36842105263395</v>
      </c>
      <c r="AB47" s="437">
        <f t="shared" si="24"/>
        <v>0.93421052631578871</v>
      </c>
      <c r="AC47" s="548"/>
    </row>
    <row r="48" spans="1:29" ht="15.75" customHeight="1">
      <c r="A48" s="545" t="s">
        <v>1714</v>
      </c>
      <c r="B48" s="26" t="s">
        <v>32</v>
      </c>
      <c r="C48" s="534" t="s">
        <v>64</v>
      </c>
      <c r="D48" s="535"/>
      <c r="E48" s="26">
        <v>28.5</v>
      </c>
      <c r="F48" s="447">
        <v>1528</v>
      </c>
      <c r="G48" s="438">
        <f t="shared" si="25"/>
        <v>43548</v>
      </c>
      <c r="H48" s="448" t="s">
        <v>52</v>
      </c>
      <c r="I48" s="445">
        <v>10</v>
      </c>
      <c r="J48" s="18">
        <v>3000</v>
      </c>
      <c r="K48" s="9">
        <f t="shared" si="18"/>
        <v>300</v>
      </c>
      <c r="L48" s="445">
        <v>10</v>
      </c>
      <c r="M48" s="10">
        <f t="shared" si="26"/>
        <v>2865.0000000000032</v>
      </c>
      <c r="N48" s="10">
        <f t="shared" si="19"/>
        <v>286.50000000000034</v>
      </c>
      <c r="O48" s="11">
        <f t="shared" si="20"/>
        <v>0</v>
      </c>
      <c r="P48" s="12">
        <f t="shared" si="21"/>
        <v>-13.499999999999659</v>
      </c>
      <c r="Q48" s="437">
        <f t="shared" si="22"/>
        <v>0.95500000000000118</v>
      </c>
      <c r="R48" s="548"/>
      <c r="S48" s="24">
        <v>0.39097222222222222</v>
      </c>
      <c r="T48" s="24">
        <v>0.41319444444444442</v>
      </c>
      <c r="U48" s="438">
        <f t="shared" si="28"/>
        <v>5.9999999999999787</v>
      </c>
      <c r="V48" s="446">
        <f t="shared" si="27"/>
        <v>31.999999999999964</v>
      </c>
      <c r="W48" s="14"/>
      <c r="X48" s="14"/>
      <c r="Y48" s="536"/>
      <c r="Z48" s="537"/>
      <c r="AA48" s="11">
        <f t="shared" si="23"/>
        <v>-134.99999999999682</v>
      </c>
      <c r="AB48" s="437">
        <f t="shared" si="24"/>
        <v>0.95500000000000107</v>
      </c>
      <c r="AC48" s="548"/>
    </row>
    <row r="49" spans="1:29" ht="15.75" customHeight="1">
      <c r="A49" s="545" t="s">
        <v>381</v>
      </c>
      <c r="B49" s="26" t="s">
        <v>32</v>
      </c>
      <c r="C49" s="534" t="s">
        <v>78</v>
      </c>
      <c r="D49" s="535"/>
      <c r="E49" s="26">
        <v>35.869999999999997</v>
      </c>
      <c r="F49" s="447">
        <v>2935</v>
      </c>
      <c r="G49" s="438">
        <f t="shared" si="25"/>
        <v>105278.45</v>
      </c>
      <c r="H49" s="448" t="s">
        <v>52</v>
      </c>
      <c r="I49" s="445">
        <v>10</v>
      </c>
      <c r="J49" s="18">
        <v>3000</v>
      </c>
      <c r="K49" s="9">
        <f t="shared" si="18"/>
        <v>300</v>
      </c>
      <c r="L49" s="445">
        <v>10</v>
      </c>
      <c r="M49" s="10">
        <f t="shared" si="26"/>
        <v>2795.2380952380945</v>
      </c>
      <c r="N49" s="10">
        <f t="shared" si="19"/>
        <v>279.52380952380946</v>
      </c>
      <c r="O49" s="11">
        <f t="shared" si="20"/>
        <v>0</v>
      </c>
      <c r="P49" s="12">
        <f t="shared" si="21"/>
        <v>-20.476190476190538</v>
      </c>
      <c r="Q49" s="437">
        <f t="shared" si="22"/>
        <v>0.93174603174603154</v>
      </c>
      <c r="R49" s="548"/>
      <c r="S49" s="24">
        <v>0.41666666666666663</v>
      </c>
      <c r="T49" s="24">
        <v>0.46041666666666664</v>
      </c>
      <c r="U49" s="438">
        <f t="shared" si="28"/>
        <v>4.9999999999999822</v>
      </c>
      <c r="V49" s="446">
        <f t="shared" si="27"/>
        <v>63.000000000000014</v>
      </c>
      <c r="W49" s="14"/>
      <c r="X49" s="14"/>
      <c r="Y49" s="536"/>
      <c r="Z49" s="537"/>
      <c r="AA49" s="11">
        <f t="shared" si="23"/>
        <v>-204.7619047619055</v>
      </c>
      <c r="AB49" s="437">
        <f t="shared" si="24"/>
        <v>0.93174603174603154</v>
      </c>
      <c r="AC49" s="548"/>
    </row>
    <row r="50" spans="1:29" ht="15.75" customHeight="1">
      <c r="A50" s="545" t="s">
        <v>381</v>
      </c>
      <c r="B50" s="26" t="s">
        <v>32</v>
      </c>
      <c r="C50" s="534" t="s">
        <v>1081</v>
      </c>
      <c r="D50" s="535"/>
      <c r="E50" s="26">
        <v>36.14</v>
      </c>
      <c r="F50" s="447">
        <v>2879</v>
      </c>
      <c r="G50" s="438">
        <f t="shared" si="25"/>
        <v>104047.06</v>
      </c>
      <c r="H50" s="448" t="s">
        <v>52</v>
      </c>
      <c r="I50" s="445">
        <v>10</v>
      </c>
      <c r="J50" s="18">
        <v>3000</v>
      </c>
      <c r="K50" s="9">
        <f t="shared" si="18"/>
        <v>300</v>
      </c>
      <c r="L50" s="445">
        <v>10</v>
      </c>
      <c r="M50" s="10">
        <f t="shared" si="26"/>
        <v>2831.8032786885237</v>
      </c>
      <c r="N50" s="10">
        <f t="shared" si="19"/>
        <v>283.18032786885237</v>
      </c>
      <c r="O50" s="11">
        <f t="shared" si="20"/>
        <v>0</v>
      </c>
      <c r="P50" s="12">
        <f t="shared" si="21"/>
        <v>-16.819672131147627</v>
      </c>
      <c r="Q50" s="437">
        <f t="shared" si="22"/>
        <v>0.94393442622950796</v>
      </c>
      <c r="R50" s="548"/>
      <c r="S50" s="24">
        <v>0.46458333333333329</v>
      </c>
      <c r="T50" s="24">
        <v>0.50694444444444442</v>
      </c>
      <c r="U50" s="438">
        <f t="shared" si="28"/>
        <v>5.9999999999999787</v>
      </c>
      <c r="V50" s="446">
        <f t="shared" si="27"/>
        <v>61.000000000000021</v>
      </c>
      <c r="W50" s="14"/>
      <c r="X50" s="14"/>
      <c r="Y50" s="536"/>
      <c r="Z50" s="537"/>
      <c r="AA50" s="11">
        <f t="shared" si="23"/>
        <v>-168.19672131147627</v>
      </c>
      <c r="AB50" s="437">
        <f t="shared" si="24"/>
        <v>0.94393442622950796</v>
      </c>
      <c r="AC50" s="548"/>
    </row>
    <row r="51" spans="1:29" ht="15.75" customHeight="1">
      <c r="A51" s="546" t="s">
        <v>381</v>
      </c>
      <c r="B51" s="26" t="s">
        <v>1713</v>
      </c>
      <c r="C51" s="540"/>
      <c r="D51" s="541"/>
      <c r="E51" s="444"/>
      <c r="F51" s="447"/>
      <c r="G51" s="438"/>
      <c r="H51" s="447"/>
      <c r="I51" s="17">
        <v>10</v>
      </c>
      <c r="J51" s="18">
        <v>3000</v>
      </c>
      <c r="K51" s="9">
        <f t="shared" si="18"/>
        <v>300</v>
      </c>
      <c r="L51" s="17">
        <v>10</v>
      </c>
      <c r="M51" s="10">
        <f>AVERAGE(M44:M50)</f>
        <v>2815.4351159855746</v>
      </c>
      <c r="N51" s="9">
        <f t="shared" si="19"/>
        <v>281.54351159855747</v>
      </c>
      <c r="O51" s="11">
        <f t="shared" si="20"/>
        <v>0</v>
      </c>
      <c r="P51" s="12">
        <f t="shared" si="21"/>
        <v>-18.456488401442527</v>
      </c>
      <c r="Q51" s="437">
        <f t="shared" si="22"/>
        <v>0.93847837199519157</v>
      </c>
      <c r="R51" s="549"/>
      <c r="S51" s="24"/>
      <c r="T51" s="24"/>
      <c r="U51" s="438"/>
      <c r="V51" s="446"/>
      <c r="W51" s="14"/>
      <c r="X51" s="14"/>
      <c r="Y51" s="536"/>
      <c r="Z51" s="537"/>
      <c r="AA51" s="11">
        <f t="shared" si="23"/>
        <v>-184.56488401442539</v>
      </c>
      <c r="AB51" s="437">
        <f t="shared" si="24"/>
        <v>0.93847837199519157</v>
      </c>
      <c r="AC51" s="549"/>
    </row>
    <row r="52" spans="1:29" ht="15.75" customHeight="1">
      <c r="A52" s="542" t="s">
        <v>1712</v>
      </c>
      <c r="B52" s="26" t="s">
        <v>15</v>
      </c>
      <c r="C52" s="529" t="s">
        <v>20</v>
      </c>
      <c r="D52" s="529"/>
      <c r="E52" s="26">
        <v>46</v>
      </c>
      <c r="F52" s="27">
        <v>3047</v>
      </c>
      <c r="G52" s="438">
        <f>E52*F52</f>
        <v>140162</v>
      </c>
      <c r="H52" s="448" t="s">
        <v>52</v>
      </c>
      <c r="I52" s="445">
        <v>17</v>
      </c>
      <c r="J52" s="18">
        <v>2000</v>
      </c>
      <c r="K52" s="9">
        <f t="shared" si="18"/>
        <v>117.64705882352941</v>
      </c>
      <c r="L52" s="445">
        <v>17</v>
      </c>
      <c r="M52" s="10">
        <f>F52/V52*60</f>
        <v>1865.5102040816332</v>
      </c>
      <c r="N52" s="10">
        <f t="shared" si="19"/>
        <v>109.73589435774313</v>
      </c>
      <c r="O52" s="11">
        <f t="shared" si="20"/>
        <v>0</v>
      </c>
      <c r="P52" s="12">
        <f t="shared" si="21"/>
        <v>-7.9111644657862712</v>
      </c>
      <c r="Q52" s="437">
        <f t="shared" si="22"/>
        <v>0.93275510204081669</v>
      </c>
      <c r="R52" s="533">
        <f>Q57</f>
        <v>0.93453054649631284</v>
      </c>
      <c r="S52" s="24">
        <v>0.29166666666666669</v>
      </c>
      <c r="T52" s="24">
        <v>0.35972222222222222</v>
      </c>
      <c r="U52" s="15"/>
      <c r="V52" s="446">
        <f>(T52-S52)*24*60</f>
        <v>97.999999999999972</v>
      </c>
      <c r="W52" s="15"/>
      <c r="X52" s="15"/>
      <c r="Y52" s="528"/>
      <c r="Z52" s="528"/>
      <c r="AA52" s="11">
        <f t="shared" si="23"/>
        <v>-134.48979591836678</v>
      </c>
      <c r="AB52" s="437">
        <f t="shared" si="24"/>
        <v>0.93275510204081657</v>
      </c>
      <c r="AC52" s="533">
        <f>AB57</f>
        <v>0.93453054649631284</v>
      </c>
    </row>
    <row r="53" spans="1:29" ht="15.75" customHeight="1">
      <c r="A53" s="542" t="s">
        <v>383</v>
      </c>
      <c r="B53" s="26" t="s">
        <v>15</v>
      </c>
      <c r="C53" s="529" t="s">
        <v>65</v>
      </c>
      <c r="D53" s="529"/>
      <c r="E53" s="26">
        <v>46</v>
      </c>
      <c r="F53" s="27">
        <v>3244</v>
      </c>
      <c r="G53" s="438">
        <f>E53*F53</f>
        <v>149224</v>
      </c>
      <c r="H53" s="448" t="s">
        <v>52</v>
      </c>
      <c r="I53" s="445">
        <v>18</v>
      </c>
      <c r="J53" s="18">
        <v>2000</v>
      </c>
      <c r="K53" s="9">
        <f t="shared" si="18"/>
        <v>111.11111111111111</v>
      </c>
      <c r="L53" s="445">
        <v>18</v>
      </c>
      <c r="M53" s="10">
        <f>F53/V53*60</f>
        <v>1871.538461538461</v>
      </c>
      <c r="N53" s="10">
        <f t="shared" si="19"/>
        <v>103.97435897435895</v>
      </c>
      <c r="O53" s="11">
        <f t="shared" si="20"/>
        <v>0</v>
      </c>
      <c r="P53" s="12">
        <f t="shared" si="21"/>
        <v>-7.1367521367521647</v>
      </c>
      <c r="Q53" s="437">
        <f t="shared" si="22"/>
        <v>0.93576923076923046</v>
      </c>
      <c r="R53" s="533"/>
      <c r="S53" s="24">
        <v>0.36458333333333331</v>
      </c>
      <c r="T53" s="24">
        <v>0.43680555555555556</v>
      </c>
      <c r="U53" s="438">
        <f>IF(S53=TIME(17,0,0),"",(S53-T52)*24*60)</f>
        <v>6.9999999999999751</v>
      </c>
      <c r="V53" s="446">
        <f>(T53-S53)*24*60</f>
        <v>104.00000000000003</v>
      </c>
      <c r="W53" s="14"/>
      <c r="X53" s="14"/>
      <c r="Y53" s="528"/>
      <c r="Z53" s="528"/>
      <c r="AA53" s="11">
        <f t="shared" si="23"/>
        <v>-128.46153846153902</v>
      </c>
      <c r="AB53" s="437">
        <f t="shared" si="24"/>
        <v>0.93576923076923046</v>
      </c>
      <c r="AC53" s="533"/>
    </row>
    <row r="54" spans="1:29" ht="15.75" customHeight="1">
      <c r="A54" s="542" t="s">
        <v>383</v>
      </c>
      <c r="B54" s="26" t="s">
        <v>13</v>
      </c>
      <c r="C54" s="534" t="s">
        <v>59</v>
      </c>
      <c r="D54" s="535"/>
      <c r="E54" s="26">
        <v>55.56</v>
      </c>
      <c r="F54" s="27">
        <v>1898</v>
      </c>
      <c r="G54" s="438">
        <f>E54*F54</f>
        <v>105452.88</v>
      </c>
      <c r="H54" s="448" t="s">
        <v>52</v>
      </c>
      <c r="I54" s="445">
        <v>17</v>
      </c>
      <c r="J54" s="18">
        <v>2000</v>
      </c>
      <c r="K54" s="9">
        <f t="shared" si="18"/>
        <v>117.64705882352941</v>
      </c>
      <c r="L54" s="445">
        <v>17</v>
      </c>
      <c r="M54" s="10">
        <f>F54/V54*60</f>
        <v>1866.8852459016412</v>
      </c>
      <c r="N54" s="10">
        <f t="shared" si="19"/>
        <v>109.81677917068477</v>
      </c>
      <c r="O54" s="11">
        <f t="shared" si="20"/>
        <v>0</v>
      </c>
      <c r="P54" s="12">
        <f t="shared" si="21"/>
        <v>-7.8302796528446379</v>
      </c>
      <c r="Q54" s="437">
        <f t="shared" si="22"/>
        <v>0.93344262295082059</v>
      </c>
      <c r="R54" s="533"/>
      <c r="S54" s="24">
        <v>0.70833333333333337</v>
      </c>
      <c r="T54" s="24">
        <v>0.75069444444444444</v>
      </c>
      <c r="U54" s="438" t="str">
        <f>IF(S54=TIME(17,0,0),"",(S54-T53)*24*60)</f>
        <v/>
      </c>
      <c r="V54" s="446">
        <f>(T54-S54)*24*60</f>
        <v>60.999999999999943</v>
      </c>
      <c r="W54" s="14"/>
      <c r="X54" s="14"/>
      <c r="Y54" s="442"/>
      <c r="Z54" s="443"/>
      <c r="AA54" s="11">
        <f t="shared" si="23"/>
        <v>-133.11475409835884</v>
      </c>
      <c r="AB54" s="437">
        <f t="shared" si="24"/>
        <v>0.93344262295082059</v>
      </c>
      <c r="AC54" s="533"/>
    </row>
    <row r="55" spans="1:29" ht="15.75" customHeight="1">
      <c r="A55" s="542" t="s">
        <v>1711</v>
      </c>
      <c r="B55" s="26" t="s">
        <v>13</v>
      </c>
      <c r="C55" s="440" t="s">
        <v>58</v>
      </c>
      <c r="D55" s="441"/>
      <c r="E55" s="26">
        <v>55.32</v>
      </c>
      <c r="F55" s="27">
        <v>1430</v>
      </c>
      <c r="G55" s="438">
        <f>E55*F55</f>
        <v>79107.600000000006</v>
      </c>
      <c r="H55" s="448" t="s">
        <v>52</v>
      </c>
      <c r="I55" s="445">
        <v>15</v>
      </c>
      <c r="J55" s="18">
        <v>2000</v>
      </c>
      <c r="K55" s="9">
        <f t="shared" si="18"/>
        <v>133.33333333333334</v>
      </c>
      <c r="L55" s="445">
        <v>15</v>
      </c>
      <c r="M55" s="10">
        <f>F55/V55*60</f>
        <v>1865.2173913043478</v>
      </c>
      <c r="N55" s="10">
        <f t="shared" si="19"/>
        <v>124.34782608695652</v>
      </c>
      <c r="O55" s="11">
        <f t="shared" si="20"/>
        <v>0</v>
      </c>
      <c r="P55" s="12">
        <f t="shared" si="21"/>
        <v>-8.9855072463768266</v>
      </c>
      <c r="Q55" s="437">
        <f t="shared" si="22"/>
        <v>0.93260869565217386</v>
      </c>
      <c r="R55" s="533"/>
      <c r="S55" s="24">
        <v>0.75486111111111109</v>
      </c>
      <c r="T55" s="24">
        <v>0.78680555555555554</v>
      </c>
      <c r="U55" s="438">
        <f>IF(S55=TIME(17,0,0),"",(S55-T54)*24*60)</f>
        <v>5.9999999999999787</v>
      </c>
      <c r="V55" s="446">
        <f>(T55-S55)*24*60</f>
        <v>46</v>
      </c>
      <c r="W55" s="14"/>
      <c r="X55" s="14"/>
      <c r="Y55" s="442"/>
      <c r="Z55" s="443"/>
      <c r="AA55" s="11">
        <f t="shared" si="23"/>
        <v>-134.78260869565224</v>
      </c>
      <c r="AB55" s="437">
        <f t="shared" si="24"/>
        <v>0.93260869565217386</v>
      </c>
      <c r="AC55" s="533"/>
    </row>
    <row r="56" spans="1:29" ht="15.75" customHeight="1">
      <c r="A56" s="542" t="s">
        <v>383</v>
      </c>
      <c r="B56" s="26" t="s">
        <v>13</v>
      </c>
      <c r="C56" s="440" t="s">
        <v>60</v>
      </c>
      <c r="D56" s="441"/>
      <c r="E56" s="26">
        <v>57.73</v>
      </c>
      <c r="F56" s="27">
        <v>1268</v>
      </c>
      <c r="G56" s="438">
        <f>E56*F56</f>
        <v>73201.64</v>
      </c>
      <c r="H56" s="448" t="s">
        <v>52</v>
      </c>
      <c r="I56" s="445">
        <v>16</v>
      </c>
      <c r="J56" s="18">
        <v>1500</v>
      </c>
      <c r="K56" s="9">
        <f t="shared" si="18"/>
        <v>93.75</v>
      </c>
      <c r="L56" s="445">
        <v>16</v>
      </c>
      <c r="M56" s="10">
        <f>F56/V56*60</f>
        <v>1408.8888888888896</v>
      </c>
      <c r="N56" s="10">
        <f t="shared" si="19"/>
        <v>88.0555555555556</v>
      </c>
      <c r="O56" s="11">
        <f t="shared" si="20"/>
        <v>0</v>
      </c>
      <c r="P56" s="12">
        <f t="shared" si="21"/>
        <v>-5.6944444444444002</v>
      </c>
      <c r="Q56" s="437">
        <f t="shared" si="22"/>
        <v>0.93925925925925968</v>
      </c>
      <c r="R56" s="533"/>
      <c r="S56" s="24">
        <v>0.79236111111111107</v>
      </c>
      <c r="T56" s="24">
        <v>0.82986111111111105</v>
      </c>
      <c r="U56" s="438">
        <f>IF(S56=TIME(17,0,0),"",(S56-T55)*24*60)</f>
        <v>7.9999999999999716</v>
      </c>
      <c r="V56" s="446">
        <f>(T56-S56)*24*60</f>
        <v>53.999999999999972</v>
      </c>
      <c r="W56" s="14"/>
      <c r="X56" s="14"/>
      <c r="Y56" s="442"/>
      <c r="Z56" s="443"/>
      <c r="AA56" s="11">
        <f t="shared" si="23"/>
        <v>-91.111111111110404</v>
      </c>
      <c r="AB56" s="437">
        <f t="shared" si="24"/>
        <v>0.93925925925925968</v>
      </c>
      <c r="AC56" s="533"/>
    </row>
    <row r="57" spans="1:29">
      <c r="A57" s="543" t="s">
        <v>383</v>
      </c>
      <c r="B57" s="26" t="s">
        <v>82</v>
      </c>
      <c r="C57" s="530"/>
      <c r="D57" s="530"/>
      <c r="E57" s="439"/>
      <c r="F57" s="16"/>
      <c r="G57" s="9"/>
      <c r="H57" s="447"/>
      <c r="I57" s="17">
        <v>16.600000000000001</v>
      </c>
      <c r="J57" s="18">
        <v>1900</v>
      </c>
      <c r="K57" s="9">
        <f t="shared" si="18"/>
        <v>114.4578313253012</v>
      </c>
      <c r="L57" s="17">
        <v>16.600000000000001</v>
      </c>
      <c r="M57" s="10">
        <f>AVERAGE(M52:M56)</f>
        <v>1775.6080383429944</v>
      </c>
      <c r="N57" s="9">
        <f t="shared" si="19"/>
        <v>106.96433965921652</v>
      </c>
      <c r="O57" s="11">
        <f t="shared" si="20"/>
        <v>0</v>
      </c>
      <c r="P57" s="12">
        <f t="shared" si="21"/>
        <v>-7.4934916660846795</v>
      </c>
      <c r="Q57" s="437">
        <f t="shared" si="22"/>
        <v>0.93453054649631284</v>
      </c>
      <c r="R57" s="533"/>
      <c r="S57" s="25"/>
      <c r="T57" s="24"/>
      <c r="U57" s="9"/>
      <c r="V57" s="446"/>
      <c r="W57" s="9"/>
      <c r="X57" s="9"/>
      <c r="Y57" s="528"/>
      <c r="Z57" s="528"/>
      <c r="AA57" s="11">
        <f t="shared" si="23"/>
        <v>-124.3919616570056</v>
      </c>
      <c r="AB57" s="437">
        <f t="shared" si="24"/>
        <v>0.93453054649631284</v>
      </c>
      <c r="AC57" s="533"/>
    </row>
    <row r="58" spans="1:29" ht="15.75" customHeight="1">
      <c r="A58" s="538" t="s">
        <v>385</v>
      </c>
      <c r="B58" s="447" t="s">
        <v>1549</v>
      </c>
      <c r="C58" s="529" t="s">
        <v>1084</v>
      </c>
      <c r="D58" s="529"/>
      <c r="E58" s="26">
        <v>84.51</v>
      </c>
      <c r="F58" s="27">
        <v>3617</v>
      </c>
      <c r="G58" s="438">
        <f t="shared" ref="G58:G63" si="29">E58*F58</f>
        <v>305672.67000000004</v>
      </c>
      <c r="H58" s="448" t="s">
        <v>52</v>
      </c>
      <c r="I58" s="445">
        <v>17</v>
      </c>
      <c r="J58" s="18">
        <v>2400</v>
      </c>
      <c r="K58" s="9">
        <f t="shared" si="18"/>
        <v>141.1764705882353</v>
      </c>
      <c r="L58" s="17">
        <v>17</v>
      </c>
      <c r="M58" s="10">
        <f t="shared" ref="M58:M63" si="30">F58/V58*60</f>
        <v>2237.3195876288669</v>
      </c>
      <c r="N58" s="9">
        <f t="shared" si="19"/>
        <v>131.60703456640394</v>
      </c>
      <c r="O58" s="11">
        <f t="shared" si="20"/>
        <v>0</v>
      </c>
      <c r="P58" s="12">
        <f t="shared" si="21"/>
        <v>-9.5694360218313648</v>
      </c>
      <c r="Q58" s="437">
        <f t="shared" si="22"/>
        <v>0.93221649484536118</v>
      </c>
      <c r="R58" s="533">
        <f>Q64</f>
        <v>0.9403842832909084</v>
      </c>
      <c r="S58" s="24">
        <v>0.125</v>
      </c>
      <c r="T58" s="24">
        <v>0.19236111111111109</v>
      </c>
      <c r="U58" s="438"/>
      <c r="V58" s="446">
        <f t="shared" ref="V58:V63" si="31">(T58-S58)*24*60</f>
        <v>96.999999999999972</v>
      </c>
      <c r="W58" s="15"/>
      <c r="X58" s="15"/>
      <c r="Y58" s="528"/>
      <c r="Z58" s="528"/>
      <c r="AA58" s="11">
        <f t="shared" si="23"/>
        <v>-162.68041237113312</v>
      </c>
      <c r="AB58" s="437">
        <f t="shared" si="24"/>
        <v>0.93221649484536118</v>
      </c>
      <c r="AC58" s="533">
        <f>AB64</f>
        <v>0.9403842832909084</v>
      </c>
    </row>
    <row r="59" spans="1:29" ht="15.75" customHeight="1">
      <c r="A59" s="538" t="s">
        <v>1709</v>
      </c>
      <c r="B59" s="447" t="s">
        <v>32</v>
      </c>
      <c r="C59" s="529" t="s">
        <v>35</v>
      </c>
      <c r="D59" s="529"/>
      <c r="E59" s="26">
        <v>26.78</v>
      </c>
      <c r="F59" s="27">
        <v>2433</v>
      </c>
      <c r="G59" s="438">
        <f t="shared" si="29"/>
        <v>65155.740000000005</v>
      </c>
      <c r="H59" s="448" t="s">
        <v>52</v>
      </c>
      <c r="I59" s="445">
        <v>10</v>
      </c>
      <c r="J59" s="18">
        <v>3000</v>
      </c>
      <c r="K59" s="9">
        <f t="shared" si="18"/>
        <v>300</v>
      </c>
      <c r="L59" s="17">
        <v>10</v>
      </c>
      <c r="M59" s="10">
        <f t="shared" si="30"/>
        <v>2807.3076923076915</v>
      </c>
      <c r="N59" s="9">
        <f t="shared" si="19"/>
        <v>280.73076923076917</v>
      </c>
      <c r="O59" s="11">
        <f t="shared" si="20"/>
        <v>0</v>
      </c>
      <c r="P59" s="12">
        <f t="shared" si="21"/>
        <v>-19.26923076923083</v>
      </c>
      <c r="Q59" s="437">
        <f t="shared" si="22"/>
        <v>0.93576923076923058</v>
      </c>
      <c r="R59" s="533"/>
      <c r="S59" s="24">
        <v>0.19791666666666666</v>
      </c>
      <c r="T59" s="24">
        <v>0.23402777777777778</v>
      </c>
      <c r="U59" s="438">
        <f>(S59-T58)*24*60</f>
        <v>8.0000000000000107</v>
      </c>
      <c r="V59" s="446">
        <f t="shared" si="31"/>
        <v>52.000000000000014</v>
      </c>
      <c r="W59" s="438"/>
      <c r="X59" s="438"/>
      <c r="Y59" s="528"/>
      <c r="Z59" s="528"/>
      <c r="AA59" s="11">
        <f t="shared" si="23"/>
        <v>-192.69230769230853</v>
      </c>
      <c r="AB59" s="437">
        <f t="shared" si="24"/>
        <v>0.93576923076923046</v>
      </c>
      <c r="AC59" s="533"/>
    </row>
    <row r="60" spans="1:29" ht="15.75" customHeight="1">
      <c r="A60" s="538" t="s">
        <v>1710</v>
      </c>
      <c r="B60" s="447" t="s">
        <v>32</v>
      </c>
      <c r="C60" s="529" t="s">
        <v>39</v>
      </c>
      <c r="D60" s="529"/>
      <c r="E60" s="26">
        <v>35.369999999999997</v>
      </c>
      <c r="F60" s="27">
        <v>1466</v>
      </c>
      <c r="G60" s="438">
        <f t="shared" si="29"/>
        <v>51852.42</v>
      </c>
      <c r="H60" s="448" t="s">
        <v>52</v>
      </c>
      <c r="I60" s="445">
        <v>10</v>
      </c>
      <c r="J60" s="18">
        <v>3000</v>
      </c>
      <c r="K60" s="9">
        <f t="shared" si="18"/>
        <v>300</v>
      </c>
      <c r="L60" s="17">
        <v>10</v>
      </c>
      <c r="M60" s="10">
        <f t="shared" si="30"/>
        <v>2837.4193548387088</v>
      </c>
      <c r="N60" s="9">
        <f t="shared" si="19"/>
        <v>283.74193548387086</v>
      </c>
      <c r="O60" s="11">
        <f t="shared" si="20"/>
        <v>0</v>
      </c>
      <c r="P60" s="12">
        <f t="shared" si="21"/>
        <v>-16.258064516129139</v>
      </c>
      <c r="Q60" s="437">
        <f t="shared" si="22"/>
        <v>0.94580645161290289</v>
      </c>
      <c r="R60" s="533"/>
      <c r="S60" s="24">
        <v>0.23958333333333334</v>
      </c>
      <c r="T60" s="24">
        <v>0.26111111111111113</v>
      </c>
      <c r="U60" s="438">
        <f>(S60-T59)*24*60</f>
        <v>8.0000000000000107</v>
      </c>
      <c r="V60" s="446">
        <f t="shared" si="31"/>
        <v>31.000000000000011</v>
      </c>
      <c r="W60" s="438"/>
      <c r="X60" s="438"/>
      <c r="Y60" s="528"/>
      <c r="Z60" s="528"/>
      <c r="AA60" s="11">
        <f t="shared" si="23"/>
        <v>-162.58064516129116</v>
      </c>
      <c r="AB60" s="437">
        <f t="shared" si="24"/>
        <v>0.945806451612903</v>
      </c>
      <c r="AC60" s="533"/>
    </row>
    <row r="61" spans="1:29" ht="15.75" customHeight="1">
      <c r="A61" s="538" t="s">
        <v>1709</v>
      </c>
      <c r="B61" s="447" t="s">
        <v>15</v>
      </c>
      <c r="C61" s="529" t="s">
        <v>36</v>
      </c>
      <c r="D61" s="529"/>
      <c r="E61" s="26">
        <v>26.97</v>
      </c>
      <c r="F61" s="27">
        <v>3207</v>
      </c>
      <c r="G61" s="438">
        <f t="shared" si="29"/>
        <v>86492.79</v>
      </c>
      <c r="H61" s="448" t="s">
        <v>52</v>
      </c>
      <c r="I61" s="445">
        <v>8</v>
      </c>
      <c r="J61" s="18">
        <v>1500</v>
      </c>
      <c r="K61" s="9">
        <f t="shared" si="18"/>
        <v>187.5</v>
      </c>
      <c r="L61" s="17">
        <v>8</v>
      </c>
      <c r="M61" s="10">
        <f t="shared" si="30"/>
        <v>1404.5255474452556</v>
      </c>
      <c r="N61" s="9">
        <f t="shared" si="19"/>
        <v>175.56569343065695</v>
      </c>
      <c r="O61" s="11">
        <f t="shared" si="20"/>
        <v>0</v>
      </c>
      <c r="P61" s="12">
        <f t="shared" si="21"/>
        <v>-11.93430656934305</v>
      </c>
      <c r="Q61" s="437">
        <f t="shared" si="22"/>
        <v>0.93635036496350377</v>
      </c>
      <c r="R61" s="533"/>
      <c r="S61" s="24">
        <v>0.26458333333333334</v>
      </c>
      <c r="T61" s="24">
        <v>0.35972222222222222</v>
      </c>
      <c r="U61" s="438">
        <f>(S61-T60)*24*60</f>
        <v>4.9999999999999822</v>
      </c>
      <c r="V61" s="446">
        <f t="shared" si="31"/>
        <v>137</v>
      </c>
      <c r="W61" s="438"/>
      <c r="X61" s="438"/>
      <c r="Y61" s="528"/>
      <c r="Z61" s="528"/>
      <c r="AA61" s="11">
        <f t="shared" si="23"/>
        <v>-95.474452554744403</v>
      </c>
      <c r="AB61" s="437">
        <f t="shared" si="24"/>
        <v>0.93635036496350377</v>
      </c>
      <c r="AC61" s="533"/>
    </row>
    <row r="62" spans="1:29">
      <c r="A62" s="539" t="s">
        <v>385</v>
      </c>
      <c r="B62" s="447" t="s">
        <v>32</v>
      </c>
      <c r="C62" s="529" t="s">
        <v>37</v>
      </c>
      <c r="D62" s="529"/>
      <c r="E62" s="26">
        <v>35.119999999999997</v>
      </c>
      <c r="F62" s="27">
        <v>1112</v>
      </c>
      <c r="G62" s="438">
        <f t="shared" si="29"/>
        <v>39053.439999999995</v>
      </c>
      <c r="H62" s="448" t="s">
        <v>52</v>
      </c>
      <c r="I62" s="445">
        <v>13</v>
      </c>
      <c r="J62" s="18">
        <v>2000</v>
      </c>
      <c r="K62" s="9">
        <f t="shared" si="18"/>
        <v>153.84615384615384</v>
      </c>
      <c r="L62" s="17">
        <v>13</v>
      </c>
      <c r="M62" s="10">
        <f t="shared" si="30"/>
        <v>1906.2857142857124</v>
      </c>
      <c r="N62" s="9">
        <f t="shared" si="19"/>
        <v>146.63736263736249</v>
      </c>
      <c r="O62" s="11">
        <f t="shared" si="20"/>
        <v>0</v>
      </c>
      <c r="P62" s="12">
        <f t="shared" si="21"/>
        <v>-7.2087912087913537</v>
      </c>
      <c r="Q62" s="437">
        <f t="shared" si="22"/>
        <v>0.95314285714285618</v>
      </c>
      <c r="R62" s="533"/>
      <c r="S62" s="24">
        <v>0.36527777777777776</v>
      </c>
      <c r="T62" s="24">
        <v>0.38958333333333334</v>
      </c>
      <c r="U62" s="438">
        <f>(S62-T61)*24*60</f>
        <v>7.9999999999999716</v>
      </c>
      <c r="V62" s="446">
        <f t="shared" si="31"/>
        <v>35.000000000000036</v>
      </c>
      <c r="W62" s="14"/>
      <c r="X62" s="14"/>
      <c r="Y62" s="528"/>
      <c r="Z62" s="528"/>
      <c r="AA62" s="11">
        <f t="shared" si="23"/>
        <v>-93.714285714287598</v>
      </c>
      <c r="AB62" s="437">
        <f t="shared" si="24"/>
        <v>0.95314285714285618</v>
      </c>
      <c r="AC62" s="533"/>
    </row>
    <row r="63" spans="1:29" ht="15" customHeight="1">
      <c r="A63" s="539" t="s">
        <v>1709</v>
      </c>
      <c r="B63" s="447" t="s">
        <v>32</v>
      </c>
      <c r="C63" s="534" t="s">
        <v>84</v>
      </c>
      <c r="D63" s="535"/>
      <c r="E63" s="26">
        <v>35.869999999999997</v>
      </c>
      <c r="F63" s="27">
        <v>2490</v>
      </c>
      <c r="G63" s="438">
        <f t="shared" si="29"/>
        <v>89316.299999999988</v>
      </c>
      <c r="H63" s="448" t="s">
        <v>52</v>
      </c>
      <c r="I63" s="445">
        <v>10</v>
      </c>
      <c r="J63" s="18">
        <v>3000</v>
      </c>
      <c r="K63" s="9">
        <f t="shared" si="18"/>
        <v>300</v>
      </c>
      <c r="L63" s="17">
        <v>10</v>
      </c>
      <c r="M63" s="10">
        <f t="shared" si="30"/>
        <v>2818.8679245283033</v>
      </c>
      <c r="N63" s="9">
        <f t="shared" si="19"/>
        <v>281.88679245283032</v>
      </c>
      <c r="O63" s="11">
        <f t="shared" si="20"/>
        <v>0</v>
      </c>
      <c r="P63" s="12">
        <f t="shared" si="21"/>
        <v>-18.113207547169679</v>
      </c>
      <c r="Q63" s="437">
        <f t="shared" si="22"/>
        <v>0.93962264150943442</v>
      </c>
      <c r="R63" s="533"/>
      <c r="S63" s="24">
        <v>0.39513888888888887</v>
      </c>
      <c r="T63" s="24">
        <v>0.43194444444444441</v>
      </c>
      <c r="U63" s="438">
        <f>(S63-T62)*24*60</f>
        <v>7.9999999999999716</v>
      </c>
      <c r="V63" s="446">
        <f t="shared" si="31"/>
        <v>52.999999999999972</v>
      </c>
      <c r="W63" s="438"/>
      <c r="X63" s="438"/>
      <c r="Y63" s="536"/>
      <c r="Z63" s="537"/>
      <c r="AA63" s="11">
        <f t="shared" si="23"/>
        <v>-181.13207547169668</v>
      </c>
      <c r="AB63" s="437">
        <f t="shared" si="24"/>
        <v>0.93962264150943442</v>
      </c>
      <c r="AC63" s="533"/>
    </row>
    <row r="64" spans="1:29">
      <c r="A64" s="539" t="s">
        <v>385</v>
      </c>
      <c r="B64" s="26" t="s">
        <v>1708</v>
      </c>
      <c r="C64" s="530"/>
      <c r="D64" s="530"/>
      <c r="E64" s="439"/>
      <c r="F64" s="16"/>
      <c r="G64" s="9"/>
      <c r="H64" s="447"/>
      <c r="I64" s="17">
        <v>11.333333333333334</v>
      </c>
      <c r="J64" s="18">
        <v>2483.3333333333335</v>
      </c>
      <c r="K64" s="9">
        <f t="shared" si="18"/>
        <v>219.11764705882354</v>
      </c>
      <c r="L64" s="17">
        <v>11.333333333333334</v>
      </c>
      <c r="M64" s="10">
        <f>AVERAGE(M58:M63)</f>
        <v>2335.2876368390894</v>
      </c>
      <c r="N64" s="9">
        <f t="shared" si="19"/>
        <v>206.05479148580199</v>
      </c>
      <c r="O64" s="11">
        <f t="shared" si="20"/>
        <v>0</v>
      </c>
      <c r="P64" s="12">
        <f t="shared" si="21"/>
        <v>-13.062855573021551</v>
      </c>
      <c r="Q64" s="437">
        <f t="shared" si="22"/>
        <v>0.9403842832909084</v>
      </c>
      <c r="R64" s="533"/>
      <c r="S64" s="24"/>
      <c r="T64" s="24"/>
      <c r="U64" s="9"/>
      <c r="V64" s="446"/>
      <c r="W64" s="9"/>
      <c r="X64" s="9"/>
      <c r="Y64" s="528"/>
      <c r="Z64" s="528"/>
      <c r="AA64" s="11">
        <f t="shared" si="23"/>
        <v>-148.04569649424411</v>
      </c>
      <c r="AB64" s="437">
        <f t="shared" si="24"/>
        <v>0.9403842832909084</v>
      </c>
      <c r="AC64" s="533"/>
    </row>
    <row r="65" spans="1:29" ht="15.75" customHeight="1">
      <c r="A65" s="531" t="s">
        <v>1707</v>
      </c>
      <c r="B65" s="447" t="s">
        <v>24</v>
      </c>
      <c r="C65" s="529" t="s">
        <v>67</v>
      </c>
      <c r="D65" s="529"/>
      <c r="E65" s="26">
        <v>32.03</v>
      </c>
      <c r="F65" s="447">
        <v>811</v>
      </c>
      <c r="G65" s="438">
        <f t="shared" ref="G65:G70" si="32">E65*F65</f>
        <v>25976.33</v>
      </c>
      <c r="H65" s="448" t="s">
        <v>52</v>
      </c>
      <c r="I65" s="445">
        <v>19</v>
      </c>
      <c r="J65" s="18">
        <v>2400</v>
      </c>
      <c r="K65" s="9">
        <f t="shared" si="18"/>
        <v>126.31578947368421</v>
      </c>
      <c r="L65" s="17">
        <v>19</v>
      </c>
      <c r="M65" s="10">
        <f t="shared" ref="M65:M70" si="33">F65/V65*60</f>
        <v>2317.1428571428564</v>
      </c>
      <c r="N65" s="9">
        <f t="shared" si="19"/>
        <v>121.95488721804507</v>
      </c>
      <c r="O65" s="11">
        <f t="shared" si="20"/>
        <v>0</v>
      </c>
      <c r="P65" s="12">
        <f t="shared" si="21"/>
        <v>-4.3609022556391324</v>
      </c>
      <c r="Q65" s="437">
        <f t="shared" si="22"/>
        <v>0.96547619047619015</v>
      </c>
      <c r="R65" s="533">
        <f>Q71</f>
        <v>0.94202180015204562</v>
      </c>
      <c r="S65" s="24">
        <v>0.125</v>
      </c>
      <c r="T65" s="24">
        <v>0.13958333333333334</v>
      </c>
      <c r="U65" s="15"/>
      <c r="V65" s="446">
        <f t="shared" ref="V65:V70" si="34">(T65-S65)*24*60</f>
        <v>21.000000000000007</v>
      </c>
      <c r="W65" s="14">
        <f>T65</f>
        <v>0.13958333333333334</v>
      </c>
      <c r="X65" s="14">
        <f>S66</f>
        <v>0.15902777777777777</v>
      </c>
      <c r="Y65" s="528"/>
      <c r="Z65" s="528"/>
      <c r="AA65" s="11">
        <f t="shared" si="23"/>
        <v>-82.857142857143572</v>
      </c>
      <c r="AB65" s="437">
        <f t="shared" si="24"/>
        <v>0.96547619047619015</v>
      </c>
      <c r="AC65" s="533">
        <f>AB71</f>
        <v>0.94202180015204573</v>
      </c>
    </row>
    <row r="66" spans="1:29" ht="15.75" customHeight="1">
      <c r="A66" s="531" t="s">
        <v>387</v>
      </c>
      <c r="B66" s="447" t="s">
        <v>24</v>
      </c>
      <c r="C66" s="529" t="s">
        <v>51</v>
      </c>
      <c r="D66" s="529"/>
      <c r="E66" s="26">
        <v>20.2</v>
      </c>
      <c r="F66" s="447">
        <v>2638</v>
      </c>
      <c r="G66" s="438">
        <f t="shared" si="32"/>
        <v>53287.6</v>
      </c>
      <c r="H66" s="448" t="s">
        <v>52</v>
      </c>
      <c r="I66" s="445">
        <v>19</v>
      </c>
      <c r="J66" s="18">
        <v>2400</v>
      </c>
      <c r="K66" s="9">
        <f t="shared" si="18"/>
        <v>126.31578947368421</v>
      </c>
      <c r="L66" s="17">
        <v>19</v>
      </c>
      <c r="M66" s="10">
        <f t="shared" si="33"/>
        <v>2261.1428571428573</v>
      </c>
      <c r="N66" s="9">
        <f t="shared" si="19"/>
        <v>119.00751879699249</v>
      </c>
      <c r="O66" s="11">
        <f t="shared" si="20"/>
        <v>0</v>
      </c>
      <c r="P66" s="12">
        <f t="shared" si="21"/>
        <v>-7.3082706766917198</v>
      </c>
      <c r="Q66" s="437">
        <f t="shared" si="22"/>
        <v>0.94214285714285717</v>
      </c>
      <c r="R66" s="533"/>
      <c r="S66" s="24">
        <v>0.15902777777777777</v>
      </c>
      <c r="T66" s="24">
        <v>0.20763888888888887</v>
      </c>
      <c r="U66" s="438">
        <f>(S66-T65)*24*60</f>
        <v>27.999999999999979</v>
      </c>
      <c r="V66" s="446">
        <f t="shared" si="34"/>
        <v>69.999999999999986</v>
      </c>
      <c r="W66" s="14"/>
      <c r="X66" s="14"/>
      <c r="Y66" s="528"/>
      <c r="Z66" s="528"/>
      <c r="AA66" s="11">
        <f t="shared" si="23"/>
        <v>-138.85714285714266</v>
      </c>
      <c r="AB66" s="437">
        <f t="shared" si="24"/>
        <v>0.94214285714285717</v>
      </c>
      <c r="AC66" s="533"/>
    </row>
    <row r="67" spans="1:29" ht="15.75" customHeight="1">
      <c r="A67" s="531" t="s">
        <v>387</v>
      </c>
      <c r="B67" s="447" t="s">
        <v>24</v>
      </c>
      <c r="C67" s="529" t="s">
        <v>41</v>
      </c>
      <c r="D67" s="529"/>
      <c r="E67" s="26">
        <v>19.02</v>
      </c>
      <c r="F67" s="447">
        <v>7000</v>
      </c>
      <c r="G67" s="438">
        <f t="shared" si="32"/>
        <v>133140</v>
      </c>
      <c r="H67" s="448">
        <v>2</v>
      </c>
      <c r="I67" s="445">
        <v>15</v>
      </c>
      <c r="J67" s="18">
        <v>2400</v>
      </c>
      <c r="K67" s="9">
        <f t="shared" si="18"/>
        <v>160</v>
      </c>
      <c r="L67" s="17">
        <v>15</v>
      </c>
      <c r="M67" s="10">
        <f t="shared" si="33"/>
        <v>2234.0425531914893</v>
      </c>
      <c r="N67" s="9">
        <f t="shared" si="19"/>
        <v>148.93617021276594</v>
      </c>
      <c r="O67" s="11">
        <f t="shared" si="20"/>
        <v>0</v>
      </c>
      <c r="P67" s="12">
        <f t="shared" si="21"/>
        <v>-11.063829787234056</v>
      </c>
      <c r="Q67" s="437">
        <f t="shared" si="22"/>
        <v>0.93085106382978711</v>
      </c>
      <c r="R67" s="533"/>
      <c r="S67" s="24">
        <v>0.21180555555555555</v>
      </c>
      <c r="T67" s="24">
        <v>0.34236111111111112</v>
      </c>
      <c r="U67" s="438">
        <f>(S67-T66)*24*60</f>
        <v>6.0000000000000187</v>
      </c>
      <c r="V67" s="446">
        <f t="shared" si="34"/>
        <v>188.00000000000003</v>
      </c>
      <c r="W67" s="14"/>
      <c r="X67" s="14"/>
      <c r="Y67" s="528"/>
      <c r="Z67" s="528"/>
      <c r="AA67" s="11">
        <f t="shared" si="23"/>
        <v>-165.95744680851067</v>
      </c>
      <c r="AB67" s="437">
        <f t="shared" si="24"/>
        <v>0.93085106382978722</v>
      </c>
      <c r="AC67" s="533"/>
    </row>
    <row r="68" spans="1:29" ht="15.75" customHeight="1">
      <c r="A68" s="531" t="s">
        <v>387</v>
      </c>
      <c r="B68" s="447" t="s">
        <v>24</v>
      </c>
      <c r="C68" s="529" t="s">
        <v>42</v>
      </c>
      <c r="D68" s="529"/>
      <c r="E68" s="26">
        <v>25</v>
      </c>
      <c r="F68" s="447">
        <v>4081</v>
      </c>
      <c r="G68" s="438">
        <f t="shared" si="32"/>
        <v>102025</v>
      </c>
      <c r="H68" s="448" t="s">
        <v>52</v>
      </c>
      <c r="I68" s="445">
        <v>15</v>
      </c>
      <c r="J68" s="18">
        <v>2400</v>
      </c>
      <c r="K68" s="9">
        <f t="shared" si="18"/>
        <v>160</v>
      </c>
      <c r="L68" s="17">
        <v>15</v>
      </c>
      <c r="M68" s="10">
        <f t="shared" si="33"/>
        <v>2246.4220183486236</v>
      </c>
      <c r="N68" s="9">
        <f t="shared" si="19"/>
        <v>149.76146788990823</v>
      </c>
      <c r="O68" s="11">
        <f t="shared" si="20"/>
        <v>0</v>
      </c>
      <c r="P68" s="12">
        <f t="shared" si="21"/>
        <v>-10.238532110091768</v>
      </c>
      <c r="Q68" s="437">
        <f t="shared" si="22"/>
        <v>0.93600917431192643</v>
      </c>
      <c r="R68" s="533"/>
      <c r="S68" s="24">
        <v>0.34652777777777777</v>
      </c>
      <c r="T68" s="24">
        <v>0.42222222222222222</v>
      </c>
      <c r="U68" s="438">
        <f>(S68-T67)*24*60</f>
        <v>5.9999999999999787</v>
      </c>
      <c r="V68" s="446">
        <f t="shared" si="34"/>
        <v>109.00000000000001</v>
      </c>
      <c r="W68" s="14"/>
      <c r="X68" s="14"/>
      <c r="Y68" s="528"/>
      <c r="Z68" s="528"/>
      <c r="AA68" s="11">
        <f t="shared" si="23"/>
        <v>-153.57798165137638</v>
      </c>
      <c r="AB68" s="437">
        <f t="shared" si="24"/>
        <v>0.93600917431192654</v>
      </c>
      <c r="AC68" s="533"/>
    </row>
    <row r="69" spans="1:29" ht="15.75" customHeight="1">
      <c r="A69" s="531" t="s">
        <v>1706</v>
      </c>
      <c r="B69" s="447" t="s">
        <v>24</v>
      </c>
      <c r="C69" s="529" t="s">
        <v>25</v>
      </c>
      <c r="D69" s="529"/>
      <c r="E69" s="26">
        <v>20.52</v>
      </c>
      <c r="F69" s="447">
        <v>4130</v>
      </c>
      <c r="G69" s="438">
        <f t="shared" si="32"/>
        <v>84747.599999999991</v>
      </c>
      <c r="H69" s="448" t="s">
        <v>52</v>
      </c>
      <c r="I69" s="445">
        <v>18</v>
      </c>
      <c r="J69" s="18">
        <v>2400</v>
      </c>
      <c r="K69" s="9">
        <f t="shared" ref="K69:K71" si="35">J69/I69</f>
        <v>133.33333333333334</v>
      </c>
      <c r="L69" s="17">
        <v>18</v>
      </c>
      <c r="M69" s="10">
        <f t="shared" si="33"/>
        <v>2252.7272727272725</v>
      </c>
      <c r="N69" s="9">
        <f t="shared" ref="N69:N71" si="36">M69/L69</f>
        <v>125.15151515151514</v>
      </c>
      <c r="O69" s="11">
        <f t="shared" si="20"/>
        <v>0</v>
      </c>
      <c r="P69" s="12">
        <f t="shared" si="21"/>
        <v>-8.1818181818182012</v>
      </c>
      <c r="Q69" s="437">
        <f t="shared" si="22"/>
        <v>0.93863636363636349</v>
      </c>
      <c r="R69" s="533"/>
      <c r="S69" s="24">
        <v>0.42777777777777776</v>
      </c>
      <c r="T69" s="24">
        <v>0.50416666666666665</v>
      </c>
      <c r="U69" s="438">
        <f>(S69-T68)*24*60</f>
        <v>7.9999999999999716</v>
      </c>
      <c r="V69" s="446">
        <f t="shared" si="34"/>
        <v>110.00000000000001</v>
      </c>
      <c r="W69" s="14">
        <f>T69</f>
        <v>0.50416666666666665</v>
      </c>
      <c r="X69" s="14">
        <f>S70</f>
        <v>0.54513888888888884</v>
      </c>
      <c r="Y69" s="528"/>
      <c r="Z69" s="528"/>
      <c r="AA69" s="11">
        <f t="shared" si="23"/>
        <v>-147.27272727272748</v>
      </c>
      <c r="AB69" s="437">
        <f t="shared" si="24"/>
        <v>0.9386363636363636</v>
      </c>
      <c r="AC69" s="533"/>
    </row>
    <row r="70" spans="1:29" ht="15.75" customHeight="1">
      <c r="A70" s="531" t="s">
        <v>387</v>
      </c>
      <c r="B70" s="447" t="s">
        <v>24</v>
      </c>
      <c r="C70" s="529" t="s">
        <v>41</v>
      </c>
      <c r="D70" s="529"/>
      <c r="E70" s="26">
        <v>19.02</v>
      </c>
      <c r="F70" s="447">
        <v>2479</v>
      </c>
      <c r="G70" s="438">
        <f t="shared" si="32"/>
        <v>47150.58</v>
      </c>
      <c r="H70" s="448" t="s">
        <v>52</v>
      </c>
      <c r="I70" s="445">
        <v>15</v>
      </c>
      <c r="J70" s="18">
        <v>2400</v>
      </c>
      <c r="K70" s="9">
        <f t="shared" si="35"/>
        <v>160</v>
      </c>
      <c r="L70" s="17">
        <v>15</v>
      </c>
      <c r="M70" s="10">
        <f t="shared" si="33"/>
        <v>2253.6363636363608</v>
      </c>
      <c r="N70" s="9">
        <f t="shared" si="36"/>
        <v>150.24242424242405</v>
      </c>
      <c r="O70" s="11">
        <f t="shared" si="20"/>
        <v>0</v>
      </c>
      <c r="P70" s="12">
        <f t="shared" si="21"/>
        <v>-9.7575757575759496</v>
      </c>
      <c r="Q70" s="437">
        <f t="shared" si="22"/>
        <v>0.93901515151515036</v>
      </c>
      <c r="R70" s="533"/>
      <c r="S70" s="24">
        <v>0.54513888888888884</v>
      </c>
      <c r="T70" s="24">
        <v>0.59097222222222223</v>
      </c>
      <c r="U70" s="438">
        <f>(S70-T69)*24*60</f>
        <v>58.99999999999995</v>
      </c>
      <c r="V70" s="446">
        <f t="shared" si="34"/>
        <v>66.000000000000085</v>
      </c>
      <c r="W70" s="14"/>
      <c r="X70" s="14"/>
      <c r="Y70" s="528"/>
      <c r="Z70" s="528"/>
      <c r="AA70" s="11">
        <f t="shared" si="23"/>
        <v>-146.36363636363922</v>
      </c>
      <c r="AB70" s="437">
        <f t="shared" si="24"/>
        <v>0.93901515151515036</v>
      </c>
      <c r="AC70" s="533"/>
    </row>
    <row r="71" spans="1:29" ht="16.5" customHeight="1">
      <c r="A71" s="532" t="s">
        <v>1706</v>
      </c>
      <c r="B71" s="26" t="s">
        <v>82</v>
      </c>
      <c r="C71" s="530"/>
      <c r="D71" s="530"/>
      <c r="E71" s="439"/>
      <c r="F71" s="16"/>
      <c r="G71" s="9"/>
      <c r="H71" s="447"/>
      <c r="I71" s="17">
        <v>16.833333333333332</v>
      </c>
      <c r="J71" s="18">
        <v>2400</v>
      </c>
      <c r="K71" s="9">
        <f t="shared" si="35"/>
        <v>142.57425742574259</v>
      </c>
      <c r="L71" s="17">
        <v>16.833333333333332</v>
      </c>
      <c r="M71" s="10">
        <f>AVERAGE(M65:M70)</f>
        <v>2260.8523203649097</v>
      </c>
      <c r="N71" s="9">
        <f t="shared" si="36"/>
        <v>134.3080586355392</v>
      </c>
      <c r="O71" s="11">
        <f t="shared" si="20"/>
        <v>0</v>
      </c>
      <c r="P71" s="12">
        <f t="shared" si="21"/>
        <v>-8.26619879020339</v>
      </c>
      <c r="Q71" s="437">
        <f t="shared" si="22"/>
        <v>0.94202180015204562</v>
      </c>
      <c r="R71" s="533"/>
      <c r="S71" s="24"/>
      <c r="T71" s="24"/>
      <c r="U71" s="9"/>
      <c r="V71" s="446"/>
      <c r="W71" s="9"/>
      <c r="X71" s="9"/>
      <c r="Y71" s="528"/>
      <c r="Z71" s="528"/>
      <c r="AA71" s="11">
        <f t="shared" si="23"/>
        <v>-139.1476796350903</v>
      </c>
      <c r="AB71" s="437">
        <f t="shared" si="24"/>
        <v>0.94202180015204573</v>
      </c>
      <c r="AC71" s="533"/>
    </row>
    <row r="72" spans="1:29">
      <c r="D72" s="19"/>
      <c r="E72" s="19"/>
    </row>
  </sheetData>
  <mergeCells count="190">
    <mergeCell ref="AC65:AC71"/>
    <mergeCell ref="C66:D66"/>
    <mergeCell ref="Y66:Z66"/>
    <mergeCell ref="C67:D67"/>
    <mergeCell ref="Y67:Z67"/>
    <mergeCell ref="C68:D68"/>
    <mergeCell ref="Y68:Z68"/>
    <mergeCell ref="C69:D69"/>
    <mergeCell ref="Y69:Z69"/>
    <mergeCell ref="C70:D70"/>
    <mergeCell ref="A65:A71"/>
    <mergeCell ref="C65:D65"/>
    <mergeCell ref="R65:R71"/>
    <mergeCell ref="Y65:Z65"/>
    <mergeCell ref="Y70:Z70"/>
    <mergeCell ref="C71:D71"/>
    <mergeCell ref="Y71:Z71"/>
    <mergeCell ref="A52:A57"/>
    <mergeCell ref="C52:D52"/>
    <mergeCell ref="R52:R57"/>
    <mergeCell ref="Y52:Z52"/>
    <mergeCell ref="Y61:Z61"/>
    <mergeCell ref="C62:D62"/>
    <mergeCell ref="Y62:Z62"/>
    <mergeCell ref="C63:D63"/>
    <mergeCell ref="Y63:Z63"/>
    <mergeCell ref="A58:A64"/>
    <mergeCell ref="C58:D58"/>
    <mergeCell ref="R58:R64"/>
    <mergeCell ref="Y58:Z58"/>
    <mergeCell ref="C64:D64"/>
    <mergeCell ref="Y64:Z64"/>
    <mergeCell ref="AC52:AC57"/>
    <mergeCell ref="C53:D53"/>
    <mergeCell ref="Y53:Z53"/>
    <mergeCell ref="C54:D54"/>
    <mergeCell ref="Y48:Z48"/>
    <mergeCell ref="C49:D49"/>
    <mergeCell ref="AC58:AC64"/>
    <mergeCell ref="C59:D59"/>
    <mergeCell ref="Y59:Z59"/>
    <mergeCell ref="C60:D60"/>
    <mergeCell ref="Y60:Z60"/>
    <mergeCell ref="C61:D61"/>
    <mergeCell ref="C57:D57"/>
    <mergeCell ref="Y57:Z57"/>
    <mergeCell ref="C51:D51"/>
    <mergeCell ref="Y51:Z51"/>
    <mergeCell ref="AC44:AC51"/>
    <mergeCell ref="C45:D45"/>
    <mergeCell ref="Y45:Z45"/>
    <mergeCell ref="C46:D46"/>
    <mergeCell ref="Y46:Z46"/>
    <mergeCell ref="C47:D47"/>
    <mergeCell ref="Y47:Z47"/>
    <mergeCell ref="C48:D48"/>
    <mergeCell ref="A44:A51"/>
    <mergeCell ref="C44:D44"/>
    <mergeCell ref="R44:R51"/>
    <mergeCell ref="Y44:Z44"/>
    <mergeCell ref="Y49:Z49"/>
    <mergeCell ref="C50:D50"/>
    <mergeCell ref="Y50:Z50"/>
    <mergeCell ref="A33:A43"/>
    <mergeCell ref="C42:D42"/>
    <mergeCell ref="Y42:Z42"/>
    <mergeCell ref="Y36:Z36"/>
    <mergeCell ref="C37:D37"/>
    <mergeCell ref="Y37:Z37"/>
    <mergeCell ref="C38:D38"/>
    <mergeCell ref="Y38:Z38"/>
    <mergeCell ref="C39:D39"/>
    <mergeCell ref="Y39:Z39"/>
    <mergeCell ref="R33:R43"/>
    <mergeCell ref="AC33:AC43"/>
    <mergeCell ref="C34:D34"/>
    <mergeCell ref="Y34:Z34"/>
    <mergeCell ref="C35:D35"/>
    <mergeCell ref="Y35:Z35"/>
    <mergeCell ref="C36:D36"/>
    <mergeCell ref="C32:D32"/>
    <mergeCell ref="Y32:Z32"/>
    <mergeCell ref="AC25:AC32"/>
    <mergeCell ref="C29:D29"/>
    <mergeCell ref="Y29:Z29"/>
    <mergeCell ref="C30:D30"/>
    <mergeCell ref="C40:D40"/>
    <mergeCell ref="Y40:Z40"/>
    <mergeCell ref="C41:D41"/>
    <mergeCell ref="Y41:Z41"/>
    <mergeCell ref="Y33:Z33"/>
    <mergeCell ref="C33:D33"/>
    <mergeCell ref="C43:D43"/>
    <mergeCell ref="Y43:Z43"/>
    <mergeCell ref="A25:A32"/>
    <mergeCell ref="C25:D25"/>
    <mergeCell ref="R25:R32"/>
    <mergeCell ref="Y25:Z25"/>
    <mergeCell ref="Y30:Z30"/>
    <mergeCell ref="C31:D31"/>
    <mergeCell ref="A18:A24"/>
    <mergeCell ref="C26:D26"/>
    <mergeCell ref="Y26:Z26"/>
    <mergeCell ref="C27:D27"/>
    <mergeCell ref="Y27:Z27"/>
    <mergeCell ref="C28:D28"/>
    <mergeCell ref="Y28:Z28"/>
    <mergeCell ref="Y31:Z31"/>
    <mergeCell ref="AC18:AC24"/>
    <mergeCell ref="C19:D19"/>
    <mergeCell ref="Y19:Z19"/>
    <mergeCell ref="C20:D20"/>
    <mergeCell ref="Y20:Z20"/>
    <mergeCell ref="C17:D17"/>
    <mergeCell ref="Y17:Z17"/>
    <mergeCell ref="C18:D18"/>
    <mergeCell ref="R18:R24"/>
    <mergeCell ref="Y18:Z18"/>
    <mergeCell ref="Y23:Z23"/>
    <mergeCell ref="C21:D21"/>
    <mergeCell ref="Y21:Z21"/>
    <mergeCell ref="C22:D22"/>
    <mergeCell ref="Y22:Z22"/>
    <mergeCell ref="C23:D23"/>
    <mergeCell ref="C24:D24"/>
    <mergeCell ref="Y24:Z24"/>
    <mergeCell ref="A14:A17"/>
    <mergeCell ref="C14:D14"/>
    <mergeCell ref="R14:R17"/>
    <mergeCell ref="Y14:Z14"/>
    <mergeCell ref="AC9:AC13"/>
    <mergeCell ref="C10:D10"/>
    <mergeCell ref="Y10:Z10"/>
    <mergeCell ref="C11:D11"/>
    <mergeCell ref="Y11:Z11"/>
    <mergeCell ref="C12:D12"/>
    <mergeCell ref="A9:A13"/>
    <mergeCell ref="C9:D9"/>
    <mergeCell ref="R9:R13"/>
    <mergeCell ref="Y9:Z9"/>
    <mergeCell ref="C13:D13"/>
    <mergeCell ref="Y13:Z13"/>
    <mergeCell ref="Y12:Z12"/>
    <mergeCell ref="AC14:AC17"/>
    <mergeCell ref="C15:D15"/>
    <mergeCell ref="Y15:Z15"/>
    <mergeCell ref="C16:D16"/>
    <mergeCell ref="Y16:Z16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C8:D8"/>
    <mergeCell ref="Y8:Z8"/>
    <mergeCell ref="H3:H4"/>
    <mergeCell ref="I3:I4"/>
    <mergeCell ref="J3:J4"/>
    <mergeCell ref="K3:K4"/>
    <mergeCell ref="L3:L4"/>
    <mergeCell ref="M3:M4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N3:N4"/>
    <mergeCell ref="O3:O4"/>
    <mergeCell ref="S1:X2"/>
    <mergeCell ref="U3:U4"/>
    <mergeCell ref="V3:V4"/>
    <mergeCell ref="W3:X3"/>
    <mergeCell ref="Y3:Z4"/>
    <mergeCell ref="AA3:AA4"/>
    <mergeCell ref="AB3:AB4"/>
  </mergeCells>
  <phoneticPr fontId="3" type="noConversion"/>
  <conditionalFormatting sqref="O61:O71 O5:O9 O13:O15 O51:O58 O17:O49">
    <cfRule type="cellIs" dxfId="1575" priority="41" operator="greaterThan">
      <formula>0</formula>
    </cfRule>
  </conditionalFormatting>
  <conditionalFormatting sqref="P5:P7 P61:P63 AA61:AA63 P65:P70 P25:P31 P58 P9 P13:P15 P18:P23 P52:P56 P33:P49 AA5:AA58 AA65:AA71">
    <cfRule type="cellIs" dxfId="1574" priority="45" operator="lessThan">
      <formula>0</formula>
    </cfRule>
  </conditionalFormatting>
  <conditionalFormatting sqref="AB61:AB63 Q61:Q71 Q5:Q9 Q13:Q15 Q51:Q58 Q17:Q49 AB5:AB58 AB65:AB71">
    <cfRule type="cellIs" dxfId="1573" priority="42" operator="greaterThan">
      <formula>1</formula>
    </cfRule>
    <cfRule type="cellIs" dxfId="1572" priority="43" operator="lessThan">
      <formula>0.8</formula>
    </cfRule>
  </conditionalFormatting>
  <conditionalFormatting sqref="AC14:AC15 R14:R15 AC61 R17:R40 AC17:AC40 R61:R71 AC5:AC9 R5:R9 R43:R49 AC43:AC49 AC51:AC58 R51:R58">
    <cfRule type="cellIs" dxfId="1571" priority="47" operator="lessThan">
      <formula>0.8</formula>
    </cfRule>
  </conditionalFormatting>
  <conditionalFormatting sqref="AC44">
    <cfRule type="cellIs" dxfId="1570" priority="49" operator="lessThan">
      <formula>0.8</formula>
    </cfRule>
  </conditionalFormatting>
  <conditionalFormatting sqref="AC18:AC23">
    <cfRule type="cellIs" dxfId="1569" priority="46" operator="lessThan">
      <formula>0.8</formula>
    </cfRule>
  </conditionalFormatting>
  <conditionalFormatting sqref="AC25">
    <cfRule type="cellIs" dxfId="1568" priority="48" operator="lessThan">
      <formula>0.8</formula>
    </cfRule>
  </conditionalFormatting>
  <conditionalFormatting sqref="AC33:AC40">
    <cfRule type="cellIs" dxfId="1567" priority="44" operator="lessThan">
      <formula>0.8</formula>
    </cfRule>
  </conditionalFormatting>
  <conditionalFormatting sqref="AA64">
    <cfRule type="cellIs" dxfId="1566" priority="40" operator="lessThan">
      <formula>0</formula>
    </cfRule>
  </conditionalFormatting>
  <conditionalFormatting sqref="AB64">
    <cfRule type="cellIs" dxfId="1565" priority="38" operator="greaterThan">
      <formula>1</formula>
    </cfRule>
    <cfRule type="cellIs" dxfId="1564" priority="39" operator="lessThan">
      <formula>0.8</formula>
    </cfRule>
  </conditionalFormatting>
  <conditionalFormatting sqref="O16">
    <cfRule type="cellIs" dxfId="1563" priority="33" operator="greaterThan">
      <formula>0</formula>
    </cfRule>
  </conditionalFormatting>
  <conditionalFormatting sqref="P16">
    <cfRule type="cellIs" dxfId="1562" priority="36" operator="lessThan">
      <formula>0</formula>
    </cfRule>
  </conditionalFormatting>
  <conditionalFormatting sqref="Q16">
    <cfRule type="cellIs" dxfId="1561" priority="34" operator="greaterThan">
      <formula>1</formula>
    </cfRule>
    <cfRule type="cellIs" dxfId="1560" priority="35" operator="lessThan">
      <formula>0.8</formula>
    </cfRule>
  </conditionalFormatting>
  <conditionalFormatting sqref="R16 AC16">
    <cfRule type="cellIs" dxfId="1559" priority="37" operator="lessThan">
      <formula>0.8</formula>
    </cfRule>
  </conditionalFormatting>
  <conditionalFormatting sqref="O10:O12">
    <cfRule type="cellIs" dxfId="1558" priority="29" operator="greaterThan">
      <formula>0</formula>
    </cfRule>
  </conditionalFormatting>
  <conditionalFormatting sqref="P10:P12">
    <cfRule type="cellIs" dxfId="1557" priority="32" operator="lessThan">
      <formula>0</formula>
    </cfRule>
  </conditionalFormatting>
  <conditionalFormatting sqref="Q10:Q12">
    <cfRule type="cellIs" dxfId="1556" priority="30" operator="greaterThan">
      <formula>1</formula>
    </cfRule>
    <cfRule type="cellIs" dxfId="1555" priority="31" operator="lessThan">
      <formula>0.8</formula>
    </cfRule>
  </conditionalFormatting>
  <conditionalFormatting sqref="R41 AC41">
    <cfRule type="cellIs" dxfId="1554" priority="28" operator="lessThan">
      <formula>0.8</formula>
    </cfRule>
  </conditionalFormatting>
  <conditionalFormatting sqref="AC41">
    <cfRule type="cellIs" dxfId="1553" priority="27" operator="lessThan">
      <formula>0.8</formula>
    </cfRule>
  </conditionalFormatting>
  <conditionalFormatting sqref="O60">
    <cfRule type="cellIs" dxfId="1552" priority="22" operator="greaterThan">
      <formula>0</formula>
    </cfRule>
  </conditionalFormatting>
  <conditionalFormatting sqref="P60 AA60">
    <cfRule type="cellIs" dxfId="1551" priority="25" operator="lessThan">
      <formula>0</formula>
    </cfRule>
  </conditionalFormatting>
  <conditionalFormatting sqref="Q60 AB60">
    <cfRule type="cellIs" dxfId="1550" priority="23" operator="greaterThan">
      <formula>1</formula>
    </cfRule>
    <cfRule type="cellIs" dxfId="1549" priority="24" operator="lessThan">
      <formula>0.8</formula>
    </cfRule>
  </conditionalFormatting>
  <conditionalFormatting sqref="R60 AC60">
    <cfRule type="cellIs" dxfId="1548" priority="26" operator="lessThan">
      <formula>0.8</formula>
    </cfRule>
  </conditionalFormatting>
  <conditionalFormatting sqref="O50">
    <cfRule type="cellIs" dxfId="1547" priority="16" operator="greaterThan">
      <formula>0</formula>
    </cfRule>
  </conditionalFormatting>
  <conditionalFormatting sqref="P50">
    <cfRule type="cellIs" dxfId="1546" priority="20" operator="lessThan">
      <formula>0</formula>
    </cfRule>
  </conditionalFormatting>
  <conditionalFormatting sqref="Q50">
    <cfRule type="cellIs" dxfId="1545" priority="17" operator="greaterThan">
      <formula>1</formula>
    </cfRule>
    <cfRule type="cellIs" dxfId="1544" priority="18" operator="lessThan">
      <formula>0.8</formula>
    </cfRule>
  </conditionalFormatting>
  <conditionalFormatting sqref="R50 AC50">
    <cfRule type="cellIs" dxfId="1543" priority="21" operator="lessThan">
      <formula>0.8</formula>
    </cfRule>
  </conditionalFormatting>
  <conditionalFormatting sqref="AC50">
    <cfRule type="cellIs" dxfId="1542" priority="19" operator="lessThan">
      <formula>0.8</formula>
    </cfRule>
  </conditionalFormatting>
  <conditionalFormatting sqref="O59">
    <cfRule type="cellIs" dxfId="1541" priority="11" operator="greaterThan">
      <formula>0</formula>
    </cfRule>
  </conditionalFormatting>
  <conditionalFormatting sqref="P59 AA59">
    <cfRule type="cellIs" dxfId="1540" priority="14" operator="lessThan">
      <formula>0</formula>
    </cfRule>
  </conditionalFormatting>
  <conditionalFormatting sqref="Q59 AB59">
    <cfRule type="cellIs" dxfId="1539" priority="12" operator="greaterThan">
      <formula>1</formula>
    </cfRule>
    <cfRule type="cellIs" dxfId="1538" priority="13" operator="lessThan">
      <formula>0.8</formula>
    </cfRule>
  </conditionalFormatting>
  <conditionalFormatting sqref="R59 AC59">
    <cfRule type="cellIs" dxfId="1537" priority="15" operator="lessThan">
      <formula>0.8</formula>
    </cfRule>
  </conditionalFormatting>
  <conditionalFormatting sqref="P8">
    <cfRule type="cellIs" dxfId="1536" priority="10" operator="lessThan">
      <formula>0</formula>
    </cfRule>
  </conditionalFormatting>
  <conditionalFormatting sqref="P17">
    <cfRule type="cellIs" dxfId="1535" priority="9" operator="lessThan">
      <formula>0</formula>
    </cfRule>
  </conditionalFormatting>
  <conditionalFormatting sqref="P24">
    <cfRule type="cellIs" dxfId="1534" priority="8" operator="lessThan">
      <formula>0</formula>
    </cfRule>
  </conditionalFormatting>
  <conditionalFormatting sqref="P32">
    <cfRule type="cellIs" dxfId="1533" priority="7" operator="lessThan">
      <formula>0</formula>
    </cfRule>
  </conditionalFormatting>
  <conditionalFormatting sqref="P51">
    <cfRule type="cellIs" dxfId="1532" priority="6" operator="lessThan">
      <formula>0</formula>
    </cfRule>
  </conditionalFormatting>
  <conditionalFormatting sqref="P57">
    <cfRule type="cellIs" dxfId="1531" priority="5" operator="lessThan">
      <formula>0</formula>
    </cfRule>
  </conditionalFormatting>
  <conditionalFormatting sqref="P64">
    <cfRule type="cellIs" dxfId="1530" priority="4" operator="lessThan">
      <formula>0</formula>
    </cfRule>
  </conditionalFormatting>
  <conditionalFormatting sqref="P71">
    <cfRule type="cellIs" dxfId="1529" priority="3" operator="lessThan">
      <formula>0</formula>
    </cfRule>
  </conditionalFormatting>
  <conditionalFormatting sqref="R42 AC42">
    <cfRule type="cellIs" dxfId="1528" priority="2" operator="lessThan">
      <formula>0.8</formula>
    </cfRule>
  </conditionalFormatting>
  <conditionalFormatting sqref="AC42">
    <cfRule type="cellIs" dxfId="1527" priority="1" operator="lessThan">
      <formula>0.8</formula>
    </cfRule>
  </conditionalFormatting>
  <dataValidations count="1">
    <dataValidation type="list" allowBlank="1" showInputMessage="1" showErrorMessage="1" sqref="Z8 Z62:Z63 Y5:Z7 Y8:Y63 Z10:Z58 Y64:Z71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8"/>
  <dimension ref="B1:Q28"/>
  <sheetViews>
    <sheetView zoomScale="80" zoomScaleNormal="80" workbookViewId="0">
      <selection activeCell="O8" sqref="O8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521" t="s">
        <v>1630</v>
      </c>
      <c r="C1" s="521"/>
      <c r="D1" s="521"/>
      <c r="E1" s="521"/>
      <c r="F1" s="521"/>
      <c r="G1" s="521"/>
      <c r="H1" s="521"/>
      <c r="I1" s="521"/>
      <c r="J1" s="521"/>
      <c r="K1" s="28"/>
      <c r="L1" s="28"/>
      <c r="M1" s="28"/>
      <c r="N1" s="28"/>
      <c r="O1" s="28"/>
      <c r="P1" s="28"/>
    </row>
    <row r="2" spans="2:17" ht="27.75" customHeight="1">
      <c r="B2" s="522"/>
      <c r="C2" s="522"/>
      <c r="D2" s="522"/>
      <c r="E2" s="522"/>
      <c r="F2" s="522"/>
      <c r="G2" s="522"/>
      <c r="H2" s="522"/>
      <c r="I2" s="522"/>
      <c r="J2" s="522"/>
      <c r="K2" s="30"/>
      <c r="L2" s="30"/>
      <c r="M2" s="30"/>
      <c r="N2" s="28"/>
      <c r="O2" s="28"/>
      <c r="P2" s="28"/>
    </row>
    <row r="3" spans="2:17" ht="46.5" customHeight="1">
      <c r="B3" s="421" t="s">
        <v>1631</v>
      </c>
      <c r="C3" s="523" t="str">
        <f>TEXT('0827 4度C'!A2,"yyyy.mm.ddaaaa")</f>
        <v>2025.08.27星期三</v>
      </c>
      <c r="D3" s="523"/>
      <c r="E3" s="421" t="s">
        <v>123</v>
      </c>
      <c r="F3" s="524">
        <f>'0827 4度C'!D1</f>
        <v>164419</v>
      </c>
      <c r="G3" s="524"/>
      <c r="H3" s="421" t="s">
        <v>1632</v>
      </c>
      <c r="I3" s="525">
        <f>'0827 4度C'!F1</f>
        <v>5656058.3599999985</v>
      </c>
      <c r="J3" s="525"/>
      <c r="K3" s="31"/>
      <c r="L3" s="33"/>
      <c r="N3" s="33"/>
    </row>
    <row r="4" spans="2:17" ht="28.5" customHeight="1">
      <c r="B4" s="516" t="s">
        <v>1633</v>
      </c>
      <c r="C4" s="516" t="s">
        <v>105</v>
      </c>
      <c r="D4" s="516"/>
      <c r="E4" s="526" t="s">
        <v>221</v>
      </c>
      <c r="F4" s="526"/>
      <c r="G4" s="526" t="s">
        <v>1634</v>
      </c>
      <c r="H4" s="526"/>
      <c r="I4" s="527" t="s">
        <v>1635</v>
      </c>
      <c r="J4" s="527"/>
      <c r="N4" s="33"/>
    </row>
    <row r="5" spans="2:17" ht="28.5" customHeight="1">
      <c r="B5" s="516"/>
      <c r="C5" s="516" t="s">
        <v>1636</v>
      </c>
      <c r="D5" s="516"/>
      <c r="E5" s="516" t="s">
        <v>1637</v>
      </c>
      <c r="F5" s="516"/>
      <c r="G5" s="517" t="s">
        <v>1638</v>
      </c>
      <c r="H5" s="517"/>
      <c r="I5" s="518" t="s">
        <v>1639</v>
      </c>
      <c r="J5" s="518"/>
      <c r="K5" s="33"/>
      <c r="M5" s="33"/>
      <c r="N5" s="33"/>
    </row>
    <row r="6" spans="2:17" ht="28.5" customHeight="1">
      <c r="B6" s="516"/>
      <c r="C6" s="516" t="s">
        <v>43</v>
      </c>
      <c r="D6" s="516"/>
      <c r="E6" s="519">
        <f>AVERAGE(D13:M13)</f>
        <v>145.46807212792109</v>
      </c>
      <c r="F6" s="516">
        <f>AVERAGE(D27:O27,D13:J13)</f>
        <v>149.1830091275672</v>
      </c>
      <c r="G6" s="520">
        <f>AVERAGE(D13:J13)</f>
        <v>149.1830091275672</v>
      </c>
      <c r="H6" s="520"/>
      <c r="I6" s="520">
        <f>AVERAGE(K13:M13)</f>
        <v>136.79988579541345</v>
      </c>
      <c r="J6" s="520"/>
      <c r="K6" s="33"/>
      <c r="M6" s="33"/>
      <c r="N6" s="33"/>
    </row>
    <row r="7" spans="2:17" ht="28.5" customHeight="1">
      <c r="B7" s="516"/>
      <c r="C7" s="510" t="s">
        <v>44</v>
      </c>
      <c r="D7" s="510"/>
      <c r="E7" s="511">
        <f>AVERAGE(D14:M14)</f>
        <v>136.81274668008697</v>
      </c>
      <c r="F7" s="512">
        <f>AVERAGE(D28:O28,D14:J14)</f>
        <v>140.41205388517412</v>
      </c>
      <c r="G7" s="513">
        <f>AVERAGE(D14:J14)</f>
        <v>140.41205388517412</v>
      </c>
      <c r="H7" s="513"/>
      <c r="I7" s="513">
        <f>AVERAGE(K14:M14)</f>
        <v>128.41436320155026</v>
      </c>
      <c r="J7" s="513"/>
      <c r="K7" s="33"/>
      <c r="N7" s="33"/>
    </row>
    <row r="8" spans="2:17" ht="28.5" customHeight="1">
      <c r="B8" s="516"/>
      <c r="C8" s="510" t="s">
        <v>45</v>
      </c>
      <c r="D8" s="510"/>
      <c r="E8" s="514">
        <f>AVERAGE(D15:M15)</f>
        <v>0.93972153802318048</v>
      </c>
      <c r="F8" s="510">
        <f>AVERAGE(D15:J15,D29:O29)</f>
        <v>0.94015226780748495</v>
      </c>
      <c r="G8" s="515">
        <f>AVERAGE(D15:J15)</f>
        <v>0.94015226780748495</v>
      </c>
      <c r="H8" s="515"/>
      <c r="I8" s="515">
        <f>AVERAGE(K15:M15)</f>
        <v>0.93871650185980338</v>
      </c>
      <c r="J8" s="515"/>
      <c r="K8" s="34" t="s">
        <v>1640</v>
      </c>
      <c r="M8" s="33"/>
      <c r="N8" s="33"/>
    </row>
    <row r="9" spans="2:17" ht="28.5" customHeight="1" thickBot="1">
      <c r="H9" s="36"/>
      <c r="I9" s="291"/>
      <c r="N9" s="33"/>
      <c r="O9" s="33"/>
      <c r="P9" s="33"/>
      <c r="Q9" s="33"/>
    </row>
    <row r="10" spans="2:17" ht="30" customHeight="1">
      <c r="B10" s="501" t="s">
        <v>1641</v>
      </c>
      <c r="C10" s="502"/>
      <c r="D10" s="503" t="s">
        <v>1642</v>
      </c>
      <c r="E10" s="504"/>
      <c r="F10" s="504"/>
      <c r="G10" s="504"/>
      <c r="H10" s="504"/>
      <c r="I10" s="504"/>
      <c r="J10" s="505"/>
      <c r="K10" s="506" t="s">
        <v>1643</v>
      </c>
      <c r="L10" s="504"/>
      <c r="M10" s="507"/>
      <c r="P10" s="37"/>
      <c r="Q10" s="37"/>
    </row>
    <row r="11" spans="2:17" ht="17.25" customHeight="1">
      <c r="B11" s="493" t="s">
        <v>1644</v>
      </c>
      <c r="C11" s="494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292">
        <v>6</v>
      </c>
      <c r="J11" s="40">
        <v>7</v>
      </c>
      <c r="K11" s="38">
        <v>1</v>
      </c>
      <c r="L11" s="292">
        <v>2</v>
      </c>
      <c r="M11" s="40">
        <v>3</v>
      </c>
      <c r="P11" s="37"/>
      <c r="Q11" s="37"/>
    </row>
    <row r="12" spans="2:17" ht="34.15" customHeight="1">
      <c r="B12" s="493"/>
      <c r="C12" s="494"/>
      <c r="D12" s="41" t="s">
        <v>345</v>
      </c>
      <c r="E12" s="42" t="s">
        <v>346</v>
      </c>
      <c r="F12" s="42" t="s">
        <v>347</v>
      </c>
      <c r="G12" s="42" t="s">
        <v>348</v>
      </c>
      <c r="H12" s="42" t="s">
        <v>349</v>
      </c>
      <c r="I12" s="293" t="s">
        <v>350</v>
      </c>
      <c r="J12" s="43" t="s">
        <v>351</v>
      </c>
      <c r="K12" s="41" t="s">
        <v>352</v>
      </c>
      <c r="L12" s="293" t="s">
        <v>353</v>
      </c>
      <c r="M12" s="43" t="s">
        <v>354</v>
      </c>
    </row>
    <row r="13" spans="2:17" ht="40.15" customHeight="1">
      <c r="B13" s="508" t="s">
        <v>1645</v>
      </c>
      <c r="C13" s="44" t="s">
        <v>1646</v>
      </c>
      <c r="D13" s="45">
        <f>SUMIFS('0827 4度C'!$K:$K,'0827 4度C'!$A:$A,"新豐6線",'0827 4度C'!$B:$B,"平均")</f>
        <v>117.64705882352941</v>
      </c>
      <c r="E13" s="46">
        <f>SUMIFS('0827 4度C'!$K:$K,'0827 4度C'!$A:$A,"新豐2線",'0827 4度C'!$B:$B,"平均")</f>
        <v>83.333333333333329</v>
      </c>
      <c r="F13" s="47">
        <f>SUMIFS('0827 4度C'!$K:$K,'0827 4度C'!$A:$A,"新豐5線",'0827 4度C'!$B:$B,"平均")</f>
        <v>93.220338983050837</v>
      </c>
      <c r="G13" s="47">
        <f>SUMIFS('0827 4度C'!$K:$K,'0827 4度C'!$A:$A,"新豐7線",'0827 4度C'!$B:$B,"平均")</f>
        <v>116.50485436893203</v>
      </c>
      <c r="H13" s="47">
        <f>SUMIFS('0827 4度C'!$K:$K,'0827 4度C'!$A:$A,"新豐3線",'0827 4度C'!$B:$B,"平均")</f>
        <v>300</v>
      </c>
      <c r="I13" s="294">
        <f>SUMIFS('0827 4度C'!$K:$K,'0827 4度C'!$A:$A,"新豐1線",'0827 4度C'!$B:$B,"平均")</f>
        <v>114.4578313253012</v>
      </c>
      <c r="J13" s="48">
        <f>SUMIFS('0827 4度C'!$K:$K,'0827 4度C'!$A:$A,"新豐10線",'0827 4度C'!$B:$B,"平均")</f>
        <v>219.11764705882354</v>
      </c>
      <c r="K13" s="49">
        <f>SUMIFS('0827 4度C'!$K:$K,'0827 4度C'!$A:$A,"新豐8線",'0827 4度C'!$B:$B,"平均")</f>
        <v>137.70491803278691</v>
      </c>
      <c r="L13" s="301">
        <f>SUMIFS('0827 4度C'!$K:$K,'0827 4度C'!$A:$A,"新豐9線",'0827 4度C'!$B:$B,"平均")</f>
        <v>130.12048192771084</v>
      </c>
      <c r="M13" s="48">
        <f>SUMIFS('0827 4度C'!$K:$K,'0827 4度C'!$A:$A,"新豐4線",'0827 4度C'!$B:$B,"平均")</f>
        <v>142.57425742574259</v>
      </c>
    </row>
    <row r="14" spans="2:17" ht="39.6" customHeight="1">
      <c r="B14" s="508"/>
      <c r="C14" s="51" t="s">
        <v>1647</v>
      </c>
      <c r="D14" s="52">
        <f>SUMIFS('0827 4度C'!$N:$N,'0827 4度C'!$A:$A,"新豐6線",'0827 4度C'!$B:$B,"平均")</f>
        <v>111.00111234705228</v>
      </c>
      <c r="E14" s="53">
        <f>SUMIFS('0827 4度C'!$N:$N,'0827 4度C'!$A:$A,"新豐2線",'0827 4度C'!$B:$B,"平均")</f>
        <v>77.928015754155012</v>
      </c>
      <c r="F14" s="53">
        <f>SUMIFS('0827 4度C'!$N:$N,'0827 4度C'!$A:$A,"新豐5線",'0827 4度C'!$B:$B,"平均")</f>
        <v>87.095452492977344</v>
      </c>
      <c r="G14" s="53">
        <f>SUMIFS('0827 4度C'!$N:$N,'0827 4度C'!$A:$A,"新豐7線",'0827 4度C'!$B:$B,"平均")</f>
        <v>110.37556238407694</v>
      </c>
      <c r="H14" s="53">
        <f>SUMIFS('0827 4度C'!$N:$N,'0827 4度C'!$A:$A,"新豐3線",'0827 4度C'!$B:$B,"平均")</f>
        <v>283.36762275343028</v>
      </c>
      <c r="I14" s="295">
        <f>SUMIFS('0827 4度C'!$N:$N,'0827 4度C'!$A:$A,"新豐1線",'0827 4度C'!$B:$B,"平均")</f>
        <v>107.15960670617532</v>
      </c>
      <c r="J14" s="54">
        <f>SUMIFS('0827 4度C'!$N:$N,'0827 4度C'!$A:$A,"新豐10線",'0827 4度C'!$B:$B,"平均")</f>
        <v>205.9570047583517</v>
      </c>
      <c r="K14" s="55">
        <f>SUMIFS('0827 4度C'!$N:$N,'0827 4度C'!$A:$A,"新豐8線",'0827 4度C'!$B:$B,"平均")</f>
        <v>129.39353135571292</v>
      </c>
      <c r="L14" s="302">
        <f>SUMIFS('0827 4度C'!$N:$N,'0827 4度C'!$A:$A,"新豐9線",'0827 4度C'!$B:$B,"平均")</f>
        <v>122.16011125158062</v>
      </c>
      <c r="M14" s="54">
        <f>SUMIFS('0827 4度C'!$N:$N,'0827 4度C'!$A:$A,"新豐4線",'0827 4度C'!$B:$B,"平均")</f>
        <v>133.68944699735727</v>
      </c>
    </row>
    <row r="15" spans="2:17" ht="40.15" customHeight="1">
      <c r="B15" s="508"/>
      <c r="C15" s="57" t="s">
        <v>1648</v>
      </c>
      <c r="D15" s="58">
        <f t="shared" ref="D15:M15" si="0">D14/D13</f>
        <v>0.94350945494994443</v>
      </c>
      <c r="E15" s="59">
        <f t="shared" si="0"/>
        <v>0.93513618904986018</v>
      </c>
      <c r="F15" s="59">
        <f t="shared" si="0"/>
        <v>0.93429667219739343</v>
      </c>
      <c r="G15" s="59">
        <f t="shared" si="0"/>
        <v>0.94739024379666048</v>
      </c>
      <c r="H15" s="59">
        <f t="shared" si="0"/>
        <v>0.94455874251143424</v>
      </c>
      <c r="I15" s="296">
        <f t="shared" si="0"/>
        <v>0.93623656385395293</v>
      </c>
      <c r="J15" s="60">
        <f t="shared" si="0"/>
        <v>0.93993800829314866</v>
      </c>
      <c r="K15" s="58">
        <f t="shared" si="0"/>
        <v>0.9396435015117246</v>
      </c>
      <c r="L15" s="296">
        <f t="shared" si="0"/>
        <v>0.93882307721122138</v>
      </c>
      <c r="M15" s="60">
        <f t="shared" si="0"/>
        <v>0.93768292685646404</v>
      </c>
    </row>
    <row r="16" spans="2:17" ht="17.25" customHeight="1">
      <c r="B16" s="509" t="s">
        <v>1649</v>
      </c>
      <c r="C16" s="420" t="s">
        <v>1650</v>
      </c>
      <c r="D16" s="61">
        <f>VLOOKUP("新豐6線",'0827 4度C'!$A:$T,19,0)</f>
        <v>0.70833333333333337</v>
      </c>
      <c r="E16" s="24">
        <f>VLOOKUP("新豐2線",'0827 4度C'!$A:$T,19,0)</f>
        <v>0.125</v>
      </c>
      <c r="F16" s="24">
        <f>VLOOKUP("新豐5線",'0827 4度C'!$A:$T,19,0)</f>
        <v>0.25</v>
      </c>
      <c r="G16" s="24">
        <f>VLOOKUP("新豐7線",'0827 4度C'!$A:$T,19,0)</f>
        <v>0.20833333333333334</v>
      </c>
      <c r="H16" s="24">
        <f>VLOOKUP("新豐3線",'0827 4度C'!$A:$T,19,0)</f>
        <v>0.125</v>
      </c>
      <c r="I16" s="297">
        <f>VLOOKUP("新豐1線",'0827 4度C'!$A:$T,19,0)</f>
        <v>0.29166666666666669</v>
      </c>
      <c r="J16" s="62">
        <f>VLOOKUP("新豐10線",'0827 4度C'!$A:$T,19,0)</f>
        <v>0.125</v>
      </c>
      <c r="K16" s="63">
        <f>VLOOKUP("新豐8線",'0827 4度C'!$A:$T,19,0)</f>
        <v>0.125</v>
      </c>
      <c r="L16" s="303">
        <f>VLOOKUP("新豐9線",'0827 4度C'!$A:$T,19,0)</f>
        <v>0.125</v>
      </c>
      <c r="M16" s="65">
        <f>VLOOKUP("新豐4線",'0827 4度C'!$A:$T,19,0)</f>
        <v>0.125</v>
      </c>
    </row>
    <row r="17" spans="2:13" ht="17.25" customHeight="1">
      <c r="B17" s="493"/>
      <c r="C17" s="420" t="s">
        <v>1651</v>
      </c>
      <c r="D17" s="63">
        <f>LOOKUP(2,1/(('0827 4度C'!$A:$A="新豐6線")*('0827 4度C'!$T:$T&lt;&gt;"")),'0827 4度C'!$T:$T)</f>
        <v>0.8208333333333333</v>
      </c>
      <c r="E17" s="24">
        <f>LOOKUP(2,1/(('0827 4度C'!$A:$A="新豐2線")*('0827 4度C'!$T:$T&lt;&gt;"")),'0827 4度C'!$T:$T)</f>
        <v>0.64513888888888893</v>
      </c>
      <c r="F17" s="24">
        <f>LOOKUP(2,1/(('0827 4度C'!$A:$A="新豐5線")*('0827 4度C'!$T:$T&lt;&gt;"")),'0827 4度C'!$T:$T)</f>
        <v>0.83819444444444446</v>
      </c>
      <c r="G17" s="24">
        <f>LOOKUP(2,1/(('0827 4度C'!$A:$A="新豐7線")*('0827 4度C'!$T:$T&lt;&gt;"")),'0827 4度C'!$T:$T)</f>
        <v>0.79791666666666661</v>
      </c>
      <c r="H17" s="24">
        <f>LOOKUP(2,1/(('0827 4度C'!$A:$A="新豐3線")*('0827 4度C'!$T:$T&lt;&gt;"")),'0827 4度C'!$T:$T)</f>
        <v>0.50694444444444442</v>
      </c>
      <c r="I17" s="297">
        <f>LOOKUP(2,1/(('0827 4度C'!$A:$A="新豐1線")*('0827 4度C'!$T:$T&lt;&gt;"")),'0827 4度C'!$T:$T)</f>
        <v>0.84027777777777768</v>
      </c>
      <c r="J17" s="62">
        <f>LOOKUP(2,1/(('0827 4度C'!$A:$A="新豐10線")*('0827 4度C'!$T:$T&lt;&gt;"")),'0827 4度C'!$T:$T)</f>
        <v>0.43819444444444433</v>
      </c>
      <c r="K17" s="61">
        <f>LOOKUP(2,1/(('0827 4度C'!$A:$A="新豐8線")*('0827 4度C'!$T:$T&lt;&gt;"")),'0827 4度C'!$T:$T)</f>
        <v>0.6381944444444444</v>
      </c>
      <c r="L17" s="297">
        <f>LOOKUP(2,1/(('0827 4度C'!$A:$A="新豐9線")*('0827 4度C'!$T:$T&lt;&gt;"")),'0827 4度C'!$T:$T)</f>
        <v>0.72777777777777763</v>
      </c>
      <c r="M17" s="62">
        <f>LOOKUP(2,1/(('0827 4度C'!$A:$A="新豐4線")*('0827 4度C'!$T:$T&lt;&gt;"")),'0827 4度C'!$T:$T)</f>
        <v>0.63124999999999987</v>
      </c>
    </row>
    <row r="18" spans="2:13" ht="17.25" customHeight="1">
      <c r="B18" s="493" t="s">
        <v>1652</v>
      </c>
      <c r="C18" s="494"/>
      <c r="D18" s="66">
        <f>SUMIFS('0827 4度C'!$I:$I,'0827 4度C'!$A:$A,"新豐6線",'0827 4度C'!$B:$B,"平均")</f>
        <v>17</v>
      </c>
      <c r="E18" s="67">
        <f>SUMIFS('0827 4度C'!$I:$I,'0827 4度C'!$A:$A,"新豐2線",'0827 4度C'!$B:$B,"平均")</f>
        <v>18</v>
      </c>
      <c r="F18" s="67">
        <f>SUMIFS('0827 4度C'!$I:$I,'0827 4度C'!$A:$A,"新豐5線",'0827 4度C'!$B:$B,"平均")</f>
        <v>19.666666666666668</v>
      </c>
      <c r="G18" s="67">
        <f>SUMIFS('0827 4度C'!$I:$I,'0827 4度C'!$A:$A,"新豐7線",'0827 4度C'!$B:$B,"平均")</f>
        <v>17.166666666666668</v>
      </c>
      <c r="H18" s="67">
        <f>SUMIFS('0827 4度C'!$I:$I,'0827 4度C'!$A:$A,"新豐3線",'0827 4度C'!$B:$B,"平均")</f>
        <v>10</v>
      </c>
      <c r="I18" s="298">
        <f>SUMIFS('0827 4度C'!$I:$I,'0827 4度C'!$A:$A,"新豐1線",'0827 4度C'!$B:$B,"平均")</f>
        <v>16.600000000000001</v>
      </c>
      <c r="J18" s="68">
        <f>SUMIFS('0827 4度C'!$I:$I,'0827 4度C'!$A:$A,"新豐10線",'0827 4度C'!$B:$B,"平均")</f>
        <v>11.333333333333334</v>
      </c>
      <c r="K18" s="66">
        <f>SUMIFS('0827 4度C'!$I:$I,'0827 4度C'!$A:$A,"新豐8線",'0827 4度C'!$B:$B,"平均")</f>
        <v>17.428571428571427</v>
      </c>
      <c r="L18" s="298">
        <f>SUMIFS('0827 4度C'!$I:$I,'0827 4度C'!$A:$A,"新豐9線",'0827 4度C'!$B:$B,"平均")</f>
        <v>18.444444444444443</v>
      </c>
      <c r="M18" s="68">
        <f>SUMIFS('0827 4度C'!$I:$I,'0827 4度C'!$A:$A,"新豐4線",'0827 4度C'!$B:$B,"平均")</f>
        <v>16.833333333333332</v>
      </c>
    </row>
    <row r="19" spans="2:13" ht="17.25" customHeight="1">
      <c r="B19" s="495" t="s">
        <v>1653</v>
      </c>
      <c r="C19" s="496"/>
      <c r="D19" s="69" t="s">
        <v>46</v>
      </c>
      <c r="E19" s="70" t="s">
        <v>47</v>
      </c>
      <c r="F19" s="70" t="s">
        <v>1654</v>
      </c>
      <c r="G19" s="70" t="s">
        <v>1654</v>
      </c>
      <c r="H19" s="70" t="s">
        <v>48</v>
      </c>
      <c r="I19" s="299" t="s">
        <v>46</v>
      </c>
      <c r="J19" s="71" t="s">
        <v>48</v>
      </c>
      <c r="K19" s="69" t="s">
        <v>1655</v>
      </c>
      <c r="L19" s="299" t="s">
        <v>1656</v>
      </c>
      <c r="M19" s="71" t="s">
        <v>1657</v>
      </c>
    </row>
    <row r="20" spans="2:13" ht="17.25" customHeight="1">
      <c r="B20" s="495" t="s">
        <v>1658</v>
      </c>
      <c r="C20" s="496"/>
      <c r="D20" s="69"/>
      <c r="E20" s="70"/>
      <c r="F20" s="70" t="s">
        <v>1659</v>
      </c>
      <c r="G20" s="70" t="s">
        <v>46</v>
      </c>
      <c r="H20" s="70"/>
      <c r="I20" s="299"/>
      <c r="J20" s="71"/>
      <c r="K20" s="69"/>
      <c r="L20" s="299"/>
      <c r="M20" s="71"/>
    </row>
    <row r="21" spans="2:13" ht="17.25" customHeight="1" thickBot="1">
      <c r="B21" s="497" t="s">
        <v>1660</v>
      </c>
      <c r="C21" s="498"/>
      <c r="D21" s="72"/>
      <c r="E21" s="73" t="s">
        <v>1661</v>
      </c>
      <c r="F21" s="499" t="s">
        <v>205</v>
      </c>
      <c r="G21" s="500"/>
      <c r="H21" s="73" t="s">
        <v>1662</v>
      </c>
      <c r="I21" s="300" t="s">
        <v>1663</v>
      </c>
      <c r="J21" s="74" t="s">
        <v>1662</v>
      </c>
      <c r="K21" s="75"/>
      <c r="L21" s="300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152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9">
    <pageSetUpPr fitToPage="1"/>
  </sheetPr>
  <dimension ref="A1:AC71"/>
  <sheetViews>
    <sheetView zoomScale="80" zoomScaleNormal="80" workbookViewId="0">
      <pane ySplit="4" topLeftCell="A56" activePane="bottomLeft" state="frozen"/>
      <selection activeCell="O8" sqref="O8"/>
      <selection pane="bottomLeft" activeCell="M5" sqref="M5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5" bestFit="1" customWidth="1"/>
    <col min="20" max="20" width="7.625" style="5" bestFit="1" customWidth="1"/>
    <col min="21" max="21" width="10.25" style="5" bestFit="1" customWidth="1"/>
    <col min="22" max="22" width="8.75" style="21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1664</v>
      </c>
      <c r="B1" s="1"/>
      <c r="C1" s="2" t="s">
        <v>1665</v>
      </c>
      <c r="D1" s="3">
        <f>SUM(F5:F70)</f>
        <v>164419</v>
      </c>
      <c r="E1" s="422" t="s">
        <v>1666</v>
      </c>
      <c r="F1" s="1">
        <f>SUM(G5:G70)</f>
        <v>5656058.3599999985</v>
      </c>
      <c r="G1" s="1" t="s">
        <v>1667</v>
      </c>
      <c r="H1" s="4">
        <f>L8+L13+L50+L56+L17+L63+L32+L42+L24+L70</f>
        <v>162.47301587301587</v>
      </c>
      <c r="I1" s="572" t="s">
        <v>1668</v>
      </c>
      <c r="J1" s="572"/>
      <c r="K1" s="572"/>
      <c r="L1" s="572" t="s">
        <v>1669</v>
      </c>
      <c r="M1" s="572"/>
      <c r="N1" s="572"/>
      <c r="O1" s="572" t="s">
        <v>1670</v>
      </c>
      <c r="P1" s="572"/>
      <c r="Q1" s="572"/>
      <c r="R1" s="572"/>
      <c r="S1" s="572" t="s">
        <v>1671</v>
      </c>
      <c r="T1" s="572"/>
      <c r="U1" s="572"/>
      <c r="V1" s="572"/>
      <c r="W1" s="572"/>
      <c r="X1" s="572"/>
      <c r="Y1" s="572" t="s">
        <v>1672</v>
      </c>
      <c r="Z1" s="572"/>
      <c r="AA1" s="572" t="s">
        <v>1673</v>
      </c>
      <c r="AB1" s="573"/>
      <c r="AC1" s="573"/>
    </row>
    <row r="2" spans="1:29" ht="26.25" customHeight="1">
      <c r="A2" s="22">
        <v>45896</v>
      </c>
      <c r="B2" s="23" t="s">
        <v>336</v>
      </c>
      <c r="C2" s="2" t="s">
        <v>1674</v>
      </c>
      <c r="D2" s="6">
        <f>AVERAGE(N8,N13,N50,N56,N17,N63,N24,N32,N42,N70)</f>
        <v>136.81274668008695</v>
      </c>
      <c r="E2" s="7" t="s">
        <v>0</v>
      </c>
      <c r="F2" s="8">
        <f>F1/D1</f>
        <v>34.400272231311455</v>
      </c>
      <c r="G2" s="1" t="s">
        <v>1675</v>
      </c>
      <c r="H2" s="433">
        <f>COUNT(H5:H70)</f>
        <v>7</v>
      </c>
      <c r="I2" s="572"/>
      <c r="J2" s="572"/>
      <c r="K2" s="572"/>
      <c r="L2" s="572"/>
      <c r="M2" s="572"/>
      <c r="N2" s="572"/>
      <c r="O2" s="572"/>
      <c r="P2" s="572"/>
      <c r="Q2" s="572"/>
      <c r="R2" s="572"/>
      <c r="S2" s="572"/>
      <c r="T2" s="572"/>
      <c r="U2" s="572"/>
      <c r="V2" s="572"/>
      <c r="W2" s="572"/>
      <c r="X2" s="572"/>
      <c r="Y2" s="572"/>
      <c r="Z2" s="572"/>
      <c r="AA2" s="573"/>
      <c r="AB2" s="573"/>
      <c r="AC2" s="573"/>
    </row>
    <row r="3" spans="1:29" ht="23.25" customHeight="1">
      <c r="A3" s="528" t="s">
        <v>1676</v>
      </c>
      <c r="B3" s="528" t="s">
        <v>1677</v>
      </c>
      <c r="C3" s="528" t="s">
        <v>1678</v>
      </c>
      <c r="D3" s="528"/>
      <c r="E3" s="570" t="s">
        <v>1679</v>
      </c>
      <c r="F3" s="528" t="s">
        <v>1680</v>
      </c>
      <c r="G3" s="570" t="s">
        <v>1681</v>
      </c>
      <c r="H3" s="563" t="s">
        <v>1682</v>
      </c>
      <c r="I3" s="561" t="s">
        <v>1683</v>
      </c>
      <c r="J3" s="566" t="s">
        <v>1684</v>
      </c>
      <c r="K3" s="568" t="s">
        <v>1674</v>
      </c>
      <c r="L3" s="561" t="s">
        <v>1683</v>
      </c>
      <c r="M3" s="566" t="s">
        <v>1684</v>
      </c>
      <c r="N3" s="568" t="s">
        <v>1674</v>
      </c>
      <c r="O3" s="561" t="s">
        <v>1683</v>
      </c>
      <c r="P3" s="568" t="s">
        <v>1674</v>
      </c>
      <c r="Q3" s="567" t="s">
        <v>1685</v>
      </c>
      <c r="R3" s="542" t="s">
        <v>1686</v>
      </c>
      <c r="S3" s="528" t="s">
        <v>1</v>
      </c>
      <c r="T3" s="528"/>
      <c r="U3" s="563" t="s">
        <v>2</v>
      </c>
      <c r="V3" s="563" t="s">
        <v>1687</v>
      </c>
      <c r="W3" s="528" t="s">
        <v>1688</v>
      </c>
      <c r="X3" s="528"/>
      <c r="Y3" s="564" t="s">
        <v>1689</v>
      </c>
      <c r="Z3" s="565"/>
      <c r="AA3" s="566" t="s">
        <v>1690</v>
      </c>
      <c r="AB3" s="567" t="s">
        <v>1685</v>
      </c>
      <c r="AC3" s="542" t="s">
        <v>1686</v>
      </c>
    </row>
    <row r="4" spans="1:29">
      <c r="A4" s="528"/>
      <c r="B4" s="528"/>
      <c r="C4" s="528"/>
      <c r="D4" s="528"/>
      <c r="E4" s="571"/>
      <c r="F4" s="528"/>
      <c r="G4" s="571"/>
      <c r="H4" s="563"/>
      <c r="I4" s="561"/>
      <c r="J4" s="566"/>
      <c r="K4" s="568"/>
      <c r="L4" s="561"/>
      <c r="M4" s="566"/>
      <c r="N4" s="568"/>
      <c r="O4" s="561"/>
      <c r="P4" s="568"/>
      <c r="Q4" s="567"/>
      <c r="R4" s="542"/>
      <c r="S4" s="422" t="s">
        <v>3</v>
      </c>
      <c r="T4" s="422" t="s">
        <v>4</v>
      </c>
      <c r="U4" s="563"/>
      <c r="V4" s="563"/>
      <c r="W4" s="422" t="s">
        <v>1691</v>
      </c>
      <c r="X4" s="422" t="s">
        <v>1692</v>
      </c>
      <c r="Y4" s="565"/>
      <c r="Z4" s="565"/>
      <c r="AA4" s="566"/>
      <c r="AB4" s="567"/>
      <c r="AC4" s="542"/>
    </row>
    <row r="5" spans="1:29">
      <c r="A5" s="560" t="s">
        <v>1693</v>
      </c>
      <c r="B5" s="26" t="s">
        <v>13</v>
      </c>
      <c r="C5" s="562" t="s">
        <v>53</v>
      </c>
      <c r="D5" s="562"/>
      <c r="E5" s="26">
        <v>46.93</v>
      </c>
      <c r="F5" s="432">
        <v>929</v>
      </c>
      <c r="G5" s="422">
        <f>E5*F5</f>
        <v>43597.97</v>
      </c>
      <c r="H5" s="434" t="s">
        <v>52</v>
      </c>
      <c r="I5" s="430">
        <v>17</v>
      </c>
      <c r="J5" s="18">
        <v>2000</v>
      </c>
      <c r="K5" s="9">
        <f>J5/I5</f>
        <v>117.64705882352941</v>
      </c>
      <c r="L5" s="430">
        <v>17</v>
      </c>
      <c r="M5" s="10">
        <f>F5/V5*60</f>
        <v>1922.0689655172375</v>
      </c>
      <c r="N5" s="9">
        <f>M5/L5</f>
        <v>113.06288032454339</v>
      </c>
      <c r="O5" s="11">
        <f t="shared" ref="O5:O7" si="0">L5-I5</f>
        <v>0</v>
      </c>
      <c r="P5" s="12">
        <f t="shared" ref="P5:P7" si="1">N5-K5</f>
        <v>-4.5841784989860201</v>
      </c>
      <c r="Q5" s="424">
        <f>N5/K5</f>
        <v>0.9610344827586188</v>
      </c>
      <c r="R5" s="533">
        <f>Q8</f>
        <v>0.94350945494994443</v>
      </c>
      <c r="S5" s="24">
        <v>0.70833333333333337</v>
      </c>
      <c r="T5" s="24">
        <v>0.7284722222222223</v>
      </c>
      <c r="U5" s="422"/>
      <c r="V5" s="431">
        <f>(T5-S5)*24*60</f>
        <v>29.000000000000057</v>
      </c>
      <c r="W5" s="14"/>
      <c r="X5" s="13"/>
      <c r="Y5" s="528"/>
      <c r="Z5" s="528"/>
      <c r="AA5" s="11">
        <f t="shared" ref="AA5:AA68" si="2">M5-J5</f>
        <v>-77.93103448276247</v>
      </c>
      <c r="AB5" s="424">
        <f t="shared" ref="AB5:AB7" si="3">M5/J5</f>
        <v>0.9610344827586188</v>
      </c>
      <c r="AC5" s="533">
        <f>AB8</f>
        <v>0.94350945494994432</v>
      </c>
    </row>
    <row r="6" spans="1:29">
      <c r="A6" s="561" t="s">
        <v>1694</v>
      </c>
      <c r="B6" s="26" t="s">
        <v>13</v>
      </c>
      <c r="C6" s="562" t="s">
        <v>55</v>
      </c>
      <c r="D6" s="562"/>
      <c r="E6" s="26">
        <v>50.49</v>
      </c>
      <c r="F6" s="432">
        <v>1932</v>
      </c>
      <c r="G6" s="422">
        <f t="shared" ref="G6:G7" si="4">E6*F6</f>
        <v>97546.680000000008</v>
      </c>
      <c r="H6" s="434" t="s">
        <v>52</v>
      </c>
      <c r="I6" s="430">
        <v>16</v>
      </c>
      <c r="J6" s="18">
        <v>2000</v>
      </c>
      <c r="K6" s="9">
        <f t="shared" ref="K6:K7" si="5">J6/I6</f>
        <v>125</v>
      </c>
      <c r="L6" s="430">
        <v>16</v>
      </c>
      <c r="M6" s="10">
        <f>F6/V6*60</f>
        <v>1869.6774193548404</v>
      </c>
      <c r="N6" s="9">
        <f t="shared" ref="N6:N7" si="6">M6/L6</f>
        <v>116.85483870967752</v>
      </c>
      <c r="O6" s="11">
        <f t="shared" si="0"/>
        <v>0</v>
      </c>
      <c r="P6" s="12">
        <f t="shared" si="1"/>
        <v>-8.145161290322477</v>
      </c>
      <c r="Q6" s="424">
        <f t="shared" ref="Q6:Q7" si="7">N6/K6</f>
        <v>0.93483870967742022</v>
      </c>
      <c r="R6" s="533"/>
      <c r="S6" s="24">
        <v>0.73402777777777783</v>
      </c>
      <c r="T6" s="24">
        <v>0.77708333333333335</v>
      </c>
      <c r="U6" s="422">
        <f>(S6-T5)*24*60</f>
        <v>7.9999999999999716</v>
      </c>
      <c r="V6" s="431">
        <f>(T6-S6)*24*60</f>
        <v>61.999999999999943</v>
      </c>
      <c r="W6" s="14"/>
      <c r="X6" s="14"/>
      <c r="Y6" s="528"/>
      <c r="Z6" s="528"/>
      <c r="AA6" s="11">
        <f t="shared" si="2"/>
        <v>-130.32258064515963</v>
      </c>
      <c r="AB6" s="424">
        <f t="shared" si="3"/>
        <v>0.93483870967742022</v>
      </c>
      <c r="AC6" s="533"/>
    </row>
    <row r="7" spans="1:29">
      <c r="A7" s="561" t="s">
        <v>366</v>
      </c>
      <c r="B7" s="26" t="s">
        <v>13</v>
      </c>
      <c r="C7" s="558" t="s">
        <v>76</v>
      </c>
      <c r="D7" s="559"/>
      <c r="E7" s="26">
        <v>50.67</v>
      </c>
      <c r="F7" s="432">
        <v>1807</v>
      </c>
      <c r="G7" s="422">
        <f t="shared" si="4"/>
        <v>91560.69</v>
      </c>
      <c r="H7" s="434" t="s">
        <v>52</v>
      </c>
      <c r="I7" s="430">
        <v>18</v>
      </c>
      <c r="J7" s="18">
        <v>2000</v>
      </c>
      <c r="K7" s="9">
        <f t="shared" si="5"/>
        <v>111.11111111111111</v>
      </c>
      <c r="L7" s="430">
        <v>18</v>
      </c>
      <c r="M7" s="10">
        <f t="shared" ref="M7" si="8">F7/V7*60</f>
        <v>1869.3103448275876</v>
      </c>
      <c r="N7" s="9">
        <f t="shared" si="6"/>
        <v>103.85057471264376</v>
      </c>
      <c r="O7" s="11">
        <f t="shared" si="0"/>
        <v>0</v>
      </c>
      <c r="P7" s="12">
        <f t="shared" si="1"/>
        <v>-7.2605363984673517</v>
      </c>
      <c r="Q7" s="424">
        <f t="shared" si="7"/>
        <v>0.93465517241379381</v>
      </c>
      <c r="R7" s="533"/>
      <c r="S7" s="24">
        <v>0.78055555555555556</v>
      </c>
      <c r="T7" s="24">
        <v>0.8208333333333333</v>
      </c>
      <c r="U7" s="422">
        <f t="shared" ref="U7" si="9">(S7-T6)*24*60</f>
        <v>4.9999999999999822</v>
      </c>
      <c r="V7" s="431">
        <f t="shared" ref="V7" si="10">(T7-S7)*24*60</f>
        <v>57.999999999999957</v>
      </c>
      <c r="W7" s="14"/>
      <c r="X7" s="14"/>
      <c r="Y7" s="536"/>
      <c r="Z7" s="537"/>
      <c r="AA7" s="11">
        <f t="shared" si="2"/>
        <v>-130.68965517241236</v>
      </c>
      <c r="AB7" s="424">
        <f t="shared" si="3"/>
        <v>0.93465517241379381</v>
      </c>
      <c r="AC7" s="533"/>
    </row>
    <row r="8" spans="1:29">
      <c r="A8" s="561" t="s">
        <v>366</v>
      </c>
      <c r="B8" s="26" t="s">
        <v>82</v>
      </c>
      <c r="C8" s="530"/>
      <c r="D8" s="530"/>
      <c r="E8" s="423"/>
      <c r="F8" s="16"/>
      <c r="G8" s="9"/>
      <c r="H8" s="432"/>
      <c r="I8" s="17">
        <v>17</v>
      </c>
      <c r="J8" s="18">
        <v>2000</v>
      </c>
      <c r="K8" s="9">
        <f>J8/I8</f>
        <v>117.64705882352941</v>
      </c>
      <c r="L8" s="17">
        <v>17</v>
      </c>
      <c r="M8" s="10">
        <f>AVERAGE(M5:M7)</f>
        <v>1887.0189098998887</v>
      </c>
      <c r="N8" s="9">
        <f>M8/L8</f>
        <v>111.00111234705228</v>
      </c>
      <c r="O8" s="11">
        <f>L8-I8</f>
        <v>0</v>
      </c>
      <c r="P8" s="12">
        <f>N8-K8</f>
        <v>-6.6459464764771212</v>
      </c>
      <c r="Q8" s="424">
        <f>N8/K8</f>
        <v>0.94350945494994443</v>
      </c>
      <c r="R8" s="533"/>
      <c r="S8" s="24"/>
      <c r="T8" s="24"/>
      <c r="U8" s="422"/>
      <c r="V8" s="431"/>
      <c r="W8" s="9"/>
      <c r="X8" s="9"/>
      <c r="Y8" s="528"/>
      <c r="Z8" s="528"/>
      <c r="AA8" s="11">
        <f t="shared" si="2"/>
        <v>-112.98109010011126</v>
      </c>
      <c r="AB8" s="424">
        <f>M8/J8</f>
        <v>0.94350945494994432</v>
      </c>
      <c r="AC8" s="533"/>
    </row>
    <row r="9" spans="1:29" ht="15.75" customHeight="1">
      <c r="A9" s="531" t="s">
        <v>1695</v>
      </c>
      <c r="B9" s="26" t="s">
        <v>15</v>
      </c>
      <c r="C9" s="558" t="s">
        <v>16</v>
      </c>
      <c r="D9" s="559"/>
      <c r="E9" s="26">
        <v>39.619999999999997</v>
      </c>
      <c r="F9" s="432">
        <v>4790</v>
      </c>
      <c r="G9" s="422">
        <f t="shared" ref="G9:G12" si="11">E9*F9</f>
        <v>189779.8</v>
      </c>
      <c r="H9" s="434" t="s">
        <v>52</v>
      </c>
      <c r="I9" s="430">
        <v>19</v>
      </c>
      <c r="J9" s="18">
        <v>1500</v>
      </c>
      <c r="K9" s="9">
        <f t="shared" ref="K9:K12" si="12">J9/I9</f>
        <v>78.94736842105263</v>
      </c>
      <c r="L9" s="430">
        <v>19</v>
      </c>
      <c r="M9" s="10">
        <f t="shared" ref="M9:M12" si="13">F9/V9*60</f>
        <v>1401.9512195121952</v>
      </c>
      <c r="N9" s="9">
        <f t="shared" ref="N9:N12" si="14">M9/L9</f>
        <v>73.786906290115539</v>
      </c>
      <c r="O9" s="11">
        <f t="shared" ref="O9:O12" si="15">L9-I9</f>
        <v>0</v>
      </c>
      <c r="P9" s="12">
        <f>N9-K9</f>
        <v>-5.1604621309370913</v>
      </c>
      <c r="Q9" s="424">
        <f>N9/K9</f>
        <v>0.93463414634146347</v>
      </c>
      <c r="R9" s="533">
        <f>Q13</f>
        <v>0.93513618904986018</v>
      </c>
      <c r="S9" s="24">
        <v>0.125</v>
      </c>
      <c r="T9" s="24">
        <v>0.2673611111111111</v>
      </c>
      <c r="U9" s="422"/>
      <c r="V9" s="431">
        <f t="shared" ref="V9:V12" si="16">(T9-S9)*24*60</f>
        <v>205</v>
      </c>
      <c r="W9" s="14">
        <f>T9</f>
        <v>0.2673611111111111</v>
      </c>
      <c r="X9" s="14">
        <f>S10</f>
        <v>0.28472222222222221</v>
      </c>
      <c r="Y9" s="528"/>
      <c r="Z9" s="528"/>
      <c r="AA9" s="11">
        <f t="shared" si="2"/>
        <v>-98.048780487804834</v>
      </c>
      <c r="AB9" s="424">
        <f>M9/J9</f>
        <v>0.93463414634146347</v>
      </c>
      <c r="AC9" s="533">
        <f>AB13</f>
        <v>0.93513618904986018</v>
      </c>
    </row>
    <row r="10" spans="1:29" ht="15.75" customHeight="1">
      <c r="A10" s="531" t="s">
        <v>1695</v>
      </c>
      <c r="B10" s="26" t="s">
        <v>15</v>
      </c>
      <c r="C10" s="558" t="s">
        <v>17</v>
      </c>
      <c r="D10" s="559"/>
      <c r="E10" s="26">
        <v>39.799999999999997</v>
      </c>
      <c r="F10" s="432">
        <v>4000</v>
      </c>
      <c r="G10" s="422">
        <f t="shared" si="11"/>
        <v>159200</v>
      </c>
      <c r="H10" s="434">
        <v>2</v>
      </c>
      <c r="I10" s="430">
        <v>17</v>
      </c>
      <c r="J10" s="18">
        <v>1500</v>
      </c>
      <c r="K10" s="9">
        <f t="shared" si="12"/>
        <v>88.235294117647058</v>
      </c>
      <c r="L10" s="430">
        <v>17</v>
      </c>
      <c r="M10" s="10">
        <f t="shared" si="13"/>
        <v>1403.5087719298244</v>
      </c>
      <c r="N10" s="9">
        <f t="shared" si="14"/>
        <v>82.559339525283789</v>
      </c>
      <c r="O10" s="11">
        <f t="shared" si="15"/>
        <v>0</v>
      </c>
      <c r="P10" s="12">
        <f t="shared" ref="P10:P12" si="17">N10-K10</f>
        <v>-5.6759545923632686</v>
      </c>
      <c r="Q10" s="424">
        <f t="shared" ref="Q10:Q12" si="18">N10/K10</f>
        <v>0.93567251461988299</v>
      </c>
      <c r="R10" s="533"/>
      <c r="S10" s="24">
        <v>0.28472222222222221</v>
      </c>
      <c r="T10" s="24">
        <v>0.40347222222222223</v>
      </c>
      <c r="U10" s="422">
        <f>(S10-T9)*24*60</f>
        <v>24.999999999999993</v>
      </c>
      <c r="V10" s="431">
        <f t="shared" si="16"/>
        <v>171.00000000000003</v>
      </c>
      <c r="W10" s="14"/>
      <c r="X10" s="14"/>
      <c r="Y10" s="528"/>
      <c r="Z10" s="528"/>
      <c r="AA10" s="11">
        <f t="shared" si="2"/>
        <v>-96.491228070175566</v>
      </c>
      <c r="AB10" s="424">
        <f t="shared" ref="AB10:AB24" si="19">M10/J10</f>
        <v>0.93567251461988299</v>
      </c>
      <c r="AC10" s="533"/>
    </row>
    <row r="11" spans="1:29" ht="15.75" customHeight="1">
      <c r="A11" s="531" t="s">
        <v>1695</v>
      </c>
      <c r="B11" s="26" t="s">
        <v>15</v>
      </c>
      <c r="C11" s="558" t="s">
        <v>80</v>
      </c>
      <c r="D11" s="559"/>
      <c r="E11" s="26">
        <v>39.29</v>
      </c>
      <c r="F11" s="432">
        <v>3931</v>
      </c>
      <c r="G11" s="422">
        <f t="shared" si="11"/>
        <v>154448.99</v>
      </c>
      <c r="H11" s="434" t="s">
        <v>52</v>
      </c>
      <c r="I11" s="430">
        <v>19</v>
      </c>
      <c r="J11" s="18">
        <v>1500</v>
      </c>
      <c r="K11" s="9">
        <f t="shared" si="12"/>
        <v>78.94736842105263</v>
      </c>
      <c r="L11" s="430">
        <v>19</v>
      </c>
      <c r="M11" s="10">
        <f t="shared" si="13"/>
        <v>1403.9285714285709</v>
      </c>
      <c r="N11" s="9">
        <f t="shared" si="14"/>
        <v>73.890977443608989</v>
      </c>
      <c r="O11" s="11">
        <f t="shared" si="15"/>
        <v>0</v>
      </c>
      <c r="P11" s="12">
        <f t="shared" si="17"/>
        <v>-5.0563909774436411</v>
      </c>
      <c r="Q11" s="424">
        <f t="shared" si="18"/>
        <v>0.93595238095238054</v>
      </c>
      <c r="R11" s="533"/>
      <c r="S11" s="24">
        <v>0.40902777777777777</v>
      </c>
      <c r="T11" s="24">
        <v>0.52569444444444446</v>
      </c>
      <c r="U11" s="422">
        <f t="shared" ref="U11:U12" si="20">(S11-T10)*24*60</f>
        <v>7.9999999999999716</v>
      </c>
      <c r="V11" s="431">
        <f t="shared" si="16"/>
        <v>168.00000000000006</v>
      </c>
      <c r="W11" s="14">
        <f>T11</f>
        <v>0.52569444444444446</v>
      </c>
      <c r="X11" s="14">
        <f>S12</f>
        <v>0.56736111111111109</v>
      </c>
      <c r="Y11" s="528"/>
      <c r="Z11" s="528"/>
      <c r="AA11" s="11">
        <f t="shared" si="2"/>
        <v>-96.071428571429124</v>
      </c>
      <c r="AB11" s="424">
        <f t="shared" si="19"/>
        <v>0.93595238095238054</v>
      </c>
      <c r="AC11" s="533"/>
    </row>
    <row r="12" spans="1:29" ht="15.75" customHeight="1">
      <c r="A12" s="531" t="s">
        <v>369</v>
      </c>
      <c r="B12" s="26" t="s">
        <v>15</v>
      </c>
      <c r="C12" s="558" t="s">
        <v>17</v>
      </c>
      <c r="D12" s="559"/>
      <c r="E12" s="26">
        <v>39.799999999999997</v>
      </c>
      <c r="F12" s="432">
        <v>2616</v>
      </c>
      <c r="G12" s="422">
        <f t="shared" si="11"/>
        <v>104116.79999999999</v>
      </c>
      <c r="H12" s="434" t="s">
        <v>52</v>
      </c>
      <c r="I12" s="430">
        <v>17</v>
      </c>
      <c r="J12" s="18">
        <v>1500</v>
      </c>
      <c r="K12" s="9">
        <f t="shared" si="12"/>
        <v>88.235294117647058</v>
      </c>
      <c r="L12" s="430">
        <v>17</v>
      </c>
      <c r="M12" s="10">
        <f t="shared" si="13"/>
        <v>1401.4285714285704</v>
      </c>
      <c r="N12" s="9">
        <f t="shared" si="14"/>
        <v>82.436974789915908</v>
      </c>
      <c r="O12" s="11">
        <f t="shared" si="15"/>
        <v>0</v>
      </c>
      <c r="P12" s="12">
        <f t="shared" si="17"/>
        <v>-5.79831932773115</v>
      </c>
      <c r="Q12" s="424">
        <f t="shared" si="18"/>
        <v>0.93428571428571361</v>
      </c>
      <c r="R12" s="533"/>
      <c r="S12" s="24">
        <v>0.56736111111111109</v>
      </c>
      <c r="T12" s="24">
        <v>0.64513888888888893</v>
      </c>
      <c r="U12" s="422">
        <f t="shared" si="20"/>
        <v>59.999999999999943</v>
      </c>
      <c r="V12" s="431">
        <f t="shared" si="16"/>
        <v>112.00000000000009</v>
      </c>
      <c r="W12" s="14"/>
      <c r="X12" s="14"/>
      <c r="Y12" s="528"/>
      <c r="Z12" s="528"/>
      <c r="AA12" s="11">
        <f t="shared" si="2"/>
        <v>-98.571428571429578</v>
      </c>
      <c r="AB12" s="424">
        <f t="shared" si="19"/>
        <v>0.93428571428571361</v>
      </c>
      <c r="AC12" s="533"/>
    </row>
    <row r="13" spans="1:29" ht="16.5" customHeight="1">
      <c r="A13" s="531" t="s">
        <v>369</v>
      </c>
      <c r="B13" s="26" t="s">
        <v>82</v>
      </c>
      <c r="C13" s="530"/>
      <c r="D13" s="530"/>
      <c r="E13" s="423"/>
      <c r="F13" s="18"/>
      <c r="G13" s="10"/>
      <c r="H13" s="432"/>
      <c r="I13" s="17">
        <v>18</v>
      </c>
      <c r="J13" s="18">
        <v>1500</v>
      </c>
      <c r="K13" s="9">
        <f>J13/I13</f>
        <v>83.333333333333329</v>
      </c>
      <c r="L13" s="17">
        <v>18</v>
      </c>
      <c r="M13" s="10">
        <f>AVERAGE(M9:M12)</f>
        <v>1402.7042835747902</v>
      </c>
      <c r="N13" s="9">
        <f>M13/L13</f>
        <v>77.928015754155012</v>
      </c>
      <c r="O13" s="11">
        <f>L13-I13</f>
        <v>0</v>
      </c>
      <c r="P13" s="12">
        <f>N13-K13</f>
        <v>-5.4053175791783161</v>
      </c>
      <c r="Q13" s="424">
        <f>N13/K13</f>
        <v>0.93513618904986018</v>
      </c>
      <c r="R13" s="533"/>
      <c r="S13" s="24"/>
      <c r="T13" s="24"/>
      <c r="U13" s="9"/>
      <c r="V13" s="431"/>
      <c r="W13" s="9"/>
      <c r="X13" s="9"/>
      <c r="Y13" s="528"/>
      <c r="Z13" s="528"/>
      <c r="AA13" s="11">
        <f t="shared" si="2"/>
        <v>-97.295716425209775</v>
      </c>
      <c r="AB13" s="424">
        <f t="shared" si="19"/>
        <v>0.93513618904986018</v>
      </c>
      <c r="AC13" s="533"/>
    </row>
    <row r="14" spans="1:29" ht="16.5" customHeight="1">
      <c r="A14" s="556" t="s">
        <v>1696</v>
      </c>
      <c r="B14" s="432" t="s">
        <v>21</v>
      </c>
      <c r="C14" s="552" t="s">
        <v>19</v>
      </c>
      <c r="D14" s="552"/>
      <c r="E14" s="26">
        <v>41</v>
      </c>
      <c r="F14" s="432">
        <v>1852</v>
      </c>
      <c r="G14" s="422">
        <f t="shared" ref="G14:G16" si="21">E14*F14</f>
        <v>75932</v>
      </c>
      <c r="H14" s="434" t="s">
        <v>52</v>
      </c>
      <c r="I14" s="430">
        <v>26</v>
      </c>
      <c r="J14" s="18">
        <v>1500</v>
      </c>
      <c r="K14" s="9">
        <f>J14/I14</f>
        <v>57.692307692307693</v>
      </c>
      <c r="L14" s="430">
        <v>26</v>
      </c>
      <c r="M14" s="10">
        <f>F14/V14*60</f>
        <v>1406.5822784810118</v>
      </c>
      <c r="N14" s="9">
        <f t="shared" ref="N14:N23" si="22">M14/L14</f>
        <v>54.099318403115838</v>
      </c>
      <c r="O14" s="11">
        <f t="shared" ref="O14" si="23">L14-I14</f>
        <v>0</v>
      </c>
      <c r="P14" s="12">
        <f t="shared" ref="P14" si="24">N14-K14</f>
        <v>-3.5929892891918556</v>
      </c>
      <c r="Q14" s="424">
        <f>N14/K14</f>
        <v>0.93772151898734113</v>
      </c>
      <c r="R14" s="533">
        <f>Q17</f>
        <v>0.93429667219739343</v>
      </c>
      <c r="S14" s="24">
        <v>0.25</v>
      </c>
      <c r="T14" s="24">
        <v>0.30486111111111114</v>
      </c>
      <c r="U14" s="422"/>
      <c r="V14" s="431">
        <f>(T14-S14)*24*60</f>
        <v>79.000000000000043</v>
      </c>
      <c r="W14" s="15"/>
      <c r="X14" s="15"/>
      <c r="Y14" s="528"/>
      <c r="Z14" s="528"/>
      <c r="AA14" s="11">
        <f t="shared" si="2"/>
        <v>-93.417721518988174</v>
      </c>
      <c r="AB14" s="424">
        <f t="shared" si="19"/>
        <v>0.93772151898734124</v>
      </c>
      <c r="AC14" s="533">
        <f>AB17</f>
        <v>0.93429667219739332</v>
      </c>
    </row>
    <row r="15" spans="1:29" ht="16.5" customHeight="1">
      <c r="A15" s="557" t="s">
        <v>373</v>
      </c>
      <c r="B15" s="432" t="s">
        <v>13</v>
      </c>
      <c r="C15" s="552" t="s">
        <v>57</v>
      </c>
      <c r="D15" s="552"/>
      <c r="E15" s="26">
        <v>50.98</v>
      </c>
      <c r="F15" s="432">
        <v>2677</v>
      </c>
      <c r="G15" s="422">
        <f t="shared" si="21"/>
        <v>136473.46</v>
      </c>
      <c r="H15" s="434" t="s">
        <v>52</v>
      </c>
      <c r="I15" s="430">
        <v>17</v>
      </c>
      <c r="J15" s="18">
        <v>2000</v>
      </c>
      <c r="K15" s="9">
        <f>J15/I15</f>
        <v>117.64705882352941</v>
      </c>
      <c r="L15" s="430">
        <v>17</v>
      </c>
      <c r="M15" s="10">
        <f>F15/V15*60</f>
        <v>1867.674418604651</v>
      </c>
      <c r="N15" s="9">
        <f t="shared" si="22"/>
        <v>109.86320109439123</v>
      </c>
      <c r="O15" s="11">
        <f>L15-I15</f>
        <v>0</v>
      </c>
      <c r="P15" s="12">
        <f>N15-K15</f>
        <v>-7.7838577291381768</v>
      </c>
      <c r="Q15" s="424">
        <f>N15/K15</f>
        <v>0.9338372093023255</v>
      </c>
      <c r="R15" s="533"/>
      <c r="S15" s="24">
        <v>0.70833333333333337</v>
      </c>
      <c r="T15" s="24">
        <v>0.7680555555555556</v>
      </c>
      <c r="U15" s="422" t="str">
        <f>IF(S15=TIME(17,0,0),"",(S15-T14)*24*60)</f>
        <v/>
      </c>
      <c r="V15" s="431">
        <f>(T15-S15)*24*60</f>
        <v>86.000000000000014</v>
      </c>
      <c r="W15" s="14"/>
      <c r="X15" s="14"/>
      <c r="Y15" s="528"/>
      <c r="Z15" s="528"/>
      <c r="AA15" s="11">
        <f t="shared" si="2"/>
        <v>-132.32558139534899</v>
      </c>
      <c r="AB15" s="424">
        <f t="shared" si="19"/>
        <v>0.9338372093023255</v>
      </c>
      <c r="AC15" s="533"/>
    </row>
    <row r="16" spans="1:29" ht="16.5" customHeight="1">
      <c r="A16" s="557" t="s">
        <v>1696</v>
      </c>
      <c r="B16" s="432" t="s">
        <v>13</v>
      </c>
      <c r="C16" s="552" t="s">
        <v>54</v>
      </c>
      <c r="D16" s="552"/>
      <c r="E16" s="26">
        <v>50.92</v>
      </c>
      <c r="F16" s="432">
        <v>2983</v>
      </c>
      <c r="G16" s="422">
        <f t="shared" si="21"/>
        <v>151894.36000000002</v>
      </c>
      <c r="H16" s="434" t="s">
        <v>52</v>
      </c>
      <c r="I16" s="430">
        <v>16</v>
      </c>
      <c r="J16" s="18">
        <v>2000</v>
      </c>
      <c r="K16" s="9">
        <f t="shared" ref="K16" si="25">J16/I16</f>
        <v>125</v>
      </c>
      <c r="L16" s="430">
        <v>16</v>
      </c>
      <c r="M16" s="10">
        <f t="shared" ref="M16" si="26">F16/V16*60</f>
        <v>1864.3750000000005</v>
      </c>
      <c r="N16" s="9">
        <f t="shared" si="22"/>
        <v>116.52343750000003</v>
      </c>
      <c r="O16" s="11">
        <f t="shared" ref="O16" si="27">L16-I16</f>
        <v>0</v>
      </c>
      <c r="P16" s="12">
        <f t="shared" ref="P16" si="28">N16-K16</f>
        <v>-8.4765624999999716</v>
      </c>
      <c r="Q16" s="424">
        <f t="shared" ref="Q16:Q23" si="29">N16/K16</f>
        <v>0.93218750000000028</v>
      </c>
      <c r="R16" s="533"/>
      <c r="S16" s="24">
        <v>0.77152777777777781</v>
      </c>
      <c r="T16" s="24">
        <v>0.83819444444444446</v>
      </c>
      <c r="U16" s="422">
        <f t="shared" ref="U16" si="30">IF(S16=TIME(17,0,0),"",(S16-T15)*24*60)</f>
        <v>4.9999999999999822</v>
      </c>
      <c r="V16" s="431">
        <f t="shared" ref="V16" si="31">(T16-S16)*24*60</f>
        <v>95.999999999999972</v>
      </c>
      <c r="W16" s="14"/>
      <c r="X16" s="14"/>
      <c r="Y16" s="528"/>
      <c r="Z16" s="528"/>
      <c r="AA16" s="11">
        <f t="shared" si="2"/>
        <v>-135.62499999999955</v>
      </c>
      <c r="AB16" s="424">
        <f t="shared" si="19"/>
        <v>0.93218750000000028</v>
      </c>
      <c r="AC16" s="533"/>
    </row>
    <row r="17" spans="1:29" ht="16.5" customHeight="1">
      <c r="A17" s="557" t="s">
        <v>1696</v>
      </c>
      <c r="B17" s="26" t="s">
        <v>1697</v>
      </c>
      <c r="C17" s="530"/>
      <c r="D17" s="530"/>
      <c r="E17" s="423"/>
      <c r="F17" s="16"/>
      <c r="G17" s="9"/>
      <c r="H17" s="432"/>
      <c r="I17" s="17">
        <v>19.666666666666668</v>
      </c>
      <c r="J17" s="18">
        <v>1833.3333333333333</v>
      </c>
      <c r="K17" s="9">
        <f>J17/I17</f>
        <v>93.220338983050837</v>
      </c>
      <c r="L17" s="17">
        <v>19.666666666666668</v>
      </c>
      <c r="M17" s="10">
        <f>AVERAGE(M14:M16)</f>
        <v>1712.8772323618878</v>
      </c>
      <c r="N17" s="9">
        <f t="shared" si="22"/>
        <v>87.095452492977344</v>
      </c>
      <c r="O17" s="11">
        <f>L17-I17</f>
        <v>0</v>
      </c>
      <c r="P17" s="12">
        <f>N17-K17</f>
        <v>-6.124886490073493</v>
      </c>
      <c r="Q17" s="424">
        <f t="shared" si="29"/>
        <v>0.93429667219739343</v>
      </c>
      <c r="R17" s="533"/>
      <c r="S17" s="24"/>
      <c r="T17" s="24"/>
      <c r="U17" s="422"/>
      <c r="V17" s="431"/>
      <c r="W17" s="9"/>
      <c r="X17" s="9"/>
      <c r="Y17" s="528"/>
      <c r="Z17" s="528"/>
      <c r="AA17" s="11">
        <f t="shared" si="2"/>
        <v>-120.45610097144549</v>
      </c>
      <c r="AB17" s="424">
        <f t="shared" si="19"/>
        <v>0.93429667219739332</v>
      </c>
      <c r="AC17" s="533"/>
    </row>
    <row r="18" spans="1:29" ht="15.75" customHeight="1">
      <c r="A18" s="554" t="s">
        <v>375</v>
      </c>
      <c r="B18" s="26" t="s">
        <v>21</v>
      </c>
      <c r="C18" s="552" t="s">
        <v>22</v>
      </c>
      <c r="D18" s="552"/>
      <c r="E18" s="26">
        <v>43.14</v>
      </c>
      <c r="F18" s="432">
        <v>1442</v>
      </c>
      <c r="G18" s="422">
        <f t="shared" ref="G18:G23" si="32">E18*F18</f>
        <v>62207.88</v>
      </c>
      <c r="H18" s="434" t="s">
        <v>52</v>
      </c>
      <c r="I18" s="430">
        <v>17</v>
      </c>
      <c r="J18" s="18">
        <v>2000</v>
      </c>
      <c r="K18" s="9">
        <f t="shared" ref="K18:K24" si="33">J18/I18</f>
        <v>117.64705882352941</v>
      </c>
      <c r="L18" s="430">
        <v>17</v>
      </c>
      <c r="M18" s="10">
        <f t="shared" ref="M18:M23" si="34">F18/V18*60</f>
        <v>1880.8695652173915</v>
      </c>
      <c r="N18" s="9">
        <f t="shared" si="22"/>
        <v>110.63938618925832</v>
      </c>
      <c r="O18" s="11">
        <f t="shared" ref="O18:O23" si="35">L18-I18</f>
        <v>0</v>
      </c>
      <c r="P18" s="12">
        <f t="shared" ref="P18:P23" si="36">N18-K18</f>
        <v>-7.0076726342710884</v>
      </c>
      <c r="Q18" s="424">
        <f t="shared" si="29"/>
        <v>0.94043478260869573</v>
      </c>
      <c r="R18" s="533">
        <f>Q24</f>
        <v>0.94739024379666048</v>
      </c>
      <c r="S18" s="24">
        <v>0.20833333333333334</v>
      </c>
      <c r="T18" s="24">
        <v>0.24027777777777778</v>
      </c>
      <c r="U18" s="422"/>
      <c r="V18" s="431">
        <f>(T18-S18)*24*60</f>
        <v>46</v>
      </c>
      <c r="W18" s="15"/>
      <c r="X18" s="15"/>
      <c r="Y18" s="528"/>
      <c r="Z18" s="528"/>
      <c r="AA18" s="11">
        <f t="shared" si="2"/>
        <v>-119.13043478260852</v>
      </c>
      <c r="AB18" s="424">
        <f t="shared" si="19"/>
        <v>0.94043478260869573</v>
      </c>
      <c r="AC18" s="533">
        <f>AB24</f>
        <v>0.94739024379666048</v>
      </c>
    </row>
    <row r="19" spans="1:29" ht="15.75" customHeight="1">
      <c r="A19" s="555" t="s">
        <v>375</v>
      </c>
      <c r="B19" s="26" t="s">
        <v>13</v>
      </c>
      <c r="C19" s="552" t="s">
        <v>23</v>
      </c>
      <c r="D19" s="552"/>
      <c r="E19" s="26">
        <v>57.73</v>
      </c>
      <c r="F19" s="432">
        <v>2709</v>
      </c>
      <c r="G19" s="422">
        <f t="shared" si="32"/>
        <v>156390.56999999998</v>
      </c>
      <c r="H19" s="434" t="s">
        <v>52</v>
      </c>
      <c r="I19" s="430">
        <v>16</v>
      </c>
      <c r="J19" s="18">
        <v>2000</v>
      </c>
      <c r="K19" s="9">
        <f t="shared" si="33"/>
        <v>125</v>
      </c>
      <c r="L19" s="430">
        <v>16</v>
      </c>
      <c r="M19" s="10">
        <f t="shared" si="34"/>
        <v>1868.275862068966</v>
      </c>
      <c r="N19" s="9">
        <f t="shared" si="22"/>
        <v>116.76724137931038</v>
      </c>
      <c r="O19" s="11">
        <f t="shared" si="35"/>
        <v>0</v>
      </c>
      <c r="P19" s="12">
        <f t="shared" si="36"/>
        <v>-8.2327586206896228</v>
      </c>
      <c r="Q19" s="424">
        <f t="shared" si="29"/>
        <v>0.93413793103448306</v>
      </c>
      <c r="R19" s="533"/>
      <c r="S19" s="24">
        <v>0.24374999999999999</v>
      </c>
      <c r="T19" s="24">
        <v>0.30416666666666664</v>
      </c>
      <c r="U19" s="422">
        <f>IF(S19=TIME(17,0,0),"",(S19-T18)*24*60)</f>
        <v>4.9999999999999822</v>
      </c>
      <c r="V19" s="431">
        <f t="shared" ref="V19:V23" si="37">(T19-S19)*24*60</f>
        <v>86.999999999999972</v>
      </c>
      <c r="W19" s="14"/>
      <c r="X19" s="422"/>
      <c r="Y19" s="528"/>
      <c r="Z19" s="528"/>
      <c r="AA19" s="11">
        <f t="shared" si="2"/>
        <v>-131.72413793103397</v>
      </c>
      <c r="AB19" s="424">
        <f t="shared" si="19"/>
        <v>0.93413793103448306</v>
      </c>
      <c r="AC19" s="533"/>
    </row>
    <row r="20" spans="1:29" ht="15.75" customHeight="1">
      <c r="A20" s="555" t="s">
        <v>375</v>
      </c>
      <c r="B20" s="26" t="s">
        <v>13</v>
      </c>
      <c r="C20" s="552" t="s">
        <v>14</v>
      </c>
      <c r="D20" s="552"/>
      <c r="E20" s="26">
        <v>53.68</v>
      </c>
      <c r="F20" s="432">
        <v>1812</v>
      </c>
      <c r="G20" s="422">
        <f t="shared" si="32"/>
        <v>97268.160000000003</v>
      </c>
      <c r="H20" s="434" t="s">
        <v>52</v>
      </c>
      <c r="I20" s="430">
        <v>17</v>
      </c>
      <c r="J20" s="18">
        <v>2000</v>
      </c>
      <c r="K20" s="9">
        <f t="shared" si="33"/>
        <v>117.64705882352941</v>
      </c>
      <c r="L20" s="430">
        <v>17</v>
      </c>
      <c r="M20" s="10">
        <f t="shared" si="34"/>
        <v>1874.4827586206884</v>
      </c>
      <c r="N20" s="9">
        <f t="shared" si="22"/>
        <v>110.2636916835699</v>
      </c>
      <c r="O20" s="11">
        <f t="shared" si="35"/>
        <v>0</v>
      </c>
      <c r="P20" s="12">
        <f t="shared" si="36"/>
        <v>-7.3833671399595033</v>
      </c>
      <c r="Q20" s="424">
        <f t="shared" si="29"/>
        <v>0.93724137931034424</v>
      </c>
      <c r="R20" s="533"/>
      <c r="S20" s="24">
        <v>0.30972222222222218</v>
      </c>
      <c r="T20" s="24">
        <v>0.35</v>
      </c>
      <c r="U20" s="422">
        <f t="shared" ref="U20:U23" si="38">IF(S20=TIME(17,0,0),"",(S20-T19)*24*60)</f>
        <v>7.9999999999999716</v>
      </c>
      <c r="V20" s="431">
        <f t="shared" si="37"/>
        <v>58.000000000000036</v>
      </c>
      <c r="W20" s="14"/>
      <c r="X20" s="422"/>
      <c r="Y20" s="528"/>
      <c r="Z20" s="528"/>
      <c r="AA20" s="11">
        <f t="shared" si="2"/>
        <v>-125.5172413793116</v>
      </c>
      <c r="AB20" s="424">
        <f t="shared" si="19"/>
        <v>0.93724137931034424</v>
      </c>
      <c r="AC20" s="533"/>
    </row>
    <row r="21" spans="1:29" ht="15.75" customHeight="1">
      <c r="A21" s="555" t="s">
        <v>375</v>
      </c>
      <c r="B21" s="26" t="s">
        <v>13</v>
      </c>
      <c r="C21" s="552" t="s">
        <v>81</v>
      </c>
      <c r="D21" s="552"/>
      <c r="E21" s="26">
        <v>58.17</v>
      </c>
      <c r="F21" s="432">
        <v>1756</v>
      </c>
      <c r="G21" s="422">
        <f t="shared" si="32"/>
        <v>102146.52</v>
      </c>
      <c r="H21" s="434" t="s">
        <v>52</v>
      </c>
      <c r="I21" s="430">
        <v>18</v>
      </c>
      <c r="J21" s="18">
        <v>2000</v>
      </c>
      <c r="K21" s="9">
        <f t="shared" si="33"/>
        <v>111.11111111111111</v>
      </c>
      <c r="L21" s="430">
        <v>18</v>
      </c>
      <c r="M21" s="10">
        <f t="shared" si="34"/>
        <v>1881.4285714285729</v>
      </c>
      <c r="N21" s="9">
        <f t="shared" si="22"/>
        <v>104.5238095238096</v>
      </c>
      <c r="O21" s="11">
        <f t="shared" si="35"/>
        <v>0</v>
      </c>
      <c r="P21" s="12">
        <f t="shared" si="36"/>
        <v>-6.5873015873015106</v>
      </c>
      <c r="Q21" s="424">
        <f t="shared" si="29"/>
        <v>0.94071428571428639</v>
      </c>
      <c r="R21" s="533"/>
      <c r="S21" s="24">
        <v>0.35416666666666663</v>
      </c>
      <c r="T21" s="24">
        <v>0.39305555555555549</v>
      </c>
      <c r="U21" s="422">
        <f t="shared" si="38"/>
        <v>5.9999999999999787</v>
      </c>
      <c r="V21" s="431">
        <f t="shared" si="37"/>
        <v>55.999999999999957</v>
      </c>
      <c r="W21" s="14"/>
      <c r="X21" s="422"/>
      <c r="Y21" s="528"/>
      <c r="Z21" s="528"/>
      <c r="AA21" s="11">
        <f t="shared" si="2"/>
        <v>-118.57142857142708</v>
      </c>
      <c r="AB21" s="424">
        <f t="shared" si="19"/>
        <v>0.9407142857142865</v>
      </c>
      <c r="AC21" s="533"/>
    </row>
    <row r="22" spans="1:29" ht="15.75" customHeight="1">
      <c r="A22" s="555" t="s">
        <v>375</v>
      </c>
      <c r="B22" s="26" t="s">
        <v>13</v>
      </c>
      <c r="C22" s="552" t="s">
        <v>85</v>
      </c>
      <c r="D22" s="552"/>
      <c r="E22" s="26">
        <v>54.09</v>
      </c>
      <c r="F22" s="432">
        <v>3352</v>
      </c>
      <c r="G22" s="422">
        <f t="shared" si="32"/>
        <v>181309.68000000002</v>
      </c>
      <c r="H22" s="434" t="s">
        <v>52</v>
      </c>
      <c r="I22" s="430">
        <v>20</v>
      </c>
      <c r="J22" s="18">
        <v>2000</v>
      </c>
      <c r="K22" s="9">
        <f t="shared" si="33"/>
        <v>100</v>
      </c>
      <c r="L22" s="430">
        <v>20</v>
      </c>
      <c r="M22" s="10">
        <f t="shared" si="34"/>
        <v>1879.6261682243</v>
      </c>
      <c r="N22" s="9">
        <f t="shared" si="22"/>
        <v>93.981308411214997</v>
      </c>
      <c r="O22" s="11">
        <f t="shared" si="35"/>
        <v>0</v>
      </c>
      <c r="P22" s="12">
        <f t="shared" si="36"/>
        <v>-6.0186915887850034</v>
      </c>
      <c r="Q22" s="424">
        <f t="shared" si="29"/>
        <v>0.93981308411214992</v>
      </c>
      <c r="R22" s="533"/>
      <c r="S22" s="24">
        <v>0.70833333333333337</v>
      </c>
      <c r="T22" s="24">
        <v>0.78263888888888888</v>
      </c>
      <c r="U22" s="422" t="str">
        <f t="shared" si="38"/>
        <v/>
      </c>
      <c r="V22" s="431">
        <f t="shared" si="37"/>
        <v>106.99999999999994</v>
      </c>
      <c r="W22" s="14"/>
      <c r="X22" s="422"/>
      <c r="Y22" s="528"/>
      <c r="Z22" s="528"/>
      <c r="AA22" s="11">
        <f t="shared" si="2"/>
        <v>-120.37383177569995</v>
      </c>
      <c r="AB22" s="424">
        <f t="shared" si="19"/>
        <v>0.93981308411215003</v>
      </c>
      <c r="AC22" s="533"/>
    </row>
    <row r="23" spans="1:29" ht="15.75" customHeight="1">
      <c r="A23" s="555" t="s">
        <v>1698</v>
      </c>
      <c r="B23" s="26" t="s">
        <v>13</v>
      </c>
      <c r="C23" s="552" t="s">
        <v>56</v>
      </c>
      <c r="D23" s="552"/>
      <c r="E23" s="26">
        <v>53.27</v>
      </c>
      <c r="F23" s="432">
        <v>496</v>
      </c>
      <c r="G23" s="422">
        <f t="shared" si="32"/>
        <v>26421.920000000002</v>
      </c>
      <c r="H23" s="434" t="s">
        <v>52</v>
      </c>
      <c r="I23" s="430">
        <v>15</v>
      </c>
      <c r="J23" s="18">
        <v>2000</v>
      </c>
      <c r="K23" s="9">
        <f t="shared" si="33"/>
        <v>133.33333333333334</v>
      </c>
      <c r="L23" s="430">
        <v>15</v>
      </c>
      <c r="M23" s="10">
        <f t="shared" si="34"/>
        <v>1984.000000000007</v>
      </c>
      <c r="N23" s="9">
        <f t="shared" si="22"/>
        <v>132.26666666666713</v>
      </c>
      <c r="O23" s="11">
        <f t="shared" si="35"/>
        <v>0</v>
      </c>
      <c r="P23" s="12">
        <f t="shared" si="36"/>
        <v>-1.0666666666662081</v>
      </c>
      <c r="Q23" s="424">
        <f t="shared" si="29"/>
        <v>0.99200000000000343</v>
      </c>
      <c r="R23" s="533"/>
      <c r="S23" s="24">
        <v>0.78749999999999998</v>
      </c>
      <c r="T23" s="24">
        <v>0.79791666666666661</v>
      </c>
      <c r="U23" s="422">
        <f t="shared" si="38"/>
        <v>6.9999999999999751</v>
      </c>
      <c r="V23" s="431">
        <f t="shared" si="37"/>
        <v>14.999999999999947</v>
      </c>
      <c r="W23" s="14"/>
      <c r="X23" s="15"/>
      <c r="Y23" s="528"/>
      <c r="Z23" s="528"/>
      <c r="AA23" s="11">
        <f t="shared" si="2"/>
        <v>-15.999999999992951</v>
      </c>
      <c r="AB23" s="424">
        <f t="shared" si="19"/>
        <v>0.99200000000000355</v>
      </c>
      <c r="AC23" s="533"/>
    </row>
    <row r="24" spans="1:29" ht="15.75" customHeight="1">
      <c r="A24" s="555" t="s">
        <v>1698</v>
      </c>
      <c r="B24" s="26" t="s">
        <v>1697</v>
      </c>
      <c r="C24" s="530"/>
      <c r="D24" s="530"/>
      <c r="E24" s="423"/>
      <c r="F24" s="432"/>
      <c r="G24" s="422"/>
      <c r="H24" s="432"/>
      <c r="I24" s="17">
        <v>17.166666666666668</v>
      </c>
      <c r="J24" s="18">
        <v>2000</v>
      </c>
      <c r="K24" s="9">
        <f t="shared" si="33"/>
        <v>116.50485436893203</v>
      </c>
      <c r="L24" s="17">
        <v>17.166666666666668</v>
      </c>
      <c r="M24" s="10">
        <f>AVERAGE(M18:M23)</f>
        <v>1894.7804875933209</v>
      </c>
      <c r="N24" s="9">
        <f>M24/L24</f>
        <v>110.37556238407694</v>
      </c>
      <c r="O24" s="11">
        <f>L24-I24</f>
        <v>0</v>
      </c>
      <c r="P24" s="12">
        <f>N24-K24</f>
        <v>-6.1292919848550866</v>
      </c>
      <c r="Q24" s="424">
        <f>N24/K24</f>
        <v>0.94739024379666048</v>
      </c>
      <c r="R24" s="533"/>
      <c r="S24" s="24"/>
      <c r="T24" s="24"/>
      <c r="U24" s="9"/>
      <c r="V24" s="431"/>
      <c r="W24" s="9"/>
      <c r="X24" s="9"/>
      <c r="Y24" s="528"/>
      <c r="Z24" s="528"/>
      <c r="AA24" s="11">
        <f t="shared" si="2"/>
        <v>-105.21951240667909</v>
      </c>
      <c r="AB24" s="424">
        <f t="shared" si="19"/>
        <v>0.94739024379666048</v>
      </c>
      <c r="AC24" s="533"/>
    </row>
    <row r="25" spans="1:29" ht="15.75" customHeight="1">
      <c r="A25" s="553" t="s">
        <v>377</v>
      </c>
      <c r="B25" s="26" t="s">
        <v>24</v>
      </c>
      <c r="C25" s="552" t="s">
        <v>26</v>
      </c>
      <c r="D25" s="552"/>
      <c r="E25" s="26">
        <v>26.2</v>
      </c>
      <c r="F25" s="432">
        <v>3944</v>
      </c>
      <c r="G25" s="422">
        <f t="shared" ref="G25:G31" si="39">E25*F25</f>
        <v>103332.8</v>
      </c>
      <c r="H25" s="434" t="s">
        <v>52</v>
      </c>
      <c r="I25" s="430">
        <v>20</v>
      </c>
      <c r="J25" s="18">
        <v>2400</v>
      </c>
      <c r="K25" s="9">
        <f>J25/I25</f>
        <v>120</v>
      </c>
      <c r="L25" s="430">
        <v>20</v>
      </c>
      <c r="M25" s="10">
        <f t="shared" ref="M25:M31" si="40">F25/V25*60</f>
        <v>2253.7142857142849</v>
      </c>
      <c r="N25" s="9">
        <f t="shared" ref="N25:N31" si="41">M25/L25</f>
        <v>112.68571428571424</v>
      </c>
      <c r="O25" s="11">
        <f t="shared" ref="O25:O31" si="42">L25-I25</f>
        <v>0</v>
      </c>
      <c r="P25" s="12">
        <f t="shared" ref="P25:P31" si="43">N25-K25</f>
        <v>-7.3142857142857594</v>
      </c>
      <c r="Q25" s="424">
        <f t="shared" ref="Q25:Q31" si="44">N25/K25</f>
        <v>0.93904761904761869</v>
      </c>
      <c r="R25" s="533">
        <f>Q32</f>
        <v>0.9396435015117246</v>
      </c>
      <c r="S25" s="24">
        <v>0.125</v>
      </c>
      <c r="T25" s="24">
        <v>0.19791666666666669</v>
      </c>
      <c r="U25" s="422"/>
      <c r="V25" s="431">
        <f t="shared" ref="V25:V31" si="45">(T25-S25)*24*60</f>
        <v>105.00000000000003</v>
      </c>
      <c r="W25" s="14">
        <f>T25</f>
        <v>0.19791666666666669</v>
      </c>
      <c r="X25" s="14">
        <f>S26</f>
        <v>0.21805555555555559</v>
      </c>
      <c r="Y25" s="528"/>
      <c r="Z25" s="528"/>
      <c r="AA25" s="11">
        <f t="shared" si="2"/>
        <v>-146.28571428571513</v>
      </c>
      <c r="AB25" s="424">
        <f>M25/J25</f>
        <v>0.93904761904761869</v>
      </c>
      <c r="AC25" s="533">
        <f>AB32</f>
        <v>0.9396435015117246</v>
      </c>
    </row>
    <row r="26" spans="1:29" ht="15.75" customHeight="1">
      <c r="A26" s="553" t="s">
        <v>377</v>
      </c>
      <c r="B26" s="26" t="s">
        <v>24</v>
      </c>
      <c r="C26" s="552" t="s">
        <v>79</v>
      </c>
      <c r="D26" s="552"/>
      <c r="E26" s="26">
        <v>31.29</v>
      </c>
      <c r="F26" s="432">
        <v>9243</v>
      </c>
      <c r="G26" s="422">
        <f t="shared" si="39"/>
        <v>289213.46999999997</v>
      </c>
      <c r="H26" s="434" t="s">
        <v>52</v>
      </c>
      <c r="I26" s="430">
        <v>16</v>
      </c>
      <c r="J26" s="18">
        <v>2400</v>
      </c>
      <c r="K26" s="9">
        <f t="shared" ref="K26:K32" si="46">J26/I26</f>
        <v>150</v>
      </c>
      <c r="L26" s="430">
        <v>16</v>
      </c>
      <c r="M26" s="10">
        <f t="shared" si="40"/>
        <v>2236.2096774193546</v>
      </c>
      <c r="N26" s="9">
        <f t="shared" si="41"/>
        <v>139.76310483870967</v>
      </c>
      <c r="O26" s="11">
        <f t="shared" si="42"/>
        <v>0</v>
      </c>
      <c r="P26" s="12">
        <f t="shared" si="43"/>
        <v>-10.236895161290334</v>
      </c>
      <c r="Q26" s="424">
        <f t="shared" si="44"/>
        <v>0.93175403225806441</v>
      </c>
      <c r="R26" s="533"/>
      <c r="S26" s="24">
        <v>0.21805555555555559</v>
      </c>
      <c r="T26" s="24">
        <v>0.39027777777777783</v>
      </c>
      <c r="U26" s="422">
        <f>(S26-T25)*24*60</f>
        <v>29.000000000000018</v>
      </c>
      <c r="V26" s="431">
        <f t="shared" si="45"/>
        <v>248.00000000000003</v>
      </c>
      <c r="W26" s="14"/>
      <c r="X26" s="14"/>
      <c r="Y26" s="528"/>
      <c r="Z26" s="528"/>
      <c r="AA26" s="11">
        <f t="shared" si="2"/>
        <v>-163.79032258064535</v>
      </c>
      <c r="AB26" s="424">
        <f t="shared" ref="AB26:AB31" si="47">M26/J26</f>
        <v>0.93175403225806441</v>
      </c>
      <c r="AC26" s="533"/>
    </row>
    <row r="27" spans="1:29" ht="15.75" customHeight="1">
      <c r="A27" s="553" t="s">
        <v>1699</v>
      </c>
      <c r="B27" s="26" t="s">
        <v>24</v>
      </c>
      <c r="C27" s="552" t="s">
        <v>68</v>
      </c>
      <c r="D27" s="552"/>
      <c r="E27" s="26">
        <v>24.25</v>
      </c>
      <c r="F27" s="432">
        <v>1800</v>
      </c>
      <c r="G27" s="422">
        <f t="shared" si="39"/>
        <v>43650</v>
      </c>
      <c r="H27" s="434">
        <v>2</v>
      </c>
      <c r="I27" s="430">
        <v>18</v>
      </c>
      <c r="J27" s="18">
        <v>2400</v>
      </c>
      <c r="K27" s="9">
        <f t="shared" si="46"/>
        <v>133.33333333333334</v>
      </c>
      <c r="L27" s="430">
        <v>18</v>
      </c>
      <c r="M27" s="10">
        <f t="shared" si="40"/>
        <v>2250.0000000000009</v>
      </c>
      <c r="N27" s="9">
        <f t="shared" si="41"/>
        <v>125.00000000000006</v>
      </c>
      <c r="O27" s="11">
        <f t="shared" si="42"/>
        <v>0</v>
      </c>
      <c r="P27" s="12">
        <f t="shared" si="43"/>
        <v>-8.333333333333286</v>
      </c>
      <c r="Q27" s="424">
        <f t="shared" si="44"/>
        <v>0.93750000000000033</v>
      </c>
      <c r="R27" s="533"/>
      <c r="S27" s="24">
        <v>0.39513888888888893</v>
      </c>
      <c r="T27" s="24">
        <v>0.42847222222222225</v>
      </c>
      <c r="U27" s="422">
        <f t="shared" ref="U27:U31" si="48">(S27-T26)*24*60</f>
        <v>6.9999999999999751</v>
      </c>
      <c r="V27" s="431">
        <f t="shared" si="45"/>
        <v>47.999999999999986</v>
      </c>
      <c r="W27" s="14"/>
      <c r="X27" s="14"/>
      <c r="Y27" s="528"/>
      <c r="Z27" s="528"/>
      <c r="AA27" s="11">
        <f t="shared" si="2"/>
        <v>-149.99999999999909</v>
      </c>
      <c r="AB27" s="424">
        <f t="shared" si="47"/>
        <v>0.93750000000000033</v>
      </c>
      <c r="AC27" s="533"/>
    </row>
    <row r="28" spans="1:29" ht="15.75" customHeight="1">
      <c r="A28" s="553" t="s">
        <v>377</v>
      </c>
      <c r="B28" s="26" t="s">
        <v>24</v>
      </c>
      <c r="C28" s="552" t="s">
        <v>328</v>
      </c>
      <c r="D28" s="552"/>
      <c r="E28" s="26">
        <v>25.98</v>
      </c>
      <c r="F28" s="432">
        <v>2800</v>
      </c>
      <c r="G28" s="422">
        <f t="shared" si="39"/>
        <v>72744</v>
      </c>
      <c r="H28" s="434">
        <v>2</v>
      </c>
      <c r="I28" s="430">
        <v>17</v>
      </c>
      <c r="J28" s="18">
        <v>2400</v>
      </c>
      <c r="K28" s="9">
        <f t="shared" si="46"/>
        <v>141.1764705882353</v>
      </c>
      <c r="L28" s="430">
        <v>17</v>
      </c>
      <c r="M28" s="10">
        <f t="shared" si="40"/>
        <v>2240.0000000000009</v>
      </c>
      <c r="N28" s="9">
        <f t="shared" si="41"/>
        <v>131.76470588235298</v>
      </c>
      <c r="O28" s="11">
        <f t="shared" si="42"/>
        <v>0</v>
      </c>
      <c r="P28" s="12">
        <f t="shared" si="43"/>
        <v>-9.4117647058823195</v>
      </c>
      <c r="Q28" s="424">
        <f t="shared" si="44"/>
        <v>0.93333333333333357</v>
      </c>
      <c r="R28" s="533"/>
      <c r="S28" s="24">
        <v>0.43333333333333335</v>
      </c>
      <c r="T28" s="24">
        <v>0.48541666666666666</v>
      </c>
      <c r="U28" s="422">
        <f t="shared" si="48"/>
        <v>6.9999999999999751</v>
      </c>
      <c r="V28" s="431">
        <f t="shared" si="45"/>
        <v>74.999999999999972</v>
      </c>
      <c r="W28" s="14"/>
      <c r="X28" s="14"/>
      <c r="Y28" s="528"/>
      <c r="Z28" s="528"/>
      <c r="AA28" s="11">
        <f t="shared" si="2"/>
        <v>-159.99999999999909</v>
      </c>
      <c r="AB28" s="424">
        <f t="shared" si="47"/>
        <v>0.93333333333333368</v>
      </c>
      <c r="AC28" s="533"/>
    </row>
    <row r="29" spans="1:29" ht="15.75" customHeight="1">
      <c r="A29" s="553" t="s">
        <v>1699</v>
      </c>
      <c r="B29" s="26" t="s">
        <v>24</v>
      </c>
      <c r="C29" s="552" t="s">
        <v>62</v>
      </c>
      <c r="D29" s="552"/>
      <c r="E29" s="26">
        <v>22.35</v>
      </c>
      <c r="F29" s="432">
        <v>1666</v>
      </c>
      <c r="G29" s="422">
        <f t="shared" si="39"/>
        <v>37235.100000000006</v>
      </c>
      <c r="H29" s="434" t="s">
        <v>52</v>
      </c>
      <c r="I29" s="430">
        <v>16</v>
      </c>
      <c r="J29" s="18">
        <v>2400</v>
      </c>
      <c r="K29" s="9">
        <f t="shared" si="46"/>
        <v>150</v>
      </c>
      <c r="L29" s="430">
        <v>16</v>
      </c>
      <c r="M29" s="10">
        <f t="shared" si="40"/>
        <v>2271.8181818181856</v>
      </c>
      <c r="N29" s="9">
        <f t="shared" si="41"/>
        <v>141.9886363636366</v>
      </c>
      <c r="O29" s="11">
        <f t="shared" si="42"/>
        <v>0</v>
      </c>
      <c r="P29" s="12">
        <f t="shared" si="43"/>
        <v>-8.0113636363633987</v>
      </c>
      <c r="Q29" s="424">
        <f t="shared" si="44"/>
        <v>0.9465909090909107</v>
      </c>
      <c r="R29" s="533"/>
      <c r="S29" s="24">
        <v>0.48958333333333331</v>
      </c>
      <c r="T29" s="24">
        <v>0.52013888888888882</v>
      </c>
      <c r="U29" s="422">
        <f t="shared" si="48"/>
        <v>5.9999999999999787</v>
      </c>
      <c r="V29" s="431">
        <f t="shared" si="45"/>
        <v>43.999999999999922</v>
      </c>
      <c r="W29" s="14">
        <f>T29</f>
        <v>0.52013888888888882</v>
      </c>
      <c r="X29" s="14">
        <f>S30</f>
        <v>0.56180555555555545</v>
      </c>
      <c r="Y29" s="528"/>
      <c r="Z29" s="528"/>
      <c r="AA29" s="11">
        <f t="shared" si="2"/>
        <v>-128.18181818181438</v>
      </c>
      <c r="AB29" s="424">
        <f t="shared" si="47"/>
        <v>0.9465909090909107</v>
      </c>
      <c r="AC29" s="533"/>
    </row>
    <row r="30" spans="1:29" ht="15.75" customHeight="1">
      <c r="A30" s="553" t="s">
        <v>1699</v>
      </c>
      <c r="B30" s="26" t="s">
        <v>24</v>
      </c>
      <c r="C30" s="552" t="s">
        <v>68</v>
      </c>
      <c r="D30" s="552"/>
      <c r="E30" s="26">
        <v>24.25</v>
      </c>
      <c r="F30" s="432">
        <v>2553</v>
      </c>
      <c r="G30" s="422">
        <f t="shared" si="39"/>
        <v>61910.25</v>
      </c>
      <c r="H30" s="434" t="s">
        <v>52</v>
      </c>
      <c r="I30" s="430">
        <v>18</v>
      </c>
      <c r="J30" s="18">
        <v>2400</v>
      </c>
      <c r="K30" s="9">
        <f t="shared" si="46"/>
        <v>133.33333333333334</v>
      </c>
      <c r="L30" s="430">
        <v>18</v>
      </c>
      <c r="M30" s="10">
        <f t="shared" si="40"/>
        <v>2252.6470588235265</v>
      </c>
      <c r="N30" s="9">
        <f t="shared" si="41"/>
        <v>125.14705882352925</v>
      </c>
      <c r="O30" s="11">
        <f t="shared" si="42"/>
        <v>0</v>
      </c>
      <c r="P30" s="12">
        <f t="shared" si="43"/>
        <v>-8.1862745098040932</v>
      </c>
      <c r="Q30" s="424">
        <f t="shared" si="44"/>
        <v>0.93860294117646925</v>
      </c>
      <c r="R30" s="533"/>
      <c r="S30" s="24">
        <v>0.56180555555555545</v>
      </c>
      <c r="T30" s="24">
        <v>0.60902777777777772</v>
      </c>
      <c r="U30" s="422">
        <f t="shared" si="48"/>
        <v>59.999999999999943</v>
      </c>
      <c r="V30" s="431">
        <f t="shared" si="45"/>
        <v>68.000000000000085</v>
      </c>
      <c r="W30" s="14"/>
      <c r="X30" s="14"/>
      <c r="Y30" s="528"/>
      <c r="Z30" s="528"/>
      <c r="AA30" s="11">
        <f t="shared" si="2"/>
        <v>-147.35294117647345</v>
      </c>
      <c r="AB30" s="424">
        <f t="shared" si="47"/>
        <v>0.93860294117646936</v>
      </c>
      <c r="AC30" s="533"/>
    </row>
    <row r="31" spans="1:29" ht="15.75" customHeight="1">
      <c r="A31" s="553" t="s">
        <v>1699</v>
      </c>
      <c r="B31" s="26" t="s">
        <v>24</v>
      </c>
      <c r="C31" s="552" t="s">
        <v>328</v>
      </c>
      <c r="D31" s="552"/>
      <c r="E31" s="26">
        <v>25.98</v>
      </c>
      <c r="F31" s="432">
        <v>1407</v>
      </c>
      <c r="G31" s="422">
        <f t="shared" si="39"/>
        <v>36553.86</v>
      </c>
      <c r="H31" s="434" t="s">
        <v>52</v>
      </c>
      <c r="I31" s="430">
        <v>17</v>
      </c>
      <c r="J31" s="18">
        <v>2400</v>
      </c>
      <c r="K31" s="9">
        <f t="shared" si="46"/>
        <v>141.1764705882353</v>
      </c>
      <c r="L31" s="430">
        <v>17</v>
      </c>
      <c r="M31" s="10">
        <f t="shared" si="40"/>
        <v>2281.6216216216199</v>
      </c>
      <c r="N31" s="9">
        <f t="shared" si="41"/>
        <v>134.21303656597763</v>
      </c>
      <c r="O31" s="11">
        <f t="shared" si="42"/>
        <v>0</v>
      </c>
      <c r="P31" s="12">
        <f t="shared" si="43"/>
        <v>-6.9634340222576725</v>
      </c>
      <c r="Q31" s="424">
        <f t="shared" si="44"/>
        <v>0.95067567567567479</v>
      </c>
      <c r="R31" s="533"/>
      <c r="S31" s="24">
        <v>0.61249999999999993</v>
      </c>
      <c r="T31" s="24">
        <v>0.6381944444444444</v>
      </c>
      <c r="U31" s="422">
        <f t="shared" si="48"/>
        <v>4.9999999999999822</v>
      </c>
      <c r="V31" s="431">
        <f t="shared" si="45"/>
        <v>37.000000000000028</v>
      </c>
      <c r="W31" s="14"/>
      <c r="X31" s="14"/>
      <c r="Y31" s="528"/>
      <c r="Z31" s="528"/>
      <c r="AA31" s="11">
        <f t="shared" si="2"/>
        <v>-118.37837837838015</v>
      </c>
      <c r="AB31" s="424">
        <f t="shared" si="47"/>
        <v>0.9506756756756749</v>
      </c>
      <c r="AC31" s="533"/>
    </row>
    <row r="32" spans="1:29" ht="15.75" customHeight="1">
      <c r="A32" s="553" t="s">
        <v>377</v>
      </c>
      <c r="B32" s="26" t="s">
        <v>82</v>
      </c>
      <c r="C32" s="530"/>
      <c r="D32" s="530"/>
      <c r="E32" s="423"/>
      <c r="F32" s="432"/>
      <c r="G32" s="422"/>
      <c r="H32" s="432"/>
      <c r="I32" s="17">
        <v>17.428571428571427</v>
      </c>
      <c r="J32" s="18">
        <v>2400</v>
      </c>
      <c r="K32" s="9">
        <f t="shared" si="46"/>
        <v>137.70491803278691</v>
      </c>
      <c r="L32" s="17">
        <v>17.428571428571427</v>
      </c>
      <c r="M32" s="10">
        <f>AVERAGE(M25:M31)</f>
        <v>2255.1444036281391</v>
      </c>
      <c r="N32" s="9">
        <f>M32/L32</f>
        <v>129.39353135571292</v>
      </c>
      <c r="O32" s="11">
        <f>L32-I32</f>
        <v>0</v>
      </c>
      <c r="P32" s="12">
        <f>N32-K32</f>
        <v>-8.3113866770739833</v>
      </c>
      <c r="Q32" s="424">
        <f>N32/K32</f>
        <v>0.9396435015117246</v>
      </c>
      <c r="R32" s="533"/>
      <c r="S32" s="24"/>
      <c r="T32" s="24"/>
      <c r="U32" s="422"/>
      <c r="V32" s="431"/>
      <c r="W32" s="422"/>
      <c r="X32" s="422"/>
      <c r="Y32" s="528"/>
      <c r="Z32" s="528"/>
      <c r="AA32" s="11">
        <f t="shared" si="2"/>
        <v>-144.85559637186088</v>
      </c>
      <c r="AB32" s="424">
        <f>M32/J32</f>
        <v>0.9396435015117246</v>
      </c>
      <c r="AC32" s="533"/>
    </row>
    <row r="33" spans="1:29" ht="15.75" customHeight="1">
      <c r="A33" s="550" t="s">
        <v>379</v>
      </c>
      <c r="B33" s="26" t="s">
        <v>24</v>
      </c>
      <c r="C33" s="529" t="s">
        <v>28</v>
      </c>
      <c r="D33" s="529"/>
      <c r="E33" s="26">
        <v>26.2</v>
      </c>
      <c r="F33" s="432">
        <v>6590</v>
      </c>
      <c r="G33" s="422">
        <f t="shared" ref="G33:G41" si="49">E33*F33</f>
        <v>172658</v>
      </c>
      <c r="H33" s="434" t="s">
        <v>52</v>
      </c>
      <c r="I33" s="430">
        <v>18</v>
      </c>
      <c r="J33" s="18">
        <v>2400</v>
      </c>
      <c r="K33" s="9">
        <f>J33/I33</f>
        <v>133.33333333333334</v>
      </c>
      <c r="L33" s="430">
        <v>18</v>
      </c>
      <c r="M33" s="10">
        <f>F33/V33*60</f>
        <v>2246.590909090909</v>
      </c>
      <c r="N33" s="9">
        <f>M33/L33</f>
        <v>124.81060606060606</v>
      </c>
      <c r="O33" s="11">
        <f t="shared" ref="O33:O41" si="50">L33-I33</f>
        <v>0</v>
      </c>
      <c r="P33" s="12">
        <f t="shared" ref="P33:P50" si="51">N33-K33</f>
        <v>-8.5227272727272805</v>
      </c>
      <c r="Q33" s="424">
        <f t="shared" ref="Q33:Q46" si="52">N33/K33</f>
        <v>0.93607954545454541</v>
      </c>
      <c r="R33" s="533">
        <f>Q42</f>
        <v>0.93882307721122138</v>
      </c>
      <c r="S33" s="24">
        <v>0.125</v>
      </c>
      <c r="T33" s="24">
        <v>0.24722222222222223</v>
      </c>
      <c r="U33" s="422"/>
      <c r="V33" s="431">
        <f t="shared" ref="V33:V41" si="53">(T33-S33)*24*60</f>
        <v>176</v>
      </c>
      <c r="W33" s="15">
        <f>T33</f>
        <v>0.24722222222222223</v>
      </c>
      <c r="X33" s="15">
        <f>S34</f>
        <v>0.26805555555555555</v>
      </c>
      <c r="Y33" s="528"/>
      <c r="Z33" s="528"/>
      <c r="AA33" s="11">
        <f t="shared" si="2"/>
        <v>-153.40909090909099</v>
      </c>
      <c r="AB33" s="424">
        <f>M33/J33</f>
        <v>0.93607954545454541</v>
      </c>
      <c r="AC33" s="533">
        <f>AB42</f>
        <v>0.93882307721122138</v>
      </c>
    </row>
    <row r="34" spans="1:29" ht="15.75" customHeight="1">
      <c r="A34" s="550" t="s">
        <v>379</v>
      </c>
      <c r="B34" s="26" t="s">
        <v>24</v>
      </c>
      <c r="C34" s="529" t="s">
        <v>30</v>
      </c>
      <c r="D34" s="529"/>
      <c r="E34" s="26">
        <v>24.45</v>
      </c>
      <c r="F34" s="432">
        <v>2081</v>
      </c>
      <c r="G34" s="422">
        <f t="shared" si="49"/>
        <v>50880.45</v>
      </c>
      <c r="H34" s="434" t="s">
        <v>52</v>
      </c>
      <c r="I34" s="430">
        <v>20</v>
      </c>
      <c r="J34" s="18">
        <v>2400</v>
      </c>
      <c r="K34" s="9">
        <f t="shared" ref="K34:K49" si="54">J34/I34</f>
        <v>120</v>
      </c>
      <c r="L34" s="430">
        <v>20</v>
      </c>
      <c r="M34" s="10">
        <f t="shared" ref="M34:M41" si="55">F34/V34*60</f>
        <v>2270.1818181818194</v>
      </c>
      <c r="N34" s="9">
        <f t="shared" ref="N34:N41" si="56">M34/L34</f>
        <v>113.50909090909097</v>
      </c>
      <c r="O34" s="11">
        <f t="shared" si="50"/>
        <v>0</v>
      </c>
      <c r="P34" s="12">
        <f t="shared" si="51"/>
        <v>-6.4909090909090281</v>
      </c>
      <c r="Q34" s="424">
        <f t="shared" si="52"/>
        <v>0.94590909090909148</v>
      </c>
      <c r="R34" s="533"/>
      <c r="S34" s="24">
        <v>0.26805555555555555</v>
      </c>
      <c r="T34" s="24">
        <v>0.30624999999999997</v>
      </c>
      <c r="U34" s="422">
        <f>(S34-T33)*24*60</f>
        <v>29.999999999999972</v>
      </c>
      <c r="V34" s="431">
        <f t="shared" si="53"/>
        <v>54.999999999999964</v>
      </c>
      <c r="W34" s="422"/>
      <c r="X34" s="422"/>
      <c r="Y34" s="528"/>
      <c r="Z34" s="528"/>
      <c r="AA34" s="11">
        <f t="shared" si="2"/>
        <v>-129.81818181818062</v>
      </c>
      <c r="AB34" s="424">
        <f t="shared" ref="AB34:AB63" si="57">M34/J34</f>
        <v>0.94590909090909137</v>
      </c>
      <c r="AC34" s="533"/>
    </row>
    <row r="35" spans="1:29">
      <c r="A35" s="551" t="s">
        <v>379</v>
      </c>
      <c r="B35" s="26" t="s">
        <v>24</v>
      </c>
      <c r="C35" s="529" t="s">
        <v>29</v>
      </c>
      <c r="D35" s="529"/>
      <c r="E35" s="26">
        <v>26.39</v>
      </c>
      <c r="F35" s="432">
        <v>2000</v>
      </c>
      <c r="G35" s="422">
        <f t="shared" si="49"/>
        <v>52780</v>
      </c>
      <c r="H35" s="434">
        <v>2</v>
      </c>
      <c r="I35" s="430">
        <v>19</v>
      </c>
      <c r="J35" s="18">
        <v>2400</v>
      </c>
      <c r="K35" s="9">
        <f t="shared" si="54"/>
        <v>126.31578947368421</v>
      </c>
      <c r="L35" s="430">
        <v>19</v>
      </c>
      <c r="M35" s="10">
        <f t="shared" si="55"/>
        <v>2264.1509433962278</v>
      </c>
      <c r="N35" s="9">
        <f t="shared" si="56"/>
        <v>119.16583912611725</v>
      </c>
      <c r="O35" s="11">
        <f t="shared" si="50"/>
        <v>0</v>
      </c>
      <c r="P35" s="12">
        <f t="shared" si="51"/>
        <v>-7.149950347566957</v>
      </c>
      <c r="Q35" s="424">
        <f t="shared" si="52"/>
        <v>0.94339622641509491</v>
      </c>
      <c r="R35" s="533"/>
      <c r="S35" s="24">
        <v>0.30972222222222218</v>
      </c>
      <c r="T35" s="24">
        <v>0.34652777777777771</v>
      </c>
      <c r="U35" s="422">
        <f t="shared" ref="U35:U41" si="58">(S35-T34)*24*60</f>
        <v>4.9999999999999822</v>
      </c>
      <c r="V35" s="431">
        <f t="shared" si="53"/>
        <v>52.999999999999972</v>
      </c>
      <c r="W35" s="422"/>
      <c r="X35" s="422"/>
      <c r="Y35" s="528"/>
      <c r="Z35" s="528"/>
      <c r="AA35" s="11">
        <f t="shared" si="2"/>
        <v>-135.84905660377217</v>
      </c>
      <c r="AB35" s="424">
        <f t="shared" si="57"/>
        <v>0.94339622641509491</v>
      </c>
      <c r="AC35" s="533"/>
    </row>
    <row r="36" spans="1:29">
      <c r="A36" s="551" t="s">
        <v>379</v>
      </c>
      <c r="B36" s="26" t="s">
        <v>24</v>
      </c>
      <c r="C36" s="529" t="s">
        <v>27</v>
      </c>
      <c r="D36" s="529"/>
      <c r="E36" s="26">
        <v>20.52</v>
      </c>
      <c r="F36" s="432">
        <v>3227</v>
      </c>
      <c r="G36" s="422">
        <f t="shared" si="49"/>
        <v>66218.039999999994</v>
      </c>
      <c r="H36" s="434" t="s">
        <v>52</v>
      </c>
      <c r="I36" s="430">
        <v>18</v>
      </c>
      <c r="J36" s="18">
        <v>2400</v>
      </c>
      <c r="K36" s="9">
        <f t="shared" si="54"/>
        <v>133.33333333333334</v>
      </c>
      <c r="L36" s="430">
        <v>18</v>
      </c>
      <c r="M36" s="10">
        <f t="shared" si="55"/>
        <v>2251.395348837209</v>
      </c>
      <c r="N36" s="9">
        <f t="shared" si="56"/>
        <v>125.07751937984494</v>
      </c>
      <c r="O36" s="11">
        <f t="shared" si="50"/>
        <v>0</v>
      </c>
      <c r="P36" s="12">
        <f t="shared" si="51"/>
        <v>-8.2558139534883992</v>
      </c>
      <c r="Q36" s="424">
        <f t="shared" si="52"/>
        <v>0.93808139534883705</v>
      </c>
      <c r="R36" s="533"/>
      <c r="S36" s="24">
        <v>0.34999999999999992</v>
      </c>
      <c r="T36" s="24">
        <v>0.40972222222222215</v>
      </c>
      <c r="U36" s="422">
        <f t="shared" si="58"/>
        <v>4.9999999999999822</v>
      </c>
      <c r="V36" s="431">
        <f t="shared" si="53"/>
        <v>86.000000000000014</v>
      </c>
      <c r="W36" s="14"/>
      <c r="X36" s="14"/>
      <c r="Y36" s="528"/>
      <c r="Z36" s="528"/>
      <c r="AA36" s="11">
        <f t="shared" si="2"/>
        <v>-148.60465116279101</v>
      </c>
      <c r="AB36" s="424">
        <f t="shared" si="57"/>
        <v>0.93808139534883705</v>
      </c>
      <c r="AC36" s="533"/>
    </row>
    <row r="37" spans="1:29">
      <c r="A37" s="551" t="s">
        <v>1700</v>
      </c>
      <c r="B37" s="26" t="s">
        <v>24</v>
      </c>
      <c r="C37" s="529" t="s">
        <v>50</v>
      </c>
      <c r="D37" s="529"/>
      <c r="E37" s="26">
        <v>26.2</v>
      </c>
      <c r="F37" s="432">
        <v>3200</v>
      </c>
      <c r="G37" s="422">
        <f t="shared" si="49"/>
        <v>83840</v>
      </c>
      <c r="H37" s="434">
        <v>2</v>
      </c>
      <c r="I37" s="430">
        <v>19</v>
      </c>
      <c r="J37" s="18">
        <v>2400</v>
      </c>
      <c r="K37" s="9">
        <f t="shared" si="54"/>
        <v>126.31578947368421</v>
      </c>
      <c r="L37" s="430">
        <v>19</v>
      </c>
      <c r="M37" s="10">
        <f t="shared" si="55"/>
        <v>2258.8235294117644</v>
      </c>
      <c r="N37" s="9">
        <f t="shared" si="56"/>
        <v>118.88544891640865</v>
      </c>
      <c r="O37" s="11">
        <f t="shared" si="50"/>
        <v>0</v>
      </c>
      <c r="P37" s="12">
        <f t="shared" si="51"/>
        <v>-7.4303405572755565</v>
      </c>
      <c r="Q37" s="424">
        <f t="shared" si="52"/>
        <v>0.94117647058823517</v>
      </c>
      <c r="R37" s="533"/>
      <c r="S37" s="24">
        <v>0.41527777777777769</v>
      </c>
      <c r="T37" s="24">
        <v>0.47430555555555548</v>
      </c>
      <c r="U37" s="422">
        <f t="shared" si="58"/>
        <v>7.9999999999999716</v>
      </c>
      <c r="V37" s="431">
        <f t="shared" si="53"/>
        <v>85.000000000000014</v>
      </c>
      <c r="W37" s="14"/>
      <c r="X37" s="14"/>
      <c r="Y37" s="528"/>
      <c r="Z37" s="528"/>
      <c r="AA37" s="11">
        <f t="shared" si="2"/>
        <v>-141.17647058823559</v>
      </c>
      <c r="AB37" s="424">
        <f t="shared" si="57"/>
        <v>0.94117647058823517</v>
      </c>
      <c r="AC37" s="533"/>
    </row>
    <row r="38" spans="1:29">
      <c r="A38" s="551" t="s">
        <v>1700</v>
      </c>
      <c r="B38" s="26" t="s">
        <v>24</v>
      </c>
      <c r="C38" s="529" t="s">
        <v>1079</v>
      </c>
      <c r="D38" s="529"/>
      <c r="E38" s="26">
        <v>25.98</v>
      </c>
      <c r="F38" s="432">
        <v>2200</v>
      </c>
      <c r="G38" s="422">
        <f t="shared" si="49"/>
        <v>57156</v>
      </c>
      <c r="H38" s="434">
        <v>2</v>
      </c>
      <c r="I38" s="430">
        <v>17</v>
      </c>
      <c r="J38" s="18">
        <v>2400</v>
      </c>
      <c r="K38" s="9">
        <f t="shared" si="54"/>
        <v>141.1764705882353</v>
      </c>
      <c r="L38" s="430">
        <v>17</v>
      </c>
      <c r="M38" s="10">
        <f t="shared" si="55"/>
        <v>2237.2881355932191</v>
      </c>
      <c r="N38" s="9">
        <f t="shared" si="56"/>
        <v>131.60518444665993</v>
      </c>
      <c r="O38" s="11">
        <f t="shared" si="50"/>
        <v>0</v>
      </c>
      <c r="P38" s="12">
        <f t="shared" si="51"/>
        <v>-9.5712861415753707</v>
      </c>
      <c r="Q38" s="424">
        <f t="shared" si="52"/>
        <v>0.93220338983050777</v>
      </c>
      <c r="R38" s="533"/>
      <c r="S38" s="24">
        <v>0.47777777777777769</v>
      </c>
      <c r="T38" s="24">
        <v>0.51874999999999993</v>
      </c>
      <c r="U38" s="422">
        <f t="shared" si="58"/>
        <v>4.9999999999999822</v>
      </c>
      <c r="V38" s="431">
        <f t="shared" si="53"/>
        <v>59.000000000000028</v>
      </c>
      <c r="W38" s="14">
        <f>T38</f>
        <v>0.51874999999999993</v>
      </c>
      <c r="X38" s="14">
        <f>S39</f>
        <v>0.55972222222222212</v>
      </c>
      <c r="Y38" s="528"/>
      <c r="Z38" s="528"/>
      <c r="AA38" s="11">
        <f t="shared" si="2"/>
        <v>-162.71186440678093</v>
      </c>
      <c r="AB38" s="424">
        <f t="shared" si="57"/>
        <v>0.93220338983050799</v>
      </c>
      <c r="AC38" s="533"/>
    </row>
    <row r="39" spans="1:29">
      <c r="A39" s="551" t="s">
        <v>379</v>
      </c>
      <c r="B39" s="26" t="s">
        <v>24</v>
      </c>
      <c r="C39" s="529" t="s">
        <v>29</v>
      </c>
      <c r="D39" s="529"/>
      <c r="E39" s="26">
        <v>26.39</v>
      </c>
      <c r="F39" s="432">
        <v>4340</v>
      </c>
      <c r="G39" s="422">
        <f t="shared" si="49"/>
        <v>114532.6</v>
      </c>
      <c r="H39" s="434" t="s">
        <v>52</v>
      </c>
      <c r="I39" s="430">
        <v>19</v>
      </c>
      <c r="J39" s="18">
        <v>2400</v>
      </c>
      <c r="K39" s="9">
        <f t="shared" si="54"/>
        <v>126.31578947368421</v>
      </c>
      <c r="L39" s="430">
        <v>19</v>
      </c>
      <c r="M39" s="10">
        <f t="shared" si="55"/>
        <v>2244.8275862068954</v>
      </c>
      <c r="N39" s="9">
        <f t="shared" si="56"/>
        <v>118.1488203266787</v>
      </c>
      <c r="O39" s="11">
        <f t="shared" si="50"/>
        <v>0</v>
      </c>
      <c r="P39" s="12">
        <f t="shared" si="51"/>
        <v>-8.1669691470055028</v>
      </c>
      <c r="Q39" s="424">
        <f t="shared" si="52"/>
        <v>0.93534482758620641</v>
      </c>
      <c r="R39" s="533"/>
      <c r="S39" s="24">
        <v>0.55972222222222212</v>
      </c>
      <c r="T39" s="24">
        <v>0.64027777777777772</v>
      </c>
      <c r="U39" s="422">
        <f t="shared" si="58"/>
        <v>58.99999999999995</v>
      </c>
      <c r="V39" s="431">
        <f t="shared" si="53"/>
        <v>116.00000000000007</v>
      </c>
      <c r="W39" s="14"/>
      <c r="X39" s="14"/>
      <c r="Y39" s="536"/>
      <c r="Z39" s="537"/>
      <c r="AA39" s="11">
        <f t="shared" si="2"/>
        <v>-155.17241379310462</v>
      </c>
      <c r="AB39" s="424">
        <f t="shared" si="57"/>
        <v>0.93534482758620641</v>
      </c>
      <c r="AC39" s="533"/>
    </row>
    <row r="40" spans="1:29">
      <c r="A40" s="551" t="s">
        <v>379</v>
      </c>
      <c r="B40" s="26" t="s">
        <v>24</v>
      </c>
      <c r="C40" s="529" t="s">
        <v>50</v>
      </c>
      <c r="D40" s="529"/>
      <c r="E40" s="26">
        <v>26.2</v>
      </c>
      <c r="F40" s="432">
        <v>2104</v>
      </c>
      <c r="G40" s="422">
        <f t="shared" si="49"/>
        <v>55124.799999999996</v>
      </c>
      <c r="H40" s="434" t="s">
        <v>52</v>
      </c>
      <c r="I40" s="430">
        <v>19</v>
      </c>
      <c r="J40" s="18">
        <v>2400</v>
      </c>
      <c r="K40" s="9">
        <f t="shared" si="54"/>
        <v>126.31578947368421</v>
      </c>
      <c r="L40" s="430">
        <v>19</v>
      </c>
      <c r="M40" s="10">
        <f t="shared" si="55"/>
        <v>2254.285714285716</v>
      </c>
      <c r="N40" s="9">
        <f t="shared" si="56"/>
        <v>118.64661654135348</v>
      </c>
      <c r="O40" s="11">
        <f t="shared" si="50"/>
        <v>0</v>
      </c>
      <c r="P40" s="12">
        <f t="shared" si="51"/>
        <v>-7.6691729323307243</v>
      </c>
      <c r="Q40" s="424">
        <f t="shared" si="52"/>
        <v>0.93928571428571506</v>
      </c>
      <c r="R40" s="533"/>
      <c r="S40" s="24">
        <v>0.64444444444444438</v>
      </c>
      <c r="T40" s="24">
        <v>0.68333333333333324</v>
      </c>
      <c r="U40" s="422">
        <f t="shared" si="58"/>
        <v>5.9999999999999787</v>
      </c>
      <c r="V40" s="431">
        <f t="shared" si="53"/>
        <v>55.999999999999957</v>
      </c>
      <c r="W40" s="14"/>
      <c r="X40" s="14"/>
      <c r="Y40" s="536"/>
      <c r="Z40" s="537"/>
      <c r="AA40" s="11">
        <f t="shared" si="2"/>
        <v>-145.71428571428396</v>
      </c>
      <c r="AB40" s="424">
        <f t="shared" si="57"/>
        <v>0.93928571428571506</v>
      </c>
      <c r="AC40" s="533"/>
    </row>
    <row r="41" spans="1:29">
      <c r="A41" s="551" t="s">
        <v>1700</v>
      </c>
      <c r="B41" s="26" t="s">
        <v>24</v>
      </c>
      <c r="C41" s="529" t="s">
        <v>1079</v>
      </c>
      <c r="D41" s="529"/>
      <c r="E41" s="26">
        <v>25.98</v>
      </c>
      <c r="F41" s="432">
        <v>2176</v>
      </c>
      <c r="G41" s="422">
        <f t="shared" si="49"/>
        <v>56532.480000000003</v>
      </c>
      <c r="H41" s="434" t="s">
        <v>52</v>
      </c>
      <c r="I41" s="430">
        <v>17</v>
      </c>
      <c r="J41" s="18">
        <v>2400</v>
      </c>
      <c r="K41" s="9">
        <f t="shared" si="54"/>
        <v>141.1764705882353</v>
      </c>
      <c r="L41" s="430">
        <v>17</v>
      </c>
      <c r="M41" s="10">
        <f t="shared" si="55"/>
        <v>2251.0344827586223</v>
      </c>
      <c r="N41" s="9">
        <f t="shared" si="56"/>
        <v>132.41379310344837</v>
      </c>
      <c r="O41" s="11">
        <f t="shared" si="50"/>
        <v>0</v>
      </c>
      <c r="P41" s="12">
        <f t="shared" si="51"/>
        <v>-8.7626774847869342</v>
      </c>
      <c r="Q41" s="424">
        <f t="shared" si="52"/>
        <v>0.93793103448275927</v>
      </c>
      <c r="R41" s="533"/>
      <c r="S41" s="24">
        <v>0.68749999999999989</v>
      </c>
      <c r="T41" s="24">
        <v>0.72777777777777763</v>
      </c>
      <c r="U41" s="422">
        <f t="shared" si="58"/>
        <v>5.9999999999999787</v>
      </c>
      <c r="V41" s="431">
        <f t="shared" si="53"/>
        <v>57.999999999999957</v>
      </c>
      <c r="W41" s="14"/>
      <c r="X41" s="14"/>
      <c r="Y41" s="536"/>
      <c r="Z41" s="537"/>
      <c r="AA41" s="11">
        <f t="shared" si="2"/>
        <v>-148.96551724137771</v>
      </c>
      <c r="AB41" s="424">
        <f t="shared" si="57"/>
        <v>0.93793103448275927</v>
      </c>
      <c r="AC41" s="533"/>
    </row>
    <row r="42" spans="1:29">
      <c r="A42" s="551" t="s">
        <v>379</v>
      </c>
      <c r="B42" s="16" t="s">
        <v>82</v>
      </c>
      <c r="C42" s="530"/>
      <c r="D42" s="530"/>
      <c r="E42" s="423"/>
      <c r="F42" s="16"/>
      <c r="G42" s="9"/>
      <c r="H42" s="432"/>
      <c r="I42" s="17">
        <v>18.444444444444443</v>
      </c>
      <c r="J42" s="18">
        <v>2400</v>
      </c>
      <c r="K42" s="9">
        <f t="shared" si="54"/>
        <v>130.12048192771084</v>
      </c>
      <c r="L42" s="17">
        <v>18.444444444444443</v>
      </c>
      <c r="M42" s="10">
        <f>AVERAGE(M33:M41)</f>
        <v>2253.1753853069313</v>
      </c>
      <c r="N42" s="9">
        <f>M42/L42</f>
        <v>122.16011125158062</v>
      </c>
      <c r="O42" s="11">
        <f>L42-I42</f>
        <v>0</v>
      </c>
      <c r="P42" s="12">
        <f t="shared" si="51"/>
        <v>-7.9603706761302249</v>
      </c>
      <c r="Q42" s="424">
        <f t="shared" si="52"/>
        <v>0.93882307721122138</v>
      </c>
      <c r="R42" s="533"/>
      <c r="S42" s="24"/>
      <c r="T42" s="24"/>
      <c r="U42" s="9"/>
      <c r="V42" s="431"/>
      <c r="W42" s="9"/>
      <c r="X42" s="9"/>
      <c r="Y42" s="528"/>
      <c r="Z42" s="528"/>
      <c r="AA42" s="11">
        <f t="shared" si="2"/>
        <v>-146.82461469306872</v>
      </c>
      <c r="AB42" s="424">
        <f t="shared" si="57"/>
        <v>0.93882307721122138</v>
      </c>
      <c r="AC42" s="533"/>
    </row>
    <row r="43" spans="1:29" ht="15.75" customHeight="1">
      <c r="A43" s="544" t="s">
        <v>381</v>
      </c>
      <c r="B43" s="26" t="s">
        <v>32</v>
      </c>
      <c r="C43" s="534" t="s">
        <v>33</v>
      </c>
      <c r="D43" s="535"/>
      <c r="E43" s="26">
        <v>27.17</v>
      </c>
      <c r="F43" s="432">
        <v>6093</v>
      </c>
      <c r="G43" s="422">
        <f t="shared" ref="G43:G49" si="59">E43*F43</f>
        <v>165546.81</v>
      </c>
      <c r="H43" s="434" t="s">
        <v>52</v>
      </c>
      <c r="I43" s="430">
        <v>10</v>
      </c>
      <c r="J43" s="18">
        <v>3000</v>
      </c>
      <c r="K43" s="9">
        <f t="shared" si="54"/>
        <v>300</v>
      </c>
      <c r="L43" s="430">
        <v>10</v>
      </c>
      <c r="M43" s="10">
        <f t="shared" ref="M43:M44" si="60">F43/V43*60</f>
        <v>2812.1538461538457</v>
      </c>
      <c r="N43" s="10">
        <f t="shared" ref="N43:N50" si="61">M43/L43</f>
        <v>281.21538461538455</v>
      </c>
      <c r="O43" s="11">
        <f t="shared" ref="O43:O50" si="62">L43-I43</f>
        <v>0</v>
      </c>
      <c r="P43" s="12">
        <f t="shared" si="51"/>
        <v>-18.784615384615449</v>
      </c>
      <c r="Q43" s="424">
        <f t="shared" si="52"/>
        <v>0.93738461538461515</v>
      </c>
      <c r="R43" s="547">
        <f>Q50</f>
        <v>0.94455874251143424</v>
      </c>
      <c r="S43" s="24">
        <v>0.125</v>
      </c>
      <c r="T43" s="24">
        <v>0.21527777777777779</v>
      </c>
      <c r="U43" s="15"/>
      <c r="V43" s="431">
        <f t="shared" ref="V43:V49" si="63">(T43-S43)*24*60</f>
        <v>130.00000000000003</v>
      </c>
      <c r="W43" s="422"/>
      <c r="X43" s="422"/>
      <c r="Y43" s="536"/>
      <c r="Z43" s="537"/>
      <c r="AA43" s="11">
        <f t="shared" si="2"/>
        <v>-187.84615384615427</v>
      </c>
      <c r="AB43" s="424">
        <f t="shared" si="57"/>
        <v>0.93738461538461526</v>
      </c>
      <c r="AC43" s="547">
        <f>AB50</f>
        <v>0.94455874251143424</v>
      </c>
    </row>
    <row r="44" spans="1:29" ht="15.75" customHeight="1">
      <c r="A44" s="545" t="s">
        <v>1701</v>
      </c>
      <c r="B44" s="26" t="s">
        <v>32</v>
      </c>
      <c r="C44" s="534" t="s">
        <v>34</v>
      </c>
      <c r="D44" s="535"/>
      <c r="E44" s="26">
        <v>21.13</v>
      </c>
      <c r="F44" s="432">
        <v>4748</v>
      </c>
      <c r="G44" s="422">
        <f t="shared" si="59"/>
        <v>100325.23999999999</v>
      </c>
      <c r="H44" s="434" t="s">
        <v>52</v>
      </c>
      <c r="I44" s="430">
        <v>10</v>
      </c>
      <c r="J44" s="18">
        <v>3000</v>
      </c>
      <c r="K44" s="9">
        <f t="shared" si="54"/>
        <v>300</v>
      </c>
      <c r="L44" s="430">
        <v>10</v>
      </c>
      <c r="M44" s="10">
        <f t="shared" si="60"/>
        <v>2820.5940594059407</v>
      </c>
      <c r="N44" s="10">
        <f t="shared" si="61"/>
        <v>282.05940594059405</v>
      </c>
      <c r="O44" s="11">
        <f t="shared" si="62"/>
        <v>0</v>
      </c>
      <c r="P44" s="12">
        <f t="shared" si="51"/>
        <v>-17.940594059405953</v>
      </c>
      <c r="Q44" s="424">
        <f t="shared" si="52"/>
        <v>0.94019801980198014</v>
      </c>
      <c r="R44" s="548"/>
      <c r="S44" s="24">
        <v>0.22083333333333335</v>
      </c>
      <c r="T44" s="24">
        <v>0.29097222222222224</v>
      </c>
      <c r="U44" s="422">
        <f>(S44-T43)*24*60</f>
        <v>8.0000000000000107</v>
      </c>
      <c r="V44" s="431">
        <f t="shared" si="63"/>
        <v>101</v>
      </c>
      <c r="W44" s="14"/>
      <c r="X44" s="14"/>
      <c r="Y44" s="536"/>
      <c r="Z44" s="537"/>
      <c r="AA44" s="11">
        <f t="shared" si="2"/>
        <v>-179.4059405940593</v>
      </c>
      <c r="AB44" s="424">
        <f t="shared" si="57"/>
        <v>0.94019801980198026</v>
      </c>
      <c r="AC44" s="548"/>
    </row>
    <row r="45" spans="1:29" ht="15.75" customHeight="1">
      <c r="A45" s="545" t="s">
        <v>381</v>
      </c>
      <c r="B45" s="26" t="s">
        <v>32</v>
      </c>
      <c r="C45" s="534" t="s">
        <v>40</v>
      </c>
      <c r="D45" s="535"/>
      <c r="E45" s="26">
        <v>35.119999999999997</v>
      </c>
      <c r="F45" s="432">
        <v>4498</v>
      </c>
      <c r="G45" s="422">
        <f t="shared" si="59"/>
        <v>157969.75999999998</v>
      </c>
      <c r="H45" s="434" t="s">
        <v>52</v>
      </c>
      <c r="I45" s="430">
        <v>10</v>
      </c>
      <c r="J45" s="18">
        <v>3000</v>
      </c>
      <c r="K45" s="9">
        <f t="shared" si="54"/>
        <v>300</v>
      </c>
      <c r="L45" s="430">
        <v>10</v>
      </c>
      <c r="M45" s="10">
        <f>F45/V45*60</f>
        <v>2811.2500000000009</v>
      </c>
      <c r="N45" s="10">
        <f t="shared" si="61"/>
        <v>281.12500000000011</v>
      </c>
      <c r="O45" s="11">
        <f t="shared" si="62"/>
        <v>0</v>
      </c>
      <c r="P45" s="12">
        <f t="shared" si="51"/>
        <v>-18.874999999999886</v>
      </c>
      <c r="Q45" s="424">
        <f t="shared" si="52"/>
        <v>0.93708333333333371</v>
      </c>
      <c r="R45" s="548"/>
      <c r="S45" s="24">
        <v>0.2951388888888889</v>
      </c>
      <c r="T45" s="24">
        <v>0.36180555555555555</v>
      </c>
      <c r="U45" s="422">
        <f t="shared" ref="U45:U49" si="64">(S45-T44)*24*60</f>
        <v>5.9999999999999787</v>
      </c>
      <c r="V45" s="431">
        <f t="shared" si="63"/>
        <v>95.999999999999972</v>
      </c>
      <c r="W45" s="14"/>
      <c r="X45" s="14"/>
      <c r="Y45" s="536"/>
      <c r="Z45" s="537"/>
      <c r="AA45" s="11">
        <f t="shared" si="2"/>
        <v>-188.74999999999909</v>
      </c>
      <c r="AB45" s="424">
        <f t="shared" si="57"/>
        <v>0.9370833333333336</v>
      </c>
      <c r="AC45" s="548"/>
    </row>
    <row r="46" spans="1:29" ht="15.75" customHeight="1">
      <c r="A46" s="545" t="s">
        <v>381</v>
      </c>
      <c r="B46" s="26" t="s">
        <v>32</v>
      </c>
      <c r="C46" s="534" t="s">
        <v>61</v>
      </c>
      <c r="D46" s="535"/>
      <c r="E46" s="26">
        <v>40.18</v>
      </c>
      <c r="F46" s="432">
        <v>1806</v>
      </c>
      <c r="G46" s="422">
        <f t="shared" si="59"/>
        <v>72565.08</v>
      </c>
      <c r="H46" s="434" t="s">
        <v>52</v>
      </c>
      <c r="I46" s="430">
        <v>10</v>
      </c>
      <c r="J46" s="18">
        <v>3000</v>
      </c>
      <c r="K46" s="9">
        <f t="shared" si="54"/>
        <v>300</v>
      </c>
      <c r="L46" s="430">
        <v>10</v>
      </c>
      <c r="M46" s="10">
        <f t="shared" ref="M46:M49" si="65">F46/V46*60</f>
        <v>2851.578947368419</v>
      </c>
      <c r="N46" s="10">
        <f t="shared" si="61"/>
        <v>285.15789473684191</v>
      </c>
      <c r="O46" s="11">
        <f t="shared" si="62"/>
        <v>0</v>
      </c>
      <c r="P46" s="12">
        <f t="shared" si="51"/>
        <v>-14.842105263158089</v>
      </c>
      <c r="Q46" s="424">
        <f t="shared" si="52"/>
        <v>0.950526315789473</v>
      </c>
      <c r="R46" s="548"/>
      <c r="S46" s="24">
        <v>0.36666666666666664</v>
      </c>
      <c r="T46" s="24">
        <v>0.39305555555555555</v>
      </c>
      <c r="U46" s="422">
        <f t="shared" si="64"/>
        <v>6.9999999999999751</v>
      </c>
      <c r="V46" s="431">
        <f t="shared" si="63"/>
        <v>38.000000000000028</v>
      </c>
      <c r="W46" s="14"/>
      <c r="X46" s="14"/>
      <c r="Y46" s="536"/>
      <c r="Z46" s="537"/>
      <c r="AA46" s="11">
        <f t="shared" si="2"/>
        <v>-148.42105263158101</v>
      </c>
      <c r="AB46" s="424">
        <f t="shared" si="57"/>
        <v>0.950526315789473</v>
      </c>
      <c r="AC46" s="548"/>
    </row>
    <row r="47" spans="1:29" ht="15.75" customHeight="1">
      <c r="A47" s="545" t="s">
        <v>381</v>
      </c>
      <c r="B47" s="26" t="s">
        <v>32</v>
      </c>
      <c r="C47" s="534" t="s">
        <v>64</v>
      </c>
      <c r="D47" s="535"/>
      <c r="E47" s="26">
        <v>28.5</v>
      </c>
      <c r="F47" s="432">
        <v>1066</v>
      </c>
      <c r="G47" s="422">
        <f t="shared" si="59"/>
        <v>30381</v>
      </c>
      <c r="H47" s="434" t="s">
        <v>52</v>
      </c>
      <c r="I47" s="430">
        <v>10</v>
      </c>
      <c r="J47" s="18">
        <v>3000</v>
      </c>
      <c r="K47" s="9">
        <f t="shared" si="54"/>
        <v>300</v>
      </c>
      <c r="L47" s="430">
        <v>10</v>
      </c>
      <c r="M47" s="10">
        <f t="shared" si="65"/>
        <v>2907.272727272727</v>
      </c>
      <c r="N47" s="10">
        <f t="shared" si="61"/>
        <v>290.72727272727269</v>
      </c>
      <c r="O47" s="11">
        <f t="shared" si="62"/>
        <v>0</v>
      </c>
      <c r="P47" s="12">
        <f t="shared" si="51"/>
        <v>-9.2727272727273089</v>
      </c>
      <c r="Q47" s="424">
        <f>N47/K47</f>
        <v>0.969090909090909</v>
      </c>
      <c r="R47" s="548"/>
      <c r="S47" s="24">
        <v>0.39652777777777776</v>
      </c>
      <c r="T47" s="24">
        <v>0.41180555555555554</v>
      </c>
      <c r="U47" s="422">
        <f t="shared" si="64"/>
        <v>4.9999999999999822</v>
      </c>
      <c r="V47" s="431">
        <f t="shared" si="63"/>
        <v>22</v>
      </c>
      <c r="W47" s="14"/>
      <c r="X47" s="14"/>
      <c r="Y47" s="536"/>
      <c r="Z47" s="537"/>
      <c r="AA47" s="11">
        <f t="shared" si="2"/>
        <v>-92.727272727272975</v>
      </c>
      <c r="AB47" s="424">
        <f t="shared" si="57"/>
        <v>0.969090909090909</v>
      </c>
      <c r="AC47" s="548"/>
    </row>
    <row r="48" spans="1:29" ht="15.75" customHeight="1">
      <c r="A48" s="545" t="s">
        <v>381</v>
      </c>
      <c r="B48" s="26" t="s">
        <v>32</v>
      </c>
      <c r="C48" s="534" t="s">
        <v>78</v>
      </c>
      <c r="D48" s="535"/>
      <c r="E48" s="26">
        <v>35.869999999999997</v>
      </c>
      <c r="F48" s="432">
        <v>3101</v>
      </c>
      <c r="G48" s="422">
        <f t="shared" si="59"/>
        <v>111232.87</v>
      </c>
      <c r="H48" s="434" t="s">
        <v>52</v>
      </c>
      <c r="I48" s="430">
        <v>10</v>
      </c>
      <c r="J48" s="18">
        <v>3000</v>
      </c>
      <c r="K48" s="9">
        <f t="shared" si="54"/>
        <v>300</v>
      </c>
      <c r="L48" s="430">
        <v>10</v>
      </c>
      <c r="M48" s="10">
        <f t="shared" si="65"/>
        <v>2819.090909090909</v>
      </c>
      <c r="N48" s="10">
        <f t="shared" si="61"/>
        <v>281.90909090909088</v>
      </c>
      <c r="O48" s="11">
        <f t="shared" si="62"/>
        <v>0</v>
      </c>
      <c r="P48" s="12">
        <f t="shared" si="51"/>
        <v>-18.090909090909122</v>
      </c>
      <c r="Q48" s="424">
        <f t="shared" ref="Q48:Q50" si="66">N48/K48</f>
        <v>0.93969696969696959</v>
      </c>
      <c r="R48" s="548"/>
      <c r="S48" s="24">
        <v>0.41666666666666663</v>
      </c>
      <c r="T48" s="24">
        <v>0.46249999999999997</v>
      </c>
      <c r="U48" s="422">
        <f t="shared" si="64"/>
        <v>6.9999999999999751</v>
      </c>
      <c r="V48" s="431">
        <f t="shared" si="63"/>
        <v>66</v>
      </c>
      <c r="W48" s="14"/>
      <c r="X48" s="14"/>
      <c r="Y48" s="536"/>
      <c r="Z48" s="537"/>
      <c r="AA48" s="11">
        <f t="shared" si="2"/>
        <v>-180.90909090909099</v>
      </c>
      <c r="AB48" s="424">
        <f t="shared" si="57"/>
        <v>0.9396969696969697</v>
      </c>
      <c r="AC48" s="548"/>
    </row>
    <row r="49" spans="1:29" ht="15.75" customHeight="1">
      <c r="A49" s="545" t="s">
        <v>1701</v>
      </c>
      <c r="B49" s="26" t="s">
        <v>32</v>
      </c>
      <c r="C49" s="534" t="s">
        <v>1081</v>
      </c>
      <c r="D49" s="535"/>
      <c r="E49" s="26">
        <v>36.14</v>
      </c>
      <c r="F49" s="432">
        <v>2720</v>
      </c>
      <c r="G49" s="422">
        <f t="shared" si="59"/>
        <v>98300.800000000003</v>
      </c>
      <c r="H49" s="434" t="s">
        <v>52</v>
      </c>
      <c r="I49" s="430">
        <v>10</v>
      </c>
      <c r="J49" s="18">
        <v>3000</v>
      </c>
      <c r="K49" s="9">
        <f t="shared" si="54"/>
        <v>300</v>
      </c>
      <c r="L49" s="430">
        <v>10</v>
      </c>
      <c r="M49" s="10">
        <f t="shared" si="65"/>
        <v>2813.793103448274</v>
      </c>
      <c r="N49" s="10">
        <f t="shared" si="61"/>
        <v>281.37931034482739</v>
      </c>
      <c r="O49" s="11">
        <f t="shared" si="62"/>
        <v>0</v>
      </c>
      <c r="P49" s="12">
        <f t="shared" si="51"/>
        <v>-18.620689655172612</v>
      </c>
      <c r="Q49" s="424">
        <f t="shared" si="66"/>
        <v>0.93793103448275794</v>
      </c>
      <c r="R49" s="548"/>
      <c r="S49" s="24">
        <v>0.46666666666666662</v>
      </c>
      <c r="T49" s="24">
        <v>0.50694444444444442</v>
      </c>
      <c r="U49" s="422">
        <f t="shared" si="64"/>
        <v>5.9999999999999787</v>
      </c>
      <c r="V49" s="431">
        <f t="shared" si="63"/>
        <v>58.000000000000036</v>
      </c>
      <c r="W49" s="14"/>
      <c r="X49" s="14"/>
      <c r="Y49" s="536"/>
      <c r="Z49" s="537"/>
      <c r="AA49" s="11">
        <f t="shared" si="2"/>
        <v>-186.206896551726</v>
      </c>
      <c r="AB49" s="424">
        <f t="shared" si="57"/>
        <v>0.93793103448275805</v>
      </c>
      <c r="AC49" s="548"/>
    </row>
    <row r="50" spans="1:29" ht="15.75" customHeight="1">
      <c r="A50" s="546" t="s">
        <v>1701</v>
      </c>
      <c r="B50" s="26" t="s">
        <v>82</v>
      </c>
      <c r="C50" s="540"/>
      <c r="D50" s="541"/>
      <c r="E50" s="429"/>
      <c r="F50" s="432"/>
      <c r="G50" s="422"/>
      <c r="H50" s="432"/>
      <c r="I50" s="17">
        <v>10</v>
      </c>
      <c r="J50" s="18">
        <v>3000</v>
      </c>
      <c r="K50" s="9">
        <f>J50/I50</f>
        <v>300</v>
      </c>
      <c r="L50" s="17">
        <v>10</v>
      </c>
      <c r="M50" s="10">
        <f>AVERAGE(M43:M49)</f>
        <v>2833.6762275343026</v>
      </c>
      <c r="N50" s="9">
        <f t="shared" si="61"/>
        <v>283.36762275343028</v>
      </c>
      <c r="O50" s="11">
        <f t="shared" si="62"/>
        <v>0</v>
      </c>
      <c r="P50" s="12">
        <f t="shared" si="51"/>
        <v>-16.632377246569717</v>
      </c>
      <c r="Q50" s="424">
        <f t="shared" si="66"/>
        <v>0.94455874251143424</v>
      </c>
      <c r="R50" s="549"/>
      <c r="S50" s="24"/>
      <c r="T50" s="24"/>
      <c r="U50" s="422"/>
      <c r="V50" s="431"/>
      <c r="W50" s="14"/>
      <c r="X50" s="14"/>
      <c r="Y50" s="536"/>
      <c r="Z50" s="537"/>
      <c r="AA50" s="11">
        <f t="shared" si="2"/>
        <v>-166.3237724656974</v>
      </c>
      <c r="AB50" s="424">
        <f t="shared" si="57"/>
        <v>0.94455874251143424</v>
      </c>
      <c r="AC50" s="549"/>
    </row>
    <row r="51" spans="1:29" ht="15.75" customHeight="1">
      <c r="A51" s="542" t="s">
        <v>1702</v>
      </c>
      <c r="B51" s="26" t="s">
        <v>15</v>
      </c>
      <c r="C51" s="529" t="s">
        <v>20</v>
      </c>
      <c r="D51" s="529"/>
      <c r="E51" s="26">
        <v>46</v>
      </c>
      <c r="F51" s="27">
        <v>3207</v>
      </c>
      <c r="G51" s="422">
        <f t="shared" ref="G51:G55" si="67">E51*F51</f>
        <v>147522</v>
      </c>
      <c r="H51" s="434" t="s">
        <v>52</v>
      </c>
      <c r="I51" s="430">
        <v>17</v>
      </c>
      <c r="J51" s="18">
        <v>2000</v>
      </c>
      <c r="K51" s="9">
        <f t="shared" ref="K51:K55" si="68">J51/I51</f>
        <v>117.64705882352941</v>
      </c>
      <c r="L51" s="430">
        <v>17</v>
      </c>
      <c r="M51" s="10">
        <f t="shared" ref="M51:M55" si="69">F51/V51*60</f>
        <v>1868.1553398058247</v>
      </c>
      <c r="N51" s="10">
        <f>M51/L51</f>
        <v>109.89149057681323</v>
      </c>
      <c r="O51" s="11">
        <f>L51-I51</f>
        <v>0</v>
      </c>
      <c r="P51" s="12">
        <f>N51-K51</f>
        <v>-7.7555682467161802</v>
      </c>
      <c r="Q51" s="424">
        <f>N51/K51</f>
        <v>0.93407766990291241</v>
      </c>
      <c r="R51" s="533">
        <f>Q56</f>
        <v>0.93623656385395293</v>
      </c>
      <c r="S51" s="24">
        <v>0.29166666666666669</v>
      </c>
      <c r="T51" s="24">
        <v>0.36319444444444449</v>
      </c>
      <c r="U51" s="15"/>
      <c r="V51" s="431">
        <f t="shared" ref="V51:V55" si="70">(T51-S51)*24*60</f>
        <v>103.00000000000003</v>
      </c>
      <c r="W51" s="15"/>
      <c r="X51" s="15"/>
      <c r="Y51" s="528"/>
      <c r="Z51" s="528"/>
      <c r="AA51" s="11">
        <f t="shared" si="2"/>
        <v>-131.84466019417528</v>
      </c>
      <c r="AB51" s="424">
        <f t="shared" si="57"/>
        <v>0.93407766990291241</v>
      </c>
      <c r="AC51" s="533">
        <f>AB56</f>
        <v>0.93623656385395282</v>
      </c>
    </row>
    <row r="52" spans="1:29" ht="15.75" customHeight="1">
      <c r="A52" s="542" t="s">
        <v>1702</v>
      </c>
      <c r="B52" s="26" t="s">
        <v>15</v>
      </c>
      <c r="C52" s="529" t="s">
        <v>65</v>
      </c>
      <c r="D52" s="529"/>
      <c r="E52" s="26">
        <v>46</v>
      </c>
      <c r="F52" s="27">
        <v>3493</v>
      </c>
      <c r="G52" s="422">
        <f t="shared" si="67"/>
        <v>160678</v>
      </c>
      <c r="H52" s="434" t="s">
        <v>52</v>
      </c>
      <c r="I52" s="430">
        <v>18</v>
      </c>
      <c r="J52" s="18">
        <v>2000</v>
      </c>
      <c r="K52" s="9">
        <f t="shared" si="68"/>
        <v>111.11111111111111</v>
      </c>
      <c r="L52" s="430">
        <v>18</v>
      </c>
      <c r="M52" s="10">
        <f t="shared" si="69"/>
        <v>1871.25</v>
      </c>
      <c r="N52" s="10">
        <f t="shared" ref="N52:N55" si="71">M52/L52</f>
        <v>103.95833333333333</v>
      </c>
      <c r="O52" s="11">
        <f t="shared" ref="O52:O55" si="72">L52-I52</f>
        <v>0</v>
      </c>
      <c r="P52" s="12">
        <f t="shared" ref="P52:P55" si="73">N52-K52</f>
        <v>-7.1527777777777857</v>
      </c>
      <c r="Q52" s="424">
        <f t="shared" ref="Q52:Q55" si="74">N52/K52</f>
        <v>0.93562499999999993</v>
      </c>
      <c r="R52" s="533"/>
      <c r="S52" s="24">
        <v>0.36805555555555558</v>
      </c>
      <c r="T52" s="24">
        <v>0.44583333333333336</v>
      </c>
      <c r="U52" s="422">
        <f>IF(S52=TIME(17,0,0),"",(S52-T51)*24*60)</f>
        <v>6.9999999999999751</v>
      </c>
      <c r="V52" s="431">
        <f t="shared" si="70"/>
        <v>112</v>
      </c>
      <c r="W52" s="14"/>
      <c r="X52" s="14"/>
      <c r="Y52" s="528"/>
      <c r="Z52" s="528"/>
      <c r="AA52" s="11">
        <f t="shared" si="2"/>
        <v>-128.75</v>
      </c>
      <c r="AB52" s="424">
        <f t="shared" si="57"/>
        <v>0.93562500000000004</v>
      </c>
      <c r="AC52" s="533"/>
    </row>
    <row r="53" spans="1:29" ht="15.75" customHeight="1">
      <c r="A53" s="542" t="s">
        <v>1702</v>
      </c>
      <c r="B53" s="26" t="s">
        <v>13</v>
      </c>
      <c r="C53" s="534" t="s">
        <v>59</v>
      </c>
      <c r="D53" s="535"/>
      <c r="E53" s="26">
        <v>55.56</v>
      </c>
      <c r="F53" s="27">
        <v>2121</v>
      </c>
      <c r="G53" s="422">
        <f t="shared" si="67"/>
        <v>117842.76000000001</v>
      </c>
      <c r="H53" s="434" t="s">
        <v>52</v>
      </c>
      <c r="I53" s="430">
        <v>17</v>
      </c>
      <c r="J53" s="18">
        <v>2000</v>
      </c>
      <c r="K53" s="9">
        <f t="shared" si="68"/>
        <v>117.64705882352941</v>
      </c>
      <c r="L53" s="430">
        <v>17</v>
      </c>
      <c r="M53" s="10">
        <f t="shared" si="69"/>
        <v>1871.4705882352964</v>
      </c>
      <c r="N53" s="10">
        <f t="shared" si="71"/>
        <v>110.08650519031156</v>
      </c>
      <c r="O53" s="11">
        <f t="shared" si="72"/>
        <v>0</v>
      </c>
      <c r="P53" s="12">
        <f t="shared" si="73"/>
        <v>-7.5605536332178502</v>
      </c>
      <c r="Q53" s="424">
        <f t="shared" si="74"/>
        <v>0.93573529411764822</v>
      </c>
      <c r="R53" s="533"/>
      <c r="S53" s="24">
        <v>0.70833333333333337</v>
      </c>
      <c r="T53" s="24">
        <v>0.75555555555555554</v>
      </c>
      <c r="U53" s="422" t="str">
        <f t="shared" ref="U53:U55" si="75">IF(S53=TIME(17,0,0),"",(S53-T52)*24*60)</f>
        <v/>
      </c>
      <c r="V53" s="431">
        <f t="shared" si="70"/>
        <v>67.999999999999915</v>
      </c>
      <c r="W53" s="14"/>
      <c r="X53" s="14"/>
      <c r="Y53" s="427"/>
      <c r="Z53" s="428"/>
      <c r="AA53" s="11">
        <f t="shared" si="2"/>
        <v>-128.52941176470358</v>
      </c>
      <c r="AB53" s="424">
        <f t="shared" si="57"/>
        <v>0.93573529411764822</v>
      </c>
      <c r="AC53" s="533"/>
    </row>
    <row r="54" spans="1:29" ht="15.75" customHeight="1">
      <c r="A54" s="542" t="s">
        <v>383</v>
      </c>
      <c r="B54" s="26" t="s">
        <v>13</v>
      </c>
      <c r="C54" s="425" t="s">
        <v>58</v>
      </c>
      <c r="D54" s="426"/>
      <c r="E54" s="26">
        <v>55.32</v>
      </c>
      <c r="F54" s="27">
        <v>1554</v>
      </c>
      <c r="G54" s="422">
        <f t="shared" si="67"/>
        <v>85967.28</v>
      </c>
      <c r="H54" s="434" t="s">
        <v>52</v>
      </c>
      <c r="I54" s="430">
        <v>15</v>
      </c>
      <c r="J54" s="18">
        <v>2000</v>
      </c>
      <c r="K54" s="9">
        <f t="shared" si="68"/>
        <v>133.33333333333334</v>
      </c>
      <c r="L54" s="430">
        <v>15</v>
      </c>
      <c r="M54" s="10">
        <f t="shared" si="69"/>
        <v>1864.8000000000006</v>
      </c>
      <c r="N54" s="10">
        <f t="shared" si="71"/>
        <v>124.32000000000004</v>
      </c>
      <c r="O54" s="11">
        <f t="shared" si="72"/>
        <v>0</v>
      </c>
      <c r="P54" s="12">
        <f t="shared" si="73"/>
        <v>-9.013333333333307</v>
      </c>
      <c r="Q54" s="424">
        <f t="shared" si="74"/>
        <v>0.93240000000000023</v>
      </c>
      <c r="R54" s="533"/>
      <c r="S54" s="24">
        <v>0.76111111111111107</v>
      </c>
      <c r="T54" s="24">
        <v>0.79583333333333328</v>
      </c>
      <c r="U54" s="422">
        <f t="shared" si="75"/>
        <v>7.9999999999999716</v>
      </c>
      <c r="V54" s="431">
        <f t="shared" si="70"/>
        <v>49.999999999999986</v>
      </c>
      <c r="W54" s="14"/>
      <c r="X54" s="14"/>
      <c r="Y54" s="427"/>
      <c r="Z54" s="428"/>
      <c r="AA54" s="11">
        <f t="shared" si="2"/>
        <v>-135.19999999999936</v>
      </c>
      <c r="AB54" s="424">
        <f t="shared" si="57"/>
        <v>0.93240000000000034</v>
      </c>
      <c r="AC54" s="533"/>
    </row>
    <row r="55" spans="1:29" ht="15.75" customHeight="1">
      <c r="A55" s="542" t="s">
        <v>383</v>
      </c>
      <c r="B55" s="26" t="s">
        <v>13</v>
      </c>
      <c r="C55" s="425" t="s">
        <v>60</v>
      </c>
      <c r="D55" s="426"/>
      <c r="E55" s="26">
        <v>57.73</v>
      </c>
      <c r="F55" s="27">
        <v>1324</v>
      </c>
      <c r="G55" s="422">
        <f t="shared" si="67"/>
        <v>76434.51999999999</v>
      </c>
      <c r="H55" s="434" t="s">
        <v>52</v>
      </c>
      <c r="I55" s="430">
        <v>16</v>
      </c>
      <c r="J55" s="18">
        <v>1500</v>
      </c>
      <c r="K55" s="9">
        <f t="shared" si="68"/>
        <v>93.75</v>
      </c>
      <c r="L55" s="430">
        <v>16</v>
      </c>
      <c r="M55" s="10">
        <f t="shared" si="69"/>
        <v>1418.5714285714296</v>
      </c>
      <c r="N55" s="10">
        <f t="shared" si="71"/>
        <v>88.660714285714349</v>
      </c>
      <c r="O55" s="11">
        <f t="shared" si="72"/>
        <v>0</v>
      </c>
      <c r="P55" s="12">
        <f t="shared" si="73"/>
        <v>-5.0892857142856514</v>
      </c>
      <c r="Q55" s="424">
        <f t="shared" si="74"/>
        <v>0.9457142857142864</v>
      </c>
      <c r="R55" s="533"/>
      <c r="S55" s="24">
        <v>0.80138888888888882</v>
      </c>
      <c r="T55" s="24">
        <v>0.84027777777777768</v>
      </c>
      <c r="U55" s="422">
        <f t="shared" si="75"/>
        <v>7.9999999999999716</v>
      </c>
      <c r="V55" s="431">
        <f t="shared" si="70"/>
        <v>55.999999999999957</v>
      </c>
      <c r="W55" s="14"/>
      <c r="X55" s="14"/>
      <c r="Y55" s="427"/>
      <c r="Z55" s="428"/>
      <c r="AA55" s="11">
        <f t="shared" si="2"/>
        <v>-81.428571428570422</v>
      </c>
      <c r="AB55" s="424">
        <f t="shared" si="57"/>
        <v>0.9457142857142864</v>
      </c>
      <c r="AC55" s="533"/>
    </row>
    <row r="56" spans="1:29">
      <c r="A56" s="543" t="s">
        <v>383</v>
      </c>
      <c r="B56" s="26" t="s">
        <v>1703</v>
      </c>
      <c r="C56" s="530"/>
      <c r="D56" s="530"/>
      <c r="E56" s="423"/>
      <c r="F56" s="16"/>
      <c r="G56" s="9"/>
      <c r="H56" s="432"/>
      <c r="I56" s="17">
        <v>16.600000000000001</v>
      </c>
      <c r="J56" s="18">
        <v>1900</v>
      </c>
      <c r="K56" s="9">
        <f>J56/I56</f>
        <v>114.4578313253012</v>
      </c>
      <c r="L56" s="17">
        <v>16.600000000000001</v>
      </c>
      <c r="M56" s="10">
        <f>AVERAGE(M51:M55)</f>
        <v>1778.8494713225105</v>
      </c>
      <c r="N56" s="9">
        <f>M56/L56</f>
        <v>107.15960670617532</v>
      </c>
      <c r="O56" s="11">
        <f>L56-I56</f>
        <v>0</v>
      </c>
      <c r="P56" s="12">
        <f>N56-K56</f>
        <v>-7.2982246191258753</v>
      </c>
      <c r="Q56" s="424">
        <f>N56/K56</f>
        <v>0.93623656385395293</v>
      </c>
      <c r="R56" s="533"/>
      <c r="S56" s="25"/>
      <c r="T56" s="24"/>
      <c r="U56" s="9"/>
      <c r="V56" s="431"/>
      <c r="W56" s="9"/>
      <c r="X56" s="9"/>
      <c r="Y56" s="528"/>
      <c r="Z56" s="528"/>
      <c r="AA56" s="11">
        <f t="shared" si="2"/>
        <v>-121.15052867748955</v>
      </c>
      <c r="AB56" s="424">
        <f t="shared" si="57"/>
        <v>0.93623656385395282</v>
      </c>
      <c r="AC56" s="533"/>
    </row>
    <row r="57" spans="1:29" ht="15.75" customHeight="1">
      <c r="A57" s="538" t="s">
        <v>385</v>
      </c>
      <c r="B57" s="432" t="s">
        <v>1549</v>
      </c>
      <c r="C57" s="529" t="s">
        <v>1084</v>
      </c>
      <c r="D57" s="529"/>
      <c r="E57" s="26">
        <v>84.51</v>
      </c>
      <c r="F57" s="27">
        <v>3609</v>
      </c>
      <c r="G57" s="422">
        <f t="shared" ref="G57:G62" si="76">E57*F57</f>
        <v>304996.59000000003</v>
      </c>
      <c r="H57" s="434" t="s">
        <v>52</v>
      </c>
      <c r="I57" s="430">
        <v>17</v>
      </c>
      <c r="J57" s="18">
        <v>2400</v>
      </c>
      <c r="K57" s="9">
        <f t="shared" ref="K57:K62" si="77">J57/I57</f>
        <v>141.1764705882353</v>
      </c>
      <c r="L57" s="17">
        <v>17</v>
      </c>
      <c r="M57" s="10">
        <f t="shared" ref="M57:M62" si="78">F57/V57*60</f>
        <v>2232.3711340206191</v>
      </c>
      <c r="N57" s="9">
        <f>M57/L57</f>
        <v>131.31594906003642</v>
      </c>
      <c r="O57" s="11">
        <f t="shared" ref="O57:O62" si="79">L57-I57</f>
        <v>0</v>
      </c>
      <c r="P57" s="12">
        <f t="shared" ref="P57:P62" si="80">N57-K57</f>
        <v>-9.8605215281988876</v>
      </c>
      <c r="Q57" s="424">
        <f>N57/K57</f>
        <v>0.93015463917525787</v>
      </c>
      <c r="R57" s="533">
        <f>Q63</f>
        <v>0.93993800829314866</v>
      </c>
      <c r="S57" s="24">
        <v>0.125</v>
      </c>
      <c r="T57" s="24">
        <v>0.19236111111111109</v>
      </c>
      <c r="U57" s="422"/>
      <c r="V57" s="431">
        <f t="shared" ref="V57:V62" si="81">(T57-S57)*24*60</f>
        <v>96.999999999999972</v>
      </c>
      <c r="W57" s="15"/>
      <c r="X57" s="15"/>
      <c r="Y57" s="528"/>
      <c r="Z57" s="528"/>
      <c r="AA57" s="11">
        <f t="shared" si="2"/>
        <v>-167.62886597938086</v>
      </c>
      <c r="AB57" s="424">
        <f t="shared" si="57"/>
        <v>0.93015463917525798</v>
      </c>
      <c r="AC57" s="533">
        <f>AB63</f>
        <v>0.93993800829314866</v>
      </c>
    </row>
    <row r="58" spans="1:29" ht="15.75" customHeight="1">
      <c r="A58" s="538" t="s">
        <v>385</v>
      </c>
      <c r="B58" s="432" t="s">
        <v>32</v>
      </c>
      <c r="C58" s="529" t="s">
        <v>35</v>
      </c>
      <c r="D58" s="529"/>
      <c r="E58" s="26">
        <v>26.78</v>
      </c>
      <c r="F58" s="27">
        <v>2538</v>
      </c>
      <c r="G58" s="422">
        <f t="shared" si="76"/>
        <v>67967.64</v>
      </c>
      <c r="H58" s="434" t="s">
        <v>52</v>
      </c>
      <c r="I58" s="430">
        <v>10</v>
      </c>
      <c r="J58" s="18">
        <v>3000</v>
      </c>
      <c r="K58" s="9">
        <f t="shared" si="77"/>
        <v>300</v>
      </c>
      <c r="L58" s="17">
        <v>10</v>
      </c>
      <c r="M58" s="10">
        <f t="shared" si="78"/>
        <v>2819.9999999999995</v>
      </c>
      <c r="N58" s="9">
        <f t="shared" ref="N58:N62" si="82">M58/L58</f>
        <v>281.99999999999994</v>
      </c>
      <c r="O58" s="11">
        <f t="shared" si="79"/>
        <v>0</v>
      </c>
      <c r="P58" s="12">
        <f t="shared" si="80"/>
        <v>-18.000000000000057</v>
      </c>
      <c r="Q58" s="424">
        <f t="shared" ref="Q58:Q62" si="83">N58/K58</f>
        <v>0.93999999999999984</v>
      </c>
      <c r="R58" s="533"/>
      <c r="S58" s="24">
        <v>0.1958333333333333</v>
      </c>
      <c r="T58" s="24">
        <v>0.23333333333333331</v>
      </c>
      <c r="U58" s="422">
        <f>(S58-T57)*24*60</f>
        <v>4.9999999999999822</v>
      </c>
      <c r="V58" s="431">
        <f t="shared" si="81"/>
        <v>54.000000000000007</v>
      </c>
      <c r="W58" s="422"/>
      <c r="X58" s="422"/>
      <c r="Y58" s="528"/>
      <c r="Z58" s="528"/>
      <c r="AA58" s="11">
        <f t="shared" si="2"/>
        <v>-180.00000000000045</v>
      </c>
      <c r="AB58" s="424">
        <f t="shared" si="57"/>
        <v>0.93999999999999984</v>
      </c>
      <c r="AC58" s="533"/>
    </row>
    <row r="59" spans="1:29" ht="15.75" customHeight="1">
      <c r="A59" s="538" t="s">
        <v>1704</v>
      </c>
      <c r="B59" s="432" t="s">
        <v>32</v>
      </c>
      <c r="C59" s="529" t="s">
        <v>39</v>
      </c>
      <c r="D59" s="529"/>
      <c r="E59" s="26">
        <v>35.369999999999997</v>
      </c>
      <c r="F59" s="27">
        <v>1564</v>
      </c>
      <c r="G59" s="422">
        <f t="shared" si="76"/>
        <v>55318.679999999993</v>
      </c>
      <c r="H59" s="434" t="s">
        <v>52</v>
      </c>
      <c r="I59" s="430">
        <v>10</v>
      </c>
      <c r="J59" s="18">
        <v>3000</v>
      </c>
      <c r="K59" s="9">
        <f t="shared" si="77"/>
        <v>300</v>
      </c>
      <c r="L59" s="17">
        <v>10</v>
      </c>
      <c r="M59" s="10">
        <f t="shared" si="78"/>
        <v>2843.6363636363635</v>
      </c>
      <c r="N59" s="9">
        <f t="shared" si="82"/>
        <v>284.36363636363637</v>
      </c>
      <c r="O59" s="11">
        <f t="shared" si="79"/>
        <v>0</v>
      </c>
      <c r="P59" s="12">
        <f t="shared" si="80"/>
        <v>-15.636363636363626</v>
      </c>
      <c r="Q59" s="424">
        <f t="shared" si="83"/>
        <v>0.94787878787878788</v>
      </c>
      <c r="R59" s="533"/>
      <c r="S59" s="24">
        <v>0.23680555555555552</v>
      </c>
      <c r="T59" s="24">
        <v>0.25972222222222219</v>
      </c>
      <c r="U59" s="422">
        <f t="shared" ref="U59:U62" si="84">(S59-T58)*24*60</f>
        <v>4.9999999999999822</v>
      </c>
      <c r="V59" s="431">
        <f t="shared" si="81"/>
        <v>33</v>
      </c>
      <c r="W59" s="422"/>
      <c r="X59" s="422"/>
      <c r="Y59" s="528"/>
      <c r="Z59" s="528"/>
      <c r="AA59" s="11">
        <f t="shared" si="2"/>
        <v>-156.36363636363649</v>
      </c>
      <c r="AB59" s="424">
        <f t="shared" si="57"/>
        <v>0.94787878787878788</v>
      </c>
      <c r="AC59" s="533"/>
    </row>
    <row r="60" spans="1:29" ht="15.75" customHeight="1">
      <c r="A60" s="538" t="s">
        <v>385</v>
      </c>
      <c r="B60" s="432" t="s">
        <v>15</v>
      </c>
      <c r="C60" s="529" t="s">
        <v>36</v>
      </c>
      <c r="D60" s="529"/>
      <c r="E60" s="26">
        <v>26.97</v>
      </c>
      <c r="F60" s="27">
        <v>3344</v>
      </c>
      <c r="G60" s="422">
        <f t="shared" si="76"/>
        <v>90187.68</v>
      </c>
      <c r="H60" s="434" t="s">
        <v>52</v>
      </c>
      <c r="I60" s="430">
        <v>8</v>
      </c>
      <c r="J60" s="18">
        <v>1500</v>
      </c>
      <c r="K60" s="9">
        <f t="shared" si="77"/>
        <v>187.5</v>
      </c>
      <c r="L60" s="17">
        <v>8</v>
      </c>
      <c r="M60" s="10">
        <f t="shared" si="78"/>
        <v>1403.0769230769233</v>
      </c>
      <c r="N60" s="9">
        <f t="shared" si="82"/>
        <v>175.38461538461542</v>
      </c>
      <c r="O60" s="11">
        <f t="shared" si="79"/>
        <v>0</v>
      </c>
      <c r="P60" s="12">
        <f t="shared" si="80"/>
        <v>-12.115384615384585</v>
      </c>
      <c r="Q60" s="424">
        <f t="shared" si="83"/>
        <v>0.93538461538461559</v>
      </c>
      <c r="R60" s="533"/>
      <c r="S60" s="24">
        <v>0.26388888888888884</v>
      </c>
      <c r="T60" s="24">
        <v>0.36319444444444438</v>
      </c>
      <c r="U60" s="422">
        <f t="shared" si="84"/>
        <v>5.9999999999999787</v>
      </c>
      <c r="V60" s="431">
        <f t="shared" si="81"/>
        <v>142.99999999999997</v>
      </c>
      <c r="W60" s="422"/>
      <c r="X60" s="422"/>
      <c r="Y60" s="528"/>
      <c r="Z60" s="528"/>
      <c r="AA60" s="11">
        <f t="shared" si="2"/>
        <v>-96.923076923076678</v>
      </c>
      <c r="AB60" s="424">
        <f t="shared" si="57"/>
        <v>0.93538461538461559</v>
      </c>
      <c r="AC60" s="533"/>
    </row>
    <row r="61" spans="1:29">
      <c r="A61" s="539" t="s">
        <v>1704</v>
      </c>
      <c r="B61" s="432" t="s">
        <v>32</v>
      </c>
      <c r="C61" s="529" t="s">
        <v>37</v>
      </c>
      <c r="D61" s="529"/>
      <c r="E61" s="26">
        <v>35.119999999999997</v>
      </c>
      <c r="F61" s="27">
        <v>1217</v>
      </c>
      <c r="G61" s="422">
        <f t="shared" si="76"/>
        <v>42741.039999999994</v>
      </c>
      <c r="H61" s="434" t="s">
        <v>52</v>
      </c>
      <c r="I61" s="430">
        <v>13</v>
      </c>
      <c r="J61" s="18">
        <v>2000</v>
      </c>
      <c r="K61" s="9">
        <f t="shared" si="77"/>
        <v>153.84615384615384</v>
      </c>
      <c r="L61" s="17">
        <v>13</v>
      </c>
      <c r="M61" s="10">
        <f t="shared" si="78"/>
        <v>1872.3076923076912</v>
      </c>
      <c r="N61" s="9">
        <f t="shared" si="82"/>
        <v>144.02366863905317</v>
      </c>
      <c r="O61" s="11">
        <f t="shared" si="79"/>
        <v>0</v>
      </c>
      <c r="P61" s="12">
        <f t="shared" si="80"/>
        <v>-9.8224852071006694</v>
      </c>
      <c r="Q61" s="424">
        <f t="shared" si="83"/>
        <v>0.93615384615384567</v>
      </c>
      <c r="R61" s="533"/>
      <c r="S61" s="24">
        <v>0.36805555555555547</v>
      </c>
      <c r="T61" s="24">
        <v>0.39513888888888882</v>
      </c>
      <c r="U61" s="422">
        <f t="shared" si="84"/>
        <v>6.9999999999999751</v>
      </c>
      <c r="V61" s="431">
        <f t="shared" si="81"/>
        <v>39.000000000000021</v>
      </c>
      <c r="W61" s="14"/>
      <c r="X61" s="14"/>
      <c r="Y61" s="528"/>
      <c r="Z61" s="528"/>
      <c r="AA61" s="11">
        <f t="shared" si="2"/>
        <v>-127.69230769230876</v>
      </c>
      <c r="AB61" s="424">
        <f t="shared" si="57"/>
        <v>0.93615384615384567</v>
      </c>
      <c r="AC61" s="533"/>
    </row>
    <row r="62" spans="1:29" ht="15" customHeight="1">
      <c r="A62" s="539" t="s">
        <v>1704</v>
      </c>
      <c r="B62" s="432" t="s">
        <v>32</v>
      </c>
      <c r="C62" s="534" t="s">
        <v>84</v>
      </c>
      <c r="D62" s="535"/>
      <c r="E62" s="26">
        <v>35.869999999999997</v>
      </c>
      <c r="F62" s="27">
        <v>2692</v>
      </c>
      <c r="G62" s="422">
        <f t="shared" si="76"/>
        <v>96562.04</v>
      </c>
      <c r="H62" s="434" t="s">
        <v>52</v>
      </c>
      <c r="I62" s="430">
        <v>10</v>
      </c>
      <c r="J62" s="18">
        <v>3000</v>
      </c>
      <c r="K62" s="9">
        <f t="shared" si="77"/>
        <v>300</v>
      </c>
      <c r="L62" s="17">
        <v>10</v>
      </c>
      <c r="M62" s="10">
        <f t="shared" si="78"/>
        <v>2833.6842105263177</v>
      </c>
      <c r="N62" s="9">
        <f t="shared" si="82"/>
        <v>283.36842105263179</v>
      </c>
      <c r="O62" s="11">
        <f t="shared" si="79"/>
        <v>0</v>
      </c>
      <c r="P62" s="12">
        <f t="shared" si="80"/>
        <v>-16.631578947368212</v>
      </c>
      <c r="Q62" s="424">
        <f t="shared" si="83"/>
        <v>0.9445614035087726</v>
      </c>
      <c r="R62" s="533"/>
      <c r="S62" s="24">
        <v>0.39861111111111103</v>
      </c>
      <c r="T62" s="24">
        <v>0.43819444444444433</v>
      </c>
      <c r="U62" s="422">
        <f t="shared" si="84"/>
        <v>4.9999999999999822</v>
      </c>
      <c r="V62" s="431">
        <f t="shared" si="81"/>
        <v>56.999999999999957</v>
      </c>
      <c r="W62" s="422"/>
      <c r="X62" s="422"/>
      <c r="Y62" s="536"/>
      <c r="Z62" s="537"/>
      <c r="AA62" s="11">
        <f t="shared" si="2"/>
        <v>-166.31578947368234</v>
      </c>
      <c r="AB62" s="424">
        <f t="shared" si="57"/>
        <v>0.9445614035087726</v>
      </c>
      <c r="AC62" s="533"/>
    </row>
    <row r="63" spans="1:29">
      <c r="A63" s="539" t="s">
        <v>1704</v>
      </c>
      <c r="B63" s="26" t="s">
        <v>82</v>
      </c>
      <c r="C63" s="530"/>
      <c r="D63" s="530"/>
      <c r="E63" s="423"/>
      <c r="F63" s="16"/>
      <c r="G63" s="9"/>
      <c r="H63" s="432"/>
      <c r="I63" s="17">
        <v>11.333333333333334</v>
      </c>
      <c r="J63" s="18">
        <v>2483.3333333333335</v>
      </c>
      <c r="K63" s="9">
        <f>J63/I63</f>
        <v>219.11764705882354</v>
      </c>
      <c r="L63" s="17">
        <v>11.333333333333334</v>
      </c>
      <c r="M63" s="10">
        <f>AVERAGE(M57:M62)</f>
        <v>2334.1793872613193</v>
      </c>
      <c r="N63" s="9">
        <f>M63/L63</f>
        <v>205.9570047583517</v>
      </c>
      <c r="O63" s="11">
        <f>L63-I63</f>
        <v>0</v>
      </c>
      <c r="P63" s="12">
        <f>N63-K63</f>
        <v>-13.160642300471835</v>
      </c>
      <c r="Q63" s="424">
        <f>N63/K63</f>
        <v>0.93993800829314866</v>
      </c>
      <c r="R63" s="533"/>
      <c r="S63" s="24"/>
      <c r="T63" s="24"/>
      <c r="U63" s="9"/>
      <c r="V63" s="431"/>
      <c r="W63" s="9"/>
      <c r="X63" s="9"/>
      <c r="Y63" s="528"/>
      <c r="Z63" s="528"/>
      <c r="AA63" s="11">
        <f t="shared" si="2"/>
        <v>-149.15394607201415</v>
      </c>
      <c r="AB63" s="424">
        <f t="shared" si="57"/>
        <v>0.93993800829314866</v>
      </c>
      <c r="AC63" s="533"/>
    </row>
    <row r="64" spans="1:29" ht="15.75" customHeight="1">
      <c r="A64" s="531" t="s">
        <v>1705</v>
      </c>
      <c r="B64" s="432" t="s">
        <v>24</v>
      </c>
      <c r="C64" s="529" t="s">
        <v>67</v>
      </c>
      <c r="D64" s="529"/>
      <c r="E64" s="26">
        <v>32.03</v>
      </c>
      <c r="F64" s="432">
        <v>834</v>
      </c>
      <c r="G64" s="422">
        <f t="shared" ref="G64:G69" si="85">E64*F64</f>
        <v>26713.02</v>
      </c>
      <c r="H64" s="434" t="s">
        <v>52</v>
      </c>
      <c r="I64" s="430">
        <v>19</v>
      </c>
      <c r="J64" s="18">
        <v>2400</v>
      </c>
      <c r="K64" s="9">
        <f t="shared" ref="K64:K66" si="86">J64/I64</f>
        <v>126.31578947368421</v>
      </c>
      <c r="L64" s="17">
        <v>19</v>
      </c>
      <c r="M64" s="10">
        <f>F64/V64*60</f>
        <v>2274.5454545454545</v>
      </c>
      <c r="N64" s="9">
        <f t="shared" ref="N64:N69" si="87">M64/L64</f>
        <v>119.71291866028707</v>
      </c>
      <c r="O64" s="11">
        <f t="shared" ref="O64:O69" si="88">L64-I64</f>
        <v>0</v>
      </c>
      <c r="P64" s="12">
        <f t="shared" ref="P64:P69" si="89">N64-K64</f>
        <v>-6.6028708133971321</v>
      </c>
      <c r="Q64" s="424">
        <f>N64/K64</f>
        <v>0.94772727272727275</v>
      </c>
      <c r="R64" s="533">
        <f>Q70</f>
        <v>0.93768292685646404</v>
      </c>
      <c r="S64" s="24">
        <v>0.125</v>
      </c>
      <c r="T64" s="24">
        <v>0.14027777777777778</v>
      </c>
      <c r="U64" s="15"/>
      <c r="V64" s="431">
        <f t="shared" ref="V64:V69" si="90">(T64-S64)*24*60</f>
        <v>22</v>
      </c>
      <c r="W64" s="14">
        <f>T64</f>
        <v>0.14027777777777778</v>
      </c>
      <c r="X64" s="14">
        <f>S65</f>
        <v>0.15972222222222224</v>
      </c>
      <c r="Y64" s="528"/>
      <c r="Z64" s="528"/>
      <c r="AA64" s="11">
        <f t="shared" si="2"/>
        <v>-125.4545454545455</v>
      </c>
      <c r="AB64" s="424">
        <f>M64/J64</f>
        <v>0.94772727272727275</v>
      </c>
      <c r="AC64" s="533">
        <f>AB70</f>
        <v>0.93768292685646415</v>
      </c>
    </row>
    <row r="65" spans="1:29" ht="15.75" customHeight="1">
      <c r="A65" s="531" t="s">
        <v>387</v>
      </c>
      <c r="B65" s="432" t="s">
        <v>24</v>
      </c>
      <c r="C65" s="529" t="s">
        <v>51</v>
      </c>
      <c r="D65" s="529"/>
      <c r="E65" s="26">
        <v>20.2</v>
      </c>
      <c r="F65" s="432">
        <v>2816</v>
      </c>
      <c r="G65" s="422">
        <f t="shared" si="85"/>
        <v>56883.199999999997</v>
      </c>
      <c r="H65" s="434" t="s">
        <v>52</v>
      </c>
      <c r="I65" s="430">
        <v>19</v>
      </c>
      <c r="J65" s="18">
        <v>2400</v>
      </c>
      <c r="K65" s="9">
        <f t="shared" si="86"/>
        <v>126.31578947368421</v>
      </c>
      <c r="L65" s="17">
        <v>19</v>
      </c>
      <c r="M65" s="10">
        <f t="shared" ref="M65:M69" si="91">F65/V65*60</f>
        <v>2252.7999999999997</v>
      </c>
      <c r="N65" s="9">
        <f t="shared" si="87"/>
        <v>118.56842105263156</v>
      </c>
      <c r="O65" s="11">
        <f t="shared" si="88"/>
        <v>0</v>
      </c>
      <c r="P65" s="12">
        <f t="shared" si="89"/>
        <v>-7.7473684210526415</v>
      </c>
      <c r="Q65" s="424">
        <f t="shared" ref="Q65:Q70" si="92">N65/K65</f>
        <v>0.93866666666666654</v>
      </c>
      <c r="R65" s="533"/>
      <c r="S65" s="24">
        <v>0.15972222222222224</v>
      </c>
      <c r="T65" s="24">
        <v>0.21180555555555558</v>
      </c>
      <c r="U65" s="422">
        <f>(S65-T64)*24*60</f>
        <v>28.000000000000021</v>
      </c>
      <c r="V65" s="431">
        <f t="shared" si="90"/>
        <v>75.000000000000014</v>
      </c>
      <c r="W65" s="14"/>
      <c r="X65" s="14"/>
      <c r="Y65" s="528"/>
      <c r="Z65" s="528"/>
      <c r="AA65" s="11">
        <f t="shared" si="2"/>
        <v>-147.20000000000027</v>
      </c>
      <c r="AB65" s="424">
        <f t="shared" ref="AB65:AB70" si="93">M65/J65</f>
        <v>0.93866666666666654</v>
      </c>
      <c r="AC65" s="533"/>
    </row>
    <row r="66" spans="1:29" ht="15.75" customHeight="1">
      <c r="A66" s="531" t="s">
        <v>387</v>
      </c>
      <c r="B66" s="432" t="s">
        <v>24</v>
      </c>
      <c r="C66" s="529" t="s">
        <v>41</v>
      </c>
      <c r="D66" s="529"/>
      <c r="E66" s="26">
        <v>19.02</v>
      </c>
      <c r="F66" s="432">
        <v>7000</v>
      </c>
      <c r="G66" s="422">
        <f t="shared" si="85"/>
        <v>133140</v>
      </c>
      <c r="H66" s="434">
        <v>2</v>
      </c>
      <c r="I66" s="430">
        <v>15</v>
      </c>
      <c r="J66" s="18">
        <v>2400</v>
      </c>
      <c r="K66" s="9">
        <f t="shared" si="86"/>
        <v>160</v>
      </c>
      <c r="L66" s="17">
        <v>15</v>
      </c>
      <c r="M66" s="10">
        <f t="shared" si="91"/>
        <v>2234.0425531914898</v>
      </c>
      <c r="N66" s="9">
        <f t="shared" si="87"/>
        <v>148.93617021276597</v>
      </c>
      <c r="O66" s="11">
        <f t="shared" si="88"/>
        <v>0</v>
      </c>
      <c r="P66" s="12">
        <f t="shared" si="89"/>
        <v>-11.063829787234027</v>
      </c>
      <c r="Q66" s="424">
        <f t="shared" si="92"/>
        <v>0.93085106382978733</v>
      </c>
      <c r="R66" s="533"/>
      <c r="S66" s="24">
        <v>0.21527777777777779</v>
      </c>
      <c r="T66" s="24">
        <v>0.34583333333333333</v>
      </c>
      <c r="U66" s="422">
        <f t="shared" ref="U66:U69" si="94">(S66-T65)*24*60</f>
        <v>4.9999999999999822</v>
      </c>
      <c r="V66" s="431">
        <f t="shared" si="90"/>
        <v>187.99999999999997</v>
      </c>
      <c r="W66" s="14"/>
      <c r="X66" s="14"/>
      <c r="Y66" s="528"/>
      <c r="Z66" s="528"/>
      <c r="AA66" s="11">
        <f t="shared" si="2"/>
        <v>-165.95744680851021</v>
      </c>
      <c r="AB66" s="424">
        <f t="shared" si="93"/>
        <v>0.93085106382978744</v>
      </c>
      <c r="AC66" s="533"/>
    </row>
    <row r="67" spans="1:29" ht="15.75" customHeight="1">
      <c r="A67" s="531" t="s">
        <v>387</v>
      </c>
      <c r="B67" s="432" t="s">
        <v>24</v>
      </c>
      <c r="C67" s="529" t="s">
        <v>42</v>
      </c>
      <c r="D67" s="529"/>
      <c r="E67" s="26">
        <v>25</v>
      </c>
      <c r="F67" s="432">
        <v>4158</v>
      </c>
      <c r="G67" s="422">
        <f t="shared" si="85"/>
        <v>103950</v>
      </c>
      <c r="H67" s="434" t="s">
        <v>52</v>
      </c>
      <c r="I67" s="430">
        <v>15</v>
      </c>
      <c r="J67" s="18">
        <v>2400</v>
      </c>
      <c r="K67" s="9">
        <f>J67/I67</f>
        <v>160</v>
      </c>
      <c r="L67" s="17">
        <v>15</v>
      </c>
      <c r="M67" s="10">
        <f t="shared" si="91"/>
        <v>2247.5675675675675</v>
      </c>
      <c r="N67" s="9">
        <f t="shared" si="87"/>
        <v>149.83783783783784</v>
      </c>
      <c r="O67" s="11">
        <f t="shared" si="88"/>
        <v>0</v>
      </c>
      <c r="P67" s="12">
        <f t="shared" si="89"/>
        <v>-10.162162162162161</v>
      </c>
      <c r="Q67" s="424">
        <f t="shared" si="92"/>
        <v>0.93648648648648647</v>
      </c>
      <c r="R67" s="533"/>
      <c r="S67" s="24">
        <v>0.34930555555555554</v>
      </c>
      <c r="T67" s="24">
        <v>0.42638888888888887</v>
      </c>
      <c r="U67" s="422">
        <f t="shared" si="94"/>
        <v>4.9999999999999822</v>
      </c>
      <c r="V67" s="431">
        <f t="shared" si="90"/>
        <v>111</v>
      </c>
      <c r="W67" s="14"/>
      <c r="X67" s="14"/>
      <c r="Y67" s="528"/>
      <c r="Z67" s="528"/>
      <c r="AA67" s="11">
        <f t="shared" si="2"/>
        <v>-152.43243243243251</v>
      </c>
      <c r="AB67" s="424">
        <f t="shared" si="93"/>
        <v>0.93648648648648647</v>
      </c>
      <c r="AC67" s="533"/>
    </row>
    <row r="68" spans="1:29" ht="15.75" customHeight="1">
      <c r="A68" s="531" t="s">
        <v>1705</v>
      </c>
      <c r="B68" s="432" t="s">
        <v>24</v>
      </c>
      <c r="C68" s="529" t="s">
        <v>25</v>
      </c>
      <c r="D68" s="529"/>
      <c r="E68" s="26">
        <v>20.52</v>
      </c>
      <c r="F68" s="432">
        <v>4324</v>
      </c>
      <c r="G68" s="422">
        <f t="shared" si="85"/>
        <v>88728.48</v>
      </c>
      <c r="H68" s="434" t="s">
        <v>52</v>
      </c>
      <c r="I68" s="430">
        <v>18</v>
      </c>
      <c r="J68" s="18">
        <v>2400</v>
      </c>
      <c r="K68" s="9">
        <f t="shared" ref="K68:K70" si="95">J68/I68</f>
        <v>133.33333333333334</v>
      </c>
      <c r="L68" s="17">
        <v>18</v>
      </c>
      <c r="M68" s="10">
        <f t="shared" si="91"/>
        <v>2256</v>
      </c>
      <c r="N68" s="9">
        <f t="shared" si="87"/>
        <v>125.33333333333333</v>
      </c>
      <c r="O68" s="11">
        <f t="shared" si="88"/>
        <v>0</v>
      </c>
      <c r="P68" s="12">
        <f t="shared" si="89"/>
        <v>-8.0000000000000142</v>
      </c>
      <c r="Q68" s="424">
        <f t="shared" si="92"/>
        <v>0.94</v>
      </c>
      <c r="R68" s="533"/>
      <c r="S68" s="24">
        <v>0.43194444444444441</v>
      </c>
      <c r="T68" s="24">
        <v>0.51180555555555551</v>
      </c>
      <c r="U68" s="422">
        <f t="shared" si="94"/>
        <v>7.9999999999999716</v>
      </c>
      <c r="V68" s="431">
        <f t="shared" si="90"/>
        <v>114.99999999999999</v>
      </c>
      <c r="W68" s="14">
        <f>T68</f>
        <v>0.51180555555555551</v>
      </c>
      <c r="X68" s="14">
        <f>S69</f>
        <v>0.55347222222222214</v>
      </c>
      <c r="Y68" s="528"/>
      <c r="Z68" s="528"/>
      <c r="AA68" s="11">
        <f t="shared" si="2"/>
        <v>-144</v>
      </c>
      <c r="AB68" s="424">
        <f t="shared" si="93"/>
        <v>0.94</v>
      </c>
      <c r="AC68" s="533"/>
    </row>
    <row r="69" spans="1:29" ht="15.75" customHeight="1">
      <c r="A69" s="531" t="s">
        <v>1705</v>
      </c>
      <c r="B69" s="432" t="s">
        <v>24</v>
      </c>
      <c r="C69" s="529" t="s">
        <v>41</v>
      </c>
      <c r="D69" s="529"/>
      <c r="E69" s="26">
        <v>19.02</v>
      </c>
      <c r="F69" s="432">
        <v>4177</v>
      </c>
      <c r="G69" s="422">
        <f t="shared" si="85"/>
        <v>79446.539999999994</v>
      </c>
      <c r="H69" s="434" t="s">
        <v>52</v>
      </c>
      <c r="I69" s="430">
        <v>15</v>
      </c>
      <c r="J69" s="18">
        <v>2400</v>
      </c>
      <c r="K69" s="9">
        <f t="shared" si="95"/>
        <v>160</v>
      </c>
      <c r="L69" s="17">
        <v>15</v>
      </c>
      <c r="M69" s="10">
        <f t="shared" si="91"/>
        <v>2237.6785714285729</v>
      </c>
      <c r="N69" s="9">
        <f t="shared" si="87"/>
        <v>149.17857142857153</v>
      </c>
      <c r="O69" s="11">
        <f t="shared" si="88"/>
        <v>0</v>
      </c>
      <c r="P69" s="12">
        <f t="shared" si="89"/>
        <v>-10.82142857142847</v>
      </c>
      <c r="Q69" s="424">
        <f t="shared" si="92"/>
        <v>0.93236607142857209</v>
      </c>
      <c r="R69" s="533"/>
      <c r="S69" s="24">
        <v>0.55347222222222214</v>
      </c>
      <c r="T69" s="24">
        <v>0.63124999999999987</v>
      </c>
      <c r="U69" s="422">
        <f t="shared" si="94"/>
        <v>59.999999999999943</v>
      </c>
      <c r="V69" s="431">
        <f t="shared" si="90"/>
        <v>111.99999999999991</v>
      </c>
      <c r="W69" s="14"/>
      <c r="X69" s="14"/>
      <c r="Y69" s="528"/>
      <c r="Z69" s="528"/>
      <c r="AA69" s="11">
        <f t="shared" ref="AA69:AA70" si="96">M69-J69</f>
        <v>-162.32142857142708</v>
      </c>
      <c r="AB69" s="424">
        <f t="shared" si="93"/>
        <v>0.93236607142857209</v>
      </c>
      <c r="AC69" s="533"/>
    </row>
    <row r="70" spans="1:29" ht="16.5" customHeight="1">
      <c r="A70" s="532" t="s">
        <v>387</v>
      </c>
      <c r="B70" s="26" t="s">
        <v>82</v>
      </c>
      <c r="C70" s="530"/>
      <c r="D70" s="530"/>
      <c r="E70" s="423"/>
      <c r="F70" s="16"/>
      <c r="G70" s="9"/>
      <c r="H70" s="432"/>
      <c r="I70" s="17">
        <v>16.833333333333332</v>
      </c>
      <c r="J70" s="18">
        <v>2400</v>
      </c>
      <c r="K70" s="9">
        <f t="shared" si="95"/>
        <v>142.57425742574259</v>
      </c>
      <c r="L70" s="17">
        <v>16.833333333333332</v>
      </c>
      <c r="M70" s="10">
        <f>AVERAGE(M64:M69)</f>
        <v>2250.4390244555138</v>
      </c>
      <c r="N70" s="9">
        <f>M70/L70</f>
        <v>133.68944699735727</v>
      </c>
      <c r="O70" s="11">
        <f>L70-I70</f>
        <v>0</v>
      </c>
      <c r="P70" s="12">
        <f>N70-K70</f>
        <v>-8.8848104283853218</v>
      </c>
      <c r="Q70" s="424">
        <f t="shared" si="92"/>
        <v>0.93768292685646404</v>
      </c>
      <c r="R70" s="533"/>
      <c r="S70" s="24"/>
      <c r="T70" s="24"/>
      <c r="U70" s="9"/>
      <c r="V70" s="431"/>
      <c r="W70" s="9"/>
      <c r="X70" s="9"/>
      <c r="Y70" s="528"/>
      <c r="Z70" s="528"/>
      <c r="AA70" s="11">
        <f t="shared" si="96"/>
        <v>-149.56097554448615</v>
      </c>
      <c r="AB70" s="424">
        <f t="shared" si="93"/>
        <v>0.93768292685646415</v>
      </c>
      <c r="AC70" s="533"/>
    </row>
    <row r="71" spans="1:29">
      <c r="D71" s="19"/>
      <c r="E71" s="19"/>
    </row>
  </sheetData>
  <mergeCells count="188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3"/>
    <mergeCell ref="C9:D9"/>
    <mergeCell ref="R9:R13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AC9:AC13"/>
    <mergeCell ref="C10:D10"/>
    <mergeCell ref="Y10:Z10"/>
    <mergeCell ref="C11:D11"/>
    <mergeCell ref="Y11:Z11"/>
    <mergeCell ref="C12:D12"/>
    <mergeCell ref="Y12:Z12"/>
    <mergeCell ref="C13:D13"/>
    <mergeCell ref="Y13:Z13"/>
    <mergeCell ref="AC18:AC24"/>
    <mergeCell ref="C19:D19"/>
    <mergeCell ref="Y19:Z19"/>
    <mergeCell ref="C20:D20"/>
    <mergeCell ref="Y20:Z20"/>
    <mergeCell ref="A14:A17"/>
    <mergeCell ref="C14:D14"/>
    <mergeCell ref="R14:R17"/>
    <mergeCell ref="Y14:Z14"/>
    <mergeCell ref="AC14:AC17"/>
    <mergeCell ref="C15:D15"/>
    <mergeCell ref="Y15:Z15"/>
    <mergeCell ref="C16:D16"/>
    <mergeCell ref="Y16:Z16"/>
    <mergeCell ref="C17:D17"/>
    <mergeCell ref="C21:D21"/>
    <mergeCell ref="Y21:Z21"/>
    <mergeCell ref="C22:D22"/>
    <mergeCell ref="Y22:Z22"/>
    <mergeCell ref="C23:D23"/>
    <mergeCell ref="Y23:Z23"/>
    <mergeCell ref="Y17:Z17"/>
    <mergeCell ref="A18:A24"/>
    <mergeCell ref="C18:D18"/>
    <mergeCell ref="R18:R24"/>
    <mergeCell ref="Y18:Z18"/>
    <mergeCell ref="C24:D24"/>
    <mergeCell ref="Y24:Z24"/>
    <mergeCell ref="A25:A32"/>
    <mergeCell ref="C25:D25"/>
    <mergeCell ref="R25:R32"/>
    <mergeCell ref="Y25:Z25"/>
    <mergeCell ref="Y30:Z30"/>
    <mergeCell ref="C31:D31"/>
    <mergeCell ref="Y31:Z31"/>
    <mergeCell ref="C32:D32"/>
    <mergeCell ref="Y32:Z32"/>
    <mergeCell ref="AC33:AC42"/>
    <mergeCell ref="C34:D34"/>
    <mergeCell ref="Y34:Z34"/>
    <mergeCell ref="C35:D35"/>
    <mergeCell ref="Y35:Z35"/>
    <mergeCell ref="C39:D39"/>
    <mergeCell ref="Y39:Z39"/>
    <mergeCell ref="C40:D40"/>
    <mergeCell ref="Y40:Z40"/>
    <mergeCell ref="C41:D41"/>
    <mergeCell ref="Y41:Z41"/>
    <mergeCell ref="C36:D36"/>
    <mergeCell ref="Y36:Z36"/>
    <mergeCell ref="C37:D37"/>
    <mergeCell ref="Y37:Z37"/>
    <mergeCell ref="C38:D38"/>
    <mergeCell ref="Y38:Z38"/>
    <mergeCell ref="AC25:AC32"/>
    <mergeCell ref="C26:D26"/>
    <mergeCell ref="Y26:Z26"/>
    <mergeCell ref="C27:D27"/>
    <mergeCell ref="Y27:Z27"/>
    <mergeCell ref="C28:D28"/>
    <mergeCell ref="Y28:Z28"/>
    <mergeCell ref="C29:D29"/>
    <mergeCell ref="Y29:Z29"/>
    <mergeCell ref="C30:D30"/>
    <mergeCell ref="C48:D48"/>
    <mergeCell ref="C42:D42"/>
    <mergeCell ref="Y42:Z42"/>
    <mergeCell ref="A43:A50"/>
    <mergeCell ref="C43:D43"/>
    <mergeCell ref="R43:R50"/>
    <mergeCell ref="Y43:Z43"/>
    <mergeCell ref="Y48:Z48"/>
    <mergeCell ref="C49:D49"/>
    <mergeCell ref="Y49:Z49"/>
    <mergeCell ref="C50:D50"/>
    <mergeCell ref="A33:A42"/>
    <mergeCell ref="C33:D33"/>
    <mergeCell ref="R33:R42"/>
    <mergeCell ref="Y33:Z33"/>
    <mergeCell ref="AC57:AC63"/>
    <mergeCell ref="C58:D58"/>
    <mergeCell ref="Y58:Z58"/>
    <mergeCell ref="C59:D59"/>
    <mergeCell ref="Y59:Z59"/>
    <mergeCell ref="Y50:Z50"/>
    <mergeCell ref="A51:A56"/>
    <mergeCell ref="C51:D51"/>
    <mergeCell ref="R51:R56"/>
    <mergeCell ref="Y51:Z51"/>
    <mergeCell ref="AC51:AC56"/>
    <mergeCell ref="C52:D52"/>
    <mergeCell ref="Y52:Z52"/>
    <mergeCell ref="C53:D53"/>
    <mergeCell ref="C56:D56"/>
    <mergeCell ref="AC43:AC50"/>
    <mergeCell ref="C44:D44"/>
    <mergeCell ref="Y44:Z44"/>
    <mergeCell ref="C45:D45"/>
    <mergeCell ref="Y45:Z45"/>
    <mergeCell ref="C46:D46"/>
    <mergeCell ref="Y46:Z46"/>
    <mergeCell ref="C47:D47"/>
    <mergeCell ref="Y47:Z47"/>
    <mergeCell ref="C60:D60"/>
    <mergeCell ref="Y60:Z60"/>
    <mergeCell ref="C61:D61"/>
    <mergeCell ref="Y61:Z61"/>
    <mergeCell ref="C62:D62"/>
    <mergeCell ref="Y62:Z62"/>
    <mergeCell ref="Y56:Z56"/>
    <mergeCell ref="A57:A63"/>
    <mergeCell ref="C57:D57"/>
    <mergeCell ref="R57:R63"/>
    <mergeCell ref="Y57:Z57"/>
    <mergeCell ref="C63:D63"/>
    <mergeCell ref="Y63:Z63"/>
    <mergeCell ref="A64:A70"/>
    <mergeCell ref="C64:D64"/>
    <mergeCell ref="R64:R70"/>
    <mergeCell ref="Y64:Z64"/>
    <mergeCell ref="Y69:Z69"/>
    <mergeCell ref="C70:D70"/>
    <mergeCell ref="Y70:Z70"/>
    <mergeCell ref="AC64:AC70"/>
    <mergeCell ref="C65:D65"/>
    <mergeCell ref="Y65:Z65"/>
    <mergeCell ref="C66:D66"/>
    <mergeCell ref="Y66:Z66"/>
    <mergeCell ref="C67:D67"/>
    <mergeCell ref="Y67:Z67"/>
    <mergeCell ref="C68:D68"/>
    <mergeCell ref="Y68:Z68"/>
    <mergeCell ref="C69:D69"/>
  </mergeCells>
  <phoneticPr fontId="3" type="noConversion"/>
  <conditionalFormatting sqref="O60:O70 O5:O9 O13:O15 O50:O57 O17:O48">
    <cfRule type="cellIs" dxfId="1525" priority="39" operator="greaterThan">
      <formula>0</formula>
    </cfRule>
  </conditionalFormatting>
  <conditionalFormatting sqref="P5:P7 P60:P62 AA60:AA62 P64:P69 P25:P31 P57 P9 P13:P15 P18:P23 P51:P55 P33:P48 AA5:AA57 AA64:AA70">
    <cfRule type="cellIs" dxfId="1524" priority="43" operator="lessThan">
      <formula>0</formula>
    </cfRule>
  </conditionalFormatting>
  <conditionalFormatting sqref="AB60:AB62 Q60:Q70 Q5:Q9 Q13:Q15 Q50:Q57 Q17:Q48 AB5:AB57 AB64:AB70">
    <cfRule type="cellIs" dxfId="1523" priority="40" operator="greaterThan">
      <formula>1</formula>
    </cfRule>
    <cfRule type="cellIs" dxfId="1522" priority="41" operator="lessThan">
      <formula>0.8</formula>
    </cfRule>
  </conditionalFormatting>
  <conditionalFormatting sqref="AC14:AC15 R14:R15 AC60 R17:R40 AC17:AC40 R60:R70 AC5:AC9 R5:R9 R42:R48 AC42:AC48 AC50:AC57 R50:R57">
    <cfRule type="cellIs" dxfId="1521" priority="45" operator="lessThan">
      <formula>0.8</formula>
    </cfRule>
  </conditionalFormatting>
  <conditionalFormatting sqref="AC43">
    <cfRule type="cellIs" dxfId="1520" priority="47" operator="lessThan">
      <formula>0.8</formula>
    </cfRule>
  </conditionalFormatting>
  <conditionalFormatting sqref="AC18:AC23">
    <cfRule type="cellIs" dxfId="1519" priority="44" operator="lessThan">
      <formula>0.8</formula>
    </cfRule>
  </conditionalFormatting>
  <conditionalFormatting sqref="AC25">
    <cfRule type="cellIs" dxfId="1518" priority="46" operator="lessThan">
      <formula>0.8</formula>
    </cfRule>
  </conditionalFormatting>
  <conditionalFormatting sqref="AC33:AC40">
    <cfRule type="cellIs" dxfId="1517" priority="42" operator="lessThan">
      <formula>0.8</formula>
    </cfRule>
  </conditionalFormatting>
  <conditionalFormatting sqref="AA63">
    <cfRule type="cellIs" dxfId="1516" priority="38" operator="lessThan">
      <formula>0</formula>
    </cfRule>
  </conditionalFormatting>
  <conditionalFormatting sqref="AB63">
    <cfRule type="cellIs" dxfId="1515" priority="36" operator="greaterThan">
      <formula>1</formula>
    </cfRule>
    <cfRule type="cellIs" dxfId="1514" priority="37" operator="lessThan">
      <formula>0.8</formula>
    </cfRule>
  </conditionalFormatting>
  <conditionalFormatting sqref="O16">
    <cfRule type="cellIs" dxfId="1513" priority="31" operator="greaterThan">
      <formula>0</formula>
    </cfRule>
  </conditionalFormatting>
  <conditionalFormatting sqref="P16">
    <cfRule type="cellIs" dxfId="1512" priority="34" operator="lessThan">
      <formula>0</formula>
    </cfRule>
  </conditionalFormatting>
  <conditionalFormatting sqref="Q16">
    <cfRule type="cellIs" dxfId="1511" priority="32" operator="greaterThan">
      <formula>1</formula>
    </cfRule>
    <cfRule type="cellIs" dxfId="1510" priority="33" operator="lessThan">
      <formula>0.8</formula>
    </cfRule>
  </conditionalFormatting>
  <conditionalFormatting sqref="R16 AC16">
    <cfRule type="cellIs" dxfId="1509" priority="35" operator="lessThan">
      <formula>0.8</formula>
    </cfRule>
  </conditionalFormatting>
  <conditionalFormatting sqref="O10:O12">
    <cfRule type="cellIs" dxfId="1508" priority="27" operator="greaterThan">
      <formula>0</formula>
    </cfRule>
  </conditionalFormatting>
  <conditionalFormatting sqref="P10:P12">
    <cfRule type="cellIs" dxfId="1507" priority="30" operator="lessThan">
      <formula>0</formula>
    </cfRule>
  </conditionalFormatting>
  <conditionalFormatting sqref="Q10:Q12">
    <cfRule type="cellIs" dxfId="1506" priority="28" operator="greaterThan">
      <formula>1</formula>
    </cfRule>
    <cfRule type="cellIs" dxfId="1505" priority="29" operator="lessThan">
      <formula>0.8</formula>
    </cfRule>
  </conditionalFormatting>
  <conditionalFormatting sqref="R41 AC41">
    <cfRule type="cellIs" dxfId="1504" priority="26" operator="lessThan">
      <formula>0.8</formula>
    </cfRule>
  </conditionalFormatting>
  <conditionalFormatting sqref="AC41">
    <cfRule type="cellIs" dxfId="1503" priority="25" operator="lessThan">
      <formula>0.8</formula>
    </cfRule>
  </conditionalFormatting>
  <conditionalFormatting sqref="O59">
    <cfRule type="cellIs" dxfId="1502" priority="20" operator="greaterThan">
      <formula>0</formula>
    </cfRule>
  </conditionalFormatting>
  <conditionalFormatting sqref="P59 AA59">
    <cfRule type="cellIs" dxfId="1501" priority="23" operator="lessThan">
      <formula>0</formula>
    </cfRule>
  </conditionalFormatting>
  <conditionalFormatting sqref="Q59 AB59">
    <cfRule type="cellIs" dxfId="1500" priority="21" operator="greaterThan">
      <formula>1</formula>
    </cfRule>
    <cfRule type="cellIs" dxfId="1499" priority="22" operator="lessThan">
      <formula>0.8</formula>
    </cfRule>
  </conditionalFormatting>
  <conditionalFormatting sqref="R59 AC59">
    <cfRule type="cellIs" dxfId="1498" priority="24" operator="lessThan">
      <formula>0.8</formula>
    </cfRule>
  </conditionalFormatting>
  <conditionalFormatting sqref="O49">
    <cfRule type="cellIs" dxfId="1497" priority="14" operator="greaterThan">
      <formula>0</formula>
    </cfRule>
  </conditionalFormatting>
  <conditionalFormatting sqref="P49">
    <cfRule type="cellIs" dxfId="1496" priority="18" operator="lessThan">
      <formula>0</formula>
    </cfRule>
  </conditionalFormatting>
  <conditionalFormatting sqref="Q49">
    <cfRule type="cellIs" dxfId="1495" priority="15" operator="greaterThan">
      <formula>1</formula>
    </cfRule>
    <cfRule type="cellIs" dxfId="1494" priority="16" operator="lessThan">
      <formula>0.8</formula>
    </cfRule>
  </conditionalFormatting>
  <conditionalFormatting sqref="R49 AC49">
    <cfRule type="cellIs" dxfId="1493" priority="19" operator="lessThan">
      <formula>0.8</formula>
    </cfRule>
  </conditionalFormatting>
  <conditionalFormatting sqref="AC49">
    <cfRule type="cellIs" dxfId="1492" priority="17" operator="lessThan">
      <formula>0.8</formula>
    </cfRule>
  </conditionalFormatting>
  <conditionalFormatting sqref="O58">
    <cfRule type="cellIs" dxfId="1491" priority="9" operator="greaterThan">
      <formula>0</formula>
    </cfRule>
  </conditionalFormatting>
  <conditionalFormatting sqref="P58 AA58">
    <cfRule type="cellIs" dxfId="1490" priority="12" operator="lessThan">
      <formula>0</formula>
    </cfRule>
  </conditionalFormatting>
  <conditionalFormatting sqref="Q58 AB58">
    <cfRule type="cellIs" dxfId="1489" priority="10" operator="greaterThan">
      <formula>1</formula>
    </cfRule>
    <cfRule type="cellIs" dxfId="1488" priority="11" operator="lessThan">
      <formula>0.8</formula>
    </cfRule>
  </conditionalFormatting>
  <conditionalFormatting sqref="R58 AC58">
    <cfRule type="cellIs" dxfId="1487" priority="13" operator="lessThan">
      <formula>0.8</formula>
    </cfRule>
  </conditionalFormatting>
  <conditionalFormatting sqref="P8">
    <cfRule type="cellIs" dxfId="1486" priority="8" operator="lessThan">
      <formula>0</formula>
    </cfRule>
  </conditionalFormatting>
  <conditionalFormatting sqref="P17">
    <cfRule type="cellIs" dxfId="1485" priority="7" operator="lessThan">
      <formula>0</formula>
    </cfRule>
  </conditionalFormatting>
  <conditionalFormatting sqref="P24">
    <cfRule type="cellIs" dxfId="1484" priority="6" operator="lessThan">
      <formula>0</formula>
    </cfRule>
  </conditionalFormatting>
  <conditionalFormatting sqref="P32">
    <cfRule type="cellIs" dxfId="1483" priority="5" operator="lessThan">
      <formula>0</formula>
    </cfRule>
  </conditionalFormatting>
  <conditionalFormatting sqref="P50">
    <cfRule type="cellIs" dxfId="1482" priority="4" operator="lessThan">
      <formula>0</formula>
    </cfRule>
  </conditionalFormatting>
  <conditionalFormatting sqref="P56">
    <cfRule type="cellIs" dxfId="1481" priority="3" operator="lessThan">
      <formula>0</formula>
    </cfRule>
  </conditionalFormatting>
  <conditionalFormatting sqref="P63">
    <cfRule type="cellIs" dxfId="1480" priority="2" operator="lessThan">
      <formula>0</formula>
    </cfRule>
  </conditionalFormatting>
  <conditionalFormatting sqref="P70">
    <cfRule type="cellIs" dxfId="1479" priority="1" operator="lessThan">
      <formula>0</formula>
    </cfRule>
  </conditionalFormatting>
  <dataValidations count="1">
    <dataValidation type="list" allowBlank="1" showInputMessage="1" showErrorMessage="1" sqref="Z8 Z61:Z62 Y5:Z7 Y8:Y62 Z10:Z57 Y63:Z70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0"/>
  <dimension ref="B1:Q28"/>
  <sheetViews>
    <sheetView zoomScale="80" zoomScaleNormal="80" workbookViewId="0">
      <selection activeCell="C37" sqref="C37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521" t="s">
        <v>1550</v>
      </c>
      <c r="C1" s="521"/>
      <c r="D1" s="521"/>
      <c r="E1" s="521"/>
      <c r="F1" s="521"/>
      <c r="G1" s="521"/>
      <c r="H1" s="521"/>
      <c r="I1" s="521"/>
      <c r="J1" s="521"/>
      <c r="K1" s="28"/>
      <c r="L1" s="28"/>
      <c r="M1" s="28"/>
      <c r="N1" s="28"/>
      <c r="O1" s="28"/>
      <c r="P1" s="28"/>
    </row>
    <row r="2" spans="2:17" ht="27.75" customHeight="1">
      <c r="B2" s="522"/>
      <c r="C2" s="522"/>
      <c r="D2" s="522"/>
      <c r="E2" s="522"/>
      <c r="F2" s="522"/>
      <c r="G2" s="522"/>
      <c r="H2" s="522"/>
      <c r="I2" s="522"/>
      <c r="J2" s="522"/>
      <c r="K2" s="30"/>
      <c r="L2" s="324"/>
      <c r="M2" s="30"/>
      <c r="N2" s="28"/>
      <c r="O2" s="28"/>
      <c r="P2" s="28"/>
    </row>
    <row r="3" spans="2:17" ht="46.5" customHeight="1">
      <c r="B3" s="405" t="s">
        <v>1551</v>
      </c>
      <c r="C3" s="523" t="str">
        <f>TEXT('0826 4度C'!A2,"yyyy.mm.ddaaaa")</f>
        <v>2025.08.26星期二</v>
      </c>
      <c r="D3" s="523"/>
      <c r="E3" s="405" t="s">
        <v>1552</v>
      </c>
      <c r="F3" s="524">
        <f>'0826 4度C'!D1</f>
        <v>166644</v>
      </c>
      <c r="G3" s="524"/>
      <c r="H3" s="405" t="s">
        <v>1553</v>
      </c>
      <c r="I3" s="525">
        <f>'0826 4度C'!F1</f>
        <v>5751890.8200000022</v>
      </c>
      <c r="J3" s="525"/>
      <c r="K3" s="31"/>
      <c r="L3" s="325"/>
      <c r="M3" s="33"/>
      <c r="N3" s="33"/>
    </row>
    <row r="4" spans="2:17" ht="28.5" customHeight="1">
      <c r="B4" s="516" t="s">
        <v>124</v>
      </c>
      <c r="C4" s="516" t="s">
        <v>1554</v>
      </c>
      <c r="D4" s="516"/>
      <c r="E4" s="526" t="s">
        <v>1555</v>
      </c>
      <c r="F4" s="526"/>
      <c r="G4" s="526" t="s">
        <v>1556</v>
      </c>
      <c r="H4" s="526"/>
      <c r="I4" s="527" t="s">
        <v>1557</v>
      </c>
      <c r="J4" s="527"/>
      <c r="L4" s="326"/>
      <c r="M4" s="33"/>
      <c r="N4" s="33"/>
    </row>
    <row r="5" spans="2:17" ht="28.5" customHeight="1">
      <c r="B5" s="516"/>
      <c r="C5" s="516" t="s">
        <v>1558</v>
      </c>
      <c r="D5" s="516"/>
      <c r="E5" s="516" t="s">
        <v>1559</v>
      </c>
      <c r="F5" s="516"/>
      <c r="G5" s="517" t="s">
        <v>1560</v>
      </c>
      <c r="H5" s="517"/>
      <c r="I5" s="518" t="s">
        <v>1561</v>
      </c>
      <c r="J5" s="518"/>
      <c r="K5" s="33"/>
      <c r="L5" s="326"/>
      <c r="M5" s="33"/>
      <c r="N5" s="33"/>
    </row>
    <row r="6" spans="2:17" ht="28.5" customHeight="1">
      <c r="B6" s="516"/>
      <c r="C6" s="516" t="s">
        <v>43</v>
      </c>
      <c r="D6" s="516"/>
      <c r="E6" s="519">
        <f>AVERAGE(D13:M13)</f>
        <v>145.46807212792109</v>
      </c>
      <c r="F6" s="516">
        <f>AVERAGE(D27:O27,D13:J13)</f>
        <v>149.1830091275672</v>
      </c>
      <c r="G6" s="520">
        <f>AVERAGE(D13:J13)</f>
        <v>149.1830091275672</v>
      </c>
      <c r="H6" s="520"/>
      <c r="I6" s="520">
        <f>AVERAGE(K13:M13)</f>
        <v>136.79988579541345</v>
      </c>
      <c r="J6" s="520"/>
      <c r="K6" s="33"/>
      <c r="L6" s="326"/>
      <c r="M6" s="33"/>
      <c r="N6" s="33"/>
    </row>
    <row r="7" spans="2:17" ht="28.5" customHeight="1">
      <c r="B7" s="516"/>
      <c r="C7" s="510" t="s">
        <v>44</v>
      </c>
      <c r="D7" s="510"/>
      <c r="E7" s="511">
        <f>AVERAGE(D14:M14)</f>
        <v>136.42959903879577</v>
      </c>
      <c r="F7" s="512">
        <f>AVERAGE(D28:O28,D14:J14)</f>
        <v>140.07230993602431</v>
      </c>
      <c r="G7" s="513">
        <f>AVERAGE(D14:J14)</f>
        <v>140.07230993602431</v>
      </c>
      <c r="H7" s="513"/>
      <c r="I7" s="513">
        <f>AVERAGE(K14:M14)</f>
        <v>127.92994027859591</v>
      </c>
      <c r="J7" s="513"/>
      <c r="K7" s="33"/>
      <c r="L7" s="326"/>
      <c r="M7" s="33"/>
      <c r="N7" s="33"/>
    </row>
    <row r="8" spans="2:17" ht="28.5" customHeight="1">
      <c r="B8" s="516"/>
      <c r="C8" s="510" t="s">
        <v>45</v>
      </c>
      <c r="D8" s="510"/>
      <c r="E8" s="514">
        <f>AVERAGE(D15:M15)</f>
        <v>0.93774810894749872</v>
      </c>
      <c r="F8" s="510">
        <f>AVERAGE(D15:J15,D29:O29)</f>
        <v>0.93883726546219071</v>
      </c>
      <c r="G8" s="515">
        <f>AVERAGE(D15:J15)</f>
        <v>0.93883726546219071</v>
      </c>
      <c r="H8" s="515"/>
      <c r="I8" s="515">
        <f>AVERAGE(K15:M15)</f>
        <v>0.93520674374655011</v>
      </c>
      <c r="J8" s="515"/>
      <c r="K8" s="34" t="s">
        <v>1562</v>
      </c>
      <c r="L8" s="326"/>
      <c r="M8" s="33"/>
      <c r="N8" s="33"/>
    </row>
    <row r="9" spans="2:17" ht="28.5" customHeight="1" thickBot="1">
      <c r="H9" s="36"/>
      <c r="I9" s="291"/>
      <c r="L9" s="291"/>
      <c r="N9" s="33"/>
      <c r="O9" s="33"/>
      <c r="P9" s="33"/>
      <c r="Q9" s="33"/>
    </row>
    <row r="10" spans="2:17" ht="30" customHeight="1">
      <c r="B10" s="501" t="s">
        <v>127</v>
      </c>
      <c r="C10" s="502"/>
      <c r="D10" s="503" t="s">
        <v>1563</v>
      </c>
      <c r="E10" s="504"/>
      <c r="F10" s="504"/>
      <c r="G10" s="504"/>
      <c r="H10" s="504"/>
      <c r="I10" s="504"/>
      <c r="J10" s="505"/>
      <c r="K10" s="506" t="s">
        <v>1564</v>
      </c>
      <c r="L10" s="504"/>
      <c r="M10" s="507"/>
      <c r="P10" s="37"/>
      <c r="Q10" s="37"/>
    </row>
    <row r="11" spans="2:17" ht="17.25" customHeight="1">
      <c r="B11" s="493" t="s">
        <v>1565</v>
      </c>
      <c r="C11" s="494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292">
        <v>6</v>
      </c>
      <c r="J11" s="40">
        <v>7</v>
      </c>
      <c r="K11" s="38">
        <v>1</v>
      </c>
      <c r="L11" s="292">
        <v>2</v>
      </c>
      <c r="M11" s="40">
        <v>3</v>
      </c>
      <c r="P11" s="37"/>
      <c r="Q11" s="37"/>
    </row>
    <row r="12" spans="2:17" ht="34.15" customHeight="1">
      <c r="B12" s="493"/>
      <c r="C12" s="494"/>
      <c r="D12" s="41" t="s">
        <v>345</v>
      </c>
      <c r="E12" s="42" t="s">
        <v>346</v>
      </c>
      <c r="F12" s="42" t="s">
        <v>347</v>
      </c>
      <c r="G12" s="42" t="s">
        <v>348</v>
      </c>
      <c r="H12" s="42" t="s">
        <v>349</v>
      </c>
      <c r="I12" s="293" t="s">
        <v>350</v>
      </c>
      <c r="J12" s="43" t="s">
        <v>351</v>
      </c>
      <c r="K12" s="41" t="s">
        <v>352</v>
      </c>
      <c r="L12" s="293" t="s">
        <v>353</v>
      </c>
      <c r="M12" s="43" t="s">
        <v>354</v>
      </c>
    </row>
    <row r="13" spans="2:17" ht="40.15" customHeight="1">
      <c r="B13" s="508" t="s">
        <v>1566</v>
      </c>
      <c r="C13" s="44" t="s">
        <v>1567</v>
      </c>
      <c r="D13" s="45">
        <f>SUMIFS('0826 4度C'!$K:$K,'0826 4度C'!$A:$A,"新豐6線",'0826 4度C'!$B:$B,"平均")</f>
        <v>117.64705882352941</v>
      </c>
      <c r="E13" s="46">
        <f>SUMIFS('0826 4度C'!$K:$K,'0826 4度C'!$A:$A,"新豐2線",'0826 4度C'!$B:$B,"平均")</f>
        <v>83.333333333333329</v>
      </c>
      <c r="F13" s="47">
        <f>SUMIFS('0826 4度C'!$K:$K,'0826 4度C'!$A:$A,"新豐5線",'0826 4度C'!$B:$B,"平均")</f>
        <v>93.220338983050837</v>
      </c>
      <c r="G13" s="47">
        <f>SUMIFS('0826 4度C'!$K:$K,'0826 4度C'!$A:$A,"新豐7線",'0826 4度C'!$B:$B,"平均")</f>
        <v>116.50485436893203</v>
      </c>
      <c r="H13" s="47">
        <f>SUMIFS('0826 4度C'!$K:$K,'0826 4度C'!$A:$A,"新豐3線",'0826 4度C'!$B:$B,"平均")</f>
        <v>300</v>
      </c>
      <c r="I13" s="294">
        <f>SUMIFS('0826 4度C'!$K:$K,'0826 4度C'!$A:$A,"新豐1線",'0826 4度C'!$B:$B,"平均")</f>
        <v>114.4578313253012</v>
      </c>
      <c r="J13" s="48">
        <f>SUMIFS('0826 4度C'!$K:$K,'0826 4度C'!$A:$A,"新豐10線",'0826 4度C'!$B:$B,"平均")</f>
        <v>219.11764705882354</v>
      </c>
      <c r="K13" s="49">
        <f>SUMIFS('0826 4度C'!$K:$K,'0826 4度C'!$A:$A,"新豐8線",'0826 4度C'!$B:$B,"平均")</f>
        <v>137.70491803278691</v>
      </c>
      <c r="L13" s="301">
        <f>SUMIFS('0826 4度C'!$K:$K,'0826 4度C'!$A:$A,"新豐9線",'0826 4度C'!$B:$B,"平均")</f>
        <v>130.12048192771084</v>
      </c>
      <c r="M13" s="48">
        <f>SUMIFS('0826 4度C'!$K:$K,'0826 4度C'!$A:$A,"新豐4線",'0826 4度C'!$B:$B,"平均")</f>
        <v>142.57425742574259</v>
      </c>
    </row>
    <row r="14" spans="2:17" ht="39.6" customHeight="1">
      <c r="B14" s="508"/>
      <c r="C14" s="51" t="s">
        <v>196</v>
      </c>
      <c r="D14" s="52">
        <f>SUMIFS('0826 4度C'!$N:$N,'0826 4度C'!$A:$A,"新豐6線",'0826 4度C'!$B:$B,"平均")</f>
        <v>110.73795315227542</v>
      </c>
      <c r="E14" s="53">
        <f>SUMIFS('0826 4度C'!$N:$N,'0826 4度C'!$A:$A,"新豐2線",'0826 4度C'!$B:$B,"平均")</f>
        <v>77.824929170752966</v>
      </c>
      <c r="F14" s="53">
        <f>SUMIFS('0826 4度C'!$N:$N,'0826 4度C'!$A:$A,"新豐5線",'0826 4度C'!$B:$B,"平均")</f>
        <v>87.339093110279549</v>
      </c>
      <c r="G14" s="53">
        <f>SUMIFS('0826 4度C'!$N:$N,'0826 4度C'!$A:$A,"新豐7線",'0826 4度C'!$B:$B,"平均")</f>
        <v>110.24939838819368</v>
      </c>
      <c r="H14" s="53">
        <f>SUMIFS('0826 4度C'!$N:$N,'0826 4度C'!$A:$A,"新豐3線",'0826 4度C'!$B:$B,"平均")</f>
        <v>281.25142678944019</v>
      </c>
      <c r="I14" s="295">
        <f>SUMIFS('0826 4度C'!$N:$N,'0826 4度C'!$A:$A,"新豐1線",'0826 4度C'!$B:$B,"平均")</f>
        <v>107.12428660115479</v>
      </c>
      <c r="J14" s="54">
        <f>SUMIFS('0826 4度C'!$N:$N,'0826 4度C'!$A:$A,"新豐10線",'0826 4度C'!$B:$B,"平均")</f>
        <v>205.97908234007366</v>
      </c>
      <c r="K14" s="55">
        <f>SUMIFS('0826 4度C'!$N:$N,'0826 4度C'!$A:$A,"新豐8線",'0826 4度C'!$B:$B,"平均")</f>
        <v>128.93296019671735</v>
      </c>
      <c r="L14" s="302">
        <f>SUMIFS('0826 4度C'!$N:$N,'0826 4度C'!$A:$A,"新豐9線",'0826 4度C'!$B:$B,"平均")</f>
        <v>121.82943802665375</v>
      </c>
      <c r="M14" s="54">
        <f>SUMIFS('0826 4度C'!$N:$N,'0826 4度C'!$A:$A,"新豐4線",'0826 4度C'!$B:$B,"平均")</f>
        <v>133.02742261241667</v>
      </c>
    </row>
    <row r="15" spans="2:17" ht="40.15" customHeight="1">
      <c r="B15" s="508"/>
      <c r="C15" s="57" t="s">
        <v>1568</v>
      </c>
      <c r="D15" s="58">
        <f t="shared" ref="D15:M15" si="0">D14/D13</f>
        <v>0.94127260179434113</v>
      </c>
      <c r="E15" s="59">
        <f t="shared" si="0"/>
        <v>0.93389915004903568</v>
      </c>
      <c r="F15" s="59">
        <f t="shared" si="0"/>
        <v>0.93691027154663531</v>
      </c>
      <c r="G15" s="59">
        <f t="shared" si="0"/>
        <v>0.94630733616532914</v>
      </c>
      <c r="H15" s="59">
        <f t="shared" si="0"/>
        <v>0.93750475596480065</v>
      </c>
      <c r="I15" s="296">
        <f t="shared" si="0"/>
        <v>0.9359279776732472</v>
      </c>
      <c r="J15" s="60">
        <f t="shared" si="0"/>
        <v>0.94003876504194683</v>
      </c>
      <c r="K15" s="58">
        <f t="shared" si="0"/>
        <v>0.93629887761901864</v>
      </c>
      <c r="L15" s="296">
        <f t="shared" si="0"/>
        <v>0.93628179224187602</v>
      </c>
      <c r="M15" s="60">
        <f t="shared" si="0"/>
        <v>0.93303956137875577</v>
      </c>
    </row>
    <row r="16" spans="2:17" ht="17.25" customHeight="1">
      <c r="B16" s="509" t="s">
        <v>1569</v>
      </c>
      <c r="C16" s="406" t="s">
        <v>1570</v>
      </c>
      <c r="D16" s="61">
        <f>VLOOKUP("新豐6線",'0826 4度C'!$A:$T,19,0)</f>
        <v>0.70833333333333337</v>
      </c>
      <c r="E16" s="24">
        <f>VLOOKUP("新豐2線",'0826 4度C'!$A:$T,19,0)</f>
        <v>0.125</v>
      </c>
      <c r="F16" s="24">
        <f>VLOOKUP("新豐5線",'0826 4度C'!$A:$T,19,0)</f>
        <v>0.25</v>
      </c>
      <c r="G16" s="24">
        <f>VLOOKUP("新豐7線",'0826 4度C'!$A:$T,19,0)</f>
        <v>0.20833333333333334</v>
      </c>
      <c r="H16" s="24">
        <f>VLOOKUP("新豐3線",'0826 4度C'!$A:$T,19,0)</f>
        <v>0.125</v>
      </c>
      <c r="I16" s="297">
        <f>VLOOKUP("新豐1線",'0826 4度C'!$A:$T,19,0)</f>
        <v>0.29166666666666669</v>
      </c>
      <c r="J16" s="62">
        <f>VLOOKUP("新豐10線",'0826 4度C'!$A:$T,19,0)</f>
        <v>0.125</v>
      </c>
      <c r="K16" s="63">
        <f>VLOOKUP("新豐8線",'0826 4度C'!$A:$T,19,0)</f>
        <v>0.125</v>
      </c>
      <c r="L16" s="303">
        <f>VLOOKUP("新豐9線",'0826 4度C'!$A:$T,19,0)</f>
        <v>0.125</v>
      </c>
      <c r="M16" s="65">
        <f>VLOOKUP("新豐4線",'0826 4度C'!$A:$T,19,0)</f>
        <v>0.125</v>
      </c>
    </row>
    <row r="17" spans="2:13" ht="17.25" customHeight="1">
      <c r="B17" s="493"/>
      <c r="C17" s="406" t="s">
        <v>1571</v>
      </c>
      <c r="D17" s="63">
        <f>LOOKUP(2,1/(('0826 4度C'!$A:$A="新豐6線")*('0826 4度C'!$T:$T&lt;&gt;"")),'0826 4度C'!$T:$T)</f>
        <v>0.82986111111111105</v>
      </c>
      <c r="E17" s="24">
        <f>LOOKUP(2,1/(('0826 4度C'!$A:$A="新豐2線")*('0826 4度C'!$T:$T&lt;&gt;"")),'0826 4度C'!$T:$T)</f>
        <v>0.64722222222222225</v>
      </c>
      <c r="F17" s="24">
        <f>LOOKUP(2,1/(('0826 4度C'!$A:$A="新豐5線")*('0826 4度C'!$T:$T&lt;&gt;"")),'0826 4度C'!$T:$T)</f>
        <v>0.84444444444444444</v>
      </c>
      <c r="G17" s="24">
        <f>LOOKUP(2,1/(('0826 4度C'!$A:$A="新豐7線")*('0826 4度C'!$T:$T&lt;&gt;"")),'0826 4度C'!$T:$T)</f>
        <v>0.80347222222222214</v>
      </c>
      <c r="H17" s="24">
        <f>LOOKUP(2,1/(('0826 4度C'!$A:$A="新豐3線")*('0826 4度C'!$T:$T&lt;&gt;"")),'0826 4度C'!$T:$T)</f>
        <v>0.50694444444444442</v>
      </c>
      <c r="I17" s="297">
        <f>LOOKUP(2,1/(('0826 4度C'!$A:$A="新豐1線")*('0826 4度C'!$T:$T&lt;&gt;"")),'0826 4度C'!$T:$T)</f>
        <v>0.85138888888888886</v>
      </c>
      <c r="J17" s="62">
        <f>LOOKUP(2,1/(('0826 4度C'!$A:$A="新豐10線")*('0826 4度C'!$T:$T&lt;&gt;"")),'0826 4度C'!$T:$T)</f>
        <v>0.43680555555555556</v>
      </c>
      <c r="K17" s="61">
        <f>LOOKUP(2,1/(('0826 4度C'!$A:$A="新豐8線")*('0826 4度C'!$T:$T&lt;&gt;"")),'0826 4度C'!$T:$T)</f>
        <v>0.65</v>
      </c>
      <c r="L17" s="297">
        <f>LOOKUP(2,1/(('0826 4度C'!$A:$A="新豐9線")*('0826 4度C'!$T:$T&lt;&gt;"")),'0826 4度C'!$T:$T)</f>
        <v>0.72569444444444431</v>
      </c>
      <c r="M17" s="62">
        <f>LOOKUP(2,1/(('0826 4度C'!$A:$A="新豐4線")*('0826 4度C'!$T:$T&lt;&gt;"")),'0826 4度C'!$T:$T)</f>
        <v>0.64236111111111105</v>
      </c>
    </row>
    <row r="18" spans="2:13" ht="17.25" customHeight="1">
      <c r="B18" s="493" t="s">
        <v>1572</v>
      </c>
      <c r="C18" s="494"/>
      <c r="D18" s="66">
        <f>SUMIFS('0826 4度C'!$I:$I,'0826 4度C'!$A:$A,"新豐6線",'0826 4度C'!$B:$B,"平均")</f>
        <v>17</v>
      </c>
      <c r="E18" s="67">
        <f>SUMIFS('0826 4度C'!$I:$I,'0826 4度C'!$A:$A,"新豐2線",'0826 4度C'!$B:$B,"平均")</f>
        <v>18</v>
      </c>
      <c r="F18" s="67">
        <f>SUMIFS('0826 4度C'!$I:$I,'0826 4度C'!$A:$A,"新豐5線",'0826 4度C'!$B:$B,"平均")</f>
        <v>19.666666666666668</v>
      </c>
      <c r="G18" s="67">
        <f>SUMIFS('0826 4度C'!$I:$I,'0826 4度C'!$A:$A,"新豐7線",'0826 4度C'!$B:$B,"平均")</f>
        <v>17.166666666666668</v>
      </c>
      <c r="H18" s="67">
        <f>SUMIFS('0826 4度C'!$I:$I,'0826 4度C'!$A:$A,"新豐3線",'0826 4度C'!$B:$B,"平均")</f>
        <v>10</v>
      </c>
      <c r="I18" s="298">
        <f>SUMIFS('0826 4度C'!$I:$I,'0826 4度C'!$A:$A,"新豐1線",'0826 4度C'!$B:$B,"平均")</f>
        <v>16.600000000000001</v>
      </c>
      <c r="J18" s="68">
        <f>SUMIFS('0826 4度C'!$I:$I,'0826 4度C'!$A:$A,"新豐10線",'0826 4度C'!$B:$B,"平均")</f>
        <v>11.333333333333334</v>
      </c>
      <c r="K18" s="66">
        <f>SUMIFS('0826 4度C'!$I:$I,'0826 4度C'!$A:$A,"新豐8線",'0826 4度C'!$B:$B,"平均")</f>
        <v>17.428571428571427</v>
      </c>
      <c r="L18" s="298">
        <f>SUMIFS('0826 4度C'!$I:$I,'0826 4度C'!$A:$A,"新豐9線",'0826 4度C'!$B:$B,"平均")</f>
        <v>18.444444444444443</v>
      </c>
      <c r="M18" s="68">
        <f>SUMIFS('0826 4度C'!$I:$I,'0826 4度C'!$A:$A,"新豐4線",'0826 4度C'!$B:$B,"平均")</f>
        <v>16.833333333333332</v>
      </c>
    </row>
    <row r="19" spans="2:13" ht="17.25" customHeight="1">
      <c r="B19" s="495" t="s">
        <v>1573</v>
      </c>
      <c r="C19" s="496"/>
      <c r="D19" s="69" t="s">
        <v>46</v>
      </c>
      <c r="E19" s="70" t="s">
        <v>47</v>
      </c>
      <c r="F19" s="70" t="s">
        <v>1574</v>
      </c>
      <c r="G19" s="70" t="s">
        <v>1574</v>
      </c>
      <c r="H19" s="70" t="s">
        <v>48</v>
      </c>
      <c r="I19" s="299" t="s">
        <v>46</v>
      </c>
      <c r="J19" s="71" t="s">
        <v>48</v>
      </c>
      <c r="K19" s="69" t="s">
        <v>1575</v>
      </c>
      <c r="L19" s="299" t="s">
        <v>1575</v>
      </c>
      <c r="M19" s="71" t="s">
        <v>1575</v>
      </c>
    </row>
    <row r="20" spans="2:13" ht="17.25" customHeight="1">
      <c r="B20" s="495" t="s">
        <v>1576</v>
      </c>
      <c r="C20" s="496"/>
      <c r="D20" s="69"/>
      <c r="E20" s="70"/>
      <c r="F20" s="70" t="s">
        <v>1577</v>
      </c>
      <c r="G20" s="70" t="s">
        <v>46</v>
      </c>
      <c r="H20" s="70"/>
      <c r="I20" s="299"/>
      <c r="J20" s="71"/>
      <c r="K20" s="69"/>
      <c r="L20" s="299"/>
      <c r="M20" s="71"/>
    </row>
    <row r="21" spans="2:13" ht="17.25" customHeight="1" thickBot="1">
      <c r="B21" s="497" t="s">
        <v>1578</v>
      </c>
      <c r="C21" s="498"/>
      <c r="D21" s="72"/>
      <c r="E21" s="73" t="s">
        <v>1579</v>
      </c>
      <c r="F21" s="499" t="s">
        <v>1580</v>
      </c>
      <c r="G21" s="500"/>
      <c r="H21" s="73" t="s">
        <v>1581</v>
      </c>
      <c r="I21" s="300" t="s">
        <v>1582</v>
      </c>
      <c r="J21" s="74" t="s">
        <v>1581</v>
      </c>
      <c r="K21" s="75"/>
      <c r="L21" s="300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1478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1">
    <pageSetUpPr fitToPage="1"/>
  </sheetPr>
  <dimension ref="A1:AC71"/>
  <sheetViews>
    <sheetView zoomScale="80" zoomScaleNormal="80" workbookViewId="0">
      <pane ySplit="4" topLeftCell="A23" activePane="bottomLeft" state="frozen"/>
      <selection activeCell="C37" sqref="C37:D37"/>
      <selection pane="bottomLeft" activeCell="J30" sqref="J30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1583</v>
      </c>
      <c r="B1" s="1"/>
      <c r="C1" s="2" t="s">
        <v>1584</v>
      </c>
      <c r="D1" s="3">
        <f>SUM(F5:F70)</f>
        <v>166644</v>
      </c>
      <c r="E1" s="408" t="s">
        <v>1585</v>
      </c>
      <c r="F1" s="1">
        <f>SUM(G5:G70)</f>
        <v>5751890.8200000022</v>
      </c>
      <c r="G1" s="1" t="s">
        <v>1586</v>
      </c>
      <c r="H1" s="4">
        <f>L8+L13+L50+L56+L17+L63+L32+L42+L24+L70</f>
        <v>162.47301587301587</v>
      </c>
      <c r="I1" s="572" t="s">
        <v>1587</v>
      </c>
      <c r="J1" s="572"/>
      <c r="K1" s="572"/>
      <c r="L1" s="572" t="s">
        <v>1588</v>
      </c>
      <c r="M1" s="572"/>
      <c r="N1" s="572"/>
      <c r="O1" s="572" t="s">
        <v>1589</v>
      </c>
      <c r="P1" s="572"/>
      <c r="Q1" s="572"/>
      <c r="R1" s="572"/>
      <c r="S1" s="572" t="s">
        <v>1590</v>
      </c>
      <c r="T1" s="572"/>
      <c r="U1" s="572"/>
      <c r="V1" s="572"/>
      <c r="W1" s="572"/>
      <c r="X1" s="572"/>
      <c r="Y1" s="572" t="s">
        <v>1591</v>
      </c>
      <c r="Z1" s="572"/>
      <c r="AA1" s="572" t="s">
        <v>1592</v>
      </c>
      <c r="AB1" s="573"/>
      <c r="AC1" s="573"/>
    </row>
    <row r="2" spans="1:29" ht="26.25" customHeight="1">
      <c r="A2" s="22">
        <v>45895</v>
      </c>
      <c r="B2" s="23" t="s">
        <v>322</v>
      </c>
      <c r="C2" s="2" t="s">
        <v>1566</v>
      </c>
      <c r="D2" s="6">
        <f>AVERAGE(N8,N13,N50,N56,N17,N63,N24,N32,N42,N70)</f>
        <v>136.42959903879577</v>
      </c>
      <c r="E2" s="7" t="s">
        <v>0</v>
      </c>
      <c r="F2" s="8">
        <f>F1/D1</f>
        <v>34.516039101317794</v>
      </c>
      <c r="G2" s="1" t="s">
        <v>1593</v>
      </c>
      <c r="H2" s="407">
        <f>COUNT(H5:H70)</f>
        <v>7</v>
      </c>
      <c r="I2" s="572"/>
      <c r="J2" s="572"/>
      <c r="K2" s="572"/>
      <c r="L2" s="572"/>
      <c r="M2" s="572"/>
      <c r="N2" s="572"/>
      <c r="O2" s="572"/>
      <c r="P2" s="572"/>
      <c r="Q2" s="572"/>
      <c r="R2" s="572"/>
      <c r="S2" s="572"/>
      <c r="T2" s="572"/>
      <c r="U2" s="572"/>
      <c r="V2" s="572"/>
      <c r="W2" s="572"/>
      <c r="X2" s="572"/>
      <c r="Y2" s="572"/>
      <c r="Z2" s="572"/>
      <c r="AA2" s="573"/>
      <c r="AB2" s="573"/>
      <c r="AC2" s="573"/>
    </row>
    <row r="3" spans="1:29" ht="23.25" customHeight="1">
      <c r="A3" s="528" t="s">
        <v>1594</v>
      </c>
      <c r="B3" s="528" t="s">
        <v>1595</v>
      </c>
      <c r="C3" s="528" t="s">
        <v>1596</v>
      </c>
      <c r="D3" s="528"/>
      <c r="E3" s="570" t="s">
        <v>1597</v>
      </c>
      <c r="F3" s="528" t="s">
        <v>1598</v>
      </c>
      <c r="G3" s="570" t="s">
        <v>1599</v>
      </c>
      <c r="H3" s="563" t="s">
        <v>1600</v>
      </c>
      <c r="I3" s="561" t="s">
        <v>1601</v>
      </c>
      <c r="J3" s="566" t="s">
        <v>1602</v>
      </c>
      <c r="K3" s="568" t="s">
        <v>1566</v>
      </c>
      <c r="L3" s="561" t="s">
        <v>1601</v>
      </c>
      <c r="M3" s="566" t="s">
        <v>1602</v>
      </c>
      <c r="N3" s="568" t="s">
        <v>1566</v>
      </c>
      <c r="O3" s="561" t="s">
        <v>1601</v>
      </c>
      <c r="P3" s="568" t="s">
        <v>1566</v>
      </c>
      <c r="Q3" s="567" t="s">
        <v>1603</v>
      </c>
      <c r="R3" s="542" t="s">
        <v>1604</v>
      </c>
      <c r="S3" s="569" t="s">
        <v>1</v>
      </c>
      <c r="T3" s="569"/>
      <c r="U3" s="563" t="s">
        <v>2</v>
      </c>
      <c r="V3" s="563" t="s">
        <v>1605</v>
      </c>
      <c r="W3" s="528" t="s">
        <v>1606</v>
      </c>
      <c r="X3" s="528"/>
      <c r="Y3" s="564" t="s">
        <v>1607</v>
      </c>
      <c r="Z3" s="565"/>
      <c r="AA3" s="566" t="s">
        <v>1608</v>
      </c>
      <c r="AB3" s="567" t="s">
        <v>1609</v>
      </c>
      <c r="AC3" s="542" t="s">
        <v>1610</v>
      </c>
    </row>
    <row r="4" spans="1:29">
      <c r="A4" s="528"/>
      <c r="B4" s="528"/>
      <c r="C4" s="528"/>
      <c r="D4" s="528"/>
      <c r="E4" s="571"/>
      <c r="F4" s="528"/>
      <c r="G4" s="571"/>
      <c r="H4" s="563"/>
      <c r="I4" s="561"/>
      <c r="J4" s="566"/>
      <c r="K4" s="568"/>
      <c r="L4" s="561"/>
      <c r="M4" s="566"/>
      <c r="N4" s="568"/>
      <c r="O4" s="561"/>
      <c r="P4" s="568"/>
      <c r="Q4" s="567"/>
      <c r="R4" s="542"/>
      <c r="S4" s="410" t="s">
        <v>3</v>
      </c>
      <c r="T4" s="410" t="s">
        <v>4</v>
      </c>
      <c r="U4" s="563"/>
      <c r="V4" s="563"/>
      <c r="W4" s="408" t="s">
        <v>1611</v>
      </c>
      <c r="X4" s="408" t="s">
        <v>1612</v>
      </c>
      <c r="Y4" s="565"/>
      <c r="Z4" s="565"/>
      <c r="AA4" s="566"/>
      <c r="AB4" s="567"/>
      <c r="AC4" s="542"/>
    </row>
    <row r="5" spans="1:29">
      <c r="A5" s="560" t="s">
        <v>1613</v>
      </c>
      <c r="B5" s="26" t="s">
        <v>13</v>
      </c>
      <c r="C5" s="562" t="s">
        <v>53</v>
      </c>
      <c r="D5" s="562"/>
      <c r="E5" s="26">
        <v>46.93</v>
      </c>
      <c r="F5" s="410">
        <v>948</v>
      </c>
      <c r="G5" s="408">
        <f>E5*F5</f>
        <v>44489.64</v>
      </c>
      <c r="H5" s="419" t="s">
        <v>52</v>
      </c>
      <c r="I5" s="409">
        <v>17</v>
      </c>
      <c r="J5" s="18">
        <v>2000</v>
      </c>
      <c r="K5" s="9">
        <f>J5/I5</f>
        <v>117.64705882352941</v>
      </c>
      <c r="L5" s="409">
        <v>17</v>
      </c>
      <c r="M5" s="10">
        <f>F5/V5*60</f>
        <v>1895.9999999999966</v>
      </c>
      <c r="N5" s="9">
        <f>M5/L5</f>
        <v>111.52941176470569</v>
      </c>
      <c r="O5" s="11">
        <f t="shared" ref="O5:O7" si="0">L5-I5</f>
        <v>0</v>
      </c>
      <c r="P5" s="12">
        <f t="shared" ref="P5:P7" si="1">N5-K5</f>
        <v>-6.1176470588237208</v>
      </c>
      <c r="Q5" s="413">
        <f>N5/K5</f>
        <v>0.9479999999999984</v>
      </c>
      <c r="R5" s="533">
        <f>Q8</f>
        <v>0.94127260179434113</v>
      </c>
      <c r="S5" s="24">
        <v>0.70833333333333337</v>
      </c>
      <c r="T5" s="24">
        <v>0.72916666666666674</v>
      </c>
      <c r="U5" s="408"/>
      <c r="V5" s="411">
        <f>(T5-S5)*24*60</f>
        <v>30.000000000000053</v>
      </c>
      <c r="W5" s="14"/>
      <c r="X5" s="13"/>
      <c r="Y5" s="528"/>
      <c r="Z5" s="528"/>
      <c r="AA5" s="11">
        <f t="shared" ref="AA5:AA68" si="2">M5-J5</f>
        <v>-104.00000000000341</v>
      </c>
      <c r="AB5" s="413">
        <f t="shared" ref="AB5:AB7" si="3">M5/J5</f>
        <v>0.94799999999999829</v>
      </c>
      <c r="AC5" s="533">
        <f>AB8</f>
        <v>0.94127260179434113</v>
      </c>
    </row>
    <row r="6" spans="1:29">
      <c r="A6" s="561" t="s">
        <v>1614</v>
      </c>
      <c r="B6" s="26" t="s">
        <v>13</v>
      </c>
      <c r="C6" s="562" t="s">
        <v>55</v>
      </c>
      <c r="D6" s="562"/>
      <c r="E6" s="26">
        <v>50.49</v>
      </c>
      <c r="F6" s="410">
        <v>2148</v>
      </c>
      <c r="G6" s="408">
        <f t="shared" ref="G6:G7" si="4">E6*F6</f>
        <v>108452.52</v>
      </c>
      <c r="H6" s="419" t="s">
        <v>52</v>
      </c>
      <c r="I6" s="409">
        <v>16</v>
      </c>
      <c r="J6" s="18">
        <v>2000</v>
      </c>
      <c r="K6" s="9">
        <f t="shared" ref="K6:K7" si="5">J6/I6</f>
        <v>125</v>
      </c>
      <c r="L6" s="409">
        <v>16</v>
      </c>
      <c r="M6" s="10">
        <f>F6/V6*60</f>
        <v>1867.826086956524</v>
      </c>
      <c r="N6" s="9">
        <f t="shared" ref="N6:N7" si="6">M6/L6</f>
        <v>116.73913043478275</v>
      </c>
      <c r="O6" s="11">
        <f t="shared" si="0"/>
        <v>0</v>
      </c>
      <c r="P6" s="12">
        <f t="shared" si="1"/>
        <v>-8.2608695652172486</v>
      </c>
      <c r="Q6" s="413">
        <f t="shared" ref="Q6:Q7" si="7">N6/K6</f>
        <v>0.93391304347826198</v>
      </c>
      <c r="R6" s="533"/>
      <c r="S6" s="24">
        <v>0.73333333333333339</v>
      </c>
      <c r="T6" s="24">
        <v>0.78125</v>
      </c>
      <c r="U6" s="408">
        <f>(S6-T5)*24*60</f>
        <v>5.9999999999999787</v>
      </c>
      <c r="V6" s="411">
        <f>(T6-S6)*24*60</f>
        <v>68.999999999999915</v>
      </c>
      <c r="W6" s="14"/>
      <c r="X6" s="14"/>
      <c r="Y6" s="528"/>
      <c r="Z6" s="528"/>
      <c r="AA6" s="11">
        <f t="shared" si="2"/>
        <v>-132.17391304347598</v>
      </c>
      <c r="AB6" s="413">
        <f t="shared" si="3"/>
        <v>0.93391304347826198</v>
      </c>
      <c r="AC6" s="533"/>
    </row>
    <row r="7" spans="1:29">
      <c r="A7" s="561" t="s">
        <v>1614</v>
      </c>
      <c r="B7" s="26" t="s">
        <v>13</v>
      </c>
      <c r="C7" s="558" t="s">
        <v>76</v>
      </c>
      <c r="D7" s="559"/>
      <c r="E7" s="26">
        <v>50.67</v>
      </c>
      <c r="F7" s="410">
        <v>1978</v>
      </c>
      <c r="G7" s="408">
        <f t="shared" si="4"/>
        <v>100225.26000000001</v>
      </c>
      <c r="H7" s="419" t="s">
        <v>52</v>
      </c>
      <c r="I7" s="409">
        <v>18</v>
      </c>
      <c r="J7" s="18">
        <v>2000</v>
      </c>
      <c r="K7" s="9">
        <f t="shared" si="5"/>
        <v>111.11111111111111</v>
      </c>
      <c r="L7" s="409">
        <v>18</v>
      </c>
      <c r="M7" s="10">
        <f t="shared" ref="M7" si="8">F7/V7*60</f>
        <v>1883.8095238095257</v>
      </c>
      <c r="N7" s="9">
        <f t="shared" si="6"/>
        <v>104.65608465608476</v>
      </c>
      <c r="O7" s="11">
        <f t="shared" si="0"/>
        <v>0</v>
      </c>
      <c r="P7" s="12">
        <f t="shared" si="1"/>
        <v>-6.4550264550263563</v>
      </c>
      <c r="Q7" s="413">
        <f t="shared" si="7"/>
        <v>0.9419047619047628</v>
      </c>
      <c r="R7" s="533"/>
      <c r="S7" s="24">
        <v>0.78611111111111109</v>
      </c>
      <c r="T7" s="24">
        <v>0.82986111111111105</v>
      </c>
      <c r="U7" s="408">
        <f t="shared" ref="U7" si="9">(S7-T6)*24*60</f>
        <v>6.9999999999999751</v>
      </c>
      <c r="V7" s="411">
        <f t="shared" ref="V7" si="10">(T7-S7)*24*60</f>
        <v>62.999999999999936</v>
      </c>
      <c r="W7" s="14"/>
      <c r="X7" s="14"/>
      <c r="Y7" s="536"/>
      <c r="Z7" s="537"/>
      <c r="AA7" s="11">
        <f t="shared" si="2"/>
        <v>-116.19047619047433</v>
      </c>
      <c r="AB7" s="413">
        <f t="shared" si="3"/>
        <v>0.9419047619047628</v>
      </c>
      <c r="AC7" s="533"/>
    </row>
    <row r="8" spans="1:29">
      <c r="A8" s="561" t="s">
        <v>1614</v>
      </c>
      <c r="B8" s="26" t="s">
        <v>1615</v>
      </c>
      <c r="C8" s="530"/>
      <c r="D8" s="530"/>
      <c r="E8" s="412"/>
      <c r="F8" s="16"/>
      <c r="G8" s="9"/>
      <c r="H8" s="410"/>
      <c r="I8" s="17">
        <v>17</v>
      </c>
      <c r="J8" s="18">
        <v>2000</v>
      </c>
      <c r="K8" s="9">
        <f>J8/I8</f>
        <v>117.64705882352941</v>
      </c>
      <c r="L8" s="17">
        <v>17</v>
      </c>
      <c r="M8" s="10">
        <f>AVERAGE(M5:M7)</f>
        <v>1882.5452035886822</v>
      </c>
      <c r="N8" s="9">
        <f>M8/L8</f>
        <v>110.73795315227542</v>
      </c>
      <c r="O8" s="11">
        <f>L8-I8</f>
        <v>0</v>
      </c>
      <c r="P8" s="12">
        <f>N8-K8</f>
        <v>-6.9091056712539825</v>
      </c>
      <c r="Q8" s="413">
        <f>N8/K8</f>
        <v>0.94127260179434113</v>
      </c>
      <c r="R8" s="533"/>
      <c r="S8" s="24"/>
      <c r="T8" s="24"/>
      <c r="U8" s="408"/>
      <c r="V8" s="411"/>
      <c r="W8" s="9"/>
      <c r="X8" s="9"/>
      <c r="Y8" s="528"/>
      <c r="Z8" s="528"/>
      <c r="AA8" s="11">
        <f t="shared" si="2"/>
        <v>-117.45479641131783</v>
      </c>
      <c r="AB8" s="413">
        <f>M8/J8</f>
        <v>0.94127260179434113</v>
      </c>
      <c r="AC8" s="533"/>
    </row>
    <row r="9" spans="1:29" ht="15.75" customHeight="1">
      <c r="A9" s="531" t="s">
        <v>1616</v>
      </c>
      <c r="B9" s="26" t="s">
        <v>15</v>
      </c>
      <c r="C9" s="558" t="s">
        <v>16</v>
      </c>
      <c r="D9" s="559"/>
      <c r="E9" s="26">
        <v>39.619999999999997</v>
      </c>
      <c r="F9" s="410">
        <v>4834</v>
      </c>
      <c r="G9" s="408">
        <f t="shared" ref="G9:G12" si="11">E9*F9</f>
        <v>191523.08</v>
      </c>
      <c r="H9" s="419" t="s">
        <v>52</v>
      </c>
      <c r="I9" s="409">
        <v>19</v>
      </c>
      <c r="J9" s="18">
        <v>1500</v>
      </c>
      <c r="K9" s="9">
        <f t="shared" ref="K9:K12" si="12">J9/I9</f>
        <v>78.94736842105263</v>
      </c>
      <c r="L9" s="409">
        <v>19</v>
      </c>
      <c r="M9" s="10">
        <f t="shared" ref="M9:M12" si="13">F9/V9*60</f>
        <v>1401.1594202898548</v>
      </c>
      <c r="N9" s="9">
        <f t="shared" ref="N9:N12" si="14">M9/L9</f>
        <v>73.745232646834467</v>
      </c>
      <c r="O9" s="11">
        <f t="shared" ref="O9:O12" si="15">L9-I9</f>
        <v>0</v>
      </c>
      <c r="P9" s="12">
        <f>N9-K9</f>
        <v>-5.2021357742181635</v>
      </c>
      <c r="Q9" s="413">
        <f>N9/K9</f>
        <v>0.9341062801932366</v>
      </c>
      <c r="R9" s="533">
        <f>Q13</f>
        <v>0.93389915004903568</v>
      </c>
      <c r="S9" s="24">
        <v>0.125</v>
      </c>
      <c r="T9" s="24">
        <v>0.26875000000000004</v>
      </c>
      <c r="U9" s="408"/>
      <c r="V9" s="411">
        <f t="shared" ref="V9:V12" si="16">(T9-S9)*24*60</f>
        <v>207.00000000000006</v>
      </c>
      <c r="W9" s="14">
        <f>T9</f>
        <v>0.26875000000000004</v>
      </c>
      <c r="X9" s="14">
        <f>S10</f>
        <v>0.28680555555555559</v>
      </c>
      <c r="Y9" s="528"/>
      <c r="Z9" s="528"/>
      <c r="AA9" s="11">
        <f t="shared" si="2"/>
        <v>-98.840579710145221</v>
      </c>
      <c r="AB9" s="413">
        <f>M9/J9</f>
        <v>0.93410628019323649</v>
      </c>
      <c r="AC9" s="533">
        <f>AB13</f>
        <v>0.93389915004903556</v>
      </c>
    </row>
    <row r="10" spans="1:29" ht="15.75" customHeight="1">
      <c r="A10" s="531" t="s">
        <v>1616</v>
      </c>
      <c r="B10" s="26" t="s">
        <v>15</v>
      </c>
      <c r="C10" s="558" t="s">
        <v>17</v>
      </c>
      <c r="D10" s="559"/>
      <c r="E10" s="26">
        <v>39.799999999999997</v>
      </c>
      <c r="F10" s="410">
        <v>4000</v>
      </c>
      <c r="G10" s="408">
        <f t="shared" si="11"/>
        <v>159200</v>
      </c>
      <c r="H10" s="419">
        <v>2</v>
      </c>
      <c r="I10" s="409">
        <v>17</v>
      </c>
      <c r="J10" s="18">
        <v>1500</v>
      </c>
      <c r="K10" s="9">
        <f t="shared" si="12"/>
        <v>88.235294117647058</v>
      </c>
      <c r="L10" s="409">
        <v>17</v>
      </c>
      <c r="M10" s="10">
        <f t="shared" si="13"/>
        <v>1403.5087719298244</v>
      </c>
      <c r="N10" s="9">
        <f t="shared" si="14"/>
        <v>82.559339525283789</v>
      </c>
      <c r="O10" s="11">
        <f t="shared" si="15"/>
        <v>0</v>
      </c>
      <c r="P10" s="12">
        <f t="shared" ref="P10:P12" si="17">N10-K10</f>
        <v>-5.6759545923632686</v>
      </c>
      <c r="Q10" s="413">
        <f t="shared" ref="Q10:Q12" si="18">N10/K10</f>
        <v>0.93567251461988299</v>
      </c>
      <c r="R10" s="533"/>
      <c r="S10" s="24">
        <v>0.28680555555555559</v>
      </c>
      <c r="T10" s="24">
        <v>0.40555555555555561</v>
      </c>
      <c r="U10" s="408">
        <f>(S10-T9)*24*60</f>
        <v>25.999999999999986</v>
      </c>
      <c r="V10" s="411">
        <f t="shared" si="16"/>
        <v>171.00000000000003</v>
      </c>
      <c r="W10" s="14"/>
      <c r="X10" s="14"/>
      <c r="Y10" s="528"/>
      <c r="Z10" s="528"/>
      <c r="AA10" s="11">
        <f t="shared" si="2"/>
        <v>-96.491228070175566</v>
      </c>
      <c r="AB10" s="413">
        <f t="shared" ref="AB10:AB24" si="19">M10/J10</f>
        <v>0.93567251461988299</v>
      </c>
      <c r="AC10" s="533"/>
    </row>
    <row r="11" spans="1:29" ht="15.75" customHeight="1">
      <c r="A11" s="531" t="s">
        <v>1616</v>
      </c>
      <c r="B11" s="26" t="s">
        <v>15</v>
      </c>
      <c r="C11" s="558" t="s">
        <v>80</v>
      </c>
      <c r="D11" s="559"/>
      <c r="E11" s="26">
        <v>39.29</v>
      </c>
      <c r="F11" s="410">
        <v>3914</v>
      </c>
      <c r="G11" s="408">
        <f t="shared" si="11"/>
        <v>153781.06</v>
      </c>
      <c r="H11" s="419" t="s">
        <v>52</v>
      </c>
      <c r="I11" s="409">
        <v>19</v>
      </c>
      <c r="J11" s="18">
        <v>1500</v>
      </c>
      <c r="K11" s="9">
        <f t="shared" si="12"/>
        <v>78.94736842105263</v>
      </c>
      <c r="L11" s="409">
        <v>19</v>
      </c>
      <c r="M11" s="10">
        <f t="shared" si="13"/>
        <v>1397.8571428571431</v>
      </c>
      <c r="N11" s="9">
        <f t="shared" si="14"/>
        <v>73.571428571428584</v>
      </c>
      <c r="O11" s="11">
        <f t="shared" si="15"/>
        <v>0</v>
      </c>
      <c r="P11" s="12">
        <f t="shared" si="17"/>
        <v>-5.3759398496240465</v>
      </c>
      <c r="Q11" s="413">
        <f t="shared" si="18"/>
        <v>0.93190476190476212</v>
      </c>
      <c r="R11" s="533"/>
      <c r="S11" s="24">
        <v>0.40972222222222227</v>
      </c>
      <c r="T11" s="24">
        <v>0.52638888888888891</v>
      </c>
      <c r="U11" s="408">
        <f t="shared" ref="U11:U12" si="20">(S11-T10)*24*60</f>
        <v>5.9999999999999787</v>
      </c>
      <c r="V11" s="411">
        <f t="shared" si="16"/>
        <v>167.99999999999997</v>
      </c>
      <c r="W11" s="14">
        <f>T11</f>
        <v>0.52638888888888891</v>
      </c>
      <c r="X11" s="14">
        <f>S12</f>
        <v>0.56736111111111109</v>
      </c>
      <c r="Y11" s="528"/>
      <c r="Z11" s="528"/>
      <c r="AA11" s="11">
        <f t="shared" si="2"/>
        <v>-102.14285714285688</v>
      </c>
      <c r="AB11" s="413">
        <f t="shared" si="19"/>
        <v>0.93190476190476212</v>
      </c>
      <c r="AC11" s="533"/>
    </row>
    <row r="12" spans="1:29" ht="15.75" customHeight="1">
      <c r="A12" s="531" t="s">
        <v>1616</v>
      </c>
      <c r="B12" s="26" t="s">
        <v>15</v>
      </c>
      <c r="C12" s="558" t="s">
        <v>17</v>
      </c>
      <c r="D12" s="559"/>
      <c r="E12" s="26">
        <v>39.799999999999997</v>
      </c>
      <c r="F12" s="410">
        <v>2685</v>
      </c>
      <c r="G12" s="408">
        <f t="shared" si="11"/>
        <v>106862.99999999999</v>
      </c>
      <c r="H12" s="419" t="s">
        <v>52</v>
      </c>
      <c r="I12" s="409">
        <v>17</v>
      </c>
      <c r="J12" s="18">
        <v>1500</v>
      </c>
      <c r="K12" s="9">
        <f t="shared" si="12"/>
        <v>88.235294117647058</v>
      </c>
      <c r="L12" s="409">
        <v>17</v>
      </c>
      <c r="M12" s="10">
        <f t="shared" si="13"/>
        <v>1400.8695652173906</v>
      </c>
      <c r="N12" s="9">
        <f t="shared" si="14"/>
        <v>82.404092071611217</v>
      </c>
      <c r="O12" s="11">
        <f t="shared" si="15"/>
        <v>0</v>
      </c>
      <c r="P12" s="12">
        <f t="shared" si="17"/>
        <v>-5.8312020460358411</v>
      </c>
      <c r="Q12" s="413">
        <f t="shared" si="18"/>
        <v>0.93391304347826043</v>
      </c>
      <c r="R12" s="533"/>
      <c r="S12" s="24">
        <v>0.56736111111111109</v>
      </c>
      <c r="T12" s="24">
        <v>0.64722222222222225</v>
      </c>
      <c r="U12" s="408">
        <f t="shared" si="20"/>
        <v>58.99999999999995</v>
      </c>
      <c r="V12" s="411">
        <f t="shared" si="16"/>
        <v>115.00000000000007</v>
      </c>
      <c r="W12" s="14"/>
      <c r="X12" s="14"/>
      <c r="Y12" s="528"/>
      <c r="Z12" s="528"/>
      <c r="AA12" s="11">
        <f t="shared" si="2"/>
        <v>-99.130434782609427</v>
      </c>
      <c r="AB12" s="413">
        <f t="shared" si="19"/>
        <v>0.93391304347826043</v>
      </c>
      <c r="AC12" s="533"/>
    </row>
    <row r="13" spans="1:29" ht="16.5" customHeight="1">
      <c r="A13" s="531" t="s">
        <v>1616</v>
      </c>
      <c r="B13" s="26" t="s">
        <v>1615</v>
      </c>
      <c r="C13" s="530"/>
      <c r="D13" s="530"/>
      <c r="E13" s="412"/>
      <c r="F13" s="18"/>
      <c r="G13" s="10"/>
      <c r="H13" s="410"/>
      <c r="I13" s="17">
        <v>18</v>
      </c>
      <c r="J13" s="18">
        <v>1500</v>
      </c>
      <c r="K13" s="9">
        <f>J13/I13</f>
        <v>83.333333333333329</v>
      </c>
      <c r="L13" s="17">
        <v>18</v>
      </c>
      <c r="M13" s="10">
        <f>AVERAGE(M9:M12)</f>
        <v>1400.8487250735534</v>
      </c>
      <c r="N13" s="9">
        <f>M13/L13</f>
        <v>77.824929170752966</v>
      </c>
      <c r="O13" s="11">
        <f>L13-I13</f>
        <v>0</v>
      </c>
      <c r="P13" s="12">
        <f>N13-K13</f>
        <v>-5.5084041625803621</v>
      </c>
      <c r="Q13" s="413">
        <f>N13/K13</f>
        <v>0.93389915004903568</v>
      </c>
      <c r="R13" s="533"/>
      <c r="S13" s="24"/>
      <c r="T13" s="24"/>
      <c r="U13" s="9"/>
      <c r="V13" s="411"/>
      <c r="W13" s="9"/>
      <c r="X13" s="9"/>
      <c r="Y13" s="528"/>
      <c r="Z13" s="528"/>
      <c r="AA13" s="11">
        <f t="shared" si="2"/>
        <v>-99.151274926446604</v>
      </c>
      <c r="AB13" s="413">
        <f t="shared" si="19"/>
        <v>0.93389915004903556</v>
      </c>
      <c r="AC13" s="533"/>
    </row>
    <row r="14" spans="1:29" ht="16.5" customHeight="1">
      <c r="A14" s="556" t="s">
        <v>1617</v>
      </c>
      <c r="B14" s="410" t="s">
        <v>21</v>
      </c>
      <c r="C14" s="552" t="s">
        <v>19</v>
      </c>
      <c r="D14" s="552"/>
      <c r="E14" s="26">
        <v>41</v>
      </c>
      <c r="F14" s="410">
        <v>1866</v>
      </c>
      <c r="G14" s="408">
        <f t="shared" ref="G14:G16" si="21">E14*F14</f>
        <v>76506</v>
      </c>
      <c r="H14" s="419" t="s">
        <v>52</v>
      </c>
      <c r="I14" s="409">
        <v>26</v>
      </c>
      <c r="J14" s="18">
        <v>1500</v>
      </c>
      <c r="K14" s="9">
        <f>J14/I14</f>
        <v>57.692307692307693</v>
      </c>
      <c r="L14" s="409">
        <v>26</v>
      </c>
      <c r="M14" s="10">
        <f>F14/V14*60</f>
        <v>1399.4999999999995</v>
      </c>
      <c r="N14" s="9">
        <f t="shared" ref="N14:N23" si="22">M14/L14</f>
        <v>53.826923076923059</v>
      </c>
      <c r="O14" s="11">
        <f t="shared" ref="O14" si="23">L14-I14</f>
        <v>0</v>
      </c>
      <c r="P14" s="12">
        <f t="shared" ref="P14" si="24">N14-K14</f>
        <v>-3.8653846153846345</v>
      </c>
      <c r="Q14" s="413">
        <f>N14/K14</f>
        <v>0.93299999999999972</v>
      </c>
      <c r="R14" s="533">
        <f>Q17</f>
        <v>0.93691027154663531</v>
      </c>
      <c r="S14" s="24">
        <v>0.25</v>
      </c>
      <c r="T14" s="24">
        <v>0.30555555555555558</v>
      </c>
      <c r="U14" s="408"/>
      <c r="V14" s="411">
        <f>(T14-S14)*24*60</f>
        <v>80.000000000000028</v>
      </c>
      <c r="W14" s="15"/>
      <c r="X14" s="15"/>
      <c r="Y14" s="528"/>
      <c r="Z14" s="528"/>
      <c r="AA14" s="11">
        <f t="shared" si="2"/>
        <v>-100.50000000000045</v>
      </c>
      <c r="AB14" s="413">
        <f t="shared" si="19"/>
        <v>0.93299999999999972</v>
      </c>
      <c r="AC14" s="533">
        <f>AB17</f>
        <v>0.93691027154663531</v>
      </c>
    </row>
    <row r="15" spans="1:29" ht="16.5" customHeight="1">
      <c r="A15" s="557" t="s">
        <v>1617</v>
      </c>
      <c r="B15" s="410" t="s">
        <v>13</v>
      </c>
      <c r="C15" s="552" t="s">
        <v>57</v>
      </c>
      <c r="D15" s="552"/>
      <c r="E15" s="26">
        <v>50.98</v>
      </c>
      <c r="F15" s="410">
        <v>2847</v>
      </c>
      <c r="G15" s="408">
        <f t="shared" si="21"/>
        <v>145140.06</v>
      </c>
      <c r="H15" s="419" t="s">
        <v>52</v>
      </c>
      <c r="I15" s="409">
        <v>17</v>
      </c>
      <c r="J15" s="18">
        <v>2000</v>
      </c>
      <c r="K15" s="9">
        <f>J15/I15</f>
        <v>117.64705882352941</v>
      </c>
      <c r="L15" s="409">
        <v>17</v>
      </c>
      <c r="M15" s="10">
        <f>F15/V15*60</f>
        <v>1877.1428571428571</v>
      </c>
      <c r="N15" s="9">
        <f t="shared" si="22"/>
        <v>110.42016806722688</v>
      </c>
      <c r="O15" s="11">
        <f>L15-I15</f>
        <v>0</v>
      </c>
      <c r="P15" s="12">
        <f>N15-K15</f>
        <v>-7.2268907563025238</v>
      </c>
      <c r="Q15" s="413">
        <f>N15/K15</f>
        <v>0.9385714285714285</v>
      </c>
      <c r="R15" s="533"/>
      <c r="S15" s="24">
        <v>0.70833333333333337</v>
      </c>
      <c r="T15" s="24">
        <v>0.77152777777777781</v>
      </c>
      <c r="U15" s="408" t="str">
        <f>IF(S15=TIME(17,0,0),"",(S15-T14)*24*60)</f>
        <v/>
      </c>
      <c r="V15" s="411">
        <f>(T15-S15)*24*60</f>
        <v>91</v>
      </c>
      <c r="W15" s="14"/>
      <c r="X15" s="14"/>
      <c r="Y15" s="528"/>
      <c r="Z15" s="528"/>
      <c r="AA15" s="11">
        <f t="shared" si="2"/>
        <v>-122.85714285714289</v>
      </c>
      <c r="AB15" s="413">
        <f t="shared" si="19"/>
        <v>0.9385714285714285</v>
      </c>
      <c r="AC15" s="533"/>
    </row>
    <row r="16" spans="1:29" ht="16.5" customHeight="1">
      <c r="A16" s="557" t="s">
        <v>1617</v>
      </c>
      <c r="B16" s="410" t="s">
        <v>13</v>
      </c>
      <c r="C16" s="552" t="s">
        <v>54</v>
      </c>
      <c r="D16" s="552"/>
      <c r="E16" s="26">
        <v>50.92</v>
      </c>
      <c r="F16" s="410">
        <v>3096</v>
      </c>
      <c r="G16" s="408">
        <f t="shared" si="21"/>
        <v>157648.32000000001</v>
      </c>
      <c r="H16" s="419" t="s">
        <v>52</v>
      </c>
      <c r="I16" s="409">
        <v>16</v>
      </c>
      <c r="J16" s="18">
        <v>2000</v>
      </c>
      <c r="K16" s="9">
        <f t="shared" ref="K16" si="25">J16/I16</f>
        <v>125</v>
      </c>
      <c r="L16" s="409">
        <v>16</v>
      </c>
      <c r="M16" s="10">
        <f t="shared" ref="M16" si="26">F16/V16*60</f>
        <v>1876.3636363636369</v>
      </c>
      <c r="N16" s="9">
        <f t="shared" si="22"/>
        <v>117.27272727272731</v>
      </c>
      <c r="O16" s="11">
        <f t="shared" ref="O16" si="27">L16-I16</f>
        <v>0</v>
      </c>
      <c r="P16" s="12">
        <f t="shared" ref="P16" si="28">N16-K16</f>
        <v>-7.7272727272726911</v>
      </c>
      <c r="Q16" s="413">
        <f t="shared" ref="Q16:Q23" si="29">N16/K16</f>
        <v>0.93818181818181845</v>
      </c>
      <c r="R16" s="533"/>
      <c r="S16" s="24">
        <v>0.77569444444444446</v>
      </c>
      <c r="T16" s="24">
        <v>0.84444444444444444</v>
      </c>
      <c r="U16" s="408">
        <f t="shared" ref="U16" si="30">IF(S16=TIME(17,0,0),"",(S16-T15)*24*60)</f>
        <v>5.9999999999999787</v>
      </c>
      <c r="V16" s="411">
        <f t="shared" ref="V16" si="31">(T16-S16)*24*60</f>
        <v>98.999999999999972</v>
      </c>
      <c r="W16" s="14"/>
      <c r="X16" s="14"/>
      <c r="Y16" s="528"/>
      <c r="Z16" s="528"/>
      <c r="AA16" s="11">
        <f t="shared" si="2"/>
        <v>-123.63636363636306</v>
      </c>
      <c r="AB16" s="413">
        <f t="shared" si="19"/>
        <v>0.93818181818181845</v>
      </c>
      <c r="AC16" s="533"/>
    </row>
    <row r="17" spans="1:29" ht="16.5" customHeight="1">
      <c r="A17" s="557" t="s">
        <v>1617</v>
      </c>
      <c r="B17" s="26" t="s">
        <v>1615</v>
      </c>
      <c r="C17" s="530"/>
      <c r="D17" s="530"/>
      <c r="E17" s="412"/>
      <c r="F17" s="16"/>
      <c r="G17" s="9"/>
      <c r="H17" s="410"/>
      <c r="I17" s="17">
        <v>19.666666666666668</v>
      </c>
      <c r="J17" s="18">
        <v>1833.3333333333333</v>
      </c>
      <c r="K17" s="9">
        <f>J17/I17</f>
        <v>93.220338983050837</v>
      </c>
      <c r="L17" s="17">
        <v>19.666666666666668</v>
      </c>
      <c r="M17" s="10">
        <f>AVERAGE(M14:M16)</f>
        <v>1717.6688311688313</v>
      </c>
      <c r="N17" s="9">
        <f t="shared" si="22"/>
        <v>87.339093110279549</v>
      </c>
      <c r="O17" s="11">
        <f>L17-I17</f>
        <v>0</v>
      </c>
      <c r="P17" s="12">
        <f>N17-K17</f>
        <v>-5.881245872771288</v>
      </c>
      <c r="Q17" s="413">
        <f t="shared" si="29"/>
        <v>0.93691027154663531</v>
      </c>
      <c r="R17" s="533"/>
      <c r="S17" s="24"/>
      <c r="T17" s="24"/>
      <c r="U17" s="408"/>
      <c r="V17" s="411"/>
      <c r="W17" s="9"/>
      <c r="X17" s="9"/>
      <c r="Y17" s="528"/>
      <c r="Z17" s="528"/>
      <c r="AA17" s="11">
        <f t="shared" si="2"/>
        <v>-115.66450216450198</v>
      </c>
      <c r="AB17" s="413">
        <f t="shared" si="19"/>
        <v>0.93691027154663531</v>
      </c>
      <c r="AC17" s="533"/>
    </row>
    <row r="18" spans="1:29" ht="15.75" customHeight="1">
      <c r="A18" s="554" t="s">
        <v>1618</v>
      </c>
      <c r="B18" s="26" t="s">
        <v>21</v>
      </c>
      <c r="C18" s="552" t="s">
        <v>22</v>
      </c>
      <c r="D18" s="552"/>
      <c r="E18" s="26">
        <v>43.14</v>
      </c>
      <c r="F18" s="410">
        <v>1451</v>
      </c>
      <c r="G18" s="408">
        <f t="shared" ref="G18:G23" si="32">E18*F18</f>
        <v>62596.14</v>
      </c>
      <c r="H18" s="419" t="s">
        <v>52</v>
      </c>
      <c r="I18" s="409">
        <v>17</v>
      </c>
      <c r="J18" s="18">
        <v>2000</v>
      </c>
      <c r="K18" s="9">
        <f t="shared" ref="K18:K24" si="33">J18/I18</f>
        <v>117.64705882352941</v>
      </c>
      <c r="L18" s="409">
        <v>17</v>
      </c>
      <c r="M18" s="10">
        <f t="shared" ref="M18:M23" si="34">F18/V18*60</f>
        <v>1892.608695652174</v>
      </c>
      <c r="N18" s="9">
        <f t="shared" si="22"/>
        <v>111.3299232736573</v>
      </c>
      <c r="O18" s="11">
        <f t="shared" ref="O18:O23" si="35">L18-I18</f>
        <v>0</v>
      </c>
      <c r="P18" s="12">
        <f t="shared" ref="P18:P23" si="36">N18-K18</f>
        <v>-6.3171355498721056</v>
      </c>
      <c r="Q18" s="413">
        <f t="shared" si="29"/>
        <v>0.94630434782608708</v>
      </c>
      <c r="R18" s="533">
        <f>Q24</f>
        <v>0.94630733616532914</v>
      </c>
      <c r="S18" s="24">
        <v>0.20833333333333334</v>
      </c>
      <c r="T18" s="24">
        <v>0.24027777777777778</v>
      </c>
      <c r="U18" s="408"/>
      <c r="V18" s="411">
        <f>(T18-S18)*24*60</f>
        <v>46</v>
      </c>
      <c r="W18" s="15"/>
      <c r="X18" s="15"/>
      <c r="Y18" s="528"/>
      <c r="Z18" s="528"/>
      <c r="AA18" s="11">
        <f t="shared" si="2"/>
        <v>-107.39130434782601</v>
      </c>
      <c r="AB18" s="413">
        <f t="shared" si="19"/>
        <v>0.94630434782608697</v>
      </c>
      <c r="AC18" s="533">
        <f>AB24</f>
        <v>0.94630733616532914</v>
      </c>
    </row>
    <row r="19" spans="1:29" ht="15.75" customHeight="1">
      <c r="A19" s="555" t="s">
        <v>375</v>
      </c>
      <c r="B19" s="26" t="s">
        <v>13</v>
      </c>
      <c r="C19" s="552" t="s">
        <v>23</v>
      </c>
      <c r="D19" s="552"/>
      <c r="E19" s="26">
        <v>57.73</v>
      </c>
      <c r="F19" s="410">
        <v>2846</v>
      </c>
      <c r="G19" s="408">
        <f t="shared" si="32"/>
        <v>164299.57999999999</v>
      </c>
      <c r="H19" s="419" t="s">
        <v>52</v>
      </c>
      <c r="I19" s="409">
        <v>16</v>
      </c>
      <c r="J19" s="18">
        <v>2000</v>
      </c>
      <c r="K19" s="9">
        <f t="shared" si="33"/>
        <v>125</v>
      </c>
      <c r="L19" s="409">
        <v>16</v>
      </c>
      <c r="M19" s="10">
        <f t="shared" si="34"/>
        <v>1876.4835164835165</v>
      </c>
      <c r="N19" s="9">
        <f t="shared" si="22"/>
        <v>117.28021978021978</v>
      </c>
      <c r="O19" s="11">
        <f t="shared" si="35"/>
        <v>0</v>
      </c>
      <c r="P19" s="12">
        <f t="shared" si="36"/>
        <v>-7.719780219780219</v>
      </c>
      <c r="Q19" s="413">
        <f t="shared" si="29"/>
        <v>0.93824175824175826</v>
      </c>
      <c r="R19" s="533"/>
      <c r="S19" s="24">
        <v>0.24444444444444446</v>
      </c>
      <c r="T19" s="24">
        <v>0.30763888888888891</v>
      </c>
      <c r="U19" s="408">
        <f>IF(S19=TIME(17,0,0),"",(S19-T18)*24*60)</f>
        <v>6.0000000000000187</v>
      </c>
      <c r="V19" s="411">
        <f t="shared" ref="V19:V23" si="37">(T19-S19)*24*60</f>
        <v>91</v>
      </c>
      <c r="W19" s="14"/>
      <c r="X19" s="408"/>
      <c r="Y19" s="528"/>
      <c r="Z19" s="528"/>
      <c r="AA19" s="11">
        <f t="shared" si="2"/>
        <v>-123.5164835164835</v>
      </c>
      <c r="AB19" s="413">
        <f t="shared" si="19"/>
        <v>0.93824175824175826</v>
      </c>
      <c r="AC19" s="533"/>
    </row>
    <row r="20" spans="1:29" ht="15.75" customHeight="1">
      <c r="A20" s="555" t="s">
        <v>1618</v>
      </c>
      <c r="B20" s="26" t="s">
        <v>13</v>
      </c>
      <c r="C20" s="552" t="s">
        <v>14</v>
      </c>
      <c r="D20" s="552"/>
      <c r="E20" s="26">
        <v>53.68</v>
      </c>
      <c r="F20" s="410">
        <v>1880</v>
      </c>
      <c r="G20" s="408">
        <f t="shared" si="32"/>
        <v>100918.39999999999</v>
      </c>
      <c r="H20" s="419" t="s">
        <v>52</v>
      </c>
      <c r="I20" s="409">
        <v>17</v>
      </c>
      <c r="J20" s="18">
        <v>2000</v>
      </c>
      <c r="K20" s="9">
        <f t="shared" si="33"/>
        <v>117.64705882352941</v>
      </c>
      <c r="L20" s="409">
        <v>17</v>
      </c>
      <c r="M20" s="10">
        <f t="shared" si="34"/>
        <v>1879.9999999999991</v>
      </c>
      <c r="N20" s="9">
        <f t="shared" si="22"/>
        <v>110.5882352941176</v>
      </c>
      <c r="O20" s="11">
        <f t="shared" si="35"/>
        <v>0</v>
      </c>
      <c r="P20" s="12">
        <f t="shared" si="36"/>
        <v>-7.0588235294118107</v>
      </c>
      <c r="Q20" s="413">
        <f t="shared" si="29"/>
        <v>0.93999999999999961</v>
      </c>
      <c r="R20" s="533"/>
      <c r="S20" s="24">
        <v>0.3125</v>
      </c>
      <c r="T20" s="24">
        <v>0.35416666666666669</v>
      </c>
      <c r="U20" s="408">
        <f t="shared" ref="U20:U23" si="38">IF(S20=TIME(17,0,0),"",(S20-T19)*24*60)</f>
        <v>6.9999999999999751</v>
      </c>
      <c r="V20" s="411">
        <f t="shared" si="37"/>
        <v>60.000000000000028</v>
      </c>
      <c r="W20" s="14"/>
      <c r="X20" s="408"/>
      <c r="Y20" s="528"/>
      <c r="Z20" s="528"/>
      <c r="AA20" s="11">
        <f t="shared" si="2"/>
        <v>-120.00000000000091</v>
      </c>
      <c r="AB20" s="413">
        <f t="shared" si="19"/>
        <v>0.9399999999999995</v>
      </c>
      <c r="AC20" s="533"/>
    </row>
    <row r="21" spans="1:29" ht="15.75" customHeight="1">
      <c r="A21" s="555" t="s">
        <v>375</v>
      </c>
      <c r="B21" s="26" t="s">
        <v>13</v>
      </c>
      <c r="C21" s="552" t="s">
        <v>81</v>
      </c>
      <c r="D21" s="552"/>
      <c r="E21" s="26">
        <v>58.17</v>
      </c>
      <c r="F21" s="410">
        <v>1900</v>
      </c>
      <c r="G21" s="408">
        <f t="shared" si="32"/>
        <v>110523</v>
      </c>
      <c r="H21" s="419" t="s">
        <v>52</v>
      </c>
      <c r="I21" s="409">
        <v>18</v>
      </c>
      <c r="J21" s="18">
        <v>2000</v>
      </c>
      <c r="K21" s="9">
        <f t="shared" si="33"/>
        <v>111.11111111111111</v>
      </c>
      <c r="L21" s="409">
        <v>18</v>
      </c>
      <c r="M21" s="10">
        <f t="shared" si="34"/>
        <v>1868.8524590163929</v>
      </c>
      <c r="N21" s="9">
        <f t="shared" si="22"/>
        <v>103.82513661202182</v>
      </c>
      <c r="O21" s="11">
        <f t="shared" si="35"/>
        <v>0</v>
      </c>
      <c r="P21" s="12">
        <f t="shared" si="36"/>
        <v>-7.2859744990892921</v>
      </c>
      <c r="Q21" s="413">
        <f t="shared" si="29"/>
        <v>0.93442622950819643</v>
      </c>
      <c r="R21" s="533"/>
      <c r="S21" s="24">
        <v>0.35902777777777778</v>
      </c>
      <c r="T21" s="24">
        <v>0.40138888888888891</v>
      </c>
      <c r="U21" s="408">
        <f t="shared" si="38"/>
        <v>6.9999999999999751</v>
      </c>
      <c r="V21" s="411">
        <f t="shared" si="37"/>
        <v>61.000000000000021</v>
      </c>
      <c r="W21" s="14"/>
      <c r="X21" s="408"/>
      <c r="Y21" s="528"/>
      <c r="Z21" s="528"/>
      <c r="AA21" s="11">
        <f t="shared" si="2"/>
        <v>-131.14754098360709</v>
      </c>
      <c r="AB21" s="413">
        <f t="shared" si="19"/>
        <v>0.93442622950819643</v>
      </c>
      <c r="AC21" s="533"/>
    </row>
    <row r="22" spans="1:29" ht="15.75" customHeight="1">
      <c r="A22" s="555" t="s">
        <v>375</v>
      </c>
      <c r="B22" s="26" t="s">
        <v>13</v>
      </c>
      <c r="C22" s="552" t="s">
        <v>85</v>
      </c>
      <c r="D22" s="552"/>
      <c r="E22" s="26">
        <v>54.09</v>
      </c>
      <c r="F22" s="410">
        <v>3527</v>
      </c>
      <c r="G22" s="408">
        <f t="shared" si="32"/>
        <v>190775.43000000002</v>
      </c>
      <c r="H22" s="419" t="s">
        <v>52</v>
      </c>
      <c r="I22" s="409">
        <v>20</v>
      </c>
      <c r="J22" s="18">
        <v>2000</v>
      </c>
      <c r="K22" s="9">
        <f t="shared" si="33"/>
        <v>100</v>
      </c>
      <c r="L22" s="409">
        <v>20</v>
      </c>
      <c r="M22" s="10">
        <f t="shared" si="34"/>
        <v>1872.7433628318597</v>
      </c>
      <c r="N22" s="9">
        <f t="shared" si="22"/>
        <v>93.63716814159298</v>
      </c>
      <c r="O22" s="11">
        <f t="shared" si="35"/>
        <v>0</v>
      </c>
      <c r="P22" s="12">
        <f t="shared" si="36"/>
        <v>-6.36283185840702</v>
      </c>
      <c r="Q22" s="413">
        <f t="shared" si="29"/>
        <v>0.93637168141592975</v>
      </c>
      <c r="R22" s="533"/>
      <c r="S22" s="24">
        <v>0.70833333333333337</v>
      </c>
      <c r="T22" s="24">
        <v>0.78680555555555554</v>
      </c>
      <c r="U22" s="408" t="str">
        <f t="shared" si="38"/>
        <v/>
      </c>
      <c r="V22" s="411">
        <f t="shared" si="37"/>
        <v>112.99999999999991</v>
      </c>
      <c r="W22" s="14"/>
      <c r="X22" s="408"/>
      <c r="Y22" s="528"/>
      <c r="Z22" s="528"/>
      <c r="AA22" s="11">
        <f t="shared" si="2"/>
        <v>-127.25663716814029</v>
      </c>
      <c r="AB22" s="413">
        <f t="shared" si="19"/>
        <v>0.93637168141592986</v>
      </c>
      <c r="AC22" s="533"/>
    </row>
    <row r="23" spans="1:29" ht="15.75" customHeight="1">
      <c r="A23" s="555" t="s">
        <v>1619</v>
      </c>
      <c r="B23" s="26" t="s">
        <v>13</v>
      </c>
      <c r="C23" s="552" t="s">
        <v>56</v>
      </c>
      <c r="D23" s="552"/>
      <c r="E23" s="26">
        <v>53.27</v>
      </c>
      <c r="F23" s="410">
        <v>524</v>
      </c>
      <c r="G23" s="408">
        <f t="shared" si="32"/>
        <v>27913.480000000003</v>
      </c>
      <c r="H23" s="419" t="s">
        <v>52</v>
      </c>
      <c r="I23" s="409">
        <v>15</v>
      </c>
      <c r="J23" s="18">
        <v>2000</v>
      </c>
      <c r="K23" s="9">
        <f t="shared" si="33"/>
        <v>133.33333333333334</v>
      </c>
      <c r="L23" s="409">
        <v>15</v>
      </c>
      <c r="M23" s="10">
        <f t="shared" si="34"/>
        <v>1965.0000000000068</v>
      </c>
      <c r="N23" s="9">
        <f t="shared" si="22"/>
        <v>131.00000000000045</v>
      </c>
      <c r="O23" s="11">
        <f t="shared" si="35"/>
        <v>0</v>
      </c>
      <c r="P23" s="12">
        <f t="shared" si="36"/>
        <v>-2.3333333333328881</v>
      </c>
      <c r="Q23" s="413">
        <f t="shared" si="29"/>
        <v>0.98250000000000337</v>
      </c>
      <c r="R23" s="533"/>
      <c r="S23" s="24">
        <v>0.79236111111111107</v>
      </c>
      <c r="T23" s="24">
        <v>0.80347222222222214</v>
      </c>
      <c r="U23" s="408">
        <f t="shared" si="38"/>
        <v>7.9999999999999716</v>
      </c>
      <c r="V23" s="411">
        <f t="shared" si="37"/>
        <v>15.999999999999943</v>
      </c>
      <c r="W23" s="14"/>
      <c r="X23" s="15"/>
      <c r="Y23" s="528"/>
      <c r="Z23" s="528"/>
      <c r="AA23" s="11">
        <f t="shared" si="2"/>
        <v>-34.999999999993179</v>
      </c>
      <c r="AB23" s="413">
        <f t="shared" si="19"/>
        <v>0.98250000000000337</v>
      </c>
      <c r="AC23" s="533"/>
    </row>
    <row r="24" spans="1:29" ht="15.75" customHeight="1">
      <c r="A24" s="555" t="s">
        <v>1619</v>
      </c>
      <c r="B24" s="26" t="s">
        <v>1620</v>
      </c>
      <c r="C24" s="530"/>
      <c r="D24" s="530"/>
      <c r="E24" s="412"/>
      <c r="F24" s="410"/>
      <c r="G24" s="408"/>
      <c r="H24" s="410"/>
      <c r="I24" s="17">
        <v>17.166666666666668</v>
      </c>
      <c r="J24" s="18">
        <v>2000</v>
      </c>
      <c r="K24" s="9">
        <f t="shared" si="33"/>
        <v>116.50485436893203</v>
      </c>
      <c r="L24" s="17">
        <v>17.166666666666668</v>
      </c>
      <c r="M24" s="10">
        <f>AVERAGE(M18:M23)</f>
        <v>1892.6146723306583</v>
      </c>
      <c r="N24" s="9">
        <f>M24/L24</f>
        <v>110.24939838819368</v>
      </c>
      <c r="O24" s="11">
        <f>L24-I24</f>
        <v>0</v>
      </c>
      <c r="P24" s="12">
        <f>N24-K24</f>
        <v>-6.255455980738347</v>
      </c>
      <c r="Q24" s="413">
        <f>N24/K24</f>
        <v>0.94630733616532914</v>
      </c>
      <c r="R24" s="533"/>
      <c r="S24" s="24"/>
      <c r="T24" s="24"/>
      <c r="U24" s="9"/>
      <c r="V24" s="411"/>
      <c r="W24" s="9"/>
      <c r="X24" s="9"/>
      <c r="Y24" s="528"/>
      <c r="Z24" s="528"/>
      <c r="AA24" s="11">
        <f t="shared" si="2"/>
        <v>-107.38532766934168</v>
      </c>
      <c r="AB24" s="413">
        <f t="shared" si="19"/>
        <v>0.94630733616532914</v>
      </c>
      <c r="AC24" s="533"/>
    </row>
    <row r="25" spans="1:29" ht="15.75" customHeight="1">
      <c r="A25" s="553" t="s">
        <v>377</v>
      </c>
      <c r="B25" s="26" t="s">
        <v>24</v>
      </c>
      <c r="C25" s="552" t="s">
        <v>26</v>
      </c>
      <c r="D25" s="552"/>
      <c r="E25" s="26">
        <v>26.2</v>
      </c>
      <c r="F25" s="410">
        <v>4053</v>
      </c>
      <c r="G25" s="408">
        <f t="shared" ref="G25:G31" si="39">E25*F25</f>
        <v>106188.59999999999</v>
      </c>
      <c r="H25" s="419" t="s">
        <v>52</v>
      </c>
      <c r="I25" s="409">
        <v>20</v>
      </c>
      <c r="J25" s="18">
        <v>2400</v>
      </c>
      <c r="K25" s="9">
        <f>J25/I25</f>
        <v>120</v>
      </c>
      <c r="L25" s="409">
        <v>20</v>
      </c>
      <c r="M25" s="10">
        <f t="shared" ref="M25:M31" si="40">F25/V25*60</f>
        <v>2251.6666666666661</v>
      </c>
      <c r="N25" s="9">
        <f t="shared" ref="N25:N31" si="41">M25/L25</f>
        <v>112.5833333333333</v>
      </c>
      <c r="O25" s="11">
        <f t="shared" ref="O25:O31" si="42">L25-I25</f>
        <v>0</v>
      </c>
      <c r="P25" s="12">
        <f t="shared" ref="P25:P31" si="43">N25-K25</f>
        <v>-7.4166666666666998</v>
      </c>
      <c r="Q25" s="413">
        <f t="shared" ref="Q25:Q31" si="44">N25/K25</f>
        <v>0.93819444444444422</v>
      </c>
      <c r="R25" s="533">
        <f>Q32</f>
        <v>0.93629887761901864</v>
      </c>
      <c r="S25" s="24">
        <v>0.125</v>
      </c>
      <c r="T25" s="24">
        <v>0.2</v>
      </c>
      <c r="U25" s="408"/>
      <c r="V25" s="411">
        <f t="shared" ref="V25:V31" si="45">(T25-S25)*24*60</f>
        <v>108.00000000000001</v>
      </c>
      <c r="W25" s="14">
        <f>T25</f>
        <v>0.2</v>
      </c>
      <c r="X25" s="14">
        <f>S26</f>
        <v>0.21875000000000003</v>
      </c>
      <c r="Y25" s="528"/>
      <c r="Z25" s="528"/>
      <c r="AA25" s="11">
        <f t="shared" si="2"/>
        <v>-148.33333333333394</v>
      </c>
      <c r="AB25" s="413">
        <f>M25/J25</f>
        <v>0.93819444444444422</v>
      </c>
      <c r="AC25" s="533">
        <f>AB32</f>
        <v>0.93629887761901875</v>
      </c>
    </row>
    <row r="26" spans="1:29" ht="15.75" customHeight="1">
      <c r="A26" s="553" t="s">
        <v>1621</v>
      </c>
      <c r="B26" s="26" t="s">
        <v>24</v>
      </c>
      <c r="C26" s="552" t="s">
        <v>79</v>
      </c>
      <c r="D26" s="552"/>
      <c r="E26" s="26">
        <v>31.29</v>
      </c>
      <c r="F26" s="410">
        <v>9335</v>
      </c>
      <c r="G26" s="408">
        <f t="shared" si="39"/>
        <v>292092.14999999997</v>
      </c>
      <c r="H26" s="419" t="s">
        <v>52</v>
      </c>
      <c r="I26" s="409">
        <v>16</v>
      </c>
      <c r="J26" s="18">
        <v>2400</v>
      </c>
      <c r="K26" s="9">
        <f t="shared" ref="K26:K32" si="46">J26/I26</f>
        <v>150</v>
      </c>
      <c r="L26" s="409">
        <v>16</v>
      </c>
      <c r="M26" s="10">
        <f t="shared" si="40"/>
        <v>2240.3999999999996</v>
      </c>
      <c r="N26" s="9">
        <f t="shared" si="41"/>
        <v>140.02499999999998</v>
      </c>
      <c r="O26" s="11">
        <f t="shared" si="42"/>
        <v>0</v>
      </c>
      <c r="P26" s="12">
        <f t="shared" si="43"/>
        <v>-9.9750000000000227</v>
      </c>
      <c r="Q26" s="413">
        <f t="shared" si="44"/>
        <v>0.93349999999999989</v>
      </c>
      <c r="R26" s="533"/>
      <c r="S26" s="24">
        <v>0.21875000000000003</v>
      </c>
      <c r="T26" s="24">
        <v>0.39236111111111116</v>
      </c>
      <c r="U26" s="408">
        <f>(S26-T25)*24*60</f>
        <v>27.000000000000025</v>
      </c>
      <c r="V26" s="411">
        <f t="shared" si="45"/>
        <v>250.00000000000003</v>
      </c>
      <c r="W26" s="14"/>
      <c r="X26" s="14"/>
      <c r="Y26" s="528"/>
      <c r="Z26" s="528"/>
      <c r="AA26" s="11">
        <f t="shared" si="2"/>
        <v>-159.60000000000036</v>
      </c>
      <c r="AB26" s="413">
        <f t="shared" ref="AB26:AB31" si="47">M26/J26</f>
        <v>0.93349999999999989</v>
      </c>
      <c r="AC26" s="533"/>
    </row>
    <row r="27" spans="1:29" ht="15.75" customHeight="1">
      <c r="A27" s="553" t="s">
        <v>1622</v>
      </c>
      <c r="B27" s="26" t="s">
        <v>24</v>
      </c>
      <c r="C27" s="552" t="s">
        <v>68</v>
      </c>
      <c r="D27" s="552"/>
      <c r="E27" s="26">
        <v>24.25</v>
      </c>
      <c r="F27" s="410">
        <v>1800</v>
      </c>
      <c r="G27" s="408">
        <f t="shared" si="39"/>
        <v>43650</v>
      </c>
      <c r="H27" s="419">
        <v>2</v>
      </c>
      <c r="I27" s="409">
        <v>18</v>
      </c>
      <c r="J27" s="18">
        <v>2400</v>
      </c>
      <c r="K27" s="9">
        <f t="shared" si="46"/>
        <v>133.33333333333334</v>
      </c>
      <c r="L27" s="409">
        <v>18</v>
      </c>
      <c r="M27" s="10">
        <f t="shared" si="40"/>
        <v>2250.0000000000009</v>
      </c>
      <c r="N27" s="9">
        <f t="shared" si="41"/>
        <v>125.00000000000006</v>
      </c>
      <c r="O27" s="11">
        <f t="shared" si="42"/>
        <v>0</v>
      </c>
      <c r="P27" s="12">
        <f t="shared" si="43"/>
        <v>-8.333333333333286</v>
      </c>
      <c r="Q27" s="413">
        <f t="shared" si="44"/>
        <v>0.93750000000000033</v>
      </c>
      <c r="R27" s="533"/>
      <c r="S27" s="24">
        <v>0.39722222222222225</v>
      </c>
      <c r="T27" s="24">
        <v>0.43055555555555558</v>
      </c>
      <c r="U27" s="408">
        <f t="shared" ref="U27:U31" si="48">(S27-T26)*24*60</f>
        <v>6.9999999999999751</v>
      </c>
      <c r="V27" s="411">
        <f t="shared" si="45"/>
        <v>47.999999999999986</v>
      </c>
      <c r="W27" s="14"/>
      <c r="X27" s="14"/>
      <c r="Y27" s="528"/>
      <c r="Z27" s="528"/>
      <c r="AA27" s="11">
        <f t="shared" si="2"/>
        <v>-149.99999999999909</v>
      </c>
      <c r="AB27" s="413">
        <f t="shared" si="47"/>
        <v>0.93750000000000033</v>
      </c>
      <c r="AC27" s="533"/>
    </row>
    <row r="28" spans="1:29" ht="15.75" customHeight="1">
      <c r="A28" s="553" t="s">
        <v>377</v>
      </c>
      <c r="B28" s="26" t="s">
        <v>24</v>
      </c>
      <c r="C28" s="552" t="s">
        <v>328</v>
      </c>
      <c r="D28" s="552"/>
      <c r="E28" s="26">
        <v>25.98</v>
      </c>
      <c r="F28" s="410">
        <v>2800</v>
      </c>
      <c r="G28" s="408">
        <f t="shared" si="39"/>
        <v>72744</v>
      </c>
      <c r="H28" s="419">
        <v>2</v>
      </c>
      <c r="I28" s="409">
        <v>17</v>
      </c>
      <c r="J28" s="18">
        <v>2400</v>
      </c>
      <c r="K28" s="9">
        <f t="shared" si="46"/>
        <v>141.1764705882353</v>
      </c>
      <c r="L28" s="409">
        <v>17</v>
      </c>
      <c r="M28" s="10">
        <f t="shared" si="40"/>
        <v>2240.0000000000009</v>
      </c>
      <c r="N28" s="9">
        <f t="shared" si="41"/>
        <v>131.76470588235298</v>
      </c>
      <c r="O28" s="11">
        <f t="shared" si="42"/>
        <v>0</v>
      </c>
      <c r="P28" s="12">
        <f t="shared" si="43"/>
        <v>-9.4117647058823195</v>
      </c>
      <c r="Q28" s="413">
        <f t="shared" si="44"/>
        <v>0.93333333333333357</v>
      </c>
      <c r="R28" s="533"/>
      <c r="S28" s="24">
        <v>0.43611111111111112</v>
      </c>
      <c r="T28" s="24">
        <v>0.48819444444444443</v>
      </c>
      <c r="U28" s="408">
        <f t="shared" si="48"/>
        <v>7.9999999999999716</v>
      </c>
      <c r="V28" s="411">
        <f t="shared" si="45"/>
        <v>74.999999999999972</v>
      </c>
      <c r="W28" s="14"/>
      <c r="X28" s="14"/>
      <c r="Y28" s="528"/>
      <c r="Z28" s="528"/>
      <c r="AA28" s="11">
        <f t="shared" si="2"/>
        <v>-159.99999999999909</v>
      </c>
      <c r="AB28" s="413">
        <f t="shared" si="47"/>
        <v>0.93333333333333368</v>
      </c>
      <c r="AC28" s="533"/>
    </row>
    <row r="29" spans="1:29" ht="15.75" customHeight="1">
      <c r="A29" s="553" t="s">
        <v>1621</v>
      </c>
      <c r="B29" s="26" t="s">
        <v>24</v>
      </c>
      <c r="C29" s="552" t="s">
        <v>62</v>
      </c>
      <c r="D29" s="552"/>
      <c r="E29" s="26">
        <v>22.35</v>
      </c>
      <c r="F29" s="410">
        <v>1723</v>
      </c>
      <c r="G29" s="408">
        <f t="shared" si="39"/>
        <v>38509.050000000003</v>
      </c>
      <c r="H29" s="419" t="s">
        <v>52</v>
      </c>
      <c r="I29" s="409">
        <v>16</v>
      </c>
      <c r="J29" s="18">
        <v>2400</v>
      </c>
      <c r="K29" s="9">
        <f t="shared" si="46"/>
        <v>150</v>
      </c>
      <c r="L29" s="409">
        <v>16</v>
      </c>
      <c r="M29" s="10">
        <f t="shared" si="40"/>
        <v>2247.3913043478224</v>
      </c>
      <c r="N29" s="9">
        <f t="shared" si="41"/>
        <v>140.4619565217389</v>
      </c>
      <c r="O29" s="11">
        <f t="shared" si="42"/>
        <v>0</v>
      </c>
      <c r="P29" s="12">
        <f t="shared" si="43"/>
        <v>-9.5380434782611019</v>
      </c>
      <c r="Q29" s="413">
        <f t="shared" si="44"/>
        <v>0.93641304347825927</v>
      </c>
      <c r="R29" s="533"/>
      <c r="S29" s="24">
        <v>0.49305555555555552</v>
      </c>
      <c r="T29" s="24">
        <v>0.52500000000000002</v>
      </c>
      <c r="U29" s="408">
        <f t="shared" si="48"/>
        <v>6.9999999999999751</v>
      </c>
      <c r="V29" s="411">
        <f t="shared" si="45"/>
        <v>46.000000000000078</v>
      </c>
      <c r="W29" s="14">
        <f>T29</f>
        <v>0.52500000000000002</v>
      </c>
      <c r="X29" s="14">
        <f>S30</f>
        <v>0.56388888888888888</v>
      </c>
      <c r="Y29" s="528"/>
      <c r="Z29" s="528"/>
      <c r="AA29" s="11">
        <f t="shared" si="2"/>
        <v>-152.60869565217763</v>
      </c>
      <c r="AB29" s="413">
        <f t="shared" si="47"/>
        <v>0.93641304347825927</v>
      </c>
      <c r="AC29" s="533"/>
    </row>
    <row r="30" spans="1:29" ht="15.75" customHeight="1">
      <c r="A30" s="553" t="s">
        <v>377</v>
      </c>
      <c r="B30" s="26" t="s">
        <v>24</v>
      </c>
      <c r="C30" s="552" t="s">
        <v>68</v>
      </c>
      <c r="D30" s="552"/>
      <c r="E30" s="26">
        <v>24.25</v>
      </c>
      <c r="F30" s="410">
        <v>2732</v>
      </c>
      <c r="G30" s="408">
        <f t="shared" si="39"/>
        <v>66251</v>
      </c>
      <c r="H30" s="419" t="s">
        <v>52</v>
      </c>
      <c r="I30" s="409">
        <v>18</v>
      </c>
      <c r="J30" s="18">
        <v>2400</v>
      </c>
      <c r="K30" s="9">
        <f t="shared" si="46"/>
        <v>133.33333333333334</v>
      </c>
      <c r="L30" s="409">
        <v>18</v>
      </c>
      <c r="M30" s="10">
        <f t="shared" si="40"/>
        <v>2245.479452054793</v>
      </c>
      <c r="N30" s="9">
        <f t="shared" si="41"/>
        <v>124.7488584474885</v>
      </c>
      <c r="O30" s="11">
        <f t="shared" si="42"/>
        <v>0</v>
      </c>
      <c r="P30" s="12">
        <f t="shared" si="43"/>
        <v>-8.5844748858448412</v>
      </c>
      <c r="Q30" s="413">
        <f t="shared" si="44"/>
        <v>0.9356164383561637</v>
      </c>
      <c r="R30" s="533"/>
      <c r="S30" s="24">
        <v>0.56388888888888888</v>
      </c>
      <c r="T30" s="24">
        <v>0.61458333333333337</v>
      </c>
      <c r="U30" s="408">
        <f t="shared" si="48"/>
        <v>55.999999999999957</v>
      </c>
      <c r="V30" s="411">
        <f t="shared" si="45"/>
        <v>73.000000000000057</v>
      </c>
      <c r="W30" s="14"/>
      <c r="X30" s="14"/>
      <c r="Y30" s="528"/>
      <c r="Z30" s="528"/>
      <c r="AA30" s="11">
        <f t="shared" si="2"/>
        <v>-154.520547945207</v>
      </c>
      <c r="AB30" s="413">
        <f t="shared" si="47"/>
        <v>0.9356164383561637</v>
      </c>
      <c r="AC30" s="533"/>
    </row>
    <row r="31" spans="1:29" ht="15.75" customHeight="1">
      <c r="A31" s="553" t="s">
        <v>377</v>
      </c>
      <c r="B31" s="26" t="s">
        <v>24</v>
      </c>
      <c r="C31" s="552" t="s">
        <v>328</v>
      </c>
      <c r="D31" s="552"/>
      <c r="E31" s="26">
        <v>25.98</v>
      </c>
      <c r="F31" s="410">
        <v>1616</v>
      </c>
      <c r="G31" s="408">
        <f t="shared" si="39"/>
        <v>41983.68</v>
      </c>
      <c r="H31" s="419" t="s">
        <v>52</v>
      </c>
      <c r="I31" s="409">
        <v>17</v>
      </c>
      <c r="J31" s="18">
        <v>2400</v>
      </c>
      <c r="K31" s="9">
        <f t="shared" si="46"/>
        <v>141.1764705882353</v>
      </c>
      <c r="L31" s="409">
        <v>17</v>
      </c>
      <c r="M31" s="10">
        <f t="shared" si="40"/>
        <v>2254.8837209302324</v>
      </c>
      <c r="N31" s="9">
        <f t="shared" si="41"/>
        <v>132.64021887824896</v>
      </c>
      <c r="O31" s="11">
        <f t="shared" si="42"/>
        <v>0</v>
      </c>
      <c r="P31" s="12">
        <f t="shared" si="43"/>
        <v>-8.5362517099863453</v>
      </c>
      <c r="Q31" s="413">
        <f t="shared" si="44"/>
        <v>0.93953488372093008</v>
      </c>
      <c r="R31" s="533"/>
      <c r="S31" s="24">
        <v>0.62013888888888891</v>
      </c>
      <c r="T31" s="24">
        <v>0.65</v>
      </c>
      <c r="U31" s="408">
        <f t="shared" si="48"/>
        <v>7.9999999999999716</v>
      </c>
      <c r="V31" s="411">
        <f t="shared" si="45"/>
        <v>43.000000000000007</v>
      </c>
      <c r="W31" s="14"/>
      <c r="X31" s="14"/>
      <c r="Y31" s="528"/>
      <c r="Z31" s="528"/>
      <c r="AA31" s="11">
        <f t="shared" si="2"/>
        <v>-145.11627906976764</v>
      </c>
      <c r="AB31" s="413">
        <f t="shared" si="47"/>
        <v>0.93953488372093019</v>
      </c>
      <c r="AC31" s="533"/>
    </row>
    <row r="32" spans="1:29" ht="15.75" customHeight="1">
      <c r="A32" s="553" t="s">
        <v>1622</v>
      </c>
      <c r="B32" s="26" t="s">
        <v>82</v>
      </c>
      <c r="C32" s="530"/>
      <c r="D32" s="530"/>
      <c r="E32" s="412"/>
      <c r="F32" s="410"/>
      <c r="G32" s="408"/>
      <c r="H32" s="410"/>
      <c r="I32" s="17">
        <v>17.428571428571427</v>
      </c>
      <c r="J32" s="18">
        <v>2400</v>
      </c>
      <c r="K32" s="9">
        <f t="shared" si="46"/>
        <v>137.70491803278691</v>
      </c>
      <c r="L32" s="17">
        <v>17.428571428571427</v>
      </c>
      <c r="M32" s="10">
        <f>AVERAGE(M25:M31)</f>
        <v>2247.1173062856451</v>
      </c>
      <c r="N32" s="9">
        <f>M32/L32</f>
        <v>128.93296019671735</v>
      </c>
      <c r="O32" s="11">
        <f>L32-I32</f>
        <v>0</v>
      </c>
      <c r="P32" s="12">
        <f>N32-K32</f>
        <v>-8.7719578360695607</v>
      </c>
      <c r="Q32" s="413">
        <f>N32/K32</f>
        <v>0.93629887761901864</v>
      </c>
      <c r="R32" s="533"/>
      <c r="S32" s="24"/>
      <c r="T32" s="24"/>
      <c r="U32" s="408"/>
      <c r="V32" s="411"/>
      <c r="W32" s="408"/>
      <c r="X32" s="408"/>
      <c r="Y32" s="528"/>
      <c r="Z32" s="528"/>
      <c r="AA32" s="11">
        <f t="shared" si="2"/>
        <v>-152.8826937143549</v>
      </c>
      <c r="AB32" s="413">
        <f>M32/J32</f>
        <v>0.93629887761901875</v>
      </c>
      <c r="AC32" s="533"/>
    </row>
    <row r="33" spans="1:29" ht="15.75" customHeight="1">
      <c r="A33" s="550" t="s">
        <v>1623</v>
      </c>
      <c r="B33" s="26" t="s">
        <v>24</v>
      </c>
      <c r="C33" s="529" t="s">
        <v>28</v>
      </c>
      <c r="D33" s="529"/>
      <c r="E33" s="26">
        <v>26.2</v>
      </c>
      <c r="F33" s="410">
        <v>6795</v>
      </c>
      <c r="G33" s="408">
        <f t="shared" ref="G33:G41" si="49">E33*F33</f>
        <v>178029</v>
      </c>
      <c r="H33" s="419" t="s">
        <v>52</v>
      </c>
      <c r="I33" s="409">
        <v>18</v>
      </c>
      <c r="J33" s="18">
        <v>2400</v>
      </c>
      <c r="K33" s="9">
        <f>J33/I33</f>
        <v>133.33333333333334</v>
      </c>
      <c r="L33" s="409">
        <v>18</v>
      </c>
      <c r="M33" s="10">
        <f>F33/V33*60</f>
        <v>2240.1098901098899</v>
      </c>
      <c r="N33" s="9">
        <f>M33/L33</f>
        <v>124.45054945054943</v>
      </c>
      <c r="O33" s="11">
        <f t="shared" ref="O33:O41" si="50">L33-I33</f>
        <v>0</v>
      </c>
      <c r="P33" s="12">
        <f t="shared" ref="P33:P50" si="51">N33-K33</f>
        <v>-8.8827838827839116</v>
      </c>
      <c r="Q33" s="413">
        <f t="shared" ref="Q33:Q46" si="52">N33/K33</f>
        <v>0.93337912087912067</v>
      </c>
      <c r="R33" s="533">
        <f>Q42</f>
        <v>0.93628179224187602</v>
      </c>
      <c r="S33" s="24">
        <v>0.125</v>
      </c>
      <c r="T33" s="24">
        <v>0.25138888888888888</v>
      </c>
      <c r="U33" s="408"/>
      <c r="V33" s="411">
        <f t="shared" ref="V33:V41" si="53">(T33-S33)*24*60</f>
        <v>182</v>
      </c>
      <c r="W33" s="15">
        <f>T33</f>
        <v>0.25138888888888888</v>
      </c>
      <c r="X33" s="15">
        <f>S34</f>
        <v>0.27152777777777776</v>
      </c>
      <c r="Y33" s="528"/>
      <c r="Z33" s="528"/>
      <c r="AA33" s="11">
        <f t="shared" si="2"/>
        <v>-159.89010989011012</v>
      </c>
      <c r="AB33" s="413">
        <f>M33/J33</f>
        <v>0.93337912087912078</v>
      </c>
      <c r="AC33" s="533">
        <f>AB42</f>
        <v>0.93628179224187591</v>
      </c>
    </row>
    <row r="34" spans="1:29" ht="15.75" customHeight="1">
      <c r="A34" s="550" t="s">
        <v>1624</v>
      </c>
      <c r="B34" s="26" t="s">
        <v>24</v>
      </c>
      <c r="C34" s="529" t="s">
        <v>30</v>
      </c>
      <c r="D34" s="529"/>
      <c r="E34" s="26">
        <v>24.45</v>
      </c>
      <c r="F34" s="410">
        <v>2163</v>
      </c>
      <c r="G34" s="408">
        <f t="shared" si="49"/>
        <v>52885.35</v>
      </c>
      <c r="H34" s="419" t="s">
        <v>52</v>
      </c>
      <c r="I34" s="409">
        <v>20</v>
      </c>
      <c r="J34" s="18">
        <v>2400</v>
      </c>
      <c r="K34" s="9">
        <f t="shared" ref="K34:K49" si="54">J34/I34</f>
        <v>120</v>
      </c>
      <c r="L34" s="409">
        <v>20</v>
      </c>
      <c r="M34" s="10">
        <f t="shared" ref="M34:M41" si="55">F34/V34*60</f>
        <v>2237.5862068965503</v>
      </c>
      <c r="N34" s="9">
        <f t="shared" ref="N34:N41" si="56">M34/L34</f>
        <v>111.87931034482752</v>
      </c>
      <c r="O34" s="11">
        <f t="shared" si="50"/>
        <v>0</v>
      </c>
      <c r="P34" s="12">
        <f t="shared" si="51"/>
        <v>-8.1206896551724839</v>
      </c>
      <c r="Q34" s="413">
        <f t="shared" si="52"/>
        <v>0.93232758620689593</v>
      </c>
      <c r="R34" s="533"/>
      <c r="S34" s="24">
        <v>0.27152777777777776</v>
      </c>
      <c r="T34" s="24">
        <v>0.31180555555555556</v>
      </c>
      <c r="U34" s="408">
        <f>(S34-T33)*24*60</f>
        <v>28.999999999999979</v>
      </c>
      <c r="V34" s="411">
        <f t="shared" si="53"/>
        <v>58.000000000000036</v>
      </c>
      <c r="W34" s="408"/>
      <c r="X34" s="408"/>
      <c r="Y34" s="528"/>
      <c r="Z34" s="528"/>
      <c r="AA34" s="11">
        <f t="shared" si="2"/>
        <v>-162.41379310344973</v>
      </c>
      <c r="AB34" s="413">
        <f t="shared" ref="AB34:AB63" si="57">M34/J34</f>
        <v>0.93232758620689593</v>
      </c>
      <c r="AC34" s="533"/>
    </row>
    <row r="35" spans="1:29">
      <c r="A35" s="551" t="s">
        <v>1623</v>
      </c>
      <c r="B35" s="26" t="s">
        <v>24</v>
      </c>
      <c r="C35" s="529" t="s">
        <v>29</v>
      </c>
      <c r="D35" s="529"/>
      <c r="E35" s="26">
        <v>26.39</v>
      </c>
      <c r="F35" s="410">
        <v>2000</v>
      </c>
      <c r="G35" s="408">
        <f t="shared" si="49"/>
        <v>52780</v>
      </c>
      <c r="H35" s="419">
        <v>2</v>
      </c>
      <c r="I35" s="409">
        <v>19</v>
      </c>
      <c r="J35" s="18">
        <v>2400</v>
      </c>
      <c r="K35" s="9">
        <f t="shared" si="54"/>
        <v>126.31578947368421</v>
      </c>
      <c r="L35" s="409">
        <v>19</v>
      </c>
      <c r="M35" s="10">
        <f t="shared" si="55"/>
        <v>2264.1509433962278</v>
      </c>
      <c r="N35" s="9">
        <f t="shared" si="56"/>
        <v>119.16583912611725</v>
      </c>
      <c r="O35" s="11">
        <f t="shared" si="50"/>
        <v>0</v>
      </c>
      <c r="P35" s="12">
        <f t="shared" si="51"/>
        <v>-7.149950347566957</v>
      </c>
      <c r="Q35" s="413">
        <f t="shared" si="52"/>
        <v>0.94339622641509491</v>
      </c>
      <c r="R35" s="533"/>
      <c r="S35" s="24">
        <v>0.31666666666666665</v>
      </c>
      <c r="T35" s="24">
        <v>0.35347222222222219</v>
      </c>
      <c r="U35" s="408">
        <f t="shared" ref="U35:U41" si="58">(S35-T34)*24*60</f>
        <v>6.9999999999999751</v>
      </c>
      <c r="V35" s="411">
        <f t="shared" si="53"/>
        <v>52.999999999999972</v>
      </c>
      <c r="W35" s="408"/>
      <c r="X35" s="408"/>
      <c r="Y35" s="528"/>
      <c r="Z35" s="528"/>
      <c r="AA35" s="11">
        <f t="shared" si="2"/>
        <v>-135.84905660377217</v>
      </c>
      <c r="AB35" s="413">
        <f t="shared" si="57"/>
        <v>0.94339622641509491</v>
      </c>
      <c r="AC35" s="533"/>
    </row>
    <row r="36" spans="1:29">
      <c r="A36" s="551" t="s">
        <v>1624</v>
      </c>
      <c r="B36" s="26" t="s">
        <v>24</v>
      </c>
      <c r="C36" s="529" t="s">
        <v>27</v>
      </c>
      <c r="D36" s="529"/>
      <c r="E36" s="26">
        <v>20.52</v>
      </c>
      <c r="F36" s="410">
        <v>3284</v>
      </c>
      <c r="G36" s="408">
        <f t="shared" si="49"/>
        <v>67387.679999999993</v>
      </c>
      <c r="H36" s="419" t="s">
        <v>52</v>
      </c>
      <c r="I36" s="409">
        <v>18</v>
      </c>
      <c r="J36" s="18">
        <v>2400</v>
      </c>
      <c r="K36" s="9">
        <f t="shared" si="54"/>
        <v>133.33333333333334</v>
      </c>
      <c r="L36" s="409">
        <v>18</v>
      </c>
      <c r="M36" s="10">
        <f t="shared" si="55"/>
        <v>2239.090909090909</v>
      </c>
      <c r="N36" s="9">
        <f t="shared" si="56"/>
        <v>124.39393939393939</v>
      </c>
      <c r="O36" s="11">
        <f t="shared" si="50"/>
        <v>0</v>
      </c>
      <c r="P36" s="12">
        <f t="shared" si="51"/>
        <v>-8.9393939393939519</v>
      </c>
      <c r="Q36" s="413">
        <f t="shared" si="52"/>
        <v>0.93295454545454537</v>
      </c>
      <c r="R36" s="533"/>
      <c r="S36" s="24">
        <v>0.3569444444444444</v>
      </c>
      <c r="T36" s="24">
        <v>0.41805555555555551</v>
      </c>
      <c r="U36" s="408">
        <f t="shared" si="58"/>
        <v>4.9999999999999822</v>
      </c>
      <c r="V36" s="411">
        <f t="shared" si="53"/>
        <v>88</v>
      </c>
      <c r="W36" s="14"/>
      <c r="X36" s="14"/>
      <c r="Y36" s="528"/>
      <c r="Z36" s="528"/>
      <c r="AA36" s="11">
        <f t="shared" si="2"/>
        <v>-160.90909090909099</v>
      </c>
      <c r="AB36" s="413">
        <f t="shared" si="57"/>
        <v>0.93295454545454537</v>
      </c>
      <c r="AC36" s="533"/>
    </row>
    <row r="37" spans="1:29">
      <c r="A37" s="551" t="s">
        <v>1623</v>
      </c>
      <c r="B37" s="26" t="s">
        <v>24</v>
      </c>
      <c r="C37" s="529" t="s">
        <v>50</v>
      </c>
      <c r="D37" s="529"/>
      <c r="E37" s="26">
        <v>26.2</v>
      </c>
      <c r="F37" s="410">
        <v>3200</v>
      </c>
      <c r="G37" s="408">
        <f t="shared" si="49"/>
        <v>83840</v>
      </c>
      <c r="H37" s="419">
        <v>2</v>
      </c>
      <c r="I37" s="409">
        <v>19</v>
      </c>
      <c r="J37" s="18">
        <v>2400</v>
      </c>
      <c r="K37" s="9">
        <f t="shared" si="54"/>
        <v>126.31578947368421</v>
      </c>
      <c r="L37" s="409">
        <v>19</v>
      </c>
      <c r="M37" s="10">
        <f t="shared" si="55"/>
        <v>2258.8235294117644</v>
      </c>
      <c r="N37" s="9">
        <f t="shared" si="56"/>
        <v>118.88544891640865</v>
      </c>
      <c r="O37" s="11">
        <f t="shared" si="50"/>
        <v>0</v>
      </c>
      <c r="P37" s="12">
        <f t="shared" si="51"/>
        <v>-7.4303405572755565</v>
      </c>
      <c r="Q37" s="413">
        <f t="shared" si="52"/>
        <v>0.94117647058823517</v>
      </c>
      <c r="R37" s="533"/>
      <c r="S37" s="24">
        <v>0.42361111111111105</v>
      </c>
      <c r="T37" s="24">
        <v>0.48263888888888884</v>
      </c>
      <c r="U37" s="408">
        <f t="shared" si="58"/>
        <v>7.9999999999999716</v>
      </c>
      <c r="V37" s="411">
        <f t="shared" si="53"/>
        <v>85.000000000000014</v>
      </c>
      <c r="W37" s="14"/>
      <c r="X37" s="14"/>
      <c r="Y37" s="528"/>
      <c r="Z37" s="528"/>
      <c r="AA37" s="11">
        <f t="shared" si="2"/>
        <v>-141.17647058823559</v>
      </c>
      <c r="AB37" s="413">
        <f t="shared" si="57"/>
        <v>0.94117647058823517</v>
      </c>
      <c r="AC37" s="533"/>
    </row>
    <row r="38" spans="1:29">
      <c r="A38" s="551" t="s">
        <v>1624</v>
      </c>
      <c r="B38" s="26" t="s">
        <v>24</v>
      </c>
      <c r="C38" s="529" t="s">
        <v>1079</v>
      </c>
      <c r="D38" s="529"/>
      <c r="E38" s="26">
        <v>25.98</v>
      </c>
      <c r="F38" s="410">
        <v>2200</v>
      </c>
      <c r="G38" s="408">
        <f t="shared" si="49"/>
        <v>57156</v>
      </c>
      <c r="H38" s="419">
        <v>2</v>
      </c>
      <c r="I38" s="409">
        <v>17</v>
      </c>
      <c r="J38" s="18">
        <v>2400</v>
      </c>
      <c r="K38" s="9">
        <f t="shared" si="54"/>
        <v>141.1764705882353</v>
      </c>
      <c r="L38" s="409">
        <v>17</v>
      </c>
      <c r="M38" s="10">
        <f t="shared" si="55"/>
        <v>2237.2881355932223</v>
      </c>
      <c r="N38" s="9">
        <f t="shared" si="56"/>
        <v>131.60518444666013</v>
      </c>
      <c r="O38" s="11">
        <f t="shared" si="50"/>
        <v>0</v>
      </c>
      <c r="P38" s="12">
        <f t="shared" si="51"/>
        <v>-9.5712861415751718</v>
      </c>
      <c r="Q38" s="413">
        <f t="shared" si="52"/>
        <v>0.93220338983050921</v>
      </c>
      <c r="R38" s="533"/>
      <c r="S38" s="24">
        <v>0.48749999999999993</v>
      </c>
      <c r="T38" s="24">
        <v>0.52847222222222212</v>
      </c>
      <c r="U38" s="408">
        <f t="shared" si="58"/>
        <v>6.9999999999999751</v>
      </c>
      <c r="V38" s="411">
        <f t="shared" si="53"/>
        <v>58.99999999999995</v>
      </c>
      <c r="W38" s="14">
        <f>T38</f>
        <v>0.52847222222222212</v>
      </c>
      <c r="X38" s="14">
        <f>S39</f>
        <v>0.56944444444444431</v>
      </c>
      <c r="Y38" s="528"/>
      <c r="Z38" s="528"/>
      <c r="AA38" s="11">
        <f t="shared" si="2"/>
        <v>-162.71186440677775</v>
      </c>
      <c r="AB38" s="413">
        <f t="shared" si="57"/>
        <v>0.93220338983050932</v>
      </c>
      <c r="AC38" s="533"/>
    </row>
    <row r="39" spans="1:29">
      <c r="A39" s="551" t="s">
        <v>379</v>
      </c>
      <c r="B39" s="26" t="s">
        <v>24</v>
      </c>
      <c r="C39" s="529" t="s">
        <v>29</v>
      </c>
      <c r="D39" s="529"/>
      <c r="E39" s="26">
        <v>26.39</v>
      </c>
      <c r="F39" s="410">
        <v>4338</v>
      </c>
      <c r="G39" s="408">
        <f t="shared" si="49"/>
        <v>114479.82</v>
      </c>
      <c r="H39" s="419" t="s">
        <v>52</v>
      </c>
      <c r="I39" s="409">
        <v>19</v>
      </c>
      <c r="J39" s="18">
        <v>2400</v>
      </c>
      <c r="K39" s="9">
        <f t="shared" si="54"/>
        <v>126.31578947368421</v>
      </c>
      <c r="L39" s="409">
        <v>19</v>
      </c>
      <c r="M39" s="10">
        <f t="shared" si="55"/>
        <v>2243.7931034482745</v>
      </c>
      <c r="N39" s="9">
        <f t="shared" si="56"/>
        <v>118.09437386569866</v>
      </c>
      <c r="O39" s="11">
        <f t="shared" si="50"/>
        <v>0</v>
      </c>
      <c r="P39" s="12">
        <f t="shared" si="51"/>
        <v>-8.2214156079855485</v>
      </c>
      <c r="Q39" s="413">
        <f t="shared" si="52"/>
        <v>0.93491379310344769</v>
      </c>
      <c r="R39" s="533"/>
      <c r="S39" s="24">
        <v>0.56944444444444431</v>
      </c>
      <c r="T39" s="24">
        <v>0.64999999999999991</v>
      </c>
      <c r="U39" s="408">
        <f t="shared" si="58"/>
        <v>58.99999999999995</v>
      </c>
      <c r="V39" s="411">
        <f t="shared" si="53"/>
        <v>116.00000000000007</v>
      </c>
      <c r="W39" s="14"/>
      <c r="X39" s="14"/>
      <c r="Y39" s="536"/>
      <c r="Z39" s="537"/>
      <c r="AA39" s="11">
        <f t="shared" si="2"/>
        <v>-156.20689655172555</v>
      </c>
      <c r="AB39" s="413">
        <f t="shared" si="57"/>
        <v>0.93491379310344769</v>
      </c>
      <c r="AC39" s="533"/>
    </row>
    <row r="40" spans="1:29">
      <c r="A40" s="551" t="s">
        <v>1623</v>
      </c>
      <c r="B40" s="26" t="s">
        <v>24</v>
      </c>
      <c r="C40" s="529" t="s">
        <v>50</v>
      </c>
      <c r="D40" s="529"/>
      <c r="E40" s="26">
        <v>26.2</v>
      </c>
      <c r="F40" s="410">
        <v>2001</v>
      </c>
      <c r="G40" s="408">
        <f t="shared" si="49"/>
        <v>52426.2</v>
      </c>
      <c r="H40" s="419" t="s">
        <v>52</v>
      </c>
      <c r="I40" s="409">
        <v>19</v>
      </c>
      <c r="J40" s="18">
        <v>2400</v>
      </c>
      <c r="K40" s="9">
        <f t="shared" si="54"/>
        <v>126.31578947368421</v>
      </c>
      <c r="L40" s="409">
        <v>19</v>
      </c>
      <c r="M40" s="10">
        <f t="shared" si="55"/>
        <v>2265.2830188679259</v>
      </c>
      <c r="N40" s="9">
        <f t="shared" si="56"/>
        <v>119.2254220456803</v>
      </c>
      <c r="O40" s="11">
        <f t="shared" si="50"/>
        <v>0</v>
      </c>
      <c r="P40" s="12">
        <f t="shared" si="51"/>
        <v>-7.0903674280039013</v>
      </c>
      <c r="Q40" s="413">
        <f t="shared" si="52"/>
        <v>0.94386792452830248</v>
      </c>
      <c r="R40" s="533"/>
      <c r="S40" s="24">
        <v>0.65486111111111101</v>
      </c>
      <c r="T40" s="24">
        <v>0.69166666666666654</v>
      </c>
      <c r="U40" s="408">
        <f t="shared" si="58"/>
        <v>6.9999999999999751</v>
      </c>
      <c r="V40" s="411">
        <f t="shared" si="53"/>
        <v>52.999999999999972</v>
      </c>
      <c r="W40" s="14"/>
      <c r="X40" s="14"/>
      <c r="Y40" s="536"/>
      <c r="Z40" s="537"/>
      <c r="AA40" s="11">
        <f t="shared" si="2"/>
        <v>-134.71698113207412</v>
      </c>
      <c r="AB40" s="413">
        <f t="shared" si="57"/>
        <v>0.94386792452830248</v>
      </c>
      <c r="AC40" s="533"/>
    </row>
    <row r="41" spans="1:29">
      <c r="A41" s="551" t="s">
        <v>379</v>
      </c>
      <c r="B41" s="26" t="s">
        <v>24</v>
      </c>
      <c r="C41" s="529" t="s">
        <v>1079</v>
      </c>
      <c r="D41" s="529"/>
      <c r="E41" s="26">
        <v>25.98</v>
      </c>
      <c r="F41" s="410">
        <v>1529</v>
      </c>
      <c r="G41" s="408">
        <f t="shared" si="49"/>
        <v>39723.42</v>
      </c>
      <c r="H41" s="419" t="s">
        <v>52</v>
      </c>
      <c r="I41" s="409">
        <v>17</v>
      </c>
      <c r="J41" s="18">
        <v>2400</v>
      </c>
      <c r="K41" s="9">
        <f t="shared" si="54"/>
        <v>141.1764705882353</v>
      </c>
      <c r="L41" s="409">
        <v>17</v>
      </c>
      <c r="M41" s="10">
        <f t="shared" si="55"/>
        <v>2237.5609756097556</v>
      </c>
      <c r="N41" s="9">
        <f t="shared" si="56"/>
        <v>131.62123385939739</v>
      </c>
      <c r="O41" s="11">
        <f t="shared" si="50"/>
        <v>0</v>
      </c>
      <c r="P41" s="12">
        <f t="shared" si="51"/>
        <v>-9.5552367288379116</v>
      </c>
      <c r="Q41" s="413">
        <f t="shared" si="52"/>
        <v>0.93231707317073143</v>
      </c>
      <c r="R41" s="533"/>
      <c r="S41" s="24">
        <v>0.69722222222222208</v>
      </c>
      <c r="T41" s="24">
        <v>0.72569444444444431</v>
      </c>
      <c r="U41" s="408">
        <f t="shared" si="58"/>
        <v>7.9999999999999716</v>
      </c>
      <c r="V41" s="411">
        <f t="shared" si="53"/>
        <v>41.000000000000014</v>
      </c>
      <c r="W41" s="14"/>
      <c r="X41" s="14"/>
      <c r="Y41" s="536"/>
      <c r="Z41" s="537"/>
      <c r="AA41" s="11">
        <f t="shared" si="2"/>
        <v>-162.43902439024441</v>
      </c>
      <c r="AB41" s="413">
        <f t="shared" si="57"/>
        <v>0.93231707317073154</v>
      </c>
      <c r="AC41" s="533"/>
    </row>
    <row r="42" spans="1:29">
      <c r="A42" s="551" t="s">
        <v>1623</v>
      </c>
      <c r="B42" s="16" t="s">
        <v>1620</v>
      </c>
      <c r="C42" s="530"/>
      <c r="D42" s="530"/>
      <c r="E42" s="412"/>
      <c r="F42" s="16"/>
      <c r="G42" s="9"/>
      <c r="H42" s="410"/>
      <c r="I42" s="17">
        <v>18.444444444444443</v>
      </c>
      <c r="J42" s="18">
        <v>2400</v>
      </c>
      <c r="K42" s="9">
        <f t="shared" si="54"/>
        <v>130.12048192771084</v>
      </c>
      <c r="L42" s="17">
        <v>18.444444444444443</v>
      </c>
      <c r="M42" s="10">
        <f>AVERAGE(M33:M41)</f>
        <v>2247.0763013805022</v>
      </c>
      <c r="N42" s="9">
        <f>M42/L42</f>
        <v>121.82943802665375</v>
      </c>
      <c r="O42" s="11">
        <f>L42-I42</f>
        <v>0</v>
      </c>
      <c r="P42" s="12">
        <f t="shared" si="51"/>
        <v>-8.291043901057094</v>
      </c>
      <c r="Q42" s="413">
        <f t="shared" si="52"/>
        <v>0.93628179224187602</v>
      </c>
      <c r="R42" s="533"/>
      <c r="S42" s="24"/>
      <c r="T42" s="24"/>
      <c r="U42" s="9"/>
      <c r="V42" s="411"/>
      <c r="W42" s="9"/>
      <c r="X42" s="9"/>
      <c r="Y42" s="528"/>
      <c r="Z42" s="528"/>
      <c r="AA42" s="11">
        <f t="shared" si="2"/>
        <v>-152.92369861949783</v>
      </c>
      <c r="AB42" s="413">
        <f t="shared" si="57"/>
        <v>0.93628179224187591</v>
      </c>
      <c r="AC42" s="533"/>
    </row>
    <row r="43" spans="1:29" ht="15.75" customHeight="1">
      <c r="A43" s="544" t="s">
        <v>1625</v>
      </c>
      <c r="B43" s="26" t="s">
        <v>32</v>
      </c>
      <c r="C43" s="534" t="s">
        <v>33</v>
      </c>
      <c r="D43" s="535"/>
      <c r="E43" s="26">
        <v>27.17</v>
      </c>
      <c r="F43" s="410">
        <v>6201</v>
      </c>
      <c r="G43" s="408">
        <f t="shared" ref="G43:G49" si="59">E43*F43</f>
        <v>168481.17</v>
      </c>
      <c r="H43" s="419" t="s">
        <v>52</v>
      </c>
      <c r="I43" s="409">
        <v>10</v>
      </c>
      <c r="J43" s="18">
        <v>3000</v>
      </c>
      <c r="K43" s="9">
        <f t="shared" si="54"/>
        <v>300</v>
      </c>
      <c r="L43" s="409">
        <v>10</v>
      </c>
      <c r="M43" s="10">
        <f t="shared" ref="M43:M44" si="60">F43/V43*60</f>
        <v>2797.4436090225563</v>
      </c>
      <c r="N43" s="10">
        <f t="shared" ref="N43:N50" si="61">M43/L43</f>
        <v>279.74436090225561</v>
      </c>
      <c r="O43" s="11">
        <f t="shared" ref="O43:O50" si="62">L43-I43</f>
        <v>0</v>
      </c>
      <c r="P43" s="12">
        <f t="shared" si="51"/>
        <v>-20.255639097744393</v>
      </c>
      <c r="Q43" s="413">
        <f t="shared" si="52"/>
        <v>0.93248120300751869</v>
      </c>
      <c r="R43" s="547">
        <f>Q50</f>
        <v>0.93750475596480065</v>
      </c>
      <c r="S43" s="24">
        <v>0.125</v>
      </c>
      <c r="T43" s="24">
        <v>0.21736111111111112</v>
      </c>
      <c r="U43" s="15"/>
      <c r="V43" s="411">
        <f t="shared" ref="V43:V49" si="63">(T43-S43)*24*60</f>
        <v>133</v>
      </c>
      <c r="W43" s="408"/>
      <c r="X43" s="408"/>
      <c r="Y43" s="536"/>
      <c r="Z43" s="537"/>
      <c r="AA43" s="11">
        <f t="shared" si="2"/>
        <v>-202.5563909774437</v>
      </c>
      <c r="AB43" s="413">
        <f t="shared" si="57"/>
        <v>0.9324812030075188</v>
      </c>
      <c r="AC43" s="547">
        <f>AB50</f>
        <v>0.93750475596480065</v>
      </c>
    </row>
    <row r="44" spans="1:29" ht="15.75" customHeight="1">
      <c r="A44" s="545" t="s">
        <v>1626</v>
      </c>
      <c r="B44" s="26" t="s">
        <v>32</v>
      </c>
      <c r="C44" s="534" t="s">
        <v>34</v>
      </c>
      <c r="D44" s="535"/>
      <c r="E44" s="26">
        <v>21.13</v>
      </c>
      <c r="F44" s="410">
        <v>4956</v>
      </c>
      <c r="G44" s="408">
        <f t="shared" si="59"/>
        <v>104720.28</v>
      </c>
      <c r="H44" s="419" t="s">
        <v>52</v>
      </c>
      <c r="I44" s="409">
        <v>10</v>
      </c>
      <c r="J44" s="18">
        <v>3000</v>
      </c>
      <c r="K44" s="9">
        <f t="shared" si="54"/>
        <v>300</v>
      </c>
      <c r="L44" s="409">
        <v>10</v>
      </c>
      <c r="M44" s="10">
        <f t="shared" si="60"/>
        <v>2805.283018867925</v>
      </c>
      <c r="N44" s="10">
        <f t="shared" si="61"/>
        <v>280.52830188679252</v>
      </c>
      <c r="O44" s="11">
        <f t="shared" si="62"/>
        <v>0</v>
      </c>
      <c r="P44" s="12">
        <f t="shared" si="51"/>
        <v>-19.471698113207481</v>
      </c>
      <c r="Q44" s="413">
        <f t="shared" si="52"/>
        <v>0.93509433962264177</v>
      </c>
      <c r="R44" s="548"/>
      <c r="S44" s="24">
        <v>0.22291666666666668</v>
      </c>
      <c r="T44" s="24">
        <v>0.29652777777777778</v>
      </c>
      <c r="U44" s="408">
        <f>(S44-T43)*24*60</f>
        <v>8.0000000000000107</v>
      </c>
      <c r="V44" s="411">
        <f t="shared" si="63"/>
        <v>105.99999999999999</v>
      </c>
      <c r="W44" s="14"/>
      <c r="X44" s="14"/>
      <c r="Y44" s="536"/>
      <c r="Z44" s="537"/>
      <c r="AA44" s="11">
        <f t="shared" si="2"/>
        <v>-194.71698113207503</v>
      </c>
      <c r="AB44" s="413">
        <f t="shared" si="57"/>
        <v>0.93509433962264166</v>
      </c>
      <c r="AC44" s="548"/>
    </row>
    <row r="45" spans="1:29" ht="15.75" customHeight="1">
      <c r="A45" s="545" t="s">
        <v>1626</v>
      </c>
      <c r="B45" s="26" t="s">
        <v>32</v>
      </c>
      <c r="C45" s="534" t="s">
        <v>40</v>
      </c>
      <c r="D45" s="535"/>
      <c r="E45" s="26">
        <v>35.119999999999997</v>
      </c>
      <c r="F45" s="410">
        <v>4693</v>
      </c>
      <c r="G45" s="408">
        <f t="shared" si="59"/>
        <v>164818.15999999997</v>
      </c>
      <c r="H45" s="419" t="s">
        <v>52</v>
      </c>
      <c r="I45" s="409">
        <v>10</v>
      </c>
      <c r="J45" s="18">
        <v>3000</v>
      </c>
      <c r="K45" s="9">
        <f t="shared" si="54"/>
        <v>300</v>
      </c>
      <c r="L45" s="409">
        <v>10</v>
      </c>
      <c r="M45" s="10">
        <f>F45/V45*60</f>
        <v>2815.7999999999988</v>
      </c>
      <c r="N45" s="10">
        <f t="shared" si="61"/>
        <v>281.57999999999987</v>
      </c>
      <c r="O45" s="11">
        <f t="shared" si="62"/>
        <v>0</v>
      </c>
      <c r="P45" s="12">
        <f t="shared" si="51"/>
        <v>-18.42000000000013</v>
      </c>
      <c r="Q45" s="413">
        <f t="shared" si="52"/>
        <v>0.93859999999999955</v>
      </c>
      <c r="R45" s="548"/>
      <c r="S45" s="24">
        <v>0.30138888888888887</v>
      </c>
      <c r="T45" s="24">
        <v>0.37083333333333335</v>
      </c>
      <c r="U45" s="408">
        <f t="shared" ref="U45:U49" si="64">(S45-T44)*24*60</f>
        <v>6.9999999999999751</v>
      </c>
      <c r="V45" s="411">
        <f t="shared" si="63"/>
        <v>100.00000000000004</v>
      </c>
      <c r="W45" s="14"/>
      <c r="X45" s="14"/>
      <c r="Y45" s="536"/>
      <c r="Z45" s="537"/>
      <c r="AA45" s="11">
        <f t="shared" si="2"/>
        <v>-184.20000000000118</v>
      </c>
      <c r="AB45" s="413">
        <f t="shared" si="57"/>
        <v>0.93859999999999966</v>
      </c>
      <c r="AC45" s="548"/>
    </row>
    <row r="46" spans="1:29" ht="15.75" customHeight="1">
      <c r="A46" s="545" t="s">
        <v>1626</v>
      </c>
      <c r="B46" s="26" t="s">
        <v>32</v>
      </c>
      <c r="C46" s="534" t="s">
        <v>61</v>
      </c>
      <c r="D46" s="535"/>
      <c r="E46" s="26">
        <v>40.18</v>
      </c>
      <c r="F46" s="410">
        <v>1792</v>
      </c>
      <c r="G46" s="408">
        <f t="shared" si="59"/>
        <v>72002.559999999998</v>
      </c>
      <c r="H46" s="419" t="s">
        <v>52</v>
      </c>
      <c r="I46" s="409">
        <v>10</v>
      </c>
      <c r="J46" s="18">
        <v>3000</v>
      </c>
      <c r="K46" s="9">
        <f t="shared" si="54"/>
        <v>300</v>
      </c>
      <c r="L46" s="409">
        <v>10</v>
      </c>
      <c r="M46" s="10">
        <f t="shared" ref="M46:M49" si="65">F46/V46*60</f>
        <v>2829.473684210524</v>
      </c>
      <c r="N46" s="10">
        <f t="shared" si="61"/>
        <v>282.94736842105237</v>
      </c>
      <c r="O46" s="11">
        <f t="shared" si="62"/>
        <v>0</v>
      </c>
      <c r="P46" s="12">
        <f t="shared" si="51"/>
        <v>-17.052631578947626</v>
      </c>
      <c r="Q46" s="413">
        <f t="shared" si="52"/>
        <v>0.9431578947368412</v>
      </c>
      <c r="R46" s="548"/>
      <c r="S46" s="24">
        <v>0.37638888888888888</v>
      </c>
      <c r="T46" s="24">
        <v>0.40277777777777779</v>
      </c>
      <c r="U46" s="408">
        <f t="shared" si="64"/>
        <v>7.9999999999999716</v>
      </c>
      <c r="V46" s="411">
        <f t="shared" si="63"/>
        <v>38.000000000000028</v>
      </c>
      <c r="W46" s="14"/>
      <c r="X46" s="14"/>
      <c r="Y46" s="536"/>
      <c r="Z46" s="537"/>
      <c r="AA46" s="11">
        <f t="shared" si="2"/>
        <v>-170.52631578947603</v>
      </c>
      <c r="AB46" s="413">
        <f t="shared" si="57"/>
        <v>0.94315789473684131</v>
      </c>
      <c r="AC46" s="548"/>
    </row>
    <row r="47" spans="1:29" ht="15.75" customHeight="1">
      <c r="A47" s="545" t="s">
        <v>1626</v>
      </c>
      <c r="B47" s="26" t="s">
        <v>32</v>
      </c>
      <c r="C47" s="534" t="s">
        <v>64</v>
      </c>
      <c r="D47" s="535"/>
      <c r="E47" s="26">
        <v>28.5</v>
      </c>
      <c r="F47" s="410">
        <v>1081</v>
      </c>
      <c r="G47" s="408">
        <f t="shared" si="59"/>
        <v>30808.5</v>
      </c>
      <c r="H47" s="419" t="s">
        <v>52</v>
      </c>
      <c r="I47" s="409">
        <v>10</v>
      </c>
      <c r="J47" s="18">
        <v>3000</v>
      </c>
      <c r="K47" s="9">
        <f t="shared" si="54"/>
        <v>300</v>
      </c>
      <c r="L47" s="409">
        <v>10</v>
      </c>
      <c r="M47" s="10">
        <f t="shared" si="65"/>
        <v>2820</v>
      </c>
      <c r="N47" s="10">
        <f t="shared" si="61"/>
        <v>282</v>
      </c>
      <c r="O47" s="11">
        <f t="shared" si="62"/>
        <v>0</v>
      </c>
      <c r="P47" s="12">
        <f t="shared" si="51"/>
        <v>-18</v>
      </c>
      <c r="Q47" s="413">
        <f>N47/K47</f>
        <v>0.94</v>
      </c>
      <c r="R47" s="548"/>
      <c r="S47" s="24">
        <v>0.40763888888888888</v>
      </c>
      <c r="T47" s="24">
        <v>0.4236111111111111</v>
      </c>
      <c r="U47" s="408">
        <f t="shared" si="64"/>
        <v>6.9999999999999751</v>
      </c>
      <c r="V47" s="411">
        <f t="shared" si="63"/>
        <v>23</v>
      </c>
      <c r="W47" s="14"/>
      <c r="X47" s="14"/>
      <c r="Y47" s="536"/>
      <c r="Z47" s="537"/>
      <c r="AA47" s="11">
        <f t="shared" si="2"/>
        <v>-180</v>
      </c>
      <c r="AB47" s="413">
        <f t="shared" si="57"/>
        <v>0.94</v>
      </c>
      <c r="AC47" s="548"/>
    </row>
    <row r="48" spans="1:29" ht="15.75" customHeight="1">
      <c r="A48" s="545" t="s">
        <v>1626</v>
      </c>
      <c r="B48" s="26" t="s">
        <v>32</v>
      </c>
      <c r="C48" s="534" t="s">
        <v>78</v>
      </c>
      <c r="D48" s="535"/>
      <c r="E48" s="26">
        <v>35.869999999999997</v>
      </c>
      <c r="F48" s="410">
        <v>3154</v>
      </c>
      <c r="G48" s="408">
        <f t="shared" si="59"/>
        <v>113133.98</v>
      </c>
      <c r="H48" s="419" t="s">
        <v>52</v>
      </c>
      <c r="I48" s="409">
        <v>10</v>
      </c>
      <c r="J48" s="18">
        <v>3000</v>
      </c>
      <c r="K48" s="9">
        <f t="shared" si="54"/>
        <v>300</v>
      </c>
      <c r="L48" s="409">
        <v>10</v>
      </c>
      <c r="M48" s="10">
        <f t="shared" si="65"/>
        <v>2824.4776119402982</v>
      </c>
      <c r="N48" s="10">
        <f t="shared" si="61"/>
        <v>282.44776119402979</v>
      </c>
      <c r="O48" s="11">
        <f t="shared" si="62"/>
        <v>0</v>
      </c>
      <c r="P48" s="12">
        <f t="shared" si="51"/>
        <v>-17.552238805970205</v>
      </c>
      <c r="Q48" s="413">
        <f t="shared" ref="Q48:Q50" si="66">N48/K48</f>
        <v>0.94149253731343263</v>
      </c>
      <c r="R48" s="548"/>
      <c r="S48" s="24">
        <v>0.42777777777777776</v>
      </c>
      <c r="T48" s="24">
        <v>0.47430555555555554</v>
      </c>
      <c r="U48" s="408">
        <f t="shared" si="64"/>
        <v>5.9999999999999787</v>
      </c>
      <c r="V48" s="411">
        <f t="shared" si="63"/>
        <v>67</v>
      </c>
      <c r="W48" s="14"/>
      <c r="X48" s="14"/>
      <c r="Y48" s="536"/>
      <c r="Z48" s="537"/>
      <c r="AA48" s="11">
        <f t="shared" si="2"/>
        <v>-175.52238805970183</v>
      </c>
      <c r="AB48" s="413">
        <f t="shared" si="57"/>
        <v>0.94149253731343274</v>
      </c>
      <c r="AC48" s="548"/>
    </row>
    <row r="49" spans="1:29" ht="15.75" customHeight="1">
      <c r="A49" s="545" t="s">
        <v>1626</v>
      </c>
      <c r="B49" s="26" t="s">
        <v>32</v>
      </c>
      <c r="C49" s="534" t="s">
        <v>1081</v>
      </c>
      <c r="D49" s="535"/>
      <c r="E49" s="26">
        <v>36.14</v>
      </c>
      <c r="F49" s="410">
        <v>1910</v>
      </c>
      <c r="G49" s="408">
        <f t="shared" si="59"/>
        <v>69027.399999999994</v>
      </c>
      <c r="H49" s="419" t="s">
        <v>52</v>
      </c>
      <c r="I49" s="409">
        <v>10</v>
      </c>
      <c r="J49" s="18">
        <v>3000</v>
      </c>
      <c r="K49" s="9">
        <f t="shared" si="54"/>
        <v>300</v>
      </c>
      <c r="L49" s="409">
        <v>10</v>
      </c>
      <c r="M49" s="10">
        <f t="shared" si="65"/>
        <v>2795.1219512195112</v>
      </c>
      <c r="N49" s="10">
        <f t="shared" si="61"/>
        <v>279.51219512195109</v>
      </c>
      <c r="O49" s="11">
        <f t="shared" si="62"/>
        <v>0</v>
      </c>
      <c r="P49" s="12">
        <f t="shared" si="51"/>
        <v>-20.487804878048905</v>
      </c>
      <c r="Q49" s="413">
        <f t="shared" si="66"/>
        <v>0.93170731707317034</v>
      </c>
      <c r="R49" s="548"/>
      <c r="S49" s="24">
        <v>0.47847222222222219</v>
      </c>
      <c r="T49" s="24">
        <v>0.50694444444444442</v>
      </c>
      <c r="U49" s="408">
        <f t="shared" si="64"/>
        <v>5.9999999999999787</v>
      </c>
      <c r="V49" s="411">
        <f t="shared" si="63"/>
        <v>41.000000000000014</v>
      </c>
      <c r="W49" s="14"/>
      <c r="X49" s="14"/>
      <c r="Y49" s="536"/>
      <c r="Z49" s="537"/>
      <c r="AA49" s="11">
        <f t="shared" si="2"/>
        <v>-204.87804878048883</v>
      </c>
      <c r="AB49" s="413">
        <f t="shared" si="57"/>
        <v>0.93170731707317034</v>
      </c>
      <c r="AC49" s="548"/>
    </row>
    <row r="50" spans="1:29" ht="15.75" customHeight="1">
      <c r="A50" s="546" t="s">
        <v>1626</v>
      </c>
      <c r="B50" s="26" t="s">
        <v>1615</v>
      </c>
      <c r="C50" s="540"/>
      <c r="D50" s="541"/>
      <c r="E50" s="418"/>
      <c r="F50" s="410"/>
      <c r="G50" s="408"/>
      <c r="H50" s="410"/>
      <c r="I50" s="17">
        <v>10</v>
      </c>
      <c r="J50" s="18">
        <v>3000</v>
      </c>
      <c r="K50" s="9">
        <f>J50/I50</f>
        <v>300</v>
      </c>
      <c r="L50" s="17">
        <v>10</v>
      </c>
      <c r="M50" s="10">
        <f>AVERAGE(M43:M49)</f>
        <v>2812.5142678944021</v>
      </c>
      <c r="N50" s="9">
        <f t="shared" si="61"/>
        <v>281.25142678944019</v>
      </c>
      <c r="O50" s="11">
        <f t="shared" si="62"/>
        <v>0</v>
      </c>
      <c r="P50" s="12">
        <f t="shared" si="51"/>
        <v>-18.748573210559812</v>
      </c>
      <c r="Q50" s="413">
        <f t="shared" si="66"/>
        <v>0.93750475596480065</v>
      </c>
      <c r="R50" s="549"/>
      <c r="S50" s="24"/>
      <c r="T50" s="24"/>
      <c r="U50" s="408"/>
      <c r="V50" s="411"/>
      <c r="W50" s="14"/>
      <c r="X50" s="14"/>
      <c r="Y50" s="536"/>
      <c r="Z50" s="537"/>
      <c r="AA50" s="11">
        <f t="shared" si="2"/>
        <v>-187.48573210559789</v>
      </c>
      <c r="AB50" s="413">
        <f t="shared" si="57"/>
        <v>0.93750475596480065</v>
      </c>
      <c r="AC50" s="549"/>
    </row>
    <row r="51" spans="1:29" ht="15.75" customHeight="1">
      <c r="A51" s="542" t="s">
        <v>1627</v>
      </c>
      <c r="B51" s="26" t="s">
        <v>15</v>
      </c>
      <c r="C51" s="529" t="s">
        <v>20</v>
      </c>
      <c r="D51" s="529"/>
      <c r="E51" s="26">
        <v>46</v>
      </c>
      <c r="F51" s="27">
        <v>3158</v>
      </c>
      <c r="G51" s="408">
        <f t="shared" ref="G51:G55" si="67">E51*F51</f>
        <v>145268</v>
      </c>
      <c r="H51" s="419" t="s">
        <v>52</v>
      </c>
      <c r="I51" s="409">
        <v>17</v>
      </c>
      <c r="J51" s="18">
        <v>2000</v>
      </c>
      <c r="K51" s="9">
        <f t="shared" ref="K51:K55" si="68">J51/I51</f>
        <v>117.64705882352941</v>
      </c>
      <c r="L51" s="409">
        <v>17</v>
      </c>
      <c r="M51" s="10">
        <f t="shared" ref="M51:M55" si="69">F51/V51*60</f>
        <v>1876.0396039603952</v>
      </c>
      <c r="N51" s="10">
        <f>M51/L51</f>
        <v>110.35527082119972</v>
      </c>
      <c r="O51" s="11">
        <f>L51-I51</f>
        <v>0</v>
      </c>
      <c r="P51" s="12">
        <f>N51-K51</f>
        <v>-7.2917880023296817</v>
      </c>
      <c r="Q51" s="413">
        <f>N51/K51</f>
        <v>0.93801980198019774</v>
      </c>
      <c r="R51" s="533">
        <f>Q56</f>
        <v>0.9359279776732472</v>
      </c>
      <c r="S51" s="24">
        <v>0.29166666666666669</v>
      </c>
      <c r="T51" s="24">
        <v>0.3618055555555556</v>
      </c>
      <c r="U51" s="15"/>
      <c r="V51" s="411">
        <f t="shared" ref="V51:V55" si="70">(T51-S51)*24*60</f>
        <v>101.00000000000004</v>
      </c>
      <c r="W51" s="15"/>
      <c r="X51" s="15"/>
      <c r="Y51" s="528"/>
      <c r="Z51" s="528"/>
      <c r="AA51" s="11">
        <f t="shared" si="2"/>
        <v>-123.9603960396048</v>
      </c>
      <c r="AB51" s="413">
        <f t="shared" si="57"/>
        <v>0.93801980198019763</v>
      </c>
      <c r="AC51" s="533">
        <f>AB56</f>
        <v>0.9359279776732472</v>
      </c>
    </row>
    <row r="52" spans="1:29" ht="15.75" customHeight="1">
      <c r="A52" s="542" t="s">
        <v>1627</v>
      </c>
      <c r="B52" s="26" t="s">
        <v>15</v>
      </c>
      <c r="C52" s="529" t="s">
        <v>65</v>
      </c>
      <c r="D52" s="529"/>
      <c r="E52" s="26">
        <v>46</v>
      </c>
      <c r="F52" s="27">
        <v>3394</v>
      </c>
      <c r="G52" s="408">
        <f t="shared" si="67"/>
        <v>156124</v>
      </c>
      <c r="H52" s="419" t="s">
        <v>52</v>
      </c>
      <c r="I52" s="409">
        <v>18</v>
      </c>
      <c r="J52" s="18">
        <v>2000</v>
      </c>
      <c r="K52" s="9">
        <f t="shared" si="68"/>
        <v>111.11111111111111</v>
      </c>
      <c r="L52" s="409">
        <v>18</v>
      </c>
      <c r="M52" s="10">
        <f t="shared" si="69"/>
        <v>1868.2568807339449</v>
      </c>
      <c r="N52" s="10">
        <f t="shared" ref="N52:N55" si="71">M52/L52</f>
        <v>103.79204892966361</v>
      </c>
      <c r="O52" s="11">
        <f t="shared" ref="O52:O55" si="72">L52-I52</f>
        <v>0</v>
      </c>
      <c r="P52" s="12">
        <f t="shared" ref="P52:P55" si="73">N52-K52</f>
        <v>-7.3190621814475065</v>
      </c>
      <c r="Q52" s="413">
        <f t="shared" ref="Q52:Q55" si="74">N52/K52</f>
        <v>0.9341284403669724</v>
      </c>
      <c r="R52" s="533"/>
      <c r="S52" s="24">
        <v>0.36597222222222225</v>
      </c>
      <c r="T52" s="24">
        <v>0.44166666666666671</v>
      </c>
      <c r="U52" s="408">
        <f>IF(S52=TIME(17,0,0),"",(S52-T51)*24*60)</f>
        <v>5.9999999999999787</v>
      </c>
      <c r="V52" s="411">
        <f t="shared" si="70"/>
        <v>109.00000000000001</v>
      </c>
      <c r="W52" s="14"/>
      <c r="X52" s="14"/>
      <c r="Y52" s="528"/>
      <c r="Z52" s="528"/>
      <c r="AA52" s="11">
        <f t="shared" si="2"/>
        <v>-131.74311926605515</v>
      </c>
      <c r="AB52" s="413">
        <f t="shared" si="57"/>
        <v>0.9341284403669724</v>
      </c>
      <c r="AC52" s="533"/>
    </row>
    <row r="53" spans="1:29" ht="15.75" customHeight="1">
      <c r="A53" s="542" t="s">
        <v>1627</v>
      </c>
      <c r="B53" s="26" t="s">
        <v>13</v>
      </c>
      <c r="C53" s="534" t="s">
        <v>59</v>
      </c>
      <c r="D53" s="535"/>
      <c r="E53" s="26">
        <v>55.56</v>
      </c>
      <c r="F53" s="27">
        <v>2493</v>
      </c>
      <c r="G53" s="408">
        <f t="shared" si="67"/>
        <v>138511.08000000002</v>
      </c>
      <c r="H53" s="419" t="s">
        <v>52</v>
      </c>
      <c r="I53" s="409">
        <v>17</v>
      </c>
      <c r="J53" s="18">
        <v>2000</v>
      </c>
      <c r="K53" s="9">
        <f t="shared" si="68"/>
        <v>117.64705882352941</v>
      </c>
      <c r="L53" s="409">
        <v>17</v>
      </c>
      <c r="M53" s="10">
        <f t="shared" si="69"/>
        <v>1869.7499999999993</v>
      </c>
      <c r="N53" s="10">
        <f t="shared" si="71"/>
        <v>109.98529411764702</v>
      </c>
      <c r="O53" s="11">
        <f t="shared" si="72"/>
        <v>0</v>
      </c>
      <c r="P53" s="12">
        <f t="shared" si="73"/>
        <v>-7.6617647058823906</v>
      </c>
      <c r="Q53" s="413">
        <f t="shared" si="74"/>
        <v>0.93487499999999968</v>
      </c>
      <c r="R53" s="533"/>
      <c r="S53" s="24">
        <v>0.70833333333333337</v>
      </c>
      <c r="T53" s="24">
        <v>0.76388888888888895</v>
      </c>
      <c r="U53" s="408" t="str">
        <f t="shared" ref="U53:U55" si="75">IF(S53=TIME(17,0,0),"",(S53-T52)*24*60)</f>
        <v/>
      </c>
      <c r="V53" s="411">
        <f t="shared" si="70"/>
        <v>80.000000000000028</v>
      </c>
      <c r="W53" s="14"/>
      <c r="X53" s="14"/>
      <c r="Y53" s="414"/>
      <c r="Z53" s="415"/>
      <c r="AA53" s="11">
        <f t="shared" si="2"/>
        <v>-130.25000000000068</v>
      </c>
      <c r="AB53" s="413">
        <f t="shared" si="57"/>
        <v>0.93487499999999968</v>
      </c>
      <c r="AC53" s="533"/>
    </row>
    <row r="54" spans="1:29" ht="15.75" customHeight="1">
      <c r="A54" s="542" t="s">
        <v>1627</v>
      </c>
      <c r="B54" s="26" t="s">
        <v>13</v>
      </c>
      <c r="C54" s="416" t="s">
        <v>58</v>
      </c>
      <c r="D54" s="417"/>
      <c r="E54" s="26">
        <v>55.32</v>
      </c>
      <c r="F54" s="27">
        <v>1681</v>
      </c>
      <c r="G54" s="408">
        <f t="shared" si="67"/>
        <v>92992.92</v>
      </c>
      <c r="H54" s="419" t="s">
        <v>52</v>
      </c>
      <c r="I54" s="409">
        <v>15</v>
      </c>
      <c r="J54" s="18">
        <v>2000</v>
      </c>
      <c r="K54" s="9">
        <f t="shared" si="68"/>
        <v>133.33333333333334</v>
      </c>
      <c r="L54" s="409">
        <v>15</v>
      </c>
      <c r="M54" s="10">
        <f t="shared" si="69"/>
        <v>1867.7777777777787</v>
      </c>
      <c r="N54" s="10">
        <f t="shared" si="71"/>
        <v>124.51851851851858</v>
      </c>
      <c r="O54" s="11">
        <f t="shared" si="72"/>
        <v>0</v>
      </c>
      <c r="P54" s="12">
        <f t="shared" si="73"/>
        <v>-8.8148148148147669</v>
      </c>
      <c r="Q54" s="413">
        <f t="shared" si="74"/>
        <v>0.93388888888888921</v>
      </c>
      <c r="R54" s="533"/>
      <c r="S54" s="24">
        <v>0.76736111111111116</v>
      </c>
      <c r="T54" s="24">
        <v>0.80486111111111114</v>
      </c>
      <c r="U54" s="408">
        <f t="shared" si="75"/>
        <v>4.9999999999999822</v>
      </c>
      <c r="V54" s="411">
        <f t="shared" si="70"/>
        <v>53.999999999999972</v>
      </c>
      <c r="W54" s="14"/>
      <c r="X54" s="14"/>
      <c r="Y54" s="414"/>
      <c r="Z54" s="415"/>
      <c r="AA54" s="11">
        <f t="shared" si="2"/>
        <v>-132.22222222222126</v>
      </c>
      <c r="AB54" s="413">
        <f t="shared" si="57"/>
        <v>0.93388888888888932</v>
      </c>
      <c r="AC54" s="533"/>
    </row>
    <row r="55" spans="1:29" ht="15.75" customHeight="1">
      <c r="A55" s="542" t="s">
        <v>1627</v>
      </c>
      <c r="B55" s="26" t="s">
        <v>13</v>
      </c>
      <c r="C55" s="416" t="s">
        <v>60</v>
      </c>
      <c r="D55" s="417"/>
      <c r="E55" s="26">
        <v>57.73</v>
      </c>
      <c r="F55" s="27">
        <v>1386</v>
      </c>
      <c r="G55" s="408">
        <f t="shared" si="67"/>
        <v>80013.78</v>
      </c>
      <c r="H55" s="419" t="s">
        <v>52</v>
      </c>
      <c r="I55" s="409">
        <v>16</v>
      </c>
      <c r="J55" s="18">
        <v>1500</v>
      </c>
      <c r="K55" s="9">
        <f t="shared" si="68"/>
        <v>93.75</v>
      </c>
      <c r="L55" s="409">
        <v>16</v>
      </c>
      <c r="M55" s="10">
        <f t="shared" si="69"/>
        <v>1409.4915254237301</v>
      </c>
      <c r="N55" s="10">
        <f t="shared" si="71"/>
        <v>88.09322033898313</v>
      </c>
      <c r="O55" s="11">
        <f t="shared" si="72"/>
        <v>0</v>
      </c>
      <c r="P55" s="12">
        <f t="shared" si="73"/>
        <v>-5.6567796610168699</v>
      </c>
      <c r="Q55" s="413">
        <f t="shared" si="74"/>
        <v>0.93966101694915338</v>
      </c>
      <c r="R55" s="533"/>
      <c r="S55" s="24">
        <v>0.81041666666666667</v>
      </c>
      <c r="T55" s="24">
        <v>0.85138888888888886</v>
      </c>
      <c r="U55" s="408">
        <f t="shared" si="75"/>
        <v>7.9999999999999716</v>
      </c>
      <c r="V55" s="411">
        <f t="shared" si="70"/>
        <v>58.99999999999995</v>
      </c>
      <c r="W55" s="14"/>
      <c r="X55" s="14"/>
      <c r="Y55" s="414"/>
      <c r="Z55" s="415"/>
      <c r="AA55" s="11">
        <f t="shared" si="2"/>
        <v>-90.508474576269919</v>
      </c>
      <c r="AB55" s="413">
        <f t="shared" si="57"/>
        <v>0.93966101694915338</v>
      </c>
      <c r="AC55" s="533"/>
    </row>
    <row r="56" spans="1:29">
      <c r="A56" s="543" t="s">
        <v>1627</v>
      </c>
      <c r="B56" s="26" t="s">
        <v>1615</v>
      </c>
      <c r="C56" s="530"/>
      <c r="D56" s="530"/>
      <c r="E56" s="412"/>
      <c r="F56" s="16"/>
      <c r="G56" s="9"/>
      <c r="H56" s="410"/>
      <c r="I56" s="17">
        <v>16.600000000000001</v>
      </c>
      <c r="J56" s="18">
        <v>1900</v>
      </c>
      <c r="K56" s="9">
        <f>J56/I56</f>
        <v>114.4578313253012</v>
      </c>
      <c r="L56" s="17">
        <v>16.600000000000001</v>
      </c>
      <c r="M56" s="10">
        <f>AVERAGE(M51:M55)</f>
        <v>1778.2631575791697</v>
      </c>
      <c r="N56" s="9">
        <f>M56/L56</f>
        <v>107.12428660115479</v>
      </c>
      <c r="O56" s="11">
        <f>L56-I56</f>
        <v>0</v>
      </c>
      <c r="P56" s="12">
        <f>N56-K56</f>
        <v>-7.3335447241464067</v>
      </c>
      <c r="Q56" s="413">
        <f>N56/K56</f>
        <v>0.9359279776732472</v>
      </c>
      <c r="R56" s="533"/>
      <c r="S56" s="25"/>
      <c r="T56" s="24"/>
      <c r="U56" s="9"/>
      <c r="V56" s="411"/>
      <c r="W56" s="9"/>
      <c r="X56" s="9"/>
      <c r="Y56" s="528"/>
      <c r="Z56" s="528"/>
      <c r="AA56" s="11">
        <f t="shared" si="2"/>
        <v>-121.73684242083027</v>
      </c>
      <c r="AB56" s="413">
        <f t="shared" si="57"/>
        <v>0.9359279776732472</v>
      </c>
      <c r="AC56" s="533"/>
    </row>
    <row r="57" spans="1:29" ht="15.75" customHeight="1">
      <c r="A57" s="538" t="s">
        <v>1628</v>
      </c>
      <c r="B57" s="410" t="s">
        <v>1549</v>
      </c>
      <c r="C57" s="529" t="s">
        <v>1084</v>
      </c>
      <c r="D57" s="529"/>
      <c r="E57" s="26">
        <v>84.51</v>
      </c>
      <c r="F57" s="27">
        <v>3593</v>
      </c>
      <c r="G57" s="408">
        <f t="shared" ref="G57:G62" si="76">E57*F57</f>
        <v>303644.43</v>
      </c>
      <c r="H57" s="419" t="s">
        <v>52</v>
      </c>
      <c r="I57" s="409">
        <v>17</v>
      </c>
      <c r="J57" s="18">
        <v>2400</v>
      </c>
      <c r="K57" s="9">
        <f t="shared" ref="K57:K62" si="77">J57/I57</f>
        <v>141.1764705882353</v>
      </c>
      <c r="L57" s="17">
        <v>17</v>
      </c>
      <c r="M57" s="10">
        <f t="shared" ref="M57:M62" si="78">F57/V57*60</f>
        <v>2245.6250000000005</v>
      </c>
      <c r="N57" s="9">
        <f>M57/L57</f>
        <v>132.09558823529414</v>
      </c>
      <c r="O57" s="11">
        <f t="shared" ref="O57:O62" si="79">L57-I57</f>
        <v>0</v>
      </c>
      <c r="P57" s="12">
        <f t="shared" ref="P57:P62" si="80">N57-K57</f>
        <v>-9.0808823529411598</v>
      </c>
      <c r="Q57" s="413">
        <f>N57/K57</f>
        <v>0.93567708333333344</v>
      </c>
      <c r="R57" s="533">
        <f>Q63</f>
        <v>0.94003876504194683</v>
      </c>
      <c r="S57" s="24">
        <v>0.125</v>
      </c>
      <c r="T57" s="24">
        <v>0.19166666666666665</v>
      </c>
      <c r="U57" s="408"/>
      <c r="V57" s="411">
        <f t="shared" ref="V57:V62" si="81">(T57-S57)*24*60</f>
        <v>95.999999999999972</v>
      </c>
      <c r="W57" s="15"/>
      <c r="X57" s="15"/>
      <c r="Y57" s="528"/>
      <c r="Z57" s="528"/>
      <c r="AA57" s="11">
        <f t="shared" si="2"/>
        <v>-154.37499999999955</v>
      </c>
      <c r="AB57" s="413">
        <f t="shared" si="57"/>
        <v>0.93567708333333355</v>
      </c>
      <c r="AC57" s="533">
        <f>AB63</f>
        <v>0.94003876504194694</v>
      </c>
    </row>
    <row r="58" spans="1:29" ht="15.75" customHeight="1">
      <c r="A58" s="538" t="s">
        <v>1628</v>
      </c>
      <c r="B58" s="410" t="s">
        <v>32</v>
      </c>
      <c r="C58" s="529" t="s">
        <v>35</v>
      </c>
      <c r="D58" s="529"/>
      <c r="E58" s="26">
        <v>26.78</v>
      </c>
      <c r="F58" s="27">
        <v>2453</v>
      </c>
      <c r="G58" s="408">
        <f t="shared" si="76"/>
        <v>65691.34</v>
      </c>
      <c r="H58" s="419" t="s">
        <v>52</v>
      </c>
      <c r="I58" s="409">
        <v>10</v>
      </c>
      <c r="J58" s="18">
        <v>3000</v>
      </c>
      <c r="K58" s="9">
        <f t="shared" si="77"/>
        <v>300</v>
      </c>
      <c r="L58" s="17">
        <v>10</v>
      </c>
      <c r="M58" s="10">
        <f t="shared" si="78"/>
        <v>2830.3846153846148</v>
      </c>
      <c r="N58" s="9">
        <f t="shared" ref="N58:N62" si="82">M58/L58</f>
        <v>283.03846153846149</v>
      </c>
      <c r="O58" s="11">
        <f t="shared" si="79"/>
        <v>0</v>
      </c>
      <c r="P58" s="12">
        <f t="shared" si="80"/>
        <v>-16.96153846153851</v>
      </c>
      <c r="Q58" s="413">
        <f t="shared" ref="Q58:Q62" si="83">N58/K58</f>
        <v>0.94346153846153835</v>
      </c>
      <c r="R58" s="533"/>
      <c r="S58" s="24">
        <v>0.19583333333333333</v>
      </c>
      <c r="T58" s="24">
        <v>0.23194444444444445</v>
      </c>
      <c r="U58" s="408">
        <f>(S58-T57)*24*60</f>
        <v>6.0000000000000187</v>
      </c>
      <c r="V58" s="411">
        <f t="shared" si="81"/>
        <v>52.000000000000014</v>
      </c>
      <c r="W58" s="408"/>
      <c r="X58" s="408"/>
      <c r="Y58" s="528"/>
      <c r="Z58" s="528"/>
      <c r="AA58" s="11">
        <f t="shared" si="2"/>
        <v>-169.61538461538521</v>
      </c>
      <c r="AB58" s="413">
        <f t="shared" si="57"/>
        <v>0.94346153846153824</v>
      </c>
      <c r="AC58" s="533"/>
    </row>
    <row r="59" spans="1:29" ht="15.75" customHeight="1">
      <c r="A59" s="538" t="s">
        <v>1628</v>
      </c>
      <c r="B59" s="410" t="s">
        <v>32</v>
      </c>
      <c r="C59" s="529" t="s">
        <v>39</v>
      </c>
      <c r="D59" s="529"/>
      <c r="E59" s="26">
        <v>35.369999999999997</v>
      </c>
      <c r="F59" s="27">
        <v>1545</v>
      </c>
      <c r="G59" s="408">
        <f t="shared" si="76"/>
        <v>54646.649999999994</v>
      </c>
      <c r="H59" s="419" t="s">
        <v>52</v>
      </c>
      <c r="I59" s="409">
        <v>10</v>
      </c>
      <c r="J59" s="18">
        <v>3000</v>
      </c>
      <c r="K59" s="9">
        <f t="shared" si="77"/>
        <v>300</v>
      </c>
      <c r="L59" s="17">
        <v>10</v>
      </c>
      <c r="M59" s="10">
        <f t="shared" si="78"/>
        <v>2809.090909090909</v>
      </c>
      <c r="N59" s="9">
        <f t="shared" si="82"/>
        <v>280.90909090909088</v>
      </c>
      <c r="O59" s="11">
        <f t="shared" si="79"/>
        <v>0</v>
      </c>
      <c r="P59" s="12">
        <f t="shared" si="80"/>
        <v>-19.090909090909122</v>
      </c>
      <c r="Q59" s="413">
        <f t="shared" si="83"/>
        <v>0.93636363636363629</v>
      </c>
      <c r="R59" s="533"/>
      <c r="S59" s="24">
        <v>0.23611111111111113</v>
      </c>
      <c r="T59" s="24">
        <v>0.2590277777777778</v>
      </c>
      <c r="U59" s="408">
        <f t="shared" ref="U59:U62" si="84">(S59-T58)*24*60</f>
        <v>6.0000000000000187</v>
      </c>
      <c r="V59" s="411">
        <f t="shared" si="81"/>
        <v>33</v>
      </c>
      <c r="W59" s="408"/>
      <c r="X59" s="408"/>
      <c r="Y59" s="528"/>
      <c r="Z59" s="528"/>
      <c r="AA59" s="11">
        <f t="shared" si="2"/>
        <v>-190.90909090909099</v>
      </c>
      <c r="AB59" s="413">
        <f t="shared" si="57"/>
        <v>0.93636363636363629</v>
      </c>
      <c r="AC59" s="533"/>
    </row>
    <row r="60" spans="1:29" ht="15.75" customHeight="1">
      <c r="A60" s="538" t="s">
        <v>1628</v>
      </c>
      <c r="B60" s="410" t="s">
        <v>15</v>
      </c>
      <c r="C60" s="529" t="s">
        <v>36</v>
      </c>
      <c r="D60" s="529"/>
      <c r="E60" s="26">
        <v>26.97</v>
      </c>
      <c r="F60" s="27">
        <v>3288</v>
      </c>
      <c r="G60" s="408">
        <f t="shared" si="76"/>
        <v>88677.36</v>
      </c>
      <c r="H60" s="419" t="s">
        <v>52</v>
      </c>
      <c r="I60" s="409">
        <v>8</v>
      </c>
      <c r="J60" s="18">
        <v>1500</v>
      </c>
      <c r="K60" s="9">
        <f t="shared" si="77"/>
        <v>187.5</v>
      </c>
      <c r="L60" s="17">
        <v>8</v>
      </c>
      <c r="M60" s="10">
        <f t="shared" si="78"/>
        <v>1409.1428571428576</v>
      </c>
      <c r="N60" s="9">
        <f t="shared" si="82"/>
        <v>176.1428571428572</v>
      </c>
      <c r="O60" s="11">
        <f t="shared" si="79"/>
        <v>0</v>
      </c>
      <c r="P60" s="12">
        <f t="shared" si="80"/>
        <v>-11.357142857142804</v>
      </c>
      <c r="Q60" s="413">
        <f t="shared" si="83"/>
        <v>0.93942857142857172</v>
      </c>
      <c r="R60" s="533"/>
      <c r="S60" s="24">
        <v>0.2638888888888889</v>
      </c>
      <c r="T60" s="24">
        <v>0.3611111111111111</v>
      </c>
      <c r="U60" s="408">
        <f t="shared" si="84"/>
        <v>6.9999999999999751</v>
      </c>
      <c r="V60" s="411">
        <f t="shared" si="81"/>
        <v>139.99999999999997</v>
      </c>
      <c r="W60" s="408"/>
      <c r="X60" s="408"/>
      <c r="Y60" s="528"/>
      <c r="Z60" s="528"/>
      <c r="AA60" s="11">
        <f t="shared" si="2"/>
        <v>-90.857142857142435</v>
      </c>
      <c r="AB60" s="413">
        <f t="shared" si="57"/>
        <v>0.93942857142857172</v>
      </c>
      <c r="AC60" s="533"/>
    </row>
    <row r="61" spans="1:29">
      <c r="A61" s="539" t="s">
        <v>1628</v>
      </c>
      <c r="B61" s="410" t="s">
        <v>32</v>
      </c>
      <c r="C61" s="529" t="s">
        <v>37</v>
      </c>
      <c r="D61" s="529"/>
      <c r="E61" s="26">
        <v>35.119999999999997</v>
      </c>
      <c r="F61" s="27">
        <v>1228</v>
      </c>
      <c r="G61" s="408">
        <f t="shared" si="76"/>
        <v>43127.359999999993</v>
      </c>
      <c r="H61" s="419" t="s">
        <v>52</v>
      </c>
      <c r="I61" s="409">
        <v>13</v>
      </c>
      <c r="J61" s="18">
        <v>2000</v>
      </c>
      <c r="K61" s="9">
        <f t="shared" si="77"/>
        <v>153.84615384615384</v>
      </c>
      <c r="L61" s="17">
        <v>13</v>
      </c>
      <c r="M61" s="10">
        <f t="shared" si="78"/>
        <v>1889.2307692307684</v>
      </c>
      <c r="N61" s="9">
        <f t="shared" si="82"/>
        <v>145.32544378698219</v>
      </c>
      <c r="O61" s="11">
        <f t="shared" si="79"/>
        <v>0</v>
      </c>
      <c r="P61" s="12">
        <f t="shared" si="80"/>
        <v>-8.5207100591716483</v>
      </c>
      <c r="Q61" s="413">
        <f t="shared" si="83"/>
        <v>0.9446153846153843</v>
      </c>
      <c r="R61" s="533"/>
      <c r="S61" s="24">
        <v>0.36458333333333331</v>
      </c>
      <c r="T61" s="24">
        <v>0.39166666666666666</v>
      </c>
      <c r="U61" s="408">
        <f t="shared" si="84"/>
        <v>4.9999999999999822</v>
      </c>
      <c r="V61" s="411">
        <f t="shared" si="81"/>
        <v>39.000000000000021</v>
      </c>
      <c r="W61" s="14"/>
      <c r="X61" s="14"/>
      <c r="Y61" s="528"/>
      <c r="Z61" s="528"/>
      <c r="AA61" s="11">
        <f t="shared" si="2"/>
        <v>-110.76923076923163</v>
      </c>
      <c r="AB61" s="413">
        <f t="shared" si="57"/>
        <v>0.94461538461538419</v>
      </c>
      <c r="AC61" s="533"/>
    </row>
    <row r="62" spans="1:29" ht="15" customHeight="1">
      <c r="A62" s="539" t="s">
        <v>1628</v>
      </c>
      <c r="B62" s="410" t="s">
        <v>32</v>
      </c>
      <c r="C62" s="534" t="s">
        <v>84</v>
      </c>
      <c r="D62" s="535"/>
      <c r="E62" s="26">
        <v>35.869999999999997</v>
      </c>
      <c r="F62" s="27">
        <v>2729</v>
      </c>
      <c r="G62" s="408">
        <f t="shared" si="76"/>
        <v>97889.23</v>
      </c>
      <c r="H62" s="419" t="s">
        <v>52</v>
      </c>
      <c r="I62" s="409">
        <v>10</v>
      </c>
      <c r="J62" s="18">
        <v>3000</v>
      </c>
      <c r="K62" s="9">
        <f t="shared" si="77"/>
        <v>300</v>
      </c>
      <c r="L62" s="17">
        <v>10</v>
      </c>
      <c r="M62" s="10">
        <f t="shared" si="78"/>
        <v>2823.10344827586</v>
      </c>
      <c r="N62" s="9">
        <f t="shared" si="82"/>
        <v>282.31034482758599</v>
      </c>
      <c r="O62" s="11">
        <f t="shared" si="79"/>
        <v>0</v>
      </c>
      <c r="P62" s="12">
        <f t="shared" si="80"/>
        <v>-17.689655172414007</v>
      </c>
      <c r="Q62" s="413">
        <f t="shared" si="83"/>
        <v>0.94103448275862001</v>
      </c>
      <c r="R62" s="533"/>
      <c r="S62" s="24">
        <v>0.39652777777777776</v>
      </c>
      <c r="T62" s="24">
        <v>0.43680555555555556</v>
      </c>
      <c r="U62" s="408">
        <f t="shared" si="84"/>
        <v>6.9999999999999751</v>
      </c>
      <c r="V62" s="411">
        <f t="shared" si="81"/>
        <v>58.000000000000036</v>
      </c>
      <c r="W62" s="408"/>
      <c r="X62" s="408"/>
      <c r="Y62" s="536"/>
      <c r="Z62" s="537"/>
      <c r="AA62" s="11">
        <f t="shared" si="2"/>
        <v>-176.89655172413995</v>
      </c>
      <c r="AB62" s="413">
        <f t="shared" si="57"/>
        <v>0.94103448275862001</v>
      </c>
      <c r="AC62" s="533"/>
    </row>
    <row r="63" spans="1:29">
      <c r="A63" s="539" t="s">
        <v>1628</v>
      </c>
      <c r="B63" s="26" t="s">
        <v>1615</v>
      </c>
      <c r="C63" s="530"/>
      <c r="D63" s="530"/>
      <c r="E63" s="412"/>
      <c r="F63" s="16"/>
      <c r="G63" s="9"/>
      <c r="H63" s="410"/>
      <c r="I63" s="17">
        <v>11.333333333333334</v>
      </c>
      <c r="J63" s="18">
        <v>2483.3333333333335</v>
      </c>
      <c r="K63" s="9">
        <f>J63/I63</f>
        <v>219.11764705882354</v>
      </c>
      <c r="L63" s="17">
        <v>11.333333333333334</v>
      </c>
      <c r="M63" s="10">
        <f>AVERAGE(M57:M62)</f>
        <v>2334.4295998541684</v>
      </c>
      <c r="N63" s="9">
        <f>M63/L63</f>
        <v>205.97908234007366</v>
      </c>
      <c r="O63" s="11">
        <f>L63-I63</f>
        <v>0</v>
      </c>
      <c r="P63" s="12">
        <f>N63-K63</f>
        <v>-13.138564718749876</v>
      </c>
      <c r="Q63" s="413">
        <f>N63/K63</f>
        <v>0.94003876504194683</v>
      </c>
      <c r="R63" s="533"/>
      <c r="S63" s="24"/>
      <c r="T63" s="24"/>
      <c r="U63" s="9"/>
      <c r="V63" s="411"/>
      <c r="W63" s="9"/>
      <c r="X63" s="9"/>
      <c r="Y63" s="528"/>
      <c r="Z63" s="528"/>
      <c r="AA63" s="11">
        <f t="shared" si="2"/>
        <v>-148.90373347916511</v>
      </c>
      <c r="AB63" s="413">
        <f t="shared" si="57"/>
        <v>0.94003876504194694</v>
      </c>
      <c r="AC63" s="533"/>
    </row>
    <row r="64" spans="1:29" ht="15.75" customHeight="1">
      <c r="A64" s="531" t="s">
        <v>1629</v>
      </c>
      <c r="B64" s="410" t="s">
        <v>24</v>
      </c>
      <c r="C64" s="529" t="s">
        <v>67</v>
      </c>
      <c r="D64" s="529"/>
      <c r="E64" s="26">
        <v>32.03</v>
      </c>
      <c r="F64" s="410">
        <v>858</v>
      </c>
      <c r="G64" s="408">
        <f t="shared" ref="G64:G69" si="85">E64*F64</f>
        <v>27481.74</v>
      </c>
      <c r="H64" s="419" t="s">
        <v>52</v>
      </c>
      <c r="I64" s="409">
        <v>19</v>
      </c>
      <c r="J64" s="18">
        <v>2400</v>
      </c>
      <c r="K64" s="9">
        <f t="shared" ref="K64:K66" si="86">J64/I64</f>
        <v>126.31578947368421</v>
      </c>
      <c r="L64" s="17">
        <v>19</v>
      </c>
      <c r="M64" s="10">
        <f>F64/V64*60</f>
        <v>2238.260869565217</v>
      </c>
      <c r="N64" s="9">
        <f t="shared" ref="N64:N69" si="87">M64/L64</f>
        <v>117.80320366132722</v>
      </c>
      <c r="O64" s="11">
        <f t="shared" ref="O64:O69" si="88">L64-I64</f>
        <v>0</v>
      </c>
      <c r="P64" s="12">
        <f t="shared" ref="P64:P69" si="89">N64-K64</f>
        <v>-8.5125858123569884</v>
      </c>
      <c r="Q64" s="413">
        <f>N64/K64</f>
        <v>0.93260869565217386</v>
      </c>
      <c r="R64" s="533">
        <f>Q70</f>
        <v>0.93303956137875577</v>
      </c>
      <c r="S64" s="24">
        <v>0.125</v>
      </c>
      <c r="T64" s="24">
        <v>0.14097222222222222</v>
      </c>
      <c r="U64" s="15"/>
      <c r="V64" s="411">
        <f t="shared" ref="V64:V69" si="90">(T64-S64)*24*60</f>
        <v>23</v>
      </c>
      <c r="W64" s="14">
        <f>T64</f>
        <v>0.14097222222222222</v>
      </c>
      <c r="X64" s="14">
        <f>S65</f>
        <v>0.15902777777777777</v>
      </c>
      <c r="Y64" s="528"/>
      <c r="Z64" s="528"/>
      <c r="AA64" s="11">
        <f t="shared" si="2"/>
        <v>-161.73913043478296</v>
      </c>
      <c r="AB64" s="413">
        <f>M64/J64</f>
        <v>0.93260869565217375</v>
      </c>
      <c r="AC64" s="533">
        <f>AB70</f>
        <v>0.93303956137875577</v>
      </c>
    </row>
    <row r="65" spans="1:29" ht="15.75" customHeight="1">
      <c r="A65" s="531" t="s">
        <v>1629</v>
      </c>
      <c r="B65" s="410" t="s">
        <v>24</v>
      </c>
      <c r="C65" s="529" t="s">
        <v>51</v>
      </c>
      <c r="D65" s="529"/>
      <c r="E65" s="26">
        <v>20.2</v>
      </c>
      <c r="F65" s="410">
        <v>2909</v>
      </c>
      <c r="G65" s="408">
        <f t="shared" si="85"/>
        <v>58761.799999999996</v>
      </c>
      <c r="H65" s="419" t="s">
        <v>52</v>
      </c>
      <c r="I65" s="409">
        <v>19</v>
      </c>
      <c r="J65" s="18">
        <v>2400</v>
      </c>
      <c r="K65" s="9">
        <f t="shared" si="86"/>
        <v>126.31578947368421</v>
      </c>
      <c r="L65" s="17">
        <v>19</v>
      </c>
      <c r="M65" s="10">
        <f t="shared" ref="M65:M69" si="91">F65/V65*60</f>
        <v>2237.6923076923076</v>
      </c>
      <c r="N65" s="9">
        <f t="shared" si="87"/>
        <v>117.77327935222672</v>
      </c>
      <c r="O65" s="11">
        <f t="shared" si="88"/>
        <v>0</v>
      </c>
      <c r="P65" s="12">
        <f t="shared" si="89"/>
        <v>-8.5425101214574823</v>
      </c>
      <c r="Q65" s="413">
        <f t="shared" ref="Q65:Q70" si="92">N65/K65</f>
        <v>0.93237179487179489</v>
      </c>
      <c r="R65" s="533"/>
      <c r="S65" s="24">
        <v>0.15902777777777777</v>
      </c>
      <c r="T65" s="24">
        <v>0.21319444444444444</v>
      </c>
      <c r="U65" s="408">
        <f>(S65-T64)*24*60</f>
        <v>25.999999999999986</v>
      </c>
      <c r="V65" s="411">
        <f t="shared" si="90"/>
        <v>78</v>
      </c>
      <c r="W65" s="14"/>
      <c r="X65" s="14"/>
      <c r="Y65" s="528"/>
      <c r="Z65" s="528"/>
      <c r="AA65" s="11">
        <f t="shared" si="2"/>
        <v>-162.30769230769238</v>
      </c>
      <c r="AB65" s="413">
        <f t="shared" ref="AB65:AB70" si="93">M65/J65</f>
        <v>0.93237179487179489</v>
      </c>
      <c r="AC65" s="533"/>
    </row>
    <row r="66" spans="1:29" ht="15.75" customHeight="1">
      <c r="A66" s="531" t="s">
        <v>1629</v>
      </c>
      <c r="B66" s="410" t="s">
        <v>24</v>
      </c>
      <c r="C66" s="529" t="s">
        <v>41</v>
      </c>
      <c r="D66" s="529"/>
      <c r="E66" s="26">
        <v>19.02</v>
      </c>
      <c r="F66" s="410">
        <v>7000</v>
      </c>
      <c r="G66" s="408">
        <f t="shared" si="85"/>
        <v>133140</v>
      </c>
      <c r="H66" s="419">
        <v>2</v>
      </c>
      <c r="I66" s="409">
        <v>15</v>
      </c>
      <c r="J66" s="18">
        <v>2400</v>
      </c>
      <c r="K66" s="9">
        <f t="shared" si="86"/>
        <v>160</v>
      </c>
      <c r="L66" s="17">
        <v>15</v>
      </c>
      <c r="M66" s="10">
        <f t="shared" si="91"/>
        <v>2245.9893048128342</v>
      </c>
      <c r="N66" s="9">
        <f t="shared" si="87"/>
        <v>149.7326203208556</v>
      </c>
      <c r="O66" s="11">
        <f t="shared" si="88"/>
        <v>0</v>
      </c>
      <c r="P66" s="12">
        <f t="shared" si="89"/>
        <v>-10.267379679144398</v>
      </c>
      <c r="Q66" s="413">
        <f t="shared" si="92"/>
        <v>0.93582887700534756</v>
      </c>
      <c r="R66" s="533"/>
      <c r="S66" s="24">
        <v>0.21666666666666665</v>
      </c>
      <c r="T66" s="24">
        <v>0.34652777777777777</v>
      </c>
      <c r="U66" s="408">
        <f t="shared" ref="U66:U69" si="94">(S66-T65)*24*60</f>
        <v>4.9999999999999822</v>
      </c>
      <c r="V66" s="411">
        <f t="shared" si="90"/>
        <v>187.00000000000003</v>
      </c>
      <c r="W66" s="14"/>
      <c r="X66" s="14"/>
      <c r="Y66" s="528"/>
      <c r="Z66" s="528"/>
      <c r="AA66" s="11">
        <f t="shared" si="2"/>
        <v>-154.01069518716577</v>
      </c>
      <c r="AB66" s="413">
        <f t="shared" si="93"/>
        <v>0.93582887700534756</v>
      </c>
      <c r="AC66" s="533"/>
    </row>
    <row r="67" spans="1:29" ht="15.75" customHeight="1">
      <c r="A67" s="531" t="s">
        <v>1629</v>
      </c>
      <c r="B67" s="410" t="s">
        <v>24</v>
      </c>
      <c r="C67" s="529" t="s">
        <v>42</v>
      </c>
      <c r="D67" s="529"/>
      <c r="E67" s="26">
        <v>25</v>
      </c>
      <c r="F67" s="410">
        <v>4296</v>
      </c>
      <c r="G67" s="408">
        <f t="shared" si="85"/>
        <v>107400</v>
      </c>
      <c r="H67" s="419" t="s">
        <v>52</v>
      </c>
      <c r="I67" s="409">
        <v>15</v>
      </c>
      <c r="J67" s="18">
        <v>2400</v>
      </c>
      <c r="K67" s="9">
        <f>J67/I67</f>
        <v>160</v>
      </c>
      <c r="L67" s="17">
        <v>15</v>
      </c>
      <c r="M67" s="10">
        <f t="shared" si="91"/>
        <v>2241.3913043478265</v>
      </c>
      <c r="N67" s="9">
        <f t="shared" si="87"/>
        <v>149.42608695652177</v>
      </c>
      <c r="O67" s="11">
        <f t="shared" si="88"/>
        <v>0</v>
      </c>
      <c r="P67" s="12">
        <f t="shared" si="89"/>
        <v>-10.573913043478228</v>
      </c>
      <c r="Q67" s="413">
        <f t="shared" si="92"/>
        <v>0.9339130434782611</v>
      </c>
      <c r="R67" s="533"/>
      <c r="S67" s="24">
        <v>0.3520833333333333</v>
      </c>
      <c r="T67" s="24">
        <v>0.43194444444444441</v>
      </c>
      <c r="U67" s="408">
        <f t="shared" si="94"/>
        <v>7.9999999999999716</v>
      </c>
      <c r="V67" s="411">
        <f t="shared" si="90"/>
        <v>114.99999999999999</v>
      </c>
      <c r="W67" s="14"/>
      <c r="X67" s="14"/>
      <c r="Y67" s="528"/>
      <c r="Z67" s="528"/>
      <c r="AA67" s="11">
        <f t="shared" si="2"/>
        <v>-158.60869565217354</v>
      </c>
      <c r="AB67" s="413">
        <f t="shared" si="93"/>
        <v>0.93391304347826098</v>
      </c>
      <c r="AC67" s="533"/>
    </row>
    <row r="68" spans="1:29" ht="15.75" customHeight="1">
      <c r="A68" s="531" t="s">
        <v>1629</v>
      </c>
      <c r="B68" s="410" t="s">
        <v>24</v>
      </c>
      <c r="C68" s="529" t="s">
        <v>25</v>
      </c>
      <c r="D68" s="529"/>
      <c r="E68" s="26">
        <v>20.52</v>
      </c>
      <c r="F68" s="410">
        <v>4363</v>
      </c>
      <c r="G68" s="408">
        <f t="shared" si="85"/>
        <v>89528.76</v>
      </c>
      <c r="H68" s="419" t="s">
        <v>52</v>
      </c>
      <c r="I68" s="409">
        <v>18</v>
      </c>
      <c r="J68" s="18">
        <v>2400</v>
      </c>
      <c r="K68" s="9">
        <f t="shared" ref="K68:K70" si="95">J68/I68</f>
        <v>133.33333333333334</v>
      </c>
      <c r="L68" s="17">
        <v>18</v>
      </c>
      <c r="M68" s="10">
        <f t="shared" si="91"/>
        <v>2237.4358974358979</v>
      </c>
      <c r="N68" s="9">
        <f t="shared" si="87"/>
        <v>124.30199430199433</v>
      </c>
      <c r="O68" s="11">
        <f t="shared" si="88"/>
        <v>0</v>
      </c>
      <c r="P68" s="12">
        <f t="shared" si="89"/>
        <v>-9.0313390313390158</v>
      </c>
      <c r="Q68" s="413">
        <f t="shared" si="92"/>
        <v>0.93226495726495739</v>
      </c>
      <c r="R68" s="533"/>
      <c r="S68" s="24">
        <v>0.43611111111111106</v>
      </c>
      <c r="T68" s="24">
        <v>0.51736111111111105</v>
      </c>
      <c r="U68" s="408">
        <f t="shared" si="94"/>
        <v>5.9999999999999787</v>
      </c>
      <c r="V68" s="411">
        <f t="shared" si="90"/>
        <v>116.99999999999999</v>
      </c>
      <c r="W68" s="14">
        <f>T68</f>
        <v>0.51736111111111105</v>
      </c>
      <c r="X68" s="14">
        <f>S69</f>
        <v>0.55902777777777768</v>
      </c>
      <c r="Y68" s="528"/>
      <c r="Z68" s="528"/>
      <c r="AA68" s="11">
        <f t="shared" si="2"/>
        <v>-162.56410256410209</v>
      </c>
      <c r="AB68" s="413">
        <f t="shared" si="93"/>
        <v>0.93226495726495751</v>
      </c>
      <c r="AC68" s="533"/>
    </row>
    <row r="69" spans="1:29" ht="15.75" customHeight="1">
      <c r="A69" s="531" t="s">
        <v>1629</v>
      </c>
      <c r="B69" s="410" t="s">
        <v>24</v>
      </c>
      <c r="C69" s="529" t="s">
        <v>41</v>
      </c>
      <c r="D69" s="529"/>
      <c r="E69" s="26">
        <v>19.02</v>
      </c>
      <c r="F69" s="410">
        <v>4470</v>
      </c>
      <c r="G69" s="408">
        <f t="shared" si="85"/>
        <v>85019.4</v>
      </c>
      <c r="H69" s="419" t="s">
        <v>52</v>
      </c>
      <c r="I69" s="409">
        <v>15</v>
      </c>
      <c r="J69" s="18">
        <v>2400</v>
      </c>
      <c r="K69" s="9">
        <f t="shared" si="95"/>
        <v>160</v>
      </c>
      <c r="L69" s="17">
        <v>15</v>
      </c>
      <c r="M69" s="10">
        <f t="shared" si="91"/>
        <v>2234.9999999999991</v>
      </c>
      <c r="N69" s="9">
        <f t="shared" si="87"/>
        <v>148.99999999999994</v>
      </c>
      <c r="O69" s="11">
        <f t="shared" si="88"/>
        <v>0</v>
      </c>
      <c r="P69" s="12">
        <f t="shared" si="89"/>
        <v>-11.000000000000057</v>
      </c>
      <c r="Q69" s="413">
        <f t="shared" si="92"/>
        <v>0.93124999999999969</v>
      </c>
      <c r="R69" s="533"/>
      <c r="S69" s="24">
        <v>0.55902777777777768</v>
      </c>
      <c r="T69" s="24">
        <v>0.64236111111111105</v>
      </c>
      <c r="U69" s="408">
        <f t="shared" si="94"/>
        <v>59.999999999999943</v>
      </c>
      <c r="V69" s="411">
        <f t="shared" si="90"/>
        <v>120.00000000000006</v>
      </c>
      <c r="W69" s="14"/>
      <c r="X69" s="14"/>
      <c r="Y69" s="528"/>
      <c r="Z69" s="528"/>
      <c r="AA69" s="11">
        <f t="shared" ref="AA69:AA70" si="96">M69-J69</f>
        <v>-165.00000000000091</v>
      </c>
      <c r="AB69" s="413">
        <f t="shared" si="93"/>
        <v>0.93124999999999958</v>
      </c>
      <c r="AC69" s="533"/>
    </row>
    <row r="70" spans="1:29" ht="16.5" customHeight="1">
      <c r="A70" s="532" t="s">
        <v>1629</v>
      </c>
      <c r="B70" s="26" t="s">
        <v>1615</v>
      </c>
      <c r="C70" s="530"/>
      <c r="D70" s="530"/>
      <c r="E70" s="412"/>
      <c r="F70" s="16"/>
      <c r="G70" s="9"/>
      <c r="H70" s="410"/>
      <c r="I70" s="17">
        <v>16.833333333333332</v>
      </c>
      <c r="J70" s="18">
        <v>2400</v>
      </c>
      <c r="K70" s="9">
        <f t="shared" si="95"/>
        <v>142.57425742574259</v>
      </c>
      <c r="L70" s="17">
        <v>16.833333333333332</v>
      </c>
      <c r="M70" s="10">
        <f>AVERAGE(M64:M69)</f>
        <v>2239.2949473090139</v>
      </c>
      <c r="N70" s="9">
        <f>M70/L70</f>
        <v>133.02742261241667</v>
      </c>
      <c r="O70" s="11">
        <f>L70-I70</f>
        <v>0</v>
      </c>
      <c r="P70" s="12">
        <f>N70-K70</f>
        <v>-9.5468348133259155</v>
      </c>
      <c r="Q70" s="413">
        <f t="shared" si="92"/>
        <v>0.93303956137875577</v>
      </c>
      <c r="R70" s="533"/>
      <c r="S70" s="24"/>
      <c r="T70" s="24"/>
      <c r="U70" s="9"/>
      <c r="V70" s="411"/>
      <c r="W70" s="9"/>
      <c r="X70" s="9"/>
      <c r="Y70" s="528"/>
      <c r="Z70" s="528"/>
      <c r="AA70" s="11">
        <f t="shared" si="96"/>
        <v>-160.70505269098612</v>
      </c>
      <c r="AB70" s="413">
        <f t="shared" si="93"/>
        <v>0.93303956137875577</v>
      </c>
      <c r="AC70" s="533"/>
    </row>
    <row r="71" spans="1:29">
      <c r="D71" s="19"/>
      <c r="E71" s="19"/>
    </row>
  </sheetData>
  <mergeCells count="188">
    <mergeCell ref="A64:A70"/>
    <mergeCell ref="C64:D64"/>
    <mergeCell ref="R64:R70"/>
    <mergeCell ref="Y64:Z64"/>
    <mergeCell ref="Y69:Z69"/>
    <mergeCell ref="C70:D70"/>
    <mergeCell ref="Y70:Z70"/>
    <mergeCell ref="AC64:AC70"/>
    <mergeCell ref="C65:D65"/>
    <mergeCell ref="Y65:Z65"/>
    <mergeCell ref="C66:D66"/>
    <mergeCell ref="Y66:Z66"/>
    <mergeCell ref="C67:D67"/>
    <mergeCell ref="Y67:Z67"/>
    <mergeCell ref="C68:D68"/>
    <mergeCell ref="Y68:Z68"/>
    <mergeCell ref="C69:D69"/>
    <mergeCell ref="C60:D60"/>
    <mergeCell ref="Y60:Z60"/>
    <mergeCell ref="C61:D61"/>
    <mergeCell ref="Y61:Z61"/>
    <mergeCell ref="C62:D62"/>
    <mergeCell ref="Y62:Z62"/>
    <mergeCell ref="Y56:Z56"/>
    <mergeCell ref="A57:A63"/>
    <mergeCell ref="C57:D57"/>
    <mergeCell ref="R57:R63"/>
    <mergeCell ref="Y57:Z57"/>
    <mergeCell ref="C63:D63"/>
    <mergeCell ref="Y63:Z63"/>
    <mergeCell ref="AC57:AC63"/>
    <mergeCell ref="C58:D58"/>
    <mergeCell ref="Y58:Z58"/>
    <mergeCell ref="C59:D59"/>
    <mergeCell ref="Y59:Z59"/>
    <mergeCell ref="Y50:Z50"/>
    <mergeCell ref="A51:A56"/>
    <mergeCell ref="C51:D51"/>
    <mergeCell ref="R51:R56"/>
    <mergeCell ref="Y51:Z51"/>
    <mergeCell ref="AC51:AC56"/>
    <mergeCell ref="C52:D52"/>
    <mergeCell ref="Y52:Z52"/>
    <mergeCell ref="C53:D53"/>
    <mergeCell ref="C56:D56"/>
    <mergeCell ref="AC43:AC50"/>
    <mergeCell ref="C44:D44"/>
    <mergeCell ref="Y44:Z44"/>
    <mergeCell ref="C45:D45"/>
    <mergeCell ref="Y45:Z45"/>
    <mergeCell ref="C46:D46"/>
    <mergeCell ref="Y46:Z46"/>
    <mergeCell ref="C47:D47"/>
    <mergeCell ref="Y47:Z47"/>
    <mergeCell ref="C48:D48"/>
    <mergeCell ref="C42:D42"/>
    <mergeCell ref="Y42:Z42"/>
    <mergeCell ref="A43:A50"/>
    <mergeCell ref="C43:D43"/>
    <mergeCell ref="R43:R50"/>
    <mergeCell ref="Y43:Z43"/>
    <mergeCell ref="Y48:Z48"/>
    <mergeCell ref="C49:D49"/>
    <mergeCell ref="Y49:Z49"/>
    <mergeCell ref="C50:D50"/>
    <mergeCell ref="A33:A42"/>
    <mergeCell ref="C33:D33"/>
    <mergeCell ref="R33:R42"/>
    <mergeCell ref="Y33:Z33"/>
    <mergeCell ref="AC25:AC32"/>
    <mergeCell ref="C26:D26"/>
    <mergeCell ref="Y26:Z26"/>
    <mergeCell ref="C27:D27"/>
    <mergeCell ref="Y27:Z27"/>
    <mergeCell ref="C28:D28"/>
    <mergeCell ref="Y28:Z28"/>
    <mergeCell ref="C29:D29"/>
    <mergeCell ref="Y29:Z29"/>
    <mergeCell ref="C30:D30"/>
    <mergeCell ref="AC33:AC42"/>
    <mergeCell ref="C34:D34"/>
    <mergeCell ref="Y34:Z34"/>
    <mergeCell ref="C35:D35"/>
    <mergeCell ref="Y35:Z35"/>
    <mergeCell ref="C39:D39"/>
    <mergeCell ref="Y39:Z39"/>
    <mergeCell ref="C40:D40"/>
    <mergeCell ref="Y40:Z40"/>
    <mergeCell ref="C41:D41"/>
    <mergeCell ref="Y41:Z41"/>
    <mergeCell ref="C36:D36"/>
    <mergeCell ref="Y36:Z36"/>
    <mergeCell ref="C37:D37"/>
    <mergeCell ref="Y37:Z37"/>
    <mergeCell ref="C38:D38"/>
    <mergeCell ref="Y38:Z38"/>
    <mergeCell ref="R18:R24"/>
    <mergeCell ref="Y18:Z18"/>
    <mergeCell ref="C24:D24"/>
    <mergeCell ref="Y24:Z24"/>
    <mergeCell ref="A25:A32"/>
    <mergeCell ref="C25:D25"/>
    <mergeCell ref="R25:R32"/>
    <mergeCell ref="Y25:Z25"/>
    <mergeCell ref="Y30:Z30"/>
    <mergeCell ref="C31:D31"/>
    <mergeCell ref="Y31:Z31"/>
    <mergeCell ref="C32:D32"/>
    <mergeCell ref="Y32:Z32"/>
    <mergeCell ref="AC18:AC24"/>
    <mergeCell ref="C19:D19"/>
    <mergeCell ref="Y19:Z19"/>
    <mergeCell ref="C20:D20"/>
    <mergeCell ref="Y20:Z20"/>
    <mergeCell ref="A14:A17"/>
    <mergeCell ref="C14:D14"/>
    <mergeCell ref="R14:R17"/>
    <mergeCell ref="Y14:Z14"/>
    <mergeCell ref="AC14:AC17"/>
    <mergeCell ref="C15:D15"/>
    <mergeCell ref="Y15:Z15"/>
    <mergeCell ref="C16:D16"/>
    <mergeCell ref="Y16:Z16"/>
    <mergeCell ref="C17:D17"/>
    <mergeCell ref="C21:D21"/>
    <mergeCell ref="Y21:Z21"/>
    <mergeCell ref="C22:D22"/>
    <mergeCell ref="Y22:Z22"/>
    <mergeCell ref="C23:D23"/>
    <mergeCell ref="Y23:Z23"/>
    <mergeCell ref="Y17:Z17"/>
    <mergeCell ref="A18:A24"/>
    <mergeCell ref="C18:D18"/>
    <mergeCell ref="AC9:AC13"/>
    <mergeCell ref="C10:D10"/>
    <mergeCell ref="Y10:Z10"/>
    <mergeCell ref="C11:D11"/>
    <mergeCell ref="Y11:Z11"/>
    <mergeCell ref="C12:D12"/>
    <mergeCell ref="Y12:Z12"/>
    <mergeCell ref="C13:D13"/>
    <mergeCell ref="Y13:Z13"/>
    <mergeCell ref="C8:D8"/>
    <mergeCell ref="Y8:Z8"/>
    <mergeCell ref="A9:A13"/>
    <mergeCell ref="C9:D9"/>
    <mergeCell ref="R9:R13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60:O70 O5:O9 O13:O15 O50:O57 O17:O48">
    <cfRule type="cellIs" dxfId="1477" priority="39" operator="greaterThan">
      <formula>0</formula>
    </cfRule>
  </conditionalFormatting>
  <conditionalFormatting sqref="P5:P7 P60:P62 AA60:AA62 P64:P69 P25:P31 P57 P9 P13:P15 P18:P23 P51:P55 P33:P48 AA5:AA57 AA64:AA70">
    <cfRule type="cellIs" dxfId="1476" priority="43" operator="lessThan">
      <formula>0</formula>
    </cfRule>
  </conditionalFormatting>
  <conditionalFormatting sqref="AB60:AB62 Q60:Q70 Q5:Q9 Q13:Q15 Q50:Q57 Q17:Q48 AB5:AB57 AB64:AB70">
    <cfRule type="cellIs" dxfId="1475" priority="40" operator="greaterThan">
      <formula>1</formula>
    </cfRule>
    <cfRule type="cellIs" dxfId="1474" priority="41" operator="lessThan">
      <formula>0.8</formula>
    </cfRule>
  </conditionalFormatting>
  <conditionalFormatting sqref="AC14:AC15 R14:R15 AC60 R17:R40 AC17:AC40 R60:R70 AC5:AC9 R5:R9 R42:R48 AC42:AC48 AC50:AC57 R50:R57">
    <cfRule type="cellIs" dxfId="1473" priority="45" operator="lessThan">
      <formula>0.8</formula>
    </cfRule>
  </conditionalFormatting>
  <conditionalFormatting sqref="AC43">
    <cfRule type="cellIs" dxfId="1472" priority="47" operator="lessThan">
      <formula>0.8</formula>
    </cfRule>
  </conditionalFormatting>
  <conditionalFormatting sqref="AC18:AC23">
    <cfRule type="cellIs" dxfId="1471" priority="44" operator="lessThan">
      <formula>0.8</formula>
    </cfRule>
  </conditionalFormatting>
  <conditionalFormatting sqref="AC25">
    <cfRule type="cellIs" dxfId="1470" priority="46" operator="lessThan">
      <formula>0.8</formula>
    </cfRule>
  </conditionalFormatting>
  <conditionalFormatting sqref="AC33:AC40">
    <cfRule type="cellIs" dxfId="1469" priority="42" operator="lessThan">
      <formula>0.8</formula>
    </cfRule>
  </conditionalFormatting>
  <conditionalFormatting sqref="AA63">
    <cfRule type="cellIs" dxfId="1468" priority="38" operator="lessThan">
      <formula>0</formula>
    </cfRule>
  </conditionalFormatting>
  <conditionalFormatting sqref="AB63">
    <cfRule type="cellIs" dxfId="1467" priority="36" operator="greaterThan">
      <formula>1</formula>
    </cfRule>
    <cfRule type="cellIs" dxfId="1466" priority="37" operator="lessThan">
      <formula>0.8</formula>
    </cfRule>
  </conditionalFormatting>
  <conditionalFormatting sqref="O16">
    <cfRule type="cellIs" dxfId="1465" priority="31" operator="greaterThan">
      <formula>0</formula>
    </cfRule>
  </conditionalFormatting>
  <conditionalFormatting sqref="P16">
    <cfRule type="cellIs" dxfId="1464" priority="34" operator="lessThan">
      <formula>0</formula>
    </cfRule>
  </conditionalFormatting>
  <conditionalFormatting sqref="Q16">
    <cfRule type="cellIs" dxfId="1463" priority="32" operator="greaterThan">
      <formula>1</formula>
    </cfRule>
    <cfRule type="cellIs" dxfId="1462" priority="33" operator="lessThan">
      <formula>0.8</formula>
    </cfRule>
  </conditionalFormatting>
  <conditionalFormatting sqref="R16 AC16">
    <cfRule type="cellIs" dxfId="1461" priority="35" operator="lessThan">
      <formula>0.8</formula>
    </cfRule>
  </conditionalFormatting>
  <conditionalFormatting sqref="O10:O12">
    <cfRule type="cellIs" dxfId="1460" priority="27" operator="greaterThan">
      <formula>0</formula>
    </cfRule>
  </conditionalFormatting>
  <conditionalFormatting sqref="P10:P12">
    <cfRule type="cellIs" dxfId="1459" priority="30" operator="lessThan">
      <formula>0</formula>
    </cfRule>
  </conditionalFormatting>
  <conditionalFormatting sqref="Q10:Q12">
    <cfRule type="cellIs" dxfId="1458" priority="28" operator="greaterThan">
      <formula>1</formula>
    </cfRule>
    <cfRule type="cellIs" dxfId="1457" priority="29" operator="lessThan">
      <formula>0.8</formula>
    </cfRule>
  </conditionalFormatting>
  <conditionalFormatting sqref="R41 AC41">
    <cfRule type="cellIs" dxfId="1456" priority="26" operator="lessThan">
      <formula>0.8</formula>
    </cfRule>
  </conditionalFormatting>
  <conditionalFormatting sqref="AC41">
    <cfRule type="cellIs" dxfId="1455" priority="25" operator="lessThan">
      <formula>0.8</formula>
    </cfRule>
  </conditionalFormatting>
  <conditionalFormatting sqref="O59">
    <cfRule type="cellIs" dxfId="1454" priority="20" operator="greaterThan">
      <formula>0</formula>
    </cfRule>
  </conditionalFormatting>
  <conditionalFormatting sqref="P59 AA59">
    <cfRule type="cellIs" dxfId="1453" priority="23" operator="lessThan">
      <formula>0</formula>
    </cfRule>
  </conditionalFormatting>
  <conditionalFormatting sqref="Q59 AB59">
    <cfRule type="cellIs" dxfId="1452" priority="21" operator="greaterThan">
      <formula>1</formula>
    </cfRule>
    <cfRule type="cellIs" dxfId="1451" priority="22" operator="lessThan">
      <formula>0.8</formula>
    </cfRule>
  </conditionalFormatting>
  <conditionalFormatting sqref="R59 AC59">
    <cfRule type="cellIs" dxfId="1450" priority="24" operator="lessThan">
      <formula>0.8</formula>
    </cfRule>
  </conditionalFormatting>
  <conditionalFormatting sqref="O49">
    <cfRule type="cellIs" dxfId="1449" priority="14" operator="greaterThan">
      <formula>0</formula>
    </cfRule>
  </conditionalFormatting>
  <conditionalFormatting sqref="P49">
    <cfRule type="cellIs" dxfId="1448" priority="18" operator="lessThan">
      <formula>0</formula>
    </cfRule>
  </conditionalFormatting>
  <conditionalFormatting sqref="Q49">
    <cfRule type="cellIs" dxfId="1447" priority="15" operator="greaterThan">
      <formula>1</formula>
    </cfRule>
    <cfRule type="cellIs" dxfId="1446" priority="16" operator="lessThan">
      <formula>0.8</formula>
    </cfRule>
  </conditionalFormatting>
  <conditionalFormatting sqref="R49 AC49">
    <cfRule type="cellIs" dxfId="1445" priority="19" operator="lessThan">
      <formula>0.8</formula>
    </cfRule>
  </conditionalFormatting>
  <conditionalFormatting sqref="AC49">
    <cfRule type="cellIs" dxfId="1444" priority="17" operator="lessThan">
      <formula>0.8</formula>
    </cfRule>
  </conditionalFormatting>
  <conditionalFormatting sqref="O58">
    <cfRule type="cellIs" dxfId="1443" priority="9" operator="greaterThan">
      <formula>0</formula>
    </cfRule>
  </conditionalFormatting>
  <conditionalFormatting sqref="P58 AA58">
    <cfRule type="cellIs" dxfId="1442" priority="12" operator="lessThan">
      <formula>0</formula>
    </cfRule>
  </conditionalFormatting>
  <conditionalFormatting sqref="Q58 AB58">
    <cfRule type="cellIs" dxfId="1441" priority="10" operator="greaterThan">
      <formula>1</formula>
    </cfRule>
    <cfRule type="cellIs" dxfId="1440" priority="11" operator="lessThan">
      <formula>0.8</formula>
    </cfRule>
  </conditionalFormatting>
  <conditionalFormatting sqref="R58 AC58">
    <cfRule type="cellIs" dxfId="1439" priority="13" operator="lessThan">
      <formula>0.8</formula>
    </cfRule>
  </conditionalFormatting>
  <conditionalFormatting sqref="P8">
    <cfRule type="cellIs" dxfId="1438" priority="8" operator="lessThan">
      <formula>0</formula>
    </cfRule>
  </conditionalFormatting>
  <conditionalFormatting sqref="P17">
    <cfRule type="cellIs" dxfId="1437" priority="7" operator="lessThan">
      <formula>0</formula>
    </cfRule>
  </conditionalFormatting>
  <conditionalFormatting sqref="P24">
    <cfRule type="cellIs" dxfId="1436" priority="6" operator="lessThan">
      <formula>0</formula>
    </cfRule>
  </conditionalFormatting>
  <conditionalFormatting sqref="P32">
    <cfRule type="cellIs" dxfId="1435" priority="5" operator="lessThan">
      <formula>0</formula>
    </cfRule>
  </conditionalFormatting>
  <conditionalFormatting sqref="P50">
    <cfRule type="cellIs" dxfId="1434" priority="4" operator="lessThan">
      <formula>0</formula>
    </cfRule>
  </conditionalFormatting>
  <conditionalFormatting sqref="P56">
    <cfRule type="cellIs" dxfId="1433" priority="3" operator="lessThan">
      <formula>0</formula>
    </cfRule>
  </conditionalFormatting>
  <conditionalFormatting sqref="P63">
    <cfRule type="cellIs" dxfId="1432" priority="2" operator="lessThan">
      <formula>0</formula>
    </cfRule>
  </conditionalFormatting>
  <conditionalFormatting sqref="P70">
    <cfRule type="cellIs" dxfId="1431" priority="1" operator="lessThan">
      <formula>0</formula>
    </cfRule>
  </conditionalFormatting>
  <dataValidations count="1">
    <dataValidation type="list" allowBlank="1" showInputMessage="1" showErrorMessage="1" sqref="Z8 Z61:Z62 Y5:Z7 Y8:Y62 Z10:Z57 Y63:Z70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2"/>
  <dimension ref="B1:Q28"/>
  <sheetViews>
    <sheetView zoomScale="70" zoomScaleNormal="70" workbookViewId="0">
      <selection activeCell="C3" sqref="C3:D3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521" t="s">
        <v>1472</v>
      </c>
      <c r="C1" s="521"/>
      <c r="D1" s="521"/>
      <c r="E1" s="521"/>
      <c r="F1" s="521"/>
      <c r="G1" s="521"/>
      <c r="H1" s="521"/>
      <c r="I1" s="521"/>
      <c r="J1" s="521"/>
      <c r="K1" s="28"/>
      <c r="L1" s="28"/>
      <c r="M1" s="28"/>
      <c r="N1" s="28"/>
      <c r="O1" s="28"/>
      <c r="P1" s="28"/>
    </row>
    <row r="2" spans="2:17" ht="27.75" customHeight="1">
      <c r="B2" s="522"/>
      <c r="C2" s="522"/>
      <c r="D2" s="522"/>
      <c r="E2" s="522"/>
      <c r="F2" s="522"/>
      <c r="G2" s="522"/>
      <c r="H2" s="522"/>
      <c r="I2" s="522"/>
      <c r="J2" s="522"/>
      <c r="K2" s="30"/>
      <c r="L2" s="324"/>
      <c r="M2" s="30"/>
      <c r="N2" s="28"/>
      <c r="O2" s="28"/>
      <c r="P2" s="28"/>
    </row>
    <row r="3" spans="2:17" ht="46.5" customHeight="1">
      <c r="B3" s="389" t="s">
        <v>1473</v>
      </c>
      <c r="C3" s="523" t="str">
        <f>TEXT('0825 4度C'!A2,"yyyy.mm.ddaaaa")</f>
        <v>2025.08.25星期一</v>
      </c>
      <c r="D3" s="523"/>
      <c r="E3" s="389" t="s">
        <v>1474</v>
      </c>
      <c r="F3" s="524">
        <f>'0825 4度C'!D1</f>
        <v>176281</v>
      </c>
      <c r="G3" s="524"/>
      <c r="H3" s="389" t="s">
        <v>1475</v>
      </c>
      <c r="I3" s="525">
        <f>'0825 4度C'!F1</f>
        <v>6110563.629999999</v>
      </c>
      <c r="J3" s="525"/>
      <c r="K3" s="31"/>
      <c r="L3" s="325"/>
      <c r="M3" s="33"/>
      <c r="N3" s="33"/>
    </row>
    <row r="4" spans="2:17" ht="28.5" customHeight="1">
      <c r="B4" s="516" t="s">
        <v>1476</v>
      </c>
      <c r="C4" s="516" t="s">
        <v>1477</v>
      </c>
      <c r="D4" s="516"/>
      <c r="E4" s="526" t="s">
        <v>1478</v>
      </c>
      <c r="F4" s="526"/>
      <c r="G4" s="526" t="s">
        <v>1479</v>
      </c>
      <c r="H4" s="526"/>
      <c r="I4" s="527" t="s">
        <v>1480</v>
      </c>
      <c r="J4" s="527"/>
      <c r="L4" s="326"/>
      <c r="M4" s="33"/>
      <c r="N4" s="33"/>
    </row>
    <row r="5" spans="2:17" ht="28.5" customHeight="1">
      <c r="B5" s="516"/>
      <c r="C5" s="516" t="s">
        <v>1481</v>
      </c>
      <c r="D5" s="516"/>
      <c r="E5" s="516" t="s">
        <v>1482</v>
      </c>
      <c r="F5" s="516"/>
      <c r="G5" s="517" t="s">
        <v>1483</v>
      </c>
      <c r="H5" s="517"/>
      <c r="I5" s="518" t="s">
        <v>1484</v>
      </c>
      <c r="J5" s="518"/>
      <c r="K5" s="33"/>
      <c r="L5" s="326"/>
      <c r="M5" s="33"/>
      <c r="N5" s="33"/>
    </row>
    <row r="6" spans="2:17" ht="28.5" customHeight="1">
      <c r="B6" s="516"/>
      <c r="C6" s="516" t="s">
        <v>43</v>
      </c>
      <c r="D6" s="516"/>
      <c r="E6" s="519">
        <f>AVERAGE(D13:M13)</f>
        <v>145.0321147720326</v>
      </c>
      <c r="F6" s="516">
        <f>AVERAGE(D27:O27,D13:J13)</f>
        <v>149.05218756817422</v>
      </c>
      <c r="G6" s="520">
        <f>AVERAGE(D13:J13)</f>
        <v>149.05218756817422</v>
      </c>
      <c r="H6" s="520"/>
      <c r="I6" s="520">
        <f>AVERAGE(K13:M13)</f>
        <v>135.65194491436881</v>
      </c>
      <c r="J6" s="520"/>
      <c r="K6" s="33"/>
      <c r="L6" s="326"/>
      <c r="M6" s="33"/>
      <c r="N6" s="33"/>
    </row>
    <row r="7" spans="2:17" ht="28.5" customHeight="1">
      <c r="B7" s="516"/>
      <c r="C7" s="510" t="s">
        <v>44</v>
      </c>
      <c r="D7" s="510"/>
      <c r="E7" s="511">
        <f>AVERAGE(D14:M14)</f>
        <v>135.50643644858945</v>
      </c>
      <c r="F7" s="512">
        <f>AVERAGE(D28:O28,D14:J14)</f>
        <v>139.33072780927756</v>
      </c>
      <c r="G7" s="513">
        <f>AVERAGE(D14:J14)</f>
        <v>139.33072780927756</v>
      </c>
      <c r="H7" s="513"/>
      <c r="I7" s="513">
        <f>AVERAGE(K14:M14)</f>
        <v>126.58308994031718</v>
      </c>
      <c r="J7" s="513"/>
      <c r="K7" s="33"/>
      <c r="L7" s="326"/>
      <c r="M7" s="33"/>
      <c r="N7" s="33"/>
    </row>
    <row r="8" spans="2:17" ht="28.5" customHeight="1">
      <c r="B8" s="516"/>
      <c r="C8" s="510" t="s">
        <v>45</v>
      </c>
      <c r="D8" s="510"/>
      <c r="E8" s="514">
        <f>AVERAGE(D15:M15)</f>
        <v>0.93388732554345444</v>
      </c>
      <c r="F8" s="510">
        <f>AVERAGE(D15:J15,D29:O29)</f>
        <v>0.93422022939432825</v>
      </c>
      <c r="G8" s="515">
        <f>AVERAGE(D15:J15)</f>
        <v>0.93422022939432825</v>
      </c>
      <c r="H8" s="515"/>
      <c r="I8" s="515">
        <f>AVERAGE(K15:M15)</f>
        <v>0.93311054989141551</v>
      </c>
      <c r="J8" s="515"/>
      <c r="K8" s="34" t="s">
        <v>1485</v>
      </c>
      <c r="L8" s="326"/>
      <c r="M8" s="33"/>
      <c r="N8" s="33"/>
    </row>
    <row r="9" spans="2:17" ht="28.5" customHeight="1" thickBot="1">
      <c r="H9" s="36"/>
      <c r="I9" s="291"/>
      <c r="L9" s="291"/>
      <c r="N9" s="33"/>
      <c r="O9" s="33"/>
      <c r="P9" s="33"/>
      <c r="Q9" s="33"/>
    </row>
    <row r="10" spans="2:17" ht="30" customHeight="1">
      <c r="B10" s="501" t="s">
        <v>1486</v>
      </c>
      <c r="C10" s="502"/>
      <c r="D10" s="503" t="s">
        <v>1487</v>
      </c>
      <c r="E10" s="504"/>
      <c r="F10" s="504"/>
      <c r="G10" s="504"/>
      <c r="H10" s="504"/>
      <c r="I10" s="504"/>
      <c r="J10" s="505"/>
      <c r="K10" s="506" t="s">
        <v>1488</v>
      </c>
      <c r="L10" s="504"/>
      <c r="M10" s="507"/>
      <c r="P10" s="37"/>
      <c r="Q10" s="37"/>
    </row>
    <row r="11" spans="2:17" ht="17.25" customHeight="1">
      <c r="B11" s="493" t="s">
        <v>1489</v>
      </c>
      <c r="C11" s="494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292">
        <v>6</v>
      </c>
      <c r="J11" s="40">
        <v>7</v>
      </c>
      <c r="K11" s="38">
        <v>1</v>
      </c>
      <c r="L11" s="292">
        <v>2</v>
      </c>
      <c r="M11" s="40">
        <v>3</v>
      </c>
      <c r="P11" s="37"/>
      <c r="Q11" s="37"/>
    </row>
    <row r="12" spans="2:17" ht="34.15" customHeight="1">
      <c r="B12" s="493"/>
      <c r="C12" s="494"/>
      <c r="D12" s="41" t="s">
        <v>345</v>
      </c>
      <c r="E12" s="42" t="s">
        <v>346</v>
      </c>
      <c r="F12" s="42" t="s">
        <v>347</v>
      </c>
      <c r="G12" s="42" t="s">
        <v>348</v>
      </c>
      <c r="H12" s="42" t="s">
        <v>349</v>
      </c>
      <c r="I12" s="293" t="s">
        <v>350</v>
      </c>
      <c r="J12" s="43" t="s">
        <v>351</v>
      </c>
      <c r="K12" s="41" t="s">
        <v>352</v>
      </c>
      <c r="L12" s="293" t="s">
        <v>353</v>
      </c>
      <c r="M12" s="43" t="s">
        <v>354</v>
      </c>
    </row>
    <row r="13" spans="2:17" ht="40.15" customHeight="1">
      <c r="B13" s="508" t="s">
        <v>116</v>
      </c>
      <c r="C13" s="44" t="s">
        <v>1490</v>
      </c>
      <c r="D13" s="45">
        <f>SUMIFS('0825 4度C'!$K:$K,'0825 4度C'!$A:$A,"新豐6線",'0825 4度C'!$B:$B,"平均")</f>
        <v>117.64705882352941</v>
      </c>
      <c r="E13" s="46">
        <f>SUMIFS('0825 4度C'!$K:$K,'0825 4度C'!$A:$A,"新豐2線",'0825 4度C'!$B:$B,"平均")</f>
        <v>82.417582417582423</v>
      </c>
      <c r="F13" s="47">
        <f>SUMIFS('0825 4度C'!$K:$K,'0825 4度C'!$A:$A,"新豐5線",'0825 4度C'!$B:$B,"平均")</f>
        <v>93.220338983050837</v>
      </c>
      <c r="G13" s="47">
        <f>SUMIFS('0825 4度C'!$K:$K,'0825 4度C'!$A:$A,"新豐7線",'0825 4度C'!$B:$B,"平均")</f>
        <v>116.50485436893203</v>
      </c>
      <c r="H13" s="47">
        <f>SUMIFS('0825 4度C'!$K:$K,'0825 4度C'!$A:$A,"新豐3線",'0825 4度C'!$B:$B,"平均")</f>
        <v>300</v>
      </c>
      <c r="I13" s="294">
        <f>SUMIFS('0825 4度C'!$K:$K,'0825 4度C'!$A:$A,"新豐1線",'0825 4度C'!$B:$B,"平均")</f>
        <v>114.4578313253012</v>
      </c>
      <c r="J13" s="48">
        <f>SUMIFS('0825 4度C'!$K:$K,'0825 4度C'!$A:$A,"新豐10線",'0825 4度C'!$B:$B,"平均")</f>
        <v>219.11764705882354</v>
      </c>
      <c r="K13" s="49">
        <f>SUMIFS('0825 4度C'!$K:$K,'0825 4度C'!$A:$A,"新豐8線",'0825 4度C'!$B:$B,"平均")</f>
        <v>137.70491803278691</v>
      </c>
      <c r="L13" s="301">
        <f>SUMIFS('0825 4度C'!$K:$K,'0825 4度C'!$A:$A,"新豐9線",'0825 4度C'!$B:$B,"平均")</f>
        <v>130.12048192771084</v>
      </c>
      <c r="M13" s="48">
        <f>SUMIFS('0825 4度C'!$K:$K,'0825 4度C'!$A:$A,"新豐4線",'0825 4度C'!$B:$B,"平均")</f>
        <v>139.13043478260869</v>
      </c>
    </row>
    <row r="14" spans="2:17" ht="39.6" customHeight="1">
      <c r="B14" s="508"/>
      <c r="C14" s="51" t="s">
        <v>69</v>
      </c>
      <c r="D14" s="52">
        <f>SUMIFS('0825 4度C'!$N:$N,'0825 4度C'!$A:$A,"新豐6線",'0825 4度C'!$B:$B,"平均")</f>
        <v>110.0304621848739</v>
      </c>
      <c r="E14" s="53">
        <f>SUMIFS('0825 4度C'!$N:$N,'0825 4度C'!$A:$A,"新豐2線",'0825 4度C'!$B:$B,"平均")</f>
        <v>76.847277522761289</v>
      </c>
      <c r="F14" s="53">
        <f>SUMIFS('0825 4度C'!$N:$N,'0825 4度C'!$A:$A,"新豐5線",'0825 4度C'!$B:$B,"平均")</f>
        <v>86.583880577113646</v>
      </c>
      <c r="G14" s="53">
        <f>SUMIFS('0825 4度C'!$N:$N,'0825 4度C'!$A:$A,"新豐7線",'0825 4度C'!$B:$B,"平均")</f>
        <v>109.46690451765403</v>
      </c>
      <c r="H14" s="53">
        <f>SUMIFS('0825 4度C'!$N:$N,'0825 4度C'!$A:$A,"新豐3線",'0825 4度C'!$B:$B,"平均")</f>
        <v>280.8326663108769</v>
      </c>
      <c r="I14" s="295">
        <f>SUMIFS('0825 4度C'!$N:$N,'0825 4度C'!$A:$A,"新豐1線",'0825 4度C'!$B:$B,"平均")</f>
        <v>106.75644526712971</v>
      </c>
      <c r="J14" s="54">
        <f>SUMIFS('0825 4度C'!$N:$N,'0825 4度C'!$A:$A,"新豐10線",'0825 4度C'!$B:$B,"平均")</f>
        <v>204.79745828453338</v>
      </c>
      <c r="K14" s="55">
        <f>SUMIFS('0825 4度C'!$N:$N,'0825 4度C'!$A:$A,"新豐8線",'0825 4度C'!$B:$B,"平均")</f>
        <v>128.30158090146051</v>
      </c>
      <c r="L14" s="302">
        <f>SUMIFS('0825 4度C'!$N:$N,'0825 4度C'!$A:$A,"新豐9線",'0825 4度C'!$B:$B,"平均")</f>
        <v>121.23632780977439</v>
      </c>
      <c r="M14" s="54">
        <f>SUMIFS('0825 4度C'!$N:$N,'0825 4度C'!$A:$A,"新豐4線",'0825 4度C'!$B:$B,"平均")</f>
        <v>130.21136110971665</v>
      </c>
    </row>
    <row r="15" spans="2:17" ht="40.15" customHeight="1">
      <c r="B15" s="508"/>
      <c r="C15" s="57" t="s">
        <v>1491</v>
      </c>
      <c r="D15" s="58">
        <f t="shared" ref="D15:M15" si="0">D14/D13</f>
        <v>0.93525892857142823</v>
      </c>
      <c r="E15" s="59">
        <f t="shared" si="0"/>
        <v>0.93241363394283694</v>
      </c>
      <c r="F15" s="59">
        <f t="shared" si="0"/>
        <v>0.92880890073631017</v>
      </c>
      <c r="G15" s="59">
        <f t="shared" si="0"/>
        <v>0.93959093044319719</v>
      </c>
      <c r="H15" s="59">
        <f t="shared" si="0"/>
        <v>0.936108887702923</v>
      </c>
      <c r="I15" s="296">
        <f t="shared" si="0"/>
        <v>0.93271420601808064</v>
      </c>
      <c r="J15" s="60">
        <f t="shared" si="0"/>
        <v>0.93464611834552147</v>
      </c>
      <c r="K15" s="58">
        <f t="shared" si="0"/>
        <v>0.93171386130822498</v>
      </c>
      <c r="L15" s="296">
        <f t="shared" si="0"/>
        <v>0.93172363038993289</v>
      </c>
      <c r="M15" s="60">
        <f t="shared" si="0"/>
        <v>0.93589415797608844</v>
      </c>
    </row>
    <row r="16" spans="2:17" ht="17.25" customHeight="1">
      <c r="B16" s="509" t="s">
        <v>1492</v>
      </c>
      <c r="C16" s="390" t="s">
        <v>71</v>
      </c>
      <c r="D16" s="61">
        <f>VLOOKUP("新豐6線",'0825 4度C'!$A:$T,19,0)</f>
        <v>0.70833333333333337</v>
      </c>
      <c r="E16" s="24">
        <f>VLOOKUP("新豐2線",'0825 4度C'!$A:$T,19,0)</f>
        <v>0.125</v>
      </c>
      <c r="F16" s="24">
        <f>VLOOKUP("新豐5線",'0825 4度C'!$A:$T,19,0)</f>
        <v>0.25</v>
      </c>
      <c r="G16" s="24">
        <f>VLOOKUP("新豐7線",'0825 4度C'!$A:$T,19,0)</f>
        <v>0.20833333333333334</v>
      </c>
      <c r="H16" s="24">
        <f>VLOOKUP("新豐3線",'0825 4度C'!$A:$T,19,0)</f>
        <v>0.125</v>
      </c>
      <c r="I16" s="297">
        <f>VLOOKUP("新豐1線",'0825 4度C'!$A:$T,19,0)</f>
        <v>0.29166666666666669</v>
      </c>
      <c r="J16" s="62">
        <f>VLOOKUP("新豐10線",'0825 4度C'!$A:$T,19,0)</f>
        <v>0.125</v>
      </c>
      <c r="K16" s="63">
        <f>VLOOKUP("新豐8線",'0825 4度C'!$A:$T,19,0)</f>
        <v>0.125</v>
      </c>
      <c r="L16" s="303">
        <f>VLOOKUP("新豐9線",'0825 4度C'!$A:$T,19,0)</f>
        <v>8.3333333333333329E-2</v>
      </c>
      <c r="M16" s="65">
        <f>VLOOKUP("新豐4線",'0825 4度C'!$A:$T,19,0)</f>
        <v>0.125</v>
      </c>
    </row>
    <row r="17" spans="2:13" ht="17.25" customHeight="1">
      <c r="B17" s="493"/>
      <c r="C17" s="390" t="s">
        <v>144</v>
      </c>
      <c r="D17" s="63">
        <f>LOOKUP(2,1/(('0825 4度C'!$A:$A="新豐6線")*('0825 4度C'!$T:$T&lt;&gt;"")),'0825 4度C'!$T:$T)</f>
        <v>0.83680555555555558</v>
      </c>
      <c r="E17" s="24">
        <f>LOOKUP(2,1/(('0825 4度C'!$A:$A="新豐2線")*('0825 4度C'!$T:$T&lt;&gt;"")),'0825 4度C'!$T:$T)</f>
        <v>0.68194444444444446</v>
      </c>
      <c r="F17" s="24">
        <f>LOOKUP(2,1/(('0825 4度C'!$A:$A="新豐5線")*('0825 4度C'!$T:$T&lt;&gt;"")),'0825 4度C'!$T:$T)</f>
        <v>0.84861111111111109</v>
      </c>
      <c r="G17" s="24">
        <f>LOOKUP(2,1/(('0825 4度C'!$A:$A="新豐7線")*('0825 4度C'!$T:$T&lt;&gt;"")),'0825 4度C'!$T:$T)</f>
        <v>0.81041666666666667</v>
      </c>
      <c r="H17" s="24">
        <f>LOOKUP(2,1/(('0825 4度C'!$A:$A="新豐3線")*('0825 4度C'!$T:$T&lt;&gt;"")),'0825 4度C'!$T:$T)</f>
        <v>0.51874999999999993</v>
      </c>
      <c r="I17" s="297">
        <f>LOOKUP(2,1/(('0825 4度C'!$A:$A="新豐1線")*('0825 4度C'!$T:$T&lt;&gt;"")),'0825 4度C'!$T:$T)</f>
        <v>0.85624999999999996</v>
      </c>
      <c r="J17" s="62">
        <f>LOOKUP(2,1/(('0825 4度C'!$A:$A="新豐10線")*('0825 4度C'!$T:$T&lt;&gt;"")),'0825 4度C'!$T:$T)</f>
        <v>0.46180555555555558</v>
      </c>
      <c r="K17" s="61">
        <f>LOOKUP(2,1/(('0825 4度C'!$A:$A="新豐8線")*('0825 4度C'!$T:$T&lt;&gt;"")),'0825 4度C'!$T:$T)</f>
        <v>0.66388888888888886</v>
      </c>
      <c r="L17" s="297">
        <f>LOOKUP(2,1/(('0825 4度C'!$A:$A="新豐9線")*('0825 4度C'!$T:$T&lt;&gt;"")),'0825 4度C'!$T:$T)</f>
        <v>0.7006944444444444</v>
      </c>
      <c r="M17" s="62">
        <f>LOOKUP(2,1/(('0825 4度C'!$A:$A="新豐4線")*('0825 4度C'!$T:$T&lt;&gt;"")),'0825 4度C'!$T:$T)</f>
        <v>0.72847222222222219</v>
      </c>
    </row>
    <row r="18" spans="2:13" ht="17.25" customHeight="1">
      <c r="B18" s="493" t="s">
        <v>1493</v>
      </c>
      <c r="C18" s="494"/>
      <c r="D18" s="66">
        <f>SUMIFS('0825 4度C'!$I:$I,'0825 4度C'!$A:$A,"新豐6線",'0825 4度C'!$B:$B,"平均")</f>
        <v>17</v>
      </c>
      <c r="E18" s="67">
        <f>SUMIFS('0825 4度C'!$I:$I,'0825 4度C'!$A:$A,"新豐2線",'0825 4度C'!$B:$B,"平均")</f>
        <v>18.2</v>
      </c>
      <c r="F18" s="67">
        <f>SUMIFS('0825 4度C'!$I:$I,'0825 4度C'!$A:$A,"新豐5線",'0825 4度C'!$B:$B,"平均")</f>
        <v>19.666666666666668</v>
      </c>
      <c r="G18" s="67">
        <f>SUMIFS('0825 4度C'!$I:$I,'0825 4度C'!$A:$A,"新豐7線",'0825 4度C'!$B:$B,"平均")</f>
        <v>17.166666666666668</v>
      </c>
      <c r="H18" s="67">
        <f>SUMIFS('0825 4度C'!$I:$I,'0825 4度C'!$A:$A,"新豐3線",'0825 4度C'!$B:$B,"平均")</f>
        <v>10</v>
      </c>
      <c r="I18" s="298">
        <f>SUMIFS('0825 4度C'!$I:$I,'0825 4度C'!$A:$A,"新豐1線",'0825 4度C'!$B:$B,"平均")</f>
        <v>16.600000000000001</v>
      </c>
      <c r="J18" s="68">
        <f>SUMIFS('0825 4度C'!$I:$I,'0825 4度C'!$A:$A,"新豐10線",'0825 4度C'!$B:$B,"平均")</f>
        <v>11.333333333333334</v>
      </c>
      <c r="K18" s="66">
        <f>SUMIFS('0825 4度C'!$I:$I,'0825 4度C'!$A:$A,"新豐8線",'0825 4度C'!$B:$B,"平均")</f>
        <v>17.428571428571427</v>
      </c>
      <c r="L18" s="298">
        <f>SUMIFS('0825 4度C'!$I:$I,'0825 4度C'!$A:$A,"新豐9線",'0825 4度C'!$B:$B,"平均")</f>
        <v>18.444444444444443</v>
      </c>
      <c r="M18" s="68">
        <f>SUMIFS('0825 4度C'!$I:$I,'0825 4度C'!$A:$A,"新豐4線",'0825 4度C'!$B:$B,"平均")</f>
        <v>17.25</v>
      </c>
    </row>
    <row r="19" spans="2:13" ht="17.25" customHeight="1">
      <c r="B19" s="495" t="s">
        <v>1494</v>
      </c>
      <c r="C19" s="496"/>
      <c r="D19" s="69" t="s">
        <v>46</v>
      </c>
      <c r="E19" s="70" t="s">
        <v>47</v>
      </c>
      <c r="F19" s="70" t="s">
        <v>1495</v>
      </c>
      <c r="G19" s="70" t="s">
        <v>93</v>
      </c>
      <c r="H19" s="70" t="s">
        <v>48</v>
      </c>
      <c r="I19" s="299" t="s">
        <v>46</v>
      </c>
      <c r="J19" s="71" t="s">
        <v>48</v>
      </c>
      <c r="K19" s="69" t="s">
        <v>1496</v>
      </c>
      <c r="L19" s="299" t="s">
        <v>1496</v>
      </c>
      <c r="M19" s="71" t="s">
        <v>72</v>
      </c>
    </row>
    <row r="20" spans="2:13" ht="17.25" customHeight="1">
      <c r="B20" s="495" t="s">
        <v>1497</v>
      </c>
      <c r="C20" s="496"/>
      <c r="D20" s="69"/>
      <c r="E20" s="70"/>
      <c r="F20" s="70" t="s">
        <v>149</v>
      </c>
      <c r="G20" s="70" t="s">
        <v>46</v>
      </c>
      <c r="H20" s="70"/>
      <c r="I20" s="299"/>
      <c r="J20" s="71"/>
      <c r="K20" s="69"/>
      <c r="L20" s="299"/>
      <c r="M20" s="71"/>
    </row>
    <row r="21" spans="2:13" ht="17.25" customHeight="1" thickBot="1">
      <c r="B21" s="497" t="s">
        <v>1498</v>
      </c>
      <c r="C21" s="498"/>
      <c r="D21" s="72"/>
      <c r="E21" s="73" t="s">
        <v>150</v>
      </c>
      <c r="F21" s="499" t="s">
        <v>205</v>
      </c>
      <c r="G21" s="500"/>
      <c r="H21" s="73" t="s">
        <v>1499</v>
      </c>
      <c r="I21" s="300" t="s">
        <v>152</v>
      </c>
      <c r="J21" s="74" t="s">
        <v>1499</v>
      </c>
      <c r="K21" s="75"/>
      <c r="L21" s="300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1430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3">
    <pageSetUpPr fitToPage="1"/>
  </sheetPr>
  <dimension ref="A1:AC74"/>
  <sheetViews>
    <sheetView zoomScale="80" zoomScaleNormal="80" workbookViewId="0">
      <pane ySplit="4" topLeftCell="A38" activePane="bottomLeft" state="frozen"/>
      <selection activeCell="F44" sqref="F44"/>
      <selection pane="bottomLeft" activeCell="C58" sqref="C58:D58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1500</v>
      </c>
      <c r="B1" s="1"/>
      <c r="C1" s="2" t="s">
        <v>1501</v>
      </c>
      <c r="D1" s="3">
        <f>SUM(F5:F73)</f>
        <v>176281</v>
      </c>
      <c r="E1" s="395" t="s">
        <v>1502</v>
      </c>
      <c r="F1" s="1">
        <f>SUM(G5:G73)</f>
        <v>6110563.629999999</v>
      </c>
      <c r="G1" s="1" t="s">
        <v>1503</v>
      </c>
      <c r="H1" s="4">
        <f>L8+L14+L51+L57+L18+L64+L33+L43+L25+L73</f>
        <v>163.08968253968251</v>
      </c>
      <c r="I1" s="572" t="s">
        <v>1504</v>
      </c>
      <c r="J1" s="572"/>
      <c r="K1" s="572"/>
      <c r="L1" s="572" t="s">
        <v>1505</v>
      </c>
      <c r="M1" s="572"/>
      <c r="N1" s="572"/>
      <c r="O1" s="572" t="s">
        <v>1506</v>
      </c>
      <c r="P1" s="572"/>
      <c r="Q1" s="572"/>
      <c r="R1" s="572"/>
      <c r="S1" s="572" t="s">
        <v>1507</v>
      </c>
      <c r="T1" s="572"/>
      <c r="U1" s="572"/>
      <c r="V1" s="572"/>
      <c r="W1" s="572"/>
      <c r="X1" s="572"/>
      <c r="Y1" s="572" t="s">
        <v>1508</v>
      </c>
      <c r="Z1" s="572"/>
      <c r="AA1" s="572" t="s">
        <v>1509</v>
      </c>
      <c r="AB1" s="573"/>
      <c r="AC1" s="573"/>
    </row>
    <row r="2" spans="1:29" ht="26.25" customHeight="1">
      <c r="A2" s="22">
        <v>45894</v>
      </c>
      <c r="B2" s="23" t="s">
        <v>280</v>
      </c>
      <c r="C2" s="2" t="s">
        <v>1510</v>
      </c>
      <c r="D2" s="6">
        <f>AVERAGE(N8,N14,N51,N57,N18,N64,N25,N33,N43,N73)</f>
        <v>135.50643644858945</v>
      </c>
      <c r="E2" s="7" t="s">
        <v>0</v>
      </c>
      <c r="F2" s="8">
        <f>F1/D1</f>
        <v>34.663767677741781</v>
      </c>
      <c r="G2" s="1" t="s">
        <v>1511</v>
      </c>
      <c r="H2" s="391">
        <f>COUNT(H5:H73)</f>
        <v>7</v>
      </c>
      <c r="I2" s="572"/>
      <c r="J2" s="572"/>
      <c r="K2" s="572"/>
      <c r="L2" s="572"/>
      <c r="M2" s="572"/>
      <c r="N2" s="572"/>
      <c r="O2" s="572"/>
      <c r="P2" s="572"/>
      <c r="Q2" s="572"/>
      <c r="R2" s="572"/>
      <c r="S2" s="572"/>
      <c r="T2" s="572"/>
      <c r="U2" s="572"/>
      <c r="V2" s="572"/>
      <c r="W2" s="572"/>
      <c r="X2" s="572"/>
      <c r="Y2" s="572"/>
      <c r="Z2" s="572"/>
      <c r="AA2" s="573"/>
      <c r="AB2" s="573"/>
      <c r="AC2" s="573"/>
    </row>
    <row r="3" spans="1:29" ht="23.25" customHeight="1">
      <c r="A3" s="528" t="s">
        <v>1512</v>
      </c>
      <c r="B3" s="528" t="s">
        <v>1513</v>
      </c>
      <c r="C3" s="528" t="s">
        <v>1514</v>
      </c>
      <c r="D3" s="528"/>
      <c r="E3" s="570" t="s">
        <v>1515</v>
      </c>
      <c r="F3" s="528" t="s">
        <v>1516</v>
      </c>
      <c r="G3" s="570" t="s">
        <v>1517</v>
      </c>
      <c r="H3" s="563" t="s">
        <v>1518</v>
      </c>
      <c r="I3" s="561" t="s">
        <v>1519</v>
      </c>
      <c r="J3" s="566" t="s">
        <v>1520</v>
      </c>
      <c r="K3" s="568" t="s">
        <v>1510</v>
      </c>
      <c r="L3" s="561" t="s">
        <v>1519</v>
      </c>
      <c r="M3" s="566" t="s">
        <v>1520</v>
      </c>
      <c r="N3" s="568" t="s">
        <v>1510</v>
      </c>
      <c r="O3" s="561" t="s">
        <v>1519</v>
      </c>
      <c r="P3" s="568" t="s">
        <v>1510</v>
      </c>
      <c r="Q3" s="567" t="s">
        <v>1521</v>
      </c>
      <c r="R3" s="542" t="s">
        <v>1522</v>
      </c>
      <c r="S3" s="569" t="s">
        <v>1</v>
      </c>
      <c r="T3" s="569"/>
      <c r="U3" s="563" t="s">
        <v>2</v>
      </c>
      <c r="V3" s="563" t="s">
        <v>1523</v>
      </c>
      <c r="W3" s="528" t="s">
        <v>1524</v>
      </c>
      <c r="X3" s="528"/>
      <c r="Y3" s="564" t="s">
        <v>1525</v>
      </c>
      <c r="Z3" s="565"/>
      <c r="AA3" s="566" t="s">
        <v>1520</v>
      </c>
      <c r="AB3" s="567" t="s">
        <v>1526</v>
      </c>
      <c r="AC3" s="542" t="s">
        <v>1527</v>
      </c>
    </row>
    <row r="4" spans="1:29">
      <c r="A4" s="528"/>
      <c r="B4" s="528"/>
      <c r="C4" s="528"/>
      <c r="D4" s="528"/>
      <c r="E4" s="571"/>
      <c r="F4" s="528"/>
      <c r="G4" s="571"/>
      <c r="H4" s="563"/>
      <c r="I4" s="561"/>
      <c r="J4" s="566"/>
      <c r="K4" s="568"/>
      <c r="L4" s="561"/>
      <c r="M4" s="566"/>
      <c r="N4" s="568"/>
      <c r="O4" s="561"/>
      <c r="P4" s="568"/>
      <c r="Q4" s="567"/>
      <c r="R4" s="542"/>
      <c r="S4" s="392" t="s">
        <v>3</v>
      </c>
      <c r="T4" s="392" t="s">
        <v>4</v>
      </c>
      <c r="U4" s="563"/>
      <c r="V4" s="563"/>
      <c r="W4" s="395" t="s">
        <v>1528</v>
      </c>
      <c r="X4" s="395" t="s">
        <v>1529</v>
      </c>
      <c r="Y4" s="565"/>
      <c r="Z4" s="565"/>
      <c r="AA4" s="566"/>
      <c r="AB4" s="567"/>
      <c r="AC4" s="542"/>
    </row>
    <row r="5" spans="1:29">
      <c r="A5" s="560" t="s">
        <v>1530</v>
      </c>
      <c r="B5" s="26" t="s">
        <v>13</v>
      </c>
      <c r="C5" s="562" t="s">
        <v>53</v>
      </c>
      <c r="D5" s="562"/>
      <c r="E5" s="26">
        <v>46.93</v>
      </c>
      <c r="F5" s="392">
        <v>999</v>
      </c>
      <c r="G5" s="395">
        <f>E5*F5</f>
        <v>46883.07</v>
      </c>
      <c r="H5" s="403" t="s">
        <v>52</v>
      </c>
      <c r="I5" s="394">
        <v>17</v>
      </c>
      <c r="J5" s="18">
        <v>2000</v>
      </c>
      <c r="K5" s="9">
        <f>J5/I5</f>
        <v>117.64705882352941</v>
      </c>
      <c r="L5" s="394">
        <v>17</v>
      </c>
      <c r="M5" s="10">
        <f>F5/V5*60</f>
        <v>1873.1249999999975</v>
      </c>
      <c r="N5" s="9">
        <f>M5/L5</f>
        <v>110.18382352941161</v>
      </c>
      <c r="O5" s="11">
        <f t="shared" ref="O5:O7" si="0">L5-I5</f>
        <v>0</v>
      </c>
      <c r="P5" s="12">
        <f t="shared" ref="P5:P7" si="1">N5-K5</f>
        <v>-7.4632352941177942</v>
      </c>
      <c r="Q5" s="396">
        <f>N5/K5</f>
        <v>0.93656249999999874</v>
      </c>
      <c r="R5" s="533">
        <f>Q8</f>
        <v>0.93525892857142823</v>
      </c>
      <c r="S5" s="24">
        <v>0.70833333333333337</v>
      </c>
      <c r="T5" s="24">
        <v>0.73055555555555562</v>
      </c>
      <c r="U5" s="395"/>
      <c r="V5" s="393">
        <f>(T5-S5)*24*60</f>
        <v>32.000000000000043</v>
      </c>
      <c r="W5" s="14"/>
      <c r="X5" s="13"/>
      <c r="Y5" s="528"/>
      <c r="Z5" s="528"/>
      <c r="AA5" s="11">
        <f t="shared" ref="AA5:AA68" si="2">M5-J5</f>
        <v>-126.8750000000025</v>
      </c>
      <c r="AB5" s="396">
        <f t="shared" ref="AB5:AB7" si="3">M5/J5</f>
        <v>0.93656249999999874</v>
      </c>
      <c r="AC5" s="533">
        <f>AB8</f>
        <v>0.93525892857142812</v>
      </c>
    </row>
    <row r="6" spans="1:29">
      <c r="A6" s="561" t="s">
        <v>1530</v>
      </c>
      <c r="B6" s="26" t="s">
        <v>13</v>
      </c>
      <c r="C6" s="562" t="s">
        <v>55</v>
      </c>
      <c r="D6" s="562"/>
      <c r="E6" s="26">
        <v>50.49</v>
      </c>
      <c r="F6" s="392">
        <v>2174</v>
      </c>
      <c r="G6" s="395">
        <f t="shared" ref="G6:G7" si="4">E6*F6</f>
        <v>109765.26000000001</v>
      </c>
      <c r="H6" s="403" t="s">
        <v>52</v>
      </c>
      <c r="I6" s="394">
        <v>16</v>
      </c>
      <c r="J6" s="18">
        <v>2000</v>
      </c>
      <c r="K6" s="9">
        <f t="shared" ref="K6:K7" si="5">J6/I6</f>
        <v>125</v>
      </c>
      <c r="L6" s="394">
        <v>16</v>
      </c>
      <c r="M6" s="10">
        <f>F6/V6*60</f>
        <v>1863.4285714285695</v>
      </c>
      <c r="N6" s="9">
        <f t="shared" ref="N6:N7" si="6">M6/L6</f>
        <v>116.46428571428559</v>
      </c>
      <c r="O6" s="11">
        <f t="shared" si="0"/>
        <v>0</v>
      </c>
      <c r="P6" s="12">
        <f t="shared" si="1"/>
        <v>-8.5357142857144055</v>
      </c>
      <c r="Q6" s="396">
        <f t="shared" ref="Q6:Q7" si="7">N6/K6</f>
        <v>0.93171428571428472</v>
      </c>
      <c r="R6" s="533"/>
      <c r="S6" s="24">
        <v>0.73541666666666672</v>
      </c>
      <c r="T6" s="24">
        <v>0.78402777777777788</v>
      </c>
      <c r="U6" s="395">
        <f>(S6-T5)*24*60</f>
        <v>6.9999999999999751</v>
      </c>
      <c r="V6" s="393">
        <f>(T6-S6)*24*60</f>
        <v>70.000000000000071</v>
      </c>
      <c r="W6" s="14"/>
      <c r="X6" s="14"/>
      <c r="Y6" s="528"/>
      <c r="Z6" s="528"/>
      <c r="AA6" s="11">
        <f t="shared" si="2"/>
        <v>-136.57142857143049</v>
      </c>
      <c r="AB6" s="396">
        <f t="shared" si="3"/>
        <v>0.93171428571428472</v>
      </c>
      <c r="AC6" s="533"/>
    </row>
    <row r="7" spans="1:29">
      <c r="A7" s="561" t="s">
        <v>1531</v>
      </c>
      <c r="B7" s="26" t="s">
        <v>13</v>
      </c>
      <c r="C7" s="558" t="s">
        <v>76</v>
      </c>
      <c r="D7" s="559"/>
      <c r="E7" s="26">
        <v>50.67</v>
      </c>
      <c r="F7" s="392">
        <v>2125</v>
      </c>
      <c r="G7" s="395">
        <f t="shared" si="4"/>
        <v>107673.75</v>
      </c>
      <c r="H7" s="403" t="s">
        <v>52</v>
      </c>
      <c r="I7" s="394">
        <v>18</v>
      </c>
      <c r="J7" s="18">
        <v>2000</v>
      </c>
      <c r="K7" s="9">
        <f t="shared" si="5"/>
        <v>111.11111111111111</v>
      </c>
      <c r="L7" s="394">
        <v>18</v>
      </c>
      <c r="M7" s="10">
        <f t="shared" ref="M7" si="8">F7/V7*60</f>
        <v>1875.0000000000023</v>
      </c>
      <c r="N7" s="9">
        <f t="shared" si="6"/>
        <v>104.1666666666668</v>
      </c>
      <c r="O7" s="11">
        <f t="shared" si="0"/>
        <v>0</v>
      </c>
      <c r="P7" s="12">
        <f t="shared" si="1"/>
        <v>-6.944444444444315</v>
      </c>
      <c r="Q7" s="396">
        <f t="shared" si="7"/>
        <v>0.93750000000000122</v>
      </c>
      <c r="R7" s="533"/>
      <c r="S7" s="24">
        <v>0.78958333333333341</v>
      </c>
      <c r="T7" s="24">
        <v>0.83680555555555558</v>
      </c>
      <c r="U7" s="395">
        <f t="shared" ref="U7" si="9">(S7-T6)*24*60</f>
        <v>7.9999999999999716</v>
      </c>
      <c r="V7" s="393">
        <f t="shared" ref="V7" si="10">(T7-S7)*24*60</f>
        <v>67.999999999999915</v>
      </c>
      <c r="W7" s="14"/>
      <c r="X7" s="14"/>
      <c r="Y7" s="536"/>
      <c r="Z7" s="537"/>
      <c r="AA7" s="11">
        <f t="shared" si="2"/>
        <v>-124.99999999999773</v>
      </c>
      <c r="AB7" s="396">
        <f t="shared" si="3"/>
        <v>0.93750000000000111</v>
      </c>
      <c r="AC7" s="533"/>
    </row>
    <row r="8" spans="1:29">
      <c r="A8" s="561" t="s">
        <v>1531</v>
      </c>
      <c r="B8" s="26" t="s">
        <v>82</v>
      </c>
      <c r="C8" s="530"/>
      <c r="D8" s="530"/>
      <c r="E8" s="399"/>
      <c r="F8" s="16"/>
      <c r="G8" s="9"/>
      <c r="H8" s="392"/>
      <c r="I8" s="17">
        <v>17</v>
      </c>
      <c r="J8" s="18">
        <v>2000</v>
      </c>
      <c r="K8" s="9">
        <f>J8/I8</f>
        <v>117.64705882352941</v>
      </c>
      <c r="L8" s="17">
        <v>17</v>
      </c>
      <c r="M8" s="10">
        <f>AVERAGE(M5:M7)</f>
        <v>1870.5178571428562</v>
      </c>
      <c r="N8" s="9">
        <f>M8/L8</f>
        <v>110.0304621848739</v>
      </c>
      <c r="O8" s="11">
        <f>L8-I8</f>
        <v>0</v>
      </c>
      <c r="P8" s="12">
        <f>N8-K8</f>
        <v>-7.6165966386555084</v>
      </c>
      <c r="Q8" s="396">
        <f>N8/K8</f>
        <v>0.93525892857142823</v>
      </c>
      <c r="R8" s="533"/>
      <c r="S8" s="24"/>
      <c r="T8" s="24"/>
      <c r="U8" s="395"/>
      <c r="V8" s="393"/>
      <c r="W8" s="9"/>
      <c r="X8" s="9"/>
      <c r="Y8" s="528"/>
      <c r="Z8" s="528"/>
      <c r="AA8" s="11">
        <f t="shared" si="2"/>
        <v>-129.4821428571438</v>
      </c>
      <c r="AB8" s="396">
        <f>M8/J8</f>
        <v>0.93525892857142812</v>
      </c>
      <c r="AC8" s="533"/>
    </row>
    <row r="9" spans="1:29" ht="15.75" customHeight="1">
      <c r="A9" s="531" t="s">
        <v>369</v>
      </c>
      <c r="B9" s="26" t="s">
        <v>15</v>
      </c>
      <c r="C9" s="558" t="s">
        <v>16</v>
      </c>
      <c r="D9" s="559"/>
      <c r="E9" s="26">
        <v>39.619999999999997</v>
      </c>
      <c r="F9" s="392">
        <v>3000</v>
      </c>
      <c r="G9" s="395">
        <f t="shared" ref="G9:G13" si="11">E9*F9</f>
        <v>118859.99999999999</v>
      </c>
      <c r="H9" s="403" t="s">
        <v>52</v>
      </c>
      <c r="I9" s="394">
        <v>19</v>
      </c>
      <c r="J9" s="18">
        <v>1500</v>
      </c>
      <c r="K9" s="9">
        <f t="shared" ref="K9:K13" si="12">J9/I9</f>
        <v>78.94736842105263</v>
      </c>
      <c r="L9" s="394">
        <v>19</v>
      </c>
      <c r="M9" s="10">
        <f t="shared" ref="M9:M13" si="13">F9/V9*60</f>
        <v>1395.348837209302</v>
      </c>
      <c r="N9" s="9">
        <f t="shared" ref="N9:N13" si="14">M9/L9</f>
        <v>73.4394124847001</v>
      </c>
      <c r="O9" s="11">
        <f t="shared" ref="O9:O13" si="15">L9-I9</f>
        <v>0</v>
      </c>
      <c r="P9" s="12">
        <f>N9-K9</f>
        <v>-5.5079559363525306</v>
      </c>
      <c r="Q9" s="396">
        <f>N9/K9</f>
        <v>0.93023255813953465</v>
      </c>
      <c r="R9" s="533">
        <f>Q14</f>
        <v>0.93241363394283694</v>
      </c>
      <c r="S9" s="24">
        <v>0.125</v>
      </c>
      <c r="T9" s="24">
        <v>0.21458333333333335</v>
      </c>
      <c r="U9" s="395"/>
      <c r="V9" s="393">
        <f t="shared" ref="V9:V13" si="16">(T9-S9)*24*60</f>
        <v>129.00000000000003</v>
      </c>
      <c r="W9" s="14">
        <f>T9</f>
        <v>0.21458333333333335</v>
      </c>
      <c r="X9" s="14">
        <f>S10</f>
        <v>0.23472222222222225</v>
      </c>
      <c r="Y9" s="528"/>
      <c r="Z9" s="528"/>
      <c r="AA9" s="11">
        <f t="shared" si="2"/>
        <v>-104.65116279069798</v>
      </c>
      <c r="AB9" s="396">
        <f>M9/J9</f>
        <v>0.93023255813953465</v>
      </c>
      <c r="AC9" s="533">
        <f>AB14</f>
        <v>0.93241363394283694</v>
      </c>
    </row>
    <row r="10" spans="1:29" ht="15.75" customHeight="1">
      <c r="A10" s="531" t="s">
        <v>369</v>
      </c>
      <c r="B10" s="26" t="s">
        <v>15</v>
      </c>
      <c r="C10" s="558" t="s">
        <v>17</v>
      </c>
      <c r="D10" s="559"/>
      <c r="E10" s="26">
        <v>39.799999999999997</v>
      </c>
      <c r="F10" s="392">
        <v>4000</v>
      </c>
      <c r="G10" s="395">
        <f t="shared" si="11"/>
        <v>159200</v>
      </c>
      <c r="H10" s="403" t="s">
        <v>52</v>
      </c>
      <c r="I10" s="394">
        <v>17</v>
      </c>
      <c r="J10" s="18">
        <v>1500</v>
      </c>
      <c r="K10" s="9">
        <f t="shared" si="12"/>
        <v>88.235294117647058</v>
      </c>
      <c r="L10" s="394">
        <v>17</v>
      </c>
      <c r="M10" s="10">
        <f t="shared" si="13"/>
        <v>1395.3488372093025</v>
      </c>
      <c r="N10" s="9">
        <f t="shared" si="14"/>
        <v>82.079343365253081</v>
      </c>
      <c r="O10" s="11">
        <f t="shared" si="15"/>
        <v>0</v>
      </c>
      <c r="P10" s="12">
        <f t="shared" ref="P10:P13" si="17">N10-K10</f>
        <v>-6.1559507523939772</v>
      </c>
      <c r="Q10" s="396">
        <f t="shared" ref="Q10:Q13" si="18">N10/K10</f>
        <v>0.93023255813953487</v>
      </c>
      <c r="R10" s="533"/>
      <c r="S10" s="24">
        <v>0.23472222222222225</v>
      </c>
      <c r="T10" s="24">
        <v>0.35416666666666669</v>
      </c>
      <c r="U10" s="395">
        <f>(S10-T9)*24*60</f>
        <v>29.000000000000018</v>
      </c>
      <c r="V10" s="393">
        <f t="shared" si="16"/>
        <v>171.99999999999997</v>
      </c>
      <c r="W10" s="14"/>
      <c r="X10" s="14"/>
      <c r="Y10" s="528"/>
      <c r="Z10" s="528"/>
      <c r="AA10" s="11">
        <f t="shared" si="2"/>
        <v>-104.65116279069753</v>
      </c>
      <c r="AB10" s="396">
        <f t="shared" ref="AB10:AB25" si="19">M10/J10</f>
        <v>0.93023255813953498</v>
      </c>
      <c r="AC10" s="533"/>
    </row>
    <row r="11" spans="1:29" ht="15.75" customHeight="1">
      <c r="A11" s="531" t="s">
        <v>369</v>
      </c>
      <c r="B11" s="26" t="s">
        <v>15</v>
      </c>
      <c r="C11" s="558" t="s">
        <v>80</v>
      </c>
      <c r="D11" s="559"/>
      <c r="E11" s="26">
        <v>39.29</v>
      </c>
      <c r="F11" s="392">
        <v>4195</v>
      </c>
      <c r="G11" s="395">
        <f t="shared" si="11"/>
        <v>164821.54999999999</v>
      </c>
      <c r="H11" s="403" t="s">
        <v>52</v>
      </c>
      <c r="I11" s="394">
        <v>19</v>
      </c>
      <c r="J11" s="18">
        <v>1500</v>
      </c>
      <c r="K11" s="9">
        <f t="shared" si="12"/>
        <v>78.94736842105263</v>
      </c>
      <c r="L11" s="394">
        <v>19</v>
      </c>
      <c r="M11" s="10">
        <f t="shared" si="13"/>
        <v>1398.3333333333335</v>
      </c>
      <c r="N11" s="9">
        <f t="shared" si="14"/>
        <v>73.596491228070178</v>
      </c>
      <c r="O11" s="11">
        <f t="shared" si="15"/>
        <v>0</v>
      </c>
      <c r="P11" s="12">
        <f t="shared" si="17"/>
        <v>-5.3508771929824519</v>
      </c>
      <c r="Q11" s="396">
        <f t="shared" si="18"/>
        <v>0.93222222222222229</v>
      </c>
      <c r="R11" s="533"/>
      <c r="S11" s="24">
        <v>0.35902777777777778</v>
      </c>
      <c r="T11" s="24">
        <v>0.48402777777777778</v>
      </c>
      <c r="U11" s="395">
        <f t="shared" ref="U11:U13" si="20">(S11-T10)*24*60</f>
        <v>6.9999999999999751</v>
      </c>
      <c r="V11" s="393">
        <f t="shared" si="16"/>
        <v>180</v>
      </c>
      <c r="W11" s="14">
        <f>T11</f>
        <v>0.48402777777777778</v>
      </c>
      <c r="X11" s="14">
        <f>S12</f>
        <v>0.52361111111111114</v>
      </c>
      <c r="Y11" s="528"/>
      <c r="Z11" s="528"/>
      <c r="AA11" s="11">
        <f t="shared" si="2"/>
        <v>-101.66666666666652</v>
      </c>
      <c r="AB11" s="396">
        <f t="shared" si="19"/>
        <v>0.93222222222222229</v>
      </c>
      <c r="AC11" s="533"/>
    </row>
    <row r="12" spans="1:29" ht="15.75" customHeight="1">
      <c r="A12" s="531" t="s">
        <v>1532</v>
      </c>
      <c r="B12" s="26" t="s">
        <v>15</v>
      </c>
      <c r="C12" s="558" t="s">
        <v>16</v>
      </c>
      <c r="D12" s="559"/>
      <c r="E12" s="26">
        <v>39.619999999999997</v>
      </c>
      <c r="F12" s="392">
        <v>2110</v>
      </c>
      <c r="G12" s="395">
        <f t="shared" si="11"/>
        <v>83598.2</v>
      </c>
      <c r="H12" s="403" t="s">
        <v>52</v>
      </c>
      <c r="I12" s="394">
        <v>19</v>
      </c>
      <c r="J12" s="18">
        <v>1500</v>
      </c>
      <c r="K12" s="9">
        <f t="shared" si="12"/>
        <v>78.94736842105263</v>
      </c>
      <c r="L12" s="394">
        <v>19</v>
      </c>
      <c r="M12" s="10">
        <f t="shared" si="13"/>
        <v>1406.6666666666665</v>
      </c>
      <c r="N12" s="9">
        <f t="shared" si="14"/>
        <v>74.035087719298232</v>
      </c>
      <c r="O12" s="11">
        <f t="shared" si="15"/>
        <v>0</v>
      </c>
      <c r="P12" s="12">
        <f t="shared" si="17"/>
        <v>-4.9122807017543977</v>
      </c>
      <c r="Q12" s="396">
        <f t="shared" si="18"/>
        <v>0.9377777777777776</v>
      </c>
      <c r="R12" s="533"/>
      <c r="S12" s="24">
        <v>0.52361111111111114</v>
      </c>
      <c r="T12" s="24">
        <v>0.58611111111111114</v>
      </c>
      <c r="U12" s="395">
        <f t="shared" si="20"/>
        <v>57.000000000000036</v>
      </c>
      <c r="V12" s="393">
        <f t="shared" si="16"/>
        <v>90</v>
      </c>
      <c r="W12" s="14"/>
      <c r="X12" s="14"/>
      <c r="Y12" s="528"/>
      <c r="Z12" s="528"/>
      <c r="AA12" s="11">
        <f t="shared" si="2"/>
        <v>-93.333333333333485</v>
      </c>
      <c r="AB12" s="396">
        <f t="shared" si="19"/>
        <v>0.93777777777777771</v>
      </c>
      <c r="AC12" s="533"/>
    </row>
    <row r="13" spans="1:29" ht="15.75" customHeight="1">
      <c r="A13" s="531" t="s">
        <v>1532</v>
      </c>
      <c r="B13" s="26" t="s">
        <v>15</v>
      </c>
      <c r="C13" s="558" t="s">
        <v>17</v>
      </c>
      <c r="D13" s="559"/>
      <c r="E13" s="26">
        <v>39.799999999999997</v>
      </c>
      <c r="F13" s="392">
        <v>3051</v>
      </c>
      <c r="G13" s="395">
        <f t="shared" si="11"/>
        <v>121429.79999999999</v>
      </c>
      <c r="H13" s="403" t="s">
        <v>52</v>
      </c>
      <c r="I13" s="394">
        <v>17</v>
      </c>
      <c r="J13" s="18">
        <v>1500</v>
      </c>
      <c r="K13" s="9">
        <f t="shared" si="12"/>
        <v>88.235294117647058</v>
      </c>
      <c r="L13" s="394">
        <v>17</v>
      </c>
      <c r="M13" s="10">
        <f t="shared" si="13"/>
        <v>1397.4045801526718</v>
      </c>
      <c r="N13" s="9">
        <f t="shared" si="14"/>
        <v>82.2002694207454</v>
      </c>
      <c r="O13" s="11">
        <f t="shared" si="15"/>
        <v>0</v>
      </c>
      <c r="P13" s="12">
        <f t="shared" si="17"/>
        <v>-6.0350246969016581</v>
      </c>
      <c r="Q13" s="396">
        <f t="shared" si="18"/>
        <v>0.93160305343511451</v>
      </c>
      <c r="R13" s="533"/>
      <c r="S13" s="24">
        <v>0.59097222222222223</v>
      </c>
      <c r="T13" s="24">
        <v>0.68194444444444446</v>
      </c>
      <c r="U13" s="395">
        <f t="shared" si="20"/>
        <v>6.9999999999999751</v>
      </c>
      <c r="V13" s="393">
        <f t="shared" si="16"/>
        <v>131</v>
      </c>
      <c r="W13" s="14"/>
      <c r="X13" s="14"/>
      <c r="Y13" s="536"/>
      <c r="Z13" s="537"/>
      <c r="AA13" s="11">
        <f t="shared" si="2"/>
        <v>-102.59541984732823</v>
      </c>
      <c r="AB13" s="396">
        <f t="shared" si="19"/>
        <v>0.93160305343511451</v>
      </c>
      <c r="AC13" s="533"/>
    </row>
    <row r="14" spans="1:29" ht="16.5" customHeight="1">
      <c r="A14" s="531" t="s">
        <v>369</v>
      </c>
      <c r="B14" s="26" t="s">
        <v>82</v>
      </c>
      <c r="C14" s="530"/>
      <c r="D14" s="530"/>
      <c r="E14" s="399"/>
      <c r="F14" s="18"/>
      <c r="G14" s="10"/>
      <c r="H14" s="392"/>
      <c r="I14" s="17">
        <v>18.2</v>
      </c>
      <c r="J14" s="18">
        <v>1500</v>
      </c>
      <c r="K14" s="9">
        <f>J14/I14</f>
        <v>82.417582417582423</v>
      </c>
      <c r="L14" s="17">
        <v>18.2</v>
      </c>
      <c r="M14" s="10">
        <f>AVERAGE(M9:M13)</f>
        <v>1398.6204509142553</v>
      </c>
      <c r="N14" s="9">
        <f>M14/L14</f>
        <v>76.847277522761289</v>
      </c>
      <c r="O14" s="11">
        <f>L14-I14</f>
        <v>0</v>
      </c>
      <c r="P14" s="12">
        <f>N14-K14</f>
        <v>-5.5703048948211347</v>
      </c>
      <c r="Q14" s="396">
        <f>N14/K14</f>
        <v>0.93241363394283694</v>
      </c>
      <c r="R14" s="533"/>
      <c r="S14" s="24"/>
      <c r="T14" s="24"/>
      <c r="U14" s="9"/>
      <c r="V14" s="393"/>
      <c r="W14" s="9"/>
      <c r="X14" s="9"/>
      <c r="Y14" s="528"/>
      <c r="Z14" s="528"/>
      <c r="AA14" s="11">
        <f t="shared" si="2"/>
        <v>-101.37954908574466</v>
      </c>
      <c r="AB14" s="396">
        <f t="shared" si="19"/>
        <v>0.93241363394283694</v>
      </c>
      <c r="AC14" s="533"/>
    </row>
    <row r="15" spans="1:29" ht="16.5" customHeight="1">
      <c r="A15" s="556" t="s">
        <v>373</v>
      </c>
      <c r="B15" s="392" t="s">
        <v>21</v>
      </c>
      <c r="C15" s="552" t="s">
        <v>19</v>
      </c>
      <c r="D15" s="552"/>
      <c r="E15" s="26">
        <v>41</v>
      </c>
      <c r="F15" s="392">
        <v>1961</v>
      </c>
      <c r="G15" s="395">
        <f t="shared" ref="G15:G17" si="21">E15*F15</f>
        <v>80401</v>
      </c>
      <c r="H15" s="403" t="s">
        <v>52</v>
      </c>
      <c r="I15" s="394">
        <v>26</v>
      </c>
      <c r="J15" s="18">
        <v>1500</v>
      </c>
      <c r="K15" s="9">
        <f>J15/I15</f>
        <v>57.692307692307693</v>
      </c>
      <c r="L15" s="394">
        <v>26</v>
      </c>
      <c r="M15" s="10">
        <f>F15/V15*60</f>
        <v>1400.7142857142853</v>
      </c>
      <c r="N15" s="9">
        <f t="shared" ref="N15:N24" si="22">M15/L15</f>
        <v>53.873626373626358</v>
      </c>
      <c r="O15" s="11">
        <f t="shared" ref="O15" si="23">L15-I15</f>
        <v>0</v>
      </c>
      <c r="P15" s="12">
        <f t="shared" ref="P15" si="24">N15-K15</f>
        <v>-3.8186813186813353</v>
      </c>
      <c r="Q15" s="396">
        <f>N15/K15</f>
        <v>0.93380952380952353</v>
      </c>
      <c r="R15" s="533">
        <f>Q18</f>
        <v>0.92880890073631017</v>
      </c>
      <c r="S15" s="24">
        <v>0.25</v>
      </c>
      <c r="T15" s="24">
        <v>0.30833333333333335</v>
      </c>
      <c r="U15" s="395"/>
      <c r="V15" s="393">
        <f>(T15-S15)*24*60</f>
        <v>84.000000000000028</v>
      </c>
      <c r="W15" s="15"/>
      <c r="X15" s="15"/>
      <c r="Y15" s="528"/>
      <c r="Z15" s="528"/>
      <c r="AA15" s="11">
        <f t="shared" si="2"/>
        <v>-99.285714285714675</v>
      </c>
      <c r="AB15" s="396">
        <f t="shared" si="19"/>
        <v>0.93380952380952353</v>
      </c>
      <c r="AC15" s="533">
        <f>AB18</f>
        <v>0.92880890073631006</v>
      </c>
    </row>
    <row r="16" spans="1:29" ht="16.5" customHeight="1">
      <c r="A16" s="557" t="s">
        <v>1533</v>
      </c>
      <c r="B16" s="392" t="s">
        <v>13</v>
      </c>
      <c r="C16" s="552" t="s">
        <v>57</v>
      </c>
      <c r="D16" s="552"/>
      <c r="E16" s="26">
        <v>50.98</v>
      </c>
      <c r="F16" s="392">
        <v>2904</v>
      </c>
      <c r="G16" s="395">
        <f t="shared" si="21"/>
        <v>148045.91999999998</v>
      </c>
      <c r="H16" s="403" t="s">
        <v>52</v>
      </c>
      <c r="I16" s="394">
        <v>17</v>
      </c>
      <c r="J16" s="18">
        <v>2000</v>
      </c>
      <c r="K16" s="9">
        <f>J16/I16</f>
        <v>117.64705882352941</v>
      </c>
      <c r="L16" s="394">
        <v>17</v>
      </c>
      <c r="M16" s="10">
        <f>F16/V16*60</f>
        <v>1853.617021276596</v>
      </c>
      <c r="N16" s="9">
        <f t="shared" si="22"/>
        <v>109.03629536921153</v>
      </c>
      <c r="O16" s="11">
        <f>L16-I16</f>
        <v>0</v>
      </c>
      <c r="P16" s="12">
        <f>N16-K16</f>
        <v>-8.6107634543178762</v>
      </c>
      <c r="Q16" s="396">
        <f>N16/K16</f>
        <v>0.92680851063829806</v>
      </c>
      <c r="R16" s="533"/>
      <c r="S16" s="24">
        <v>0.70833333333333337</v>
      </c>
      <c r="T16" s="24">
        <v>0.77361111111111114</v>
      </c>
      <c r="U16" s="395" t="str">
        <f>IF(S16=TIME(17,0,0),"",(S16-T15)*24*60)</f>
        <v/>
      </c>
      <c r="V16" s="393">
        <f>(T16-S16)*24*60</f>
        <v>93.999999999999986</v>
      </c>
      <c r="W16" s="14"/>
      <c r="X16" s="14"/>
      <c r="Y16" s="528"/>
      <c r="Z16" s="528"/>
      <c r="AA16" s="11">
        <f t="shared" si="2"/>
        <v>-146.38297872340399</v>
      </c>
      <c r="AB16" s="396">
        <f t="shared" si="19"/>
        <v>0.92680851063829806</v>
      </c>
      <c r="AC16" s="533"/>
    </row>
    <row r="17" spans="1:29" ht="16.5" customHeight="1">
      <c r="A17" s="557" t="s">
        <v>1533</v>
      </c>
      <c r="B17" s="392" t="s">
        <v>13</v>
      </c>
      <c r="C17" s="552" t="s">
        <v>54</v>
      </c>
      <c r="D17" s="552"/>
      <c r="E17" s="26">
        <v>50.92</v>
      </c>
      <c r="F17" s="392">
        <v>3152</v>
      </c>
      <c r="G17" s="395">
        <f t="shared" si="21"/>
        <v>160499.84</v>
      </c>
      <c r="H17" s="403" t="s">
        <v>52</v>
      </c>
      <c r="I17" s="394">
        <v>16</v>
      </c>
      <c r="J17" s="18">
        <v>2000</v>
      </c>
      <c r="K17" s="9">
        <f t="shared" ref="K17" si="25">J17/I17</f>
        <v>125</v>
      </c>
      <c r="L17" s="394">
        <v>16</v>
      </c>
      <c r="M17" s="10">
        <f t="shared" ref="M17" si="26">F17/V17*60</f>
        <v>1854.1176470588243</v>
      </c>
      <c r="N17" s="9">
        <f t="shared" si="22"/>
        <v>115.88235294117652</v>
      </c>
      <c r="O17" s="11">
        <f t="shared" ref="O17" si="27">L17-I17</f>
        <v>0</v>
      </c>
      <c r="P17" s="12">
        <f t="shared" ref="P17" si="28">N17-K17</f>
        <v>-9.1176470588234793</v>
      </c>
      <c r="Q17" s="396">
        <f t="shared" ref="Q17:Q24" si="29">N17/K17</f>
        <v>0.92705882352941216</v>
      </c>
      <c r="R17" s="533"/>
      <c r="S17" s="24">
        <v>0.77777777777777779</v>
      </c>
      <c r="T17" s="24">
        <v>0.84861111111111109</v>
      </c>
      <c r="U17" s="395">
        <f t="shared" ref="U17" si="30">IF(S17=TIME(17,0,0),"",(S17-T16)*24*60)</f>
        <v>5.9999999999999787</v>
      </c>
      <c r="V17" s="393">
        <f t="shared" ref="V17" si="31">(T17-S17)*24*60</f>
        <v>101.99999999999996</v>
      </c>
      <c r="W17" s="14"/>
      <c r="X17" s="14"/>
      <c r="Y17" s="528"/>
      <c r="Z17" s="528"/>
      <c r="AA17" s="11">
        <f t="shared" si="2"/>
        <v>-145.88235294117567</v>
      </c>
      <c r="AB17" s="396">
        <f t="shared" si="19"/>
        <v>0.92705882352941216</v>
      </c>
      <c r="AC17" s="533"/>
    </row>
    <row r="18" spans="1:29" ht="16.5" customHeight="1">
      <c r="A18" s="557" t="s">
        <v>1534</v>
      </c>
      <c r="B18" s="26" t="s">
        <v>1535</v>
      </c>
      <c r="C18" s="530"/>
      <c r="D18" s="530"/>
      <c r="E18" s="399"/>
      <c r="F18" s="16"/>
      <c r="G18" s="9"/>
      <c r="H18" s="392"/>
      <c r="I18" s="17">
        <v>19.666666666666668</v>
      </c>
      <c r="J18" s="18">
        <v>1833.3333333333333</v>
      </c>
      <c r="K18" s="9">
        <f>J18/I18</f>
        <v>93.220338983050837</v>
      </c>
      <c r="L18" s="17">
        <v>19.666666666666668</v>
      </c>
      <c r="M18" s="10">
        <f>AVERAGE(M15:M17)</f>
        <v>1702.8163180165684</v>
      </c>
      <c r="N18" s="9">
        <f t="shared" si="22"/>
        <v>86.583880577113646</v>
      </c>
      <c r="O18" s="11">
        <f>L18-I18</f>
        <v>0</v>
      </c>
      <c r="P18" s="12">
        <f>N18-K18</f>
        <v>-6.6364584059371907</v>
      </c>
      <c r="Q18" s="396">
        <f t="shared" si="29"/>
        <v>0.92880890073631017</v>
      </c>
      <c r="R18" s="533"/>
      <c r="S18" s="24"/>
      <c r="T18" s="24"/>
      <c r="U18" s="395"/>
      <c r="V18" s="393"/>
      <c r="W18" s="9"/>
      <c r="X18" s="9"/>
      <c r="Y18" s="528"/>
      <c r="Z18" s="528"/>
      <c r="AA18" s="11">
        <f t="shared" si="2"/>
        <v>-130.51701531676486</v>
      </c>
      <c r="AB18" s="396">
        <f t="shared" si="19"/>
        <v>0.92880890073631006</v>
      </c>
      <c r="AC18" s="533"/>
    </row>
    <row r="19" spans="1:29" ht="15.75" customHeight="1">
      <c r="A19" s="554" t="s">
        <v>375</v>
      </c>
      <c r="B19" s="26" t="s">
        <v>21</v>
      </c>
      <c r="C19" s="552" t="s">
        <v>22</v>
      </c>
      <c r="D19" s="552"/>
      <c r="E19" s="26">
        <v>43.14</v>
      </c>
      <c r="F19" s="392">
        <v>1482</v>
      </c>
      <c r="G19" s="395">
        <f t="shared" ref="G19:G24" si="32">E19*F19</f>
        <v>63933.48</v>
      </c>
      <c r="H19" s="403" t="s">
        <v>52</v>
      </c>
      <c r="I19" s="394">
        <v>17</v>
      </c>
      <c r="J19" s="18">
        <v>2000</v>
      </c>
      <c r="K19" s="9">
        <f t="shared" ref="K19:K25" si="33">J19/I19</f>
        <v>117.64705882352941</v>
      </c>
      <c r="L19" s="394">
        <v>17</v>
      </c>
      <c r="M19" s="10">
        <f t="shared" ref="M19:M24" si="34">F19/V19*60</f>
        <v>1891.9148936170216</v>
      </c>
      <c r="N19" s="9">
        <f t="shared" si="22"/>
        <v>111.28911138923657</v>
      </c>
      <c r="O19" s="11">
        <f t="shared" ref="O19:O24" si="35">L19-I19</f>
        <v>0</v>
      </c>
      <c r="P19" s="12">
        <f t="shared" ref="P19:P24" si="36">N19-K19</f>
        <v>-6.3579474342928393</v>
      </c>
      <c r="Q19" s="396">
        <f t="shared" si="29"/>
        <v>0.9459574468085109</v>
      </c>
      <c r="R19" s="533">
        <f>Q25</f>
        <v>0.93959093044319719</v>
      </c>
      <c r="S19" s="24">
        <v>0.20833333333333334</v>
      </c>
      <c r="T19" s="24">
        <v>0.24097222222222223</v>
      </c>
      <c r="U19" s="395"/>
      <c r="V19" s="393">
        <f>(T19-S19)*24*60</f>
        <v>46.999999999999993</v>
      </c>
      <c r="W19" s="15"/>
      <c r="X19" s="15"/>
      <c r="Y19" s="528"/>
      <c r="Z19" s="528"/>
      <c r="AA19" s="11">
        <f t="shared" si="2"/>
        <v>-108.08510638297844</v>
      </c>
      <c r="AB19" s="396">
        <f t="shared" si="19"/>
        <v>0.94595744680851079</v>
      </c>
      <c r="AC19" s="533">
        <f>AB25</f>
        <v>0.93959093044319719</v>
      </c>
    </row>
    <row r="20" spans="1:29" ht="15.75" customHeight="1">
      <c r="A20" s="555" t="s">
        <v>1536</v>
      </c>
      <c r="B20" s="26" t="s">
        <v>13</v>
      </c>
      <c r="C20" s="552" t="s">
        <v>23</v>
      </c>
      <c r="D20" s="552"/>
      <c r="E20" s="26">
        <v>57.73</v>
      </c>
      <c r="F20" s="392">
        <v>2906</v>
      </c>
      <c r="G20" s="395">
        <f t="shared" si="32"/>
        <v>167763.38</v>
      </c>
      <c r="H20" s="403" t="s">
        <v>52</v>
      </c>
      <c r="I20" s="394">
        <v>16</v>
      </c>
      <c r="J20" s="18">
        <v>2000</v>
      </c>
      <c r="K20" s="9">
        <f t="shared" si="33"/>
        <v>125</v>
      </c>
      <c r="L20" s="394">
        <v>16</v>
      </c>
      <c r="M20" s="10">
        <f t="shared" si="34"/>
        <v>1854.8936170212769</v>
      </c>
      <c r="N20" s="9">
        <f t="shared" si="22"/>
        <v>115.93085106382981</v>
      </c>
      <c r="O20" s="11">
        <f t="shared" si="35"/>
        <v>0</v>
      </c>
      <c r="P20" s="12">
        <f t="shared" si="36"/>
        <v>-9.069148936170194</v>
      </c>
      <c r="Q20" s="396">
        <f t="shared" si="29"/>
        <v>0.92744680851063843</v>
      </c>
      <c r="R20" s="533"/>
      <c r="S20" s="24">
        <v>0.24652777777777779</v>
      </c>
      <c r="T20" s="24">
        <v>0.31180555555555556</v>
      </c>
      <c r="U20" s="395">
        <f>IF(S20=TIME(17,0,0),"",(S20-T19)*24*60)</f>
        <v>8.0000000000000107</v>
      </c>
      <c r="V20" s="393">
        <f t="shared" ref="V20:V24" si="37">(T20-S20)*24*60</f>
        <v>93.999999999999986</v>
      </c>
      <c r="W20" s="14"/>
      <c r="X20" s="395"/>
      <c r="Y20" s="528"/>
      <c r="Z20" s="528"/>
      <c r="AA20" s="11">
        <f t="shared" si="2"/>
        <v>-145.1063829787231</v>
      </c>
      <c r="AB20" s="396">
        <f t="shared" si="19"/>
        <v>0.92744680851063843</v>
      </c>
      <c r="AC20" s="533"/>
    </row>
    <row r="21" spans="1:29" ht="15.75" customHeight="1">
      <c r="A21" s="555" t="s">
        <v>375</v>
      </c>
      <c r="B21" s="26" t="s">
        <v>13</v>
      </c>
      <c r="C21" s="552" t="s">
        <v>14</v>
      </c>
      <c r="D21" s="552"/>
      <c r="E21" s="26">
        <v>53.68</v>
      </c>
      <c r="F21" s="392">
        <v>1910</v>
      </c>
      <c r="G21" s="395">
        <f t="shared" si="32"/>
        <v>102528.8</v>
      </c>
      <c r="H21" s="403" t="s">
        <v>52</v>
      </c>
      <c r="I21" s="394">
        <v>17</v>
      </c>
      <c r="J21" s="18">
        <v>2000</v>
      </c>
      <c r="K21" s="9">
        <f t="shared" si="33"/>
        <v>117.64705882352941</v>
      </c>
      <c r="L21" s="394">
        <v>17</v>
      </c>
      <c r="M21" s="10">
        <f t="shared" si="34"/>
        <v>1878.6885245901633</v>
      </c>
      <c r="N21" s="9">
        <f t="shared" si="22"/>
        <v>110.51108968177431</v>
      </c>
      <c r="O21" s="11">
        <f t="shared" si="35"/>
        <v>0</v>
      </c>
      <c r="P21" s="12">
        <f t="shared" si="36"/>
        <v>-7.1359691417550977</v>
      </c>
      <c r="Q21" s="396">
        <f t="shared" si="29"/>
        <v>0.93934426229508172</v>
      </c>
      <c r="R21" s="533"/>
      <c r="S21" s="24">
        <v>0.31666666666666665</v>
      </c>
      <c r="T21" s="24">
        <v>0.35902777777777778</v>
      </c>
      <c r="U21" s="395">
        <f t="shared" ref="U21:U24" si="38">IF(S21=TIME(17,0,0),"",(S21-T20)*24*60)</f>
        <v>6.9999999999999751</v>
      </c>
      <c r="V21" s="393">
        <f t="shared" si="37"/>
        <v>61.000000000000021</v>
      </c>
      <c r="W21" s="14"/>
      <c r="X21" s="395"/>
      <c r="Y21" s="528"/>
      <c r="Z21" s="528"/>
      <c r="AA21" s="11">
        <f t="shared" si="2"/>
        <v>-121.3114754098367</v>
      </c>
      <c r="AB21" s="396">
        <f t="shared" si="19"/>
        <v>0.93934426229508161</v>
      </c>
      <c r="AC21" s="533"/>
    </row>
    <row r="22" spans="1:29" ht="15.75" customHeight="1">
      <c r="A22" s="555" t="s">
        <v>1536</v>
      </c>
      <c r="B22" s="26" t="s">
        <v>13</v>
      </c>
      <c r="C22" s="552" t="s">
        <v>81</v>
      </c>
      <c r="D22" s="552"/>
      <c r="E22" s="26">
        <v>58.17</v>
      </c>
      <c r="F22" s="392">
        <v>1901</v>
      </c>
      <c r="G22" s="395">
        <f t="shared" si="32"/>
        <v>110581.17</v>
      </c>
      <c r="H22" s="403" t="s">
        <v>52</v>
      </c>
      <c r="I22" s="394">
        <v>18</v>
      </c>
      <c r="J22" s="18">
        <v>2000</v>
      </c>
      <c r="K22" s="9">
        <f t="shared" si="33"/>
        <v>111.11111111111111</v>
      </c>
      <c r="L22" s="394">
        <v>18</v>
      </c>
      <c r="M22" s="10">
        <f t="shared" si="34"/>
        <v>1869.8360655737699</v>
      </c>
      <c r="N22" s="9">
        <f t="shared" si="22"/>
        <v>103.879781420765</v>
      </c>
      <c r="O22" s="11">
        <f t="shared" si="35"/>
        <v>0</v>
      </c>
      <c r="P22" s="12">
        <f t="shared" si="36"/>
        <v>-7.2313296903461151</v>
      </c>
      <c r="Q22" s="396">
        <f t="shared" si="29"/>
        <v>0.93491803278688501</v>
      </c>
      <c r="R22" s="533"/>
      <c r="S22" s="24">
        <v>0.36319444444444443</v>
      </c>
      <c r="T22" s="24">
        <v>0.40555555555555556</v>
      </c>
      <c r="U22" s="395">
        <f t="shared" si="38"/>
        <v>5.9999999999999787</v>
      </c>
      <c r="V22" s="393">
        <f t="shared" si="37"/>
        <v>61.000000000000021</v>
      </c>
      <c r="W22" s="14"/>
      <c r="X22" s="395"/>
      <c r="Y22" s="528"/>
      <c r="Z22" s="528"/>
      <c r="AA22" s="11">
        <f t="shared" si="2"/>
        <v>-130.16393442623007</v>
      </c>
      <c r="AB22" s="396">
        <f t="shared" si="19"/>
        <v>0.93491803278688501</v>
      </c>
      <c r="AC22" s="533"/>
    </row>
    <row r="23" spans="1:29" ht="15.75" customHeight="1">
      <c r="A23" s="555" t="s">
        <v>1536</v>
      </c>
      <c r="B23" s="26" t="s">
        <v>13</v>
      </c>
      <c r="C23" s="552" t="s">
        <v>85</v>
      </c>
      <c r="D23" s="552"/>
      <c r="E23" s="26">
        <v>54.09</v>
      </c>
      <c r="F23" s="392">
        <v>3828</v>
      </c>
      <c r="G23" s="395">
        <f t="shared" si="32"/>
        <v>207056.52000000002</v>
      </c>
      <c r="H23" s="403" t="s">
        <v>52</v>
      </c>
      <c r="I23" s="394">
        <v>20</v>
      </c>
      <c r="J23" s="18">
        <v>2000</v>
      </c>
      <c r="K23" s="9">
        <f t="shared" si="33"/>
        <v>100</v>
      </c>
      <c r="L23" s="394">
        <v>20</v>
      </c>
      <c r="M23" s="10">
        <f t="shared" si="34"/>
        <v>1852.2580645161283</v>
      </c>
      <c r="N23" s="9">
        <f t="shared" si="22"/>
        <v>92.61290322580642</v>
      </c>
      <c r="O23" s="11">
        <f t="shared" si="35"/>
        <v>0</v>
      </c>
      <c r="P23" s="12">
        <f t="shared" si="36"/>
        <v>-7.38709677419358</v>
      </c>
      <c r="Q23" s="396">
        <f t="shared" si="29"/>
        <v>0.9261290322580642</v>
      </c>
      <c r="R23" s="533"/>
      <c r="S23" s="24">
        <v>0.70833333333333337</v>
      </c>
      <c r="T23" s="24">
        <v>0.79444444444444451</v>
      </c>
      <c r="U23" s="395" t="str">
        <f t="shared" si="38"/>
        <v/>
      </c>
      <c r="V23" s="393">
        <f t="shared" si="37"/>
        <v>124.00000000000004</v>
      </c>
      <c r="W23" s="14"/>
      <c r="X23" s="395"/>
      <c r="Y23" s="528"/>
      <c r="Z23" s="528"/>
      <c r="AA23" s="11">
        <f t="shared" si="2"/>
        <v>-147.74193548387166</v>
      </c>
      <c r="AB23" s="396">
        <f t="shared" si="19"/>
        <v>0.9261290322580642</v>
      </c>
      <c r="AC23" s="533"/>
    </row>
    <row r="24" spans="1:29" ht="15.75" customHeight="1">
      <c r="A24" s="555" t="s">
        <v>1536</v>
      </c>
      <c r="B24" s="26" t="s">
        <v>13</v>
      </c>
      <c r="C24" s="552" t="s">
        <v>56</v>
      </c>
      <c r="D24" s="552"/>
      <c r="E24" s="26">
        <v>53.27</v>
      </c>
      <c r="F24" s="392">
        <v>514</v>
      </c>
      <c r="G24" s="395">
        <f t="shared" si="32"/>
        <v>27380.780000000002</v>
      </c>
      <c r="H24" s="403" t="s">
        <v>52</v>
      </c>
      <c r="I24" s="394">
        <v>15</v>
      </c>
      <c r="J24" s="18">
        <v>2000</v>
      </c>
      <c r="K24" s="9">
        <f t="shared" si="33"/>
        <v>133.33333333333334</v>
      </c>
      <c r="L24" s="394">
        <v>15</v>
      </c>
      <c r="M24" s="10">
        <f t="shared" si="34"/>
        <v>1927.5000000000068</v>
      </c>
      <c r="N24" s="9">
        <f t="shared" si="22"/>
        <v>128.50000000000045</v>
      </c>
      <c r="O24" s="11">
        <f t="shared" si="35"/>
        <v>0</v>
      </c>
      <c r="P24" s="12">
        <f t="shared" si="36"/>
        <v>-4.8333333333328881</v>
      </c>
      <c r="Q24" s="396">
        <f t="shared" si="29"/>
        <v>0.96375000000000333</v>
      </c>
      <c r="R24" s="533"/>
      <c r="S24" s="24">
        <v>0.7993055555555556</v>
      </c>
      <c r="T24" s="24">
        <v>0.81041666666666667</v>
      </c>
      <c r="U24" s="395">
        <f t="shared" si="38"/>
        <v>6.9999999999999751</v>
      </c>
      <c r="V24" s="393">
        <f t="shared" si="37"/>
        <v>15.999999999999943</v>
      </c>
      <c r="W24" s="14"/>
      <c r="X24" s="15"/>
      <c r="Y24" s="528"/>
      <c r="Z24" s="528"/>
      <c r="AA24" s="11">
        <f t="shared" si="2"/>
        <v>-72.499999999993179</v>
      </c>
      <c r="AB24" s="396">
        <f t="shared" si="19"/>
        <v>0.96375000000000344</v>
      </c>
      <c r="AC24" s="533"/>
    </row>
    <row r="25" spans="1:29" ht="15.75" customHeight="1">
      <c r="A25" s="555" t="s">
        <v>1536</v>
      </c>
      <c r="B25" s="26" t="s">
        <v>1535</v>
      </c>
      <c r="C25" s="530"/>
      <c r="D25" s="530"/>
      <c r="E25" s="399"/>
      <c r="F25" s="392"/>
      <c r="G25" s="395"/>
      <c r="H25" s="392"/>
      <c r="I25" s="17">
        <v>17.166666666666668</v>
      </c>
      <c r="J25" s="18">
        <v>2000</v>
      </c>
      <c r="K25" s="9">
        <f t="shared" si="33"/>
        <v>116.50485436893203</v>
      </c>
      <c r="L25" s="17">
        <v>17.166666666666668</v>
      </c>
      <c r="M25" s="10">
        <f>AVERAGE(M19:M24)</f>
        <v>1879.1818608863944</v>
      </c>
      <c r="N25" s="9">
        <f>M25/L25</f>
        <v>109.46690451765403</v>
      </c>
      <c r="O25" s="11">
        <f>L25-I25</f>
        <v>0</v>
      </c>
      <c r="P25" s="12">
        <f>N25-K25</f>
        <v>-7.0379498512780003</v>
      </c>
      <c r="Q25" s="396">
        <f>N25/K25</f>
        <v>0.93959093044319719</v>
      </c>
      <c r="R25" s="533"/>
      <c r="S25" s="24"/>
      <c r="T25" s="24"/>
      <c r="U25" s="9"/>
      <c r="V25" s="393"/>
      <c r="W25" s="9"/>
      <c r="X25" s="9"/>
      <c r="Y25" s="528"/>
      <c r="Z25" s="528"/>
      <c r="AA25" s="11">
        <f t="shared" si="2"/>
        <v>-120.81813911360564</v>
      </c>
      <c r="AB25" s="396">
        <f t="shared" si="19"/>
        <v>0.93959093044319719</v>
      </c>
      <c r="AC25" s="533"/>
    </row>
    <row r="26" spans="1:29" ht="15.75" customHeight="1">
      <c r="A26" s="553" t="s">
        <v>1537</v>
      </c>
      <c r="B26" s="26" t="s">
        <v>24</v>
      </c>
      <c r="C26" s="552" t="s">
        <v>26</v>
      </c>
      <c r="D26" s="552"/>
      <c r="E26" s="26">
        <v>26.2</v>
      </c>
      <c r="F26" s="392">
        <v>3936</v>
      </c>
      <c r="G26" s="395">
        <f t="shared" ref="G26:G32" si="39">E26*F26</f>
        <v>103123.2</v>
      </c>
      <c r="H26" s="403" t="s">
        <v>52</v>
      </c>
      <c r="I26" s="394">
        <v>20</v>
      </c>
      <c r="J26" s="18">
        <v>2400</v>
      </c>
      <c r="K26" s="9">
        <f>J26/I26</f>
        <v>120</v>
      </c>
      <c r="L26" s="394">
        <v>20</v>
      </c>
      <c r="M26" s="10">
        <f t="shared" ref="M26:M32" si="40">F26/V26*60</f>
        <v>2227.9245283018863</v>
      </c>
      <c r="N26" s="9">
        <f t="shared" ref="N26:N32" si="41">M26/L26</f>
        <v>111.39622641509432</v>
      </c>
      <c r="O26" s="11">
        <f t="shared" ref="O26:O32" si="42">L26-I26</f>
        <v>0</v>
      </c>
      <c r="P26" s="12">
        <f t="shared" ref="P26:P32" si="43">N26-K26</f>
        <v>-8.6037735849056816</v>
      </c>
      <c r="Q26" s="396">
        <f t="shared" ref="Q26:Q32" si="44">N26/K26</f>
        <v>0.92830188679245262</v>
      </c>
      <c r="R26" s="533">
        <f>Q33</f>
        <v>0.93171386130822498</v>
      </c>
      <c r="S26" s="24">
        <v>0.125</v>
      </c>
      <c r="T26" s="24">
        <v>0.19861111111111113</v>
      </c>
      <c r="U26" s="395"/>
      <c r="V26" s="393">
        <f t="shared" ref="V26:V32" si="45">(T26-S26)*24*60</f>
        <v>106.00000000000003</v>
      </c>
      <c r="W26" s="14">
        <f>T26</f>
        <v>0.19861111111111113</v>
      </c>
      <c r="X26" s="14">
        <f>S27</f>
        <v>0.21944444444444447</v>
      </c>
      <c r="Y26" s="528"/>
      <c r="Z26" s="528"/>
      <c r="AA26" s="11">
        <f t="shared" si="2"/>
        <v>-172.07547169811369</v>
      </c>
      <c r="AB26" s="396">
        <f>M26/J26</f>
        <v>0.92830188679245262</v>
      </c>
      <c r="AC26" s="533">
        <f>AB33</f>
        <v>0.93171386130822498</v>
      </c>
    </row>
    <row r="27" spans="1:29" ht="15.75" customHeight="1">
      <c r="A27" s="553" t="s">
        <v>1538</v>
      </c>
      <c r="B27" s="26" t="s">
        <v>24</v>
      </c>
      <c r="C27" s="552" t="s">
        <v>79</v>
      </c>
      <c r="D27" s="552"/>
      <c r="E27" s="26">
        <v>31.29</v>
      </c>
      <c r="F27" s="392">
        <v>9346</v>
      </c>
      <c r="G27" s="395">
        <f t="shared" si="39"/>
        <v>292436.33999999997</v>
      </c>
      <c r="H27" s="403" t="s">
        <v>52</v>
      </c>
      <c r="I27" s="394">
        <v>16</v>
      </c>
      <c r="J27" s="18">
        <v>2400</v>
      </c>
      <c r="K27" s="9">
        <f t="shared" ref="K27:K33" si="46">J27/I27</f>
        <v>150</v>
      </c>
      <c r="L27" s="394">
        <v>16</v>
      </c>
      <c r="M27" s="10">
        <f t="shared" si="40"/>
        <v>2225.2380952380954</v>
      </c>
      <c r="N27" s="9">
        <f t="shared" si="41"/>
        <v>139.07738095238096</v>
      </c>
      <c r="O27" s="11">
        <f t="shared" si="42"/>
        <v>0</v>
      </c>
      <c r="P27" s="12">
        <f t="shared" si="43"/>
        <v>-10.922619047619037</v>
      </c>
      <c r="Q27" s="396">
        <f t="shared" si="44"/>
        <v>0.92718253968253972</v>
      </c>
      <c r="R27" s="533"/>
      <c r="S27" s="24">
        <v>0.21944444444444447</v>
      </c>
      <c r="T27" s="24">
        <v>0.39444444444444449</v>
      </c>
      <c r="U27" s="395">
        <f>(S27-T26)*24*60</f>
        <v>30.000000000000014</v>
      </c>
      <c r="V27" s="393">
        <f t="shared" si="45"/>
        <v>252</v>
      </c>
      <c r="W27" s="14"/>
      <c r="X27" s="14"/>
      <c r="Y27" s="528"/>
      <c r="Z27" s="528"/>
      <c r="AA27" s="11">
        <f t="shared" si="2"/>
        <v>-174.76190476190459</v>
      </c>
      <c r="AB27" s="396">
        <f t="shared" ref="AB27:AB32" si="47">M27/J27</f>
        <v>0.92718253968253972</v>
      </c>
      <c r="AC27" s="533"/>
    </row>
    <row r="28" spans="1:29" ht="15.75" customHeight="1">
      <c r="A28" s="553" t="s">
        <v>1538</v>
      </c>
      <c r="B28" s="26" t="s">
        <v>24</v>
      </c>
      <c r="C28" s="552" t="s">
        <v>68</v>
      </c>
      <c r="D28" s="552"/>
      <c r="E28" s="26">
        <v>24.25</v>
      </c>
      <c r="F28" s="392">
        <v>1800</v>
      </c>
      <c r="G28" s="395">
        <f t="shared" si="39"/>
        <v>43650</v>
      </c>
      <c r="H28" s="403">
        <v>2</v>
      </c>
      <c r="I28" s="394">
        <v>18</v>
      </c>
      <c r="J28" s="18">
        <v>2400</v>
      </c>
      <c r="K28" s="9">
        <f t="shared" si="46"/>
        <v>133.33333333333334</v>
      </c>
      <c r="L28" s="394">
        <v>18</v>
      </c>
      <c r="M28" s="10">
        <f t="shared" si="40"/>
        <v>2250.0000000000009</v>
      </c>
      <c r="N28" s="9">
        <f t="shared" si="41"/>
        <v>125.00000000000006</v>
      </c>
      <c r="O28" s="11">
        <f t="shared" si="42"/>
        <v>0</v>
      </c>
      <c r="P28" s="12">
        <f t="shared" si="43"/>
        <v>-8.333333333333286</v>
      </c>
      <c r="Q28" s="396">
        <f t="shared" si="44"/>
        <v>0.93750000000000033</v>
      </c>
      <c r="R28" s="533"/>
      <c r="S28" s="24">
        <v>0.39861111111111114</v>
      </c>
      <c r="T28" s="24">
        <v>0.43194444444444446</v>
      </c>
      <c r="U28" s="395">
        <f t="shared" ref="U28:U32" si="48">(S28-T27)*24*60</f>
        <v>5.9999999999999787</v>
      </c>
      <c r="V28" s="393">
        <f t="shared" si="45"/>
        <v>47.999999999999986</v>
      </c>
      <c r="W28" s="14"/>
      <c r="X28" s="14"/>
      <c r="Y28" s="528"/>
      <c r="Z28" s="528"/>
      <c r="AA28" s="11">
        <f t="shared" si="2"/>
        <v>-149.99999999999909</v>
      </c>
      <c r="AB28" s="396">
        <f t="shared" si="47"/>
        <v>0.93750000000000033</v>
      </c>
      <c r="AC28" s="533"/>
    </row>
    <row r="29" spans="1:29" ht="15.75" customHeight="1">
      <c r="A29" s="553" t="s">
        <v>1538</v>
      </c>
      <c r="B29" s="26" t="s">
        <v>24</v>
      </c>
      <c r="C29" s="552" t="s">
        <v>328</v>
      </c>
      <c r="D29" s="552"/>
      <c r="E29" s="26">
        <v>25.98</v>
      </c>
      <c r="F29" s="392">
        <v>2800</v>
      </c>
      <c r="G29" s="395">
        <f t="shared" si="39"/>
        <v>72744</v>
      </c>
      <c r="H29" s="403">
        <v>2</v>
      </c>
      <c r="I29" s="394">
        <v>17</v>
      </c>
      <c r="J29" s="18">
        <v>2400</v>
      </c>
      <c r="K29" s="9">
        <f t="shared" si="46"/>
        <v>141.1764705882353</v>
      </c>
      <c r="L29" s="394">
        <v>17</v>
      </c>
      <c r="M29" s="10">
        <f t="shared" si="40"/>
        <v>2240.0000000000009</v>
      </c>
      <c r="N29" s="9">
        <f t="shared" si="41"/>
        <v>131.76470588235298</v>
      </c>
      <c r="O29" s="11">
        <f t="shared" si="42"/>
        <v>0</v>
      </c>
      <c r="P29" s="12">
        <f t="shared" si="43"/>
        <v>-9.4117647058823195</v>
      </c>
      <c r="Q29" s="396">
        <f t="shared" si="44"/>
        <v>0.93333333333333357</v>
      </c>
      <c r="R29" s="533"/>
      <c r="S29" s="24">
        <v>0.43611111111111112</v>
      </c>
      <c r="T29" s="24">
        <v>0.48819444444444443</v>
      </c>
      <c r="U29" s="395">
        <f t="shared" si="48"/>
        <v>5.9999999999999787</v>
      </c>
      <c r="V29" s="393">
        <f t="shared" si="45"/>
        <v>74.999999999999972</v>
      </c>
      <c r="W29" s="14"/>
      <c r="X29" s="14"/>
      <c r="Y29" s="528"/>
      <c r="Z29" s="528"/>
      <c r="AA29" s="11">
        <f t="shared" si="2"/>
        <v>-159.99999999999909</v>
      </c>
      <c r="AB29" s="396">
        <f t="shared" si="47"/>
        <v>0.93333333333333368</v>
      </c>
      <c r="AC29" s="533"/>
    </row>
    <row r="30" spans="1:29" ht="15.75" customHeight="1">
      <c r="A30" s="553" t="s">
        <v>377</v>
      </c>
      <c r="B30" s="26" t="s">
        <v>24</v>
      </c>
      <c r="C30" s="552" t="s">
        <v>62</v>
      </c>
      <c r="D30" s="552"/>
      <c r="E30" s="26">
        <v>22.35</v>
      </c>
      <c r="F30" s="392">
        <v>1836</v>
      </c>
      <c r="G30" s="395">
        <f t="shared" si="39"/>
        <v>41034.600000000006</v>
      </c>
      <c r="H30" s="403" t="s">
        <v>52</v>
      </c>
      <c r="I30" s="394">
        <v>16</v>
      </c>
      <c r="J30" s="18">
        <v>2400</v>
      </c>
      <c r="K30" s="9">
        <f t="shared" si="46"/>
        <v>150</v>
      </c>
      <c r="L30" s="394">
        <v>16</v>
      </c>
      <c r="M30" s="10">
        <f t="shared" si="40"/>
        <v>2248.1632653061197</v>
      </c>
      <c r="N30" s="9">
        <f t="shared" si="41"/>
        <v>140.51020408163248</v>
      </c>
      <c r="O30" s="11">
        <f t="shared" si="42"/>
        <v>0</v>
      </c>
      <c r="P30" s="12">
        <f t="shared" si="43"/>
        <v>-9.4897959183675198</v>
      </c>
      <c r="Q30" s="396">
        <f t="shared" si="44"/>
        <v>0.93673469387754982</v>
      </c>
      <c r="R30" s="533"/>
      <c r="S30" s="24">
        <v>0.49166666666666664</v>
      </c>
      <c r="T30" s="24">
        <v>0.52569444444444446</v>
      </c>
      <c r="U30" s="395">
        <f t="shared" si="48"/>
        <v>4.9999999999999822</v>
      </c>
      <c r="V30" s="393">
        <f t="shared" si="45"/>
        <v>49.000000000000064</v>
      </c>
      <c r="W30" s="14">
        <f>T30</f>
        <v>0.52569444444444446</v>
      </c>
      <c r="X30" s="14">
        <f>S31</f>
        <v>0.56666666666666665</v>
      </c>
      <c r="Y30" s="528"/>
      <c r="Z30" s="528"/>
      <c r="AA30" s="11">
        <f t="shared" si="2"/>
        <v>-151.83673469388032</v>
      </c>
      <c r="AB30" s="396">
        <f t="shared" si="47"/>
        <v>0.93673469387754982</v>
      </c>
      <c r="AC30" s="533"/>
    </row>
    <row r="31" spans="1:29" ht="15.75" customHeight="1">
      <c r="A31" s="553" t="s">
        <v>1538</v>
      </c>
      <c r="B31" s="26" t="s">
        <v>24</v>
      </c>
      <c r="C31" s="552" t="s">
        <v>68</v>
      </c>
      <c r="D31" s="552"/>
      <c r="E31" s="26">
        <v>24.25</v>
      </c>
      <c r="F31" s="392">
        <v>2969</v>
      </c>
      <c r="G31" s="395">
        <f t="shared" si="39"/>
        <v>71998.25</v>
      </c>
      <c r="H31" s="403" t="s">
        <v>52</v>
      </c>
      <c r="I31" s="394">
        <v>18</v>
      </c>
      <c r="J31" s="18">
        <v>2400</v>
      </c>
      <c r="K31" s="9">
        <f t="shared" si="46"/>
        <v>133.33333333333334</v>
      </c>
      <c r="L31" s="394">
        <v>18</v>
      </c>
      <c r="M31" s="10">
        <f t="shared" si="40"/>
        <v>2226.7499999999995</v>
      </c>
      <c r="N31" s="9">
        <f t="shared" si="41"/>
        <v>123.70833333333331</v>
      </c>
      <c r="O31" s="11">
        <f t="shared" si="42"/>
        <v>0</v>
      </c>
      <c r="P31" s="12">
        <f t="shared" si="43"/>
        <v>-9.6250000000000284</v>
      </c>
      <c r="Q31" s="396">
        <f t="shared" si="44"/>
        <v>0.92781249999999982</v>
      </c>
      <c r="R31" s="533"/>
      <c r="S31" s="24">
        <v>0.56666666666666665</v>
      </c>
      <c r="T31" s="24">
        <v>0.62222222222222223</v>
      </c>
      <c r="U31" s="395">
        <f t="shared" si="48"/>
        <v>58.99999999999995</v>
      </c>
      <c r="V31" s="393">
        <f t="shared" si="45"/>
        <v>80.000000000000028</v>
      </c>
      <c r="W31" s="14"/>
      <c r="X31" s="14"/>
      <c r="Y31" s="528"/>
      <c r="Z31" s="528"/>
      <c r="AA31" s="11">
        <f t="shared" si="2"/>
        <v>-173.25000000000045</v>
      </c>
      <c r="AB31" s="396">
        <f t="shared" si="47"/>
        <v>0.92781249999999982</v>
      </c>
      <c r="AC31" s="533"/>
    </row>
    <row r="32" spans="1:29" ht="15.75" customHeight="1">
      <c r="A32" s="553" t="s">
        <v>377</v>
      </c>
      <c r="B32" s="26" t="s">
        <v>24</v>
      </c>
      <c r="C32" s="552" t="s">
        <v>328</v>
      </c>
      <c r="D32" s="552"/>
      <c r="E32" s="26">
        <v>25.98</v>
      </c>
      <c r="F32" s="392">
        <v>1974</v>
      </c>
      <c r="G32" s="395">
        <f t="shared" si="39"/>
        <v>51284.520000000004</v>
      </c>
      <c r="H32" s="403" t="s">
        <v>52</v>
      </c>
      <c r="I32" s="394">
        <v>17</v>
      </c>
      <c r="J32" s="18">
        <v>2400</v>
      </c>
      <c r="K32" s="9">
        <f t="shared" si="46"/>
        <v>141.1764705882353</v>
      </c>
      <c r="L32" s="394">
        <v>17</v>
      </c>
      <c r="M32" s="10">
        <f t="shared" si="40"/>
        <v>2234.7169811320769</v>
      </c>
      <c r="N32" s="9">
        <f t="shared" si="41"/>
        <v>131.45394006659276</v>
      </c>
      <c r="O32" s="11">
        <f t="shared" si="42"/>
        <v>0</v>
      </c>
      <c r="P32" s="12">
        <f t="shared" si="43"/>
        <v>-9.7225305216425397</v>
      </c>
      <c r="Q32" s="396">
        <f t="shared" si="44"/>
        <v>0.93113207547169863</v>
      </c>
      <c r="R32" s="533"/>
      <c r="S32" s="24">
        <v>0.62708333333333333</v>
      </c>
      <c r="T32" s="24">
        <v>0.66388888888888886</v>
      </c>
      <c r="U32" s="395">
        <f t="shared" si="48"/>
        <v>6.9999999999999751</v>
      </c>
      <c r="V32" s="393">
        <f t="shared" si="45"/>
        <v>52.999999999999972</v>
      </c>
      <c r="W32" s="14"/>
      <c r="X32" s="14"/>
      <c r="Y32" s="528"/>
      <c r="Z32" s="528"/>
      <c r="AA32" s="11">
        <f t="shared" si="2"/>
        <v>-165.28301886792315</v>
      </c>
      <c r="AB32" s="396">
        <f t="shared" si="47"/>
        <v>0.93113207547169874</v>
      </c>
      <c r="AC32" s="533"/>
    </row>
    <row r="33" spans="1:29" ht="15.75" customHeight="1">
      <c r="A33" s="553" t="s">
        <v>377</v>
      </c>
      <c r="B33" s="26" t="s">
        <v>1539</v>
      </c>
      <c r="C33" s="530"/>
      <c r="D33" s="530"/>
      <c r="E33" s="399"/>
      <c r="F33" s="392"/>
      <c r="G33" s="395"/>
      <c r="H33" s="392"/>
      <c r="I33" s="17">
        <v>17.428571428571427</v>
      </c>
      <c r="J33" s="18">
        <v>2400</v>
      </c>
      <c r="K33" s="9">
        <f t="shared" si="46"/>
        <v>137.70491803278691</v>
      </c>
      <c r="L33" s="17">
        <v>17.428571428571427</v>
      </c>
      <c r="M33" s="10">
        <f>AVERAGE(M26:M32)</f>
        <v>2236.1132671397399</v>
      </c>
      <c r="N33" s="9">
        <f>M33/L33</f>
        <v>128.30158090146051</v>
      </c>
      <c r="O33" s="11">
        <f>L33-I33</f>
        <v>0</v>
      </c>
      <c r="P33" s="12">
        <f>N33-K33</f>
        <v>-9.4033371313263956</v>
      </c>
      <c r="Q33" s="396">
        <f>N33/K33</f>
        <v>0.93171386130822498</v>
      </c>
      <c r="R33" s="533"/>
      <c r="S33" s="24"/>
      <c r="T33" s="24"/>
      <c r="U33" s="395"/>
      <c r="V33" s="393"/>
      <c r="W33" s="395"/>
      <c r="X33" s="395"/>
      <c r="Y33" s="528"/>
      <c r="Z33" s="528"/>
      <c r="AA33" s="11">
        <f t="shared" si="2"/>
        <v>-163.88673286026005</v>
      </c>
      <c r="AB33" s="396">
        <f>M33/J33</f>
        <v>0.93171386130822498</v>
      </c>
      <c r="AC33" s="533"/>
    </row>
    <row r="34" spans="1:29" ht="15.75" customHeight="1">
      <c r="A34" s="550" t="s">
        <v>379</v>
      </c>
      <c r="B34" s="26" t="s">
        <v>24</v>
      </c>
      <c r="C34" s="529" t="s">
        <v>28</v>
      </c>
      <c r="D34" s="529"/>
      <c r="E34" s="26">
        <v>26.2</v>
      </c>
      <c r="F34" s="392">
        <v>6794</v>
      </c>
      <c r="G34" s="395">
        <f t="shared" ref="G34:G42" si="49">E34*F34</f>
        <v>178002.8</v>
      </c>
      <c r="H34" s="403" t="s">
        <v>52</v>
      </c>
      <c r="I34" s="394">
        <v>18</v>
      </c>
      <c r="J34" s="18">
        <v>2400</v>
      </c>
      <c r="K34" s="9">
        <f>J34/I34</f>
        <v>133.33333333333334</v>
      </c>
      <c r="L34" s="394">
        <v>18</v>
      </c>
      <c r="M34" s="10">
        <f>F34/V34*60</f>
        <v>2227.5409836065573</v>
      </c>
      <c r="N34" s="9">
        <f>M34/L34</f>
        <v>123.75227686703096</v>
      </c>
      <c r="O34" s="11">
        <f t="shared" ref="O34:O42" si="50">L34-I34</f>
        <v>0</v>
      </c>
      <c r="P34" s="12">
        <f t="shared" ref="P34:P51" si="51">N34-K34</f>
        <v>-9.5810564663023854</v>
      </c>
      <c r="Q34" s="396">
        <f t="shared" ref="Q34:Q47" si="52">N34/K34</f>
        <v>0.92814207650273206</v>
      </c>
      <c r="R34" s="533">
        <f>Q43</f>
        <v>0.93172363038993289</v>
      </c>
      <c r="S34" s="24">
        <v>8.3333333333333329E-2</v>
      </c>
      <c r="T34" s="24">
        <v>0.21041666666666664</v>
      </c>
      <c r="U34" s="395"/>
      <c r="V34" s="393">
        <f t="shared" ref="V34:V42" si="53">(T34-S34)*24*60</f>
        <v>183</v>
      </c>
      <c r="W34" s="15">
        <f>T34</f>
        <v>0.21041666666666664</v>
      </c>
      <c r="X34" s="15">
        <f>S35</f>
        <v>0.22847222222222219</v>
      </c>
      <c r="Y34" s="528"/>
      <c r="Z34" s="528"/>
      <c r="AA34" s="11">
        <f t="shared" si="2"/>
        <v>-172.45901639344265</v>
      </c>
      <c r="AB34" s="396">
        <f>M34/J34</f>
        <v>0.92814207650273228</v>
      </c>
      <c r="AC34" s="533">
        <f>AB43</f>
        <v>0.93172363038993278</v>
      </c>
    </row>
    <row r="35" spans="1:29" ht="15.75" customHeight="1">
      <c r="A35" s="550" t="s">
        <v>1540</v>
      </c>
      <c r="B35" s="26" t="s">
        <v>24</v>
      </c>
      <c r="C35" s="529" t="s">
        <v>30</v>
      </c>
      <c r="D35" s="529"/>
      <c r="E35" s="26">
        <v>24.45</v>
      </c>
      <c r="F35" s="392">
        <v>2208</v>
      </c>
      <c r="G35" s="395">
        <f t="shared" si="49"/>
        <v>53985.599999999999</v>
      </c>
      <c r="H35" s="403" t="s">
        <v>52</v>
      </c>
      <c r="I35" s="394">
        <v>20</v>
      </c>
      <c r="J35" s="18">
        <v>2400</v>
      </c>
      <c r="K35" s="9">
        <f t="shared" ref="K35:K50" si="54">J35/I35</f>
        <v>120</v>
      </c>
      <c r="L35" s="394">
        <v>20</v>
      </c>
      <c r="M35" s="10">
        <f t="shared" ref="M35:M42" si="55">F35/V35*60</f>
        <v>2245.4237288135582</v>
      </c>
      <c r="N35" s="9">
        <f t="shared" ref="N35:N42" si="56">M35/L35</f>
        <v>112.27118644067791</v>
      </c>
      <c r="O35" s="11">
        <f t="shared" si="50"/>
        <v>0</v>
      </c>
      <c r="P35" s="12">
        <f t="shared" si="51"/>
        <v>-7.7288135593220915</v>
      </c>
      <c r="Q35" s="396">
        <f t="shared" si="52"/>
        <v>0.93559322033898262</v>
      </c>
      <c r="R35" s="533"/>
      <c r="S35" s="24">
        <v>0.22847222222222219</v>
      </c>
      <c r="T35" s="24">
        <v>0.26944444444444443</v>
      </c>
      <c r="U35" s="395">
        <f>(S35-T34)*24*60</f>
        <v>25.999999999999986</v>
      </c>
      <c r="V35" s="393">
        <f t="shared" si="53"/>
        <v>59.000000000000028</v>
      </c>
      <c r="W35" s="395"/>
      <c r="X35" s="395"/>
      <c r="Y35" s="528"/>
      <c r="Z35" s="528"/>
      <c r="AA35" s="11">
        <f t="shared" si="2"/>
        <v>-154.57627118644177</v>
      </c>
      <c r="AB35" s="396">
        <f t="shared" ref="AB35:AB64" si="57">M35/J35</f>
        <v>0.93559322033898262</v>
      </c>
      <c r="AC35" s="533"/>
    </row>
    <row r="36" spans="1:29">
      <c r="A36" s="551" t="s">
        <v>379</v>
      </c>
      <c r="B36" s="26" t="s">
        <v>24</v>
      </c>
      <c r="C36" s="529" t="s">
        <v>29</v>
      </c>
      <c r="D36" s="529"/>
      <c r="E36" s="26">
        <v>26.39</v>
      </c>
      <c r="F36" s="392">
        <v>2000</v>
      </c>
      <c r="G36" s="395">
        <f t="shared" si="49"/>
        <v>52780</v>
      </c>
      <c r="H36" s="403">
        <v>2</v>
      </c>
      <c r="I36" s="394">
        <v>19</v>
      </c>
      <c r="J36" s="18">
        <v>2400</v>
      </c>
      <c r="K36" s="9">
        <f t="shared" si="54"/>
        <v>126.31578947368421</v>
      </c>
      <c r="L36" s="394">
        <v>19</v>
      </c>
      <c r="M36" s="10">
        <f t="shared" si="55"/>
        <v>2222.2222222222235</v>
      </c>
      <c r="N36" s="9">
        <f t="shared" si="56"/>
        <v>116.95906432748545</v>
      </c>
      <c r="O36" s="11">
        <f t="shared" si="50"/>
        <v>0</v>
      </c>
      <c r="P36" s="12">
        <f t="shared" si="51"/>
        <v>-9.3567251461987553</v>
      </c>
      <c r="Q36" s="396">
        <f t="shared" si="52"/>
        <v>0.92592592592592649</v>
      </c>
      <c r="R36" s="533"/>
      <c r="S36" s="24">
        <v>0.27430555555555552</v>
      </c>
      <c r="T36" s="24">
        <v>0.3118055555555555</v>
      </c>
      <c r="U36" s="395">
        <f t="shared" ref="U36:U42" si="58">(S36-T35)*24*60</f>
        <v>6.9999999999999751</v>
      </c>
      <c r="V36" s="393">
        <f t="shared" si="53"/>
        <v>53.999999999999972</v>
      </c>
      <c r="W36" s="395"/>
      <c r="X36" s="395"/>
      <c r="Y36" s="528"/>
      <c r="Z36" s="528"/>
      <c r="AA36" s="11">
        <f t="shared" si="2"/>
        <v>-177.77777777777646</v>
      </c>
      <c r="AB36" s="396">
        <f t="shared" si="57"/>
        <v>0.92592592592592649</v>
      </c>
      <c r="AC36" s="533"/>
    </row>
    <row r="37" spans="1:29">
      <c r="A37" s="551" t="s">
        <v>379</v>
      </c>
      <c r="B37" s="26" t="s">
        <v>24</v>
      </c>
      <c r="C37" s="529" t="s">
        <v>27</v>
      </c>
      <c r="D37" s="529"/>
      <c r="E37" s="26">
        <v>20.52</v>
      </c>
      <c r="F37" s="392">
        <v>3454</v>
      </c>
      <c r="G37" s="395">
        <f t="shared" si="49"/>
        <v>70876.08</v>
      </c>
      <c r="H37" s="403" t="s">
        <v>52</v>
      </c>
      <c r="I37" s="394">
        <v>18</v>
      </c>
      <c r="J37" s="18">
        <v>2400</v>
      </c>
      <c r="K37" s="9">
        <f t="shared" si="54"/>
        <v>133.33333333333334</v>
      </c>
      <c r="L37" s="394">
        <v>18</v>
      </c>
      <c r="M37" s="10">
        <f t="shared" si="55"/>
        <v>2228.3870967741941</v>
      </c>
      <c r="N37" s="9">
        <f t="shared" si="56"/>
        <v>123.79928315412189</v>
      </c>
      <c r="O37" s="11">
        <f t="shared" si="50"/>
        <v>0</v>
      </c>
      <c r="P37" s="12">
        <f t="shared" si="51"/>
        <v>-9.534050179211448</v>
      </c>
      <c r="Q37" s="396">
        <f t="shared" si="52"/>
        <v>0.92849462365591418</v>
      </c>
      <c r="R37" s="533"/>
      <c r="S37" s="24">
        <v>0.3166666666666666</v>
      </c>
      <c r="T37" s="24">
        <v>0.38124999999999992</v>
      </c>
      <c r="U37" s="395">
        <f t="shared" si="58"/>
        <v>6.9999999999999751</v>
      </c>
      <c r="V37" s="393">
        <f t="shared" si="53"/>
        <v>92.999999999999986</v>
      </c>
      <c r="W37" s="14"/>
      <c r="X37" s="14"/>
      <c r="Y37" s="528"/>
      <c r="Z37" s="528"/>
      <c r="AA37" s="11">
        <f t="shared" si="2"/>
        <v>-171.61290322580589</v>
      </c>
      <c r="AB37" s="396">
        <f t="shared" si="57"/>
        <v>0.92849462365591418</v>
      </c>
      <c r="AC37" s="533"/>
    </row>
    <row r="38" spans="1:29">
      <c r="A38" s="551" t="s">
        <v>1541</v>
      </c>
      <c r="B38" s="26" t="s">
        <v>24</v>
      </c>
      <c r="C38" s="529" t="s">
        <v>50</v>
      </c>
      <c r="D38" s="529"/>
      <c r="E38" s="26">
        <v>26.2</v>
      </c>
      <c r="F38" s="392">
        <v>3200</v>
      </c>
      <c r="G38" s="395">
        <f t="shared" si="49"/>
        <v>83840</v>
      </c>
      <c r="H38" s="403">
        <v>2</v>
      </c>
      <c r="I38" s="394">
        <v>19</v>
      </c>
      <c r="J38" s="18">
        <v>2400</v>
      </c>
      <c r="K38" s="9">
        <f t="shared" si="54"/>
        <v>126.31578947368421</v>
      </c>
      <c r="L38" s="394">
        <v>19</v>
      </c>
      <c r="M38" s="10">
        <f t="shared" si="55"/>
        <v>2232.5581395348836</v>
      </c>
      <c r="N38" s="9">
        <f t="shared" si="56"/>
        <v>117.50305997552019</v>
      </c>
      <c r="O38" s="11">
        <f t="shared" si="50"/>
        <v>0</v>
      </c>
      <c r="P38" s="12">
        <f t="shared" si="51"/>
        <v>-8.8127294981640176</v>
      </c>
      <c r="Q38" s="396">
        <f t="shared" si="52"/>
        <v>0.93023255813953487</v>
      </c>
      <c r="R38" s="533"/>
      <c r="S38" s="24">
        <v>0.38472222222222213</v>
      </c>
      <c r="T38" s="24">
        <v>0.44444444444444436</v>
      </c>
      <c r="U38" s="395">
        <f t="shared" si="58"/>
        <v>4.9999999999999822</v>
      </c>
      <c r="V38" s="393">
        <f t="shared" si="53"/>
        <v>86.000000000000014</v>
      </c>
      <c r="W38" s="14"/>
      <c r="X38" s="14"/>
      <c r="Y38" s="528"/>
      <c r="Z38" s="528"/>
      <c r="AA38" s="11">
        <f t="shared" si="2"/>
        <v>-167.44186046511641</v>
      </c>
      <c r="AB38" s="396">
        <f t="shared" si="57"/>
        <v>0.93023255813953487</v>
      </c>
      <c r="AC38" s="533"/>
    </row>
    <row r="39" spans="1:29">
      <c r="A39" s="551" t="s">
        <v>1541</v>
      </c>
      <c r="B39" s="26" t="s">
        <v>24</v>
      </c>
      <c r="C39" s="529" t="s">
        <v>1079</v>
      </c>
      <c r="D39" s="529"/>
      <c r="E39" s="26">
        <v>25.98</v>
      </c>
      <c r="F39" s="392">
        <v>3500</v>
      </c>
      <c r="G39" s="395">
        <f t="shared" si="49"/>
        <v>90930</v>
      </c>
      <c r="H39" s="403">
        <v>2</v>
      </c>
      <c r="I39" s="394">
        <v>17</v>
      </c>
      <c r="J39" s="18">
        <v>2400</v>
      </c>
      <c r="K39" s="9">
        <f t="shared" si="54"/>
        <v>141.1764705882353</v>
      </c>
      <c r="L39" s="394">
        <v>17</v>
      </c>
      <c r="M39" s="10">
        <f t="shared" si="55"/>
        <v>2234.042553191488</v>
      </c>
      <c r="N39" s="9">
        <f t="shared" si="56"/>
        <v>131.41426783479341</v>
      </c>
      <c r="O39" s="11">
        <f t="shared" si="50"/>
        <v>0</v>
      </c>
      <c r="P39" s="12">
        <f t="shared" si="51"/>
        <v>-9.7622027534418976</v>
      </c>
      <c r="Q39" s="396">
        <f t="shared" si="52"/>
        <v>0.93085106382978655</v>
      </c>
      <c r="R39" s="533"/>
      <c r="S39" s="24">
        <v>0.44930555555555546</v>
      </c>
      <c r="T39" s="24">
        <v>0.51458333333333328</v>
      </c>
      <c r="U39" s="395">
        <f t="shared" si="58"/>
        <v>6.9999999999999751</v>
      </c>
      <c r="V39" s="393">
        <f t="shared" si="53"/>
        <v>94.000000000000071</v>
      </c>
      <c r="W39" s="14">
        <f>T39</f>
        <v>0.51458333333333328</v>
      </c>
      <c r="X39" s="14">
        <f>S40</f>
        <v>0.55555555555555547</v>
      </c>
      <c r="Y39" s="528"/>
      <c r="Z39" s="528"/>
      <c r="AA39" s="11">
        <f t="shared" si="2"/>
        <v>-165.95744680851203</v>
      </c>
      <c r="AB39" s="396">
        <f t="shared" si="57"/>
        <v>0.93085106382978666</v>
      </c>
      <c r="AC39" s="533"/>
    </row>
    <row r="40" spans="1:29">
      <c r="A40" s="551" t="s">
        <v>379</v>
      </c>
      <c r="B40" s="26" t="s">
        <v>24</v>
      </c>
      <c r="C40" s="529" t="s">
        <v>29</v>
      </c>
      <c r="D40" s="529"/>
      <c r="E40" s="26">
        <v>26.39</v>
      </c>
      <c r="F40" s="392">
        <v>4289</v>
      </c>
      <c r="G40" s="395">
        <f t="shared" si="49"/>
        <v>113186.71</v>
      </c>
      <c r="H40" s="403" t="s">
        <v>52</v>
      </c>
      <c r="I40" s="394">
        <v>19</v>
      </c>
      <c r="J40" s="18">
        <v>2400</v>
      </c>
      <c r="K40" s="9">
        <f t="shared" si="54"/>
        <v>126.31578947368421</v>
      </c>
      <c r="L40" s="394">
        <v>19</v>
      </c>
      <c r="M40" s="10">
        <f t="shared" si="55"/>
        <v>2237.7391304347811</v>
      </c>
      <c r="N40" s="9">
        <f t="shared" si="56"/>
        <v>117.77574370709374</v>
      </c>
      <c r="O40" s="11">
        <f t="shared" si="50"/>
        <v>0</v>
      </c>
      <c r="P40" s="12">
        <f t="shared" si="51"/>
        <v>-8.5400457665904668</v>
      </c>
      <c r="Q40" s="396">
        <f t="shared" si="52"/>
        <v>0.93239130434782547</v>
      </c>
      <c r="R40" s="533"/>
      <c r="S40" s="24">
        <v>0.55555555555555547</v>
      </c>
      <c r="T40" s="24">
        <v>0.63541666666666663</v>
      </c>
      <c r="U40" s="395">
        <f t="shared" si="58"/>
        <v>58.99999999999995</v>
      </c>
      <c r="V40" s="393">
        <f t="shared" si="53"/>
        <v>115.00000000000007</v>
      </c>
      <c r="W40" s="14"/>
      <c r="X40" s="14"/>
      <c r="Y40" s="536"/>
      <c r="Z40" s="537"/>
      <c r="AA40" s="11">
        <f t="shared" si="2"/>
        <v>-162.26086956521885</v>
      </c>
      <c r="AB40" s="396">
        <f t="shared" si="57"/>
        <v>0.93239130434782547</v>
      </c>
      <c r="AC40" s="533"/>
    </row>
    <row r="41" spans="1:29">
      <c r="A41" s="551" t="s">
        <v>1541</v>
      </c>
      <c r="B41" s="26" t="s">
        <v>24</v>
      </c>
      <c r="C41" s="529" t="s">
        <v>50</v>
      </c>
      <c r="D41" s="529"/>
      <c r="E41" s="26">
        <v>26.2</v>
      </c>
      <c r="F41" s="392">
        <v>1992</v>
      </c>
      <c r="G41" s="395">
        <f t="shared" si="49"/>
        <v>52190.400000000001</v>
      </c>
      <c r="H41" s="403" t="s">
        <v>52</v>
      </c>
      <c r="I41" s="394">
        <v>19</v>
      </c>
      <c r="J41" s="18">
        <v>2400</v>
      </c>
      <c r="K41" s="9">
        <f t="shared" si="54"/>
        <v>126.31578947368421</v>
      </c>
      <c r="L41" s="394">
        <v>19</v>
      </c>
      <c r="M41" s="10">
        <f t="shared" si="55"/>
        <v>2255.094339622643</v>
      </c>
      <c r="N41" s="9">
        <f t="shared" si="56"/>
        <v>118.68917576961279</v>
      </c>
      <c r="O41" s="11">
        <f t="shared" si="50"/>
        <v>0</v>
      </c>
      <c r="P41" s="12">
        <f t="shared" si="51"/>
        <v>-7.626613704071417</v>
      </c>
      <c r="Q41" s="396">
        <f t="shared" si="52"/>
        <v>0.93962264150943464</v>
      </c>
      <c r="R41" s="533"/>
      <c r="S41" s="24">
        <v>0.64027777777777772</v>
      </c>
      <c r="T41" s="24">
        <v>0.67708333333333326</v>
      </c>
      <c r="U41" s="395">
        <f t="shared" si="58"/>
        <v>6.9999999999999751</v>
      </c>
      <c r="V41" s="393">
        <f t="shared" si="53"/>
        <v>52.999999999999972</v>
      </c>
      <c r="W41" s="14"/>
      <c r="X41" s="14"/>
      <c r="Y41" s="536"/>
      <c r="Z41" s="537"/>
      <c r="AA41" s="11">
        <f t="shared" si="2"/>
        <v>-144.90566037735698</v>
      </c>
      <c r="AB41" s="396">
        <f t="shared" si="57"/>
        <v>0.93962264150943464</v>
      </c>
      <c r="AC41" s="533"/>
    </row>
    <row r="42" spans="1:29">
      <c r="A42" s="551" t="s">
        <v>379</v>
      </c>
      <c r="B42" s="26" t="s">
        <v>24</v>
      </c>
      <c r="C42" s="529" t="s">
        <v>1079</v>
      </c>
      <c r="D42" s="529"/>
      <c r="E42" s="26">
        <v>25.98</v>
      </c>
      <c r="F42" s="392">
        <v>1009</v>
      </c>
      <c r="G42" s="395">
        <f t="shared" si="49"/>
        <v>26213.82</v>
      </c>
      <c r="H42" s="403" t="s">
        <v>52</v>
      </c>
      <c r="I42" s="394">
        <v>17</v>
      </c>
      <c r="J42" s="18">
        <v>2400</v>
      </c>
      <c r="K42" s="9">
        <f t="shared" si="54"/>
        <v>141.1764705882353</v>
      </c>
      <c r="L42" s="394">
        <v>17</v>
      </c>
      <c r="M42" s="10">
        <f t="shared" si="55"/>
        <v>2242.2222222222167</v>
      </c>
      <c r="N42" s="9">
        <f t="shared" si="56"/>
        <v>131.89542483660099</v>
      </c>
      <c r="O42" s="11">
        <f t="shared" si="50"/>
        <v>0</v>
      </c>
      <c r="P42" s="12">
        <f t="shared" si="51"/>
        <v>-9.2810457516343092</v>
      </c>
      <c r="Q42" s="396">
        <f t="shared" si="52"/>
        <v>0.93425925925925701</v>
      </c>
      <c r="R42" s="533"/>
      <c r="S42" s="24">
        <v>0.68194444444444435</v>
      </c>
      <c r="T42" s="24">
        <v>0.7006944444444444</v>
      </c>
      <c r="U42" s="395">
        <f t="shared" si="58"/>
        <v>6.9999999999999751</v>
      </c>
      <c r="V42" s="393">
        <f t="shared" si="53"/>
        <v>27.000000000000064</v>
      </c>
      <c r="W42" s="14"/>
      <c r="X42" s="14"/>
      <c r="Y42" s="536"/>
      <c r="Z42" s="537"/>
      <c r="AA42" s="11">
        <f t="shared" si="2"/>
        <v>-157.77777777778329</v>
      </c>
      <c r="AB42" s="396">
        <f t="shared" si="57"/>
        <v>0.93425925925925701</v>
      </c>
      <c r="AC42" s="533"/>
    </row>
    <row r="43" spans="1:29">
      <c r="A43" s="551" t="s">
        <v>379</v>
      </c>
      <c r="B43" s="16" t="s">
        <v>1542</v>
      </c>
      <c r="C43" s="530"/>
      <c r="D43" s="530"/>
      <c r="E43" s="399"/>
      <c r="F43" s="16"/>
      <c r="G43" s="9"/>
      <c r="H43" s="392"/>
      <c r="I43" s="17">
        <v>18.444444444444443</v>
      </c>
      <c r="J43" s="18">
        <v>2400</v>
      </c>
      <c r="K43" s="9">
        <f t="shared" si="54"/>
        <v>130.12048192771084</v>
      </c>
      <c r="L43" s="17">
        <v>18.444444444444443</v>
      </c>
      <c r="M43" s="10">
        <f>AVERAGE(M34:M42)</f>
        <v>2236.1367129358387</v>
      </c>
      <c r="N43" s="9">
        <f>M43/L43</f>
        <v>121.23632780977439</v>
      </c>
      <c r="O43" s="11">
        <f>L43-I43</f>
        <v>0</v>
      </c>
      <c r="P43" s="12">
        <f t="shared" si="51"/>
        <v>-8.8841541179364469</v>
      </c>
      <c r="Q43" s="396">
        <f t="shared" si="52"/>
        <v>0.93172363038993289</v>
      </c>
      <c r="R43" s="533"/>
      <c r="S43" s="24"/>
      <c r="T43" s="24"/>
      <c r="U43" s="9"/>
      <c r="V43" s="393"/>
      <c r="W43" s="9"/>
      <c r="X43" s="9"/>
      <c r="Y43" s="528"/>
      <c r="Z43" s="528"/>
      <c r="AA43" s="11">
        <f t="shared" si="2"/>
        <v>-163.86328706416134</v>
      </c>
      <c r="AB43" s="396">
        <f t="shared" si="57"/>
        <v>0.93172363038993278</v>
      </c>
      <c r="AC43" s="533"/>
    </row>
    <row r="44" spans="1:29" ht="15.75" customHeight="1">
      <c r="A44" s="544" t="s">
        <v>381</v>
      </c>
      <c r="B44" s="26" t="s">
        <v>32</v>
      </c>
      <c r="C44" s="534" t="s">
        <v>33</v>
      </c>
      <c r="D44" s="535"/>
      <c r="E44" s="26">
        <v>27.17</v>
      </c>
      <c r="F44" s="392">
        <v>6187</v>
      </c>
      <c r="G44" s="395">
        <f t="shared" ref="G44:G50" si="59">E44*F44</f>
        <v>168100.79</v>
      </c>
      <c r="H44" s="403" t="s">
        <v>52</v>
      </c>
      <c r="I44" s="394">
        <v>10</v>
      </c>
      <c r="J44" s="18">
        <v>3000</v>
      </c>
      <c r="K44" s="9">
        <f t="shared" si="54"/>
        <v>300</v>
      </c>
      <c r="L44" s="394">
        <v>10</v>
      </c>
      <c r="M44" s="10">
        <f t="shared" ref="M44:M45" si="60">F44/V44*60</f>
        <v>2791.1278195488721</v>
      </c>
      <c r="N44" s="10">
        <f t="shared" ref="N44:N51" si="61">M44/L44</f>
        <v>279.11278195488723</v>
      </c>
      <c r="O44" s="11">
        <f t="shared" ref="O44:O51" si="62">L44-I44</f>
        <v>0</v>
      </c>
      <c r="P44" s="12">
        <f t="shared" si="51"/>
        <v>-20.887218045112775</v>
      </c>
      <c r="Q44" s="396">
        <f t="shared" si="52"/>
        <v>0.93037593984962408</v>
      </c>
      <c r="R44" s="547">
        <f>Q51</f>
        <v>0.936108887702923</v>
      </c>
      <c r="S44" s="24">
        <v>0.125</v>
      </c>
      <c r="T44" s="24">
        <v>0.21736111111111112</v>
      </c>
      <c r="U44" s="15"/>
      <c r="V44" s="393">
        <f t="shared" ref="V44:V50" si="63">(T44-S44)*24*60</f>
        <v>133</v>
      </c>
      <c r="W44" s="395"/>
      <c r="X44" s="395"/>
      <c r="Y44" s="536"/>
      <c r="Z44" s="537"/>
      <c r="AA44" s="11">
        <f t="shared" si="2"/>
        <v>-208.87218045112786</v>
      </c>
      <c r="AB44" s="396">
        <f t="shared" si="57"/>
        <v>0.93037593984962408</v>
      </c>
      <c r="AC44" s="547">
        <f>AB51</f>
        <v>0.936108887702923</v>
      </c>
    </row>
    <row r="45" spans="1:29" ht="15.75" customHeight="1">
      <c r="A45" s="545" t="s">
        <v>1543</v>
      </c>
      <c r="B45" s="26" t="s">
        <v>32</v>
      </c>
      <c r="C45" s="534" t="s">
        <v>34</v>
      </c>
      <c r="D45" s="535"/>
      <c r="E45" s="26">
        <v>21.13</v>
      </c>
      <c r="F45" s="392">
        <v>4862</v>
      </c>
      <c r="G45" s="395">
        <f t="shared" si="59"/>
        <v>102734.06</v>
      </c>
      <c r="H45" s="403" t="s">
        <v>52</v>
      </c>
      <c r="I45" s="394">
        <v>10</v>
      </c>
      <c r="J45" s="18">
        <v>3000</v>
      </c>
      <c r="K45" s="9">
        <f t="shared" si="54"/>
        <v>300</v>
      </c>
      <c r="L45" s="394">
        <v>10</v>
      </c>
      <c r="M45" s="10">
        <f t="shared" si="60"/>
        <v>2805.0000000000005</v>
      </c>
      <c r="N45" s="10">
        <f t="shared" si="61"/>
        <v>280.50000000000006</v>
      </c>
      <c r="O45" s="11">
        <f t="shared" si="62"/>
        <v>0</v>
      </c>
      <c r="P45" s="12">
        <f t="shared" si="51"/>
        <v>-19.499999999999943</v>
      </c>
      <c r="Q45" s="396">
        <f t="shared" si="52"/>
        <v>0.93500000000000016</v>
      </c>
      <c r="R45" s="548"/>
      <c r="S45" s="24">
        <v>0.2215277777777778</v>
      </c>
      <c r="T45" s="24">
        <v>0.29375000000000001</v>
      </c>
      <c r="U45" s="395">
        <f>(S45-T44)*24*60</f>
        <v>6.0000000000000187</v>
      </c>
      <c r="V45" s="393">
        <f t="shared" si="63"/>
        <v>103.99999999999999</v>
      </c>
      <c r="W45" s="14"/>
      <c r="X45" s="14"/>
      <c r="Y45" s="536"/>
      <c r="Z45" s="537"/>
      <c r="AA45" s="11">
        <f t="shared" si="2"/>
        <v>-194.99999999999955</v>
      </c>
      <c r="AB45" s="396">
        <f t="shared" si="57"/>
        <v>0.93500000000000016</v>
      </c>
      <c r="AC45" s="548"/>
    </row>
    <row r="46" spans="1:29" ht="15.75" customHeight="1">
      <c r="A46" s="545" t="s">
        <v>381</v>
      </c>
      <c r="B46" s="26" t="s">
        <v>32</v>
      </c>
      <c r="C46" s="534" t="s">
        <v>40</v>
      </c>
      <c r="D46" s="535"/>
      <c r="E46" s="26">
        <v>35.119999999999997</v>
      </c>
      <c r="F46" s="392">
        <v>4683</v>
      </c>
      <c r="G46" s="395">
        <f t="shared" si="59"/>
        <v>164466.96</v>
      </c>
      <c r="H46" s="403" t="s">
        <v>52</v>
      </c>
      <c r="I46" s="394">
        <v>10</v>
      </c>
      <c r="J46" s="18">
        <v>3000</v>
      </c>
      <c r="K46" s="9">
        <f t="shared" si="54"/>
        <v>300</v>
      </c>
      <c r="L46" s="394">
        <v>10</v>
      </c>
      <c r="M46" s="10">
        <f>F46/V46*60</f>
        <v>2781.9801980198008</v>
      </c>
      <c r="N46" s="10">
        <f t="shared" si="61"/>
        <v>278.19801980198008</v>
      </c>
      <c r="O46" s="11">
        <f t="shared" si="62"/>
        <v>0</v>
      </c>
      <c r="P46" s="12">
        <f t="shared" si="51"/>
        <v>-21.801980198019919</v>
      </c>
      <c r="Q46" s="396">
        <f t="shared" si="52"/>
        <v>0.92732673267326693</v>
      </c>
      <c r="R46" s="548"/>
      <c r="S46" s="24">
        <v>0.2986111111111111</v>
      </c>
      <c r="T46" s="24">
        <v>0.36875000000000002</v>
      </c>
      <c r="U46" s="395">
        <f t="shared" ref="U46:U50" si="64">(S46-T45)*24*60</f>
        <v>6.9999999999999751</v>
      </c>
      <c r="V46" s="393">
        <f t="shared" si="63"/>
        <v>101.00000000000004</v>
      </c>
      <c r="W46" s="14"/>
      <c r="X46" s="14"/>
      <c r="Y46" s="536"/>
      <c r="Z46" s="537"/>
      <c r="AA46" s="11">
        <f t="shared" si="2"/>
        <v>-218.01980198019919</v>
      </c>
      <c r="AB46" s="396">
        <f t="shared" si="57"/>
        <v>0.92732673267326693</v>
      </c>
      <c r="AC46" s="548"/>
    </row>
    <row r="47" spans="1:29" ht="15.75" customHeight="1">
      <c r="A47" s="545" t="s">
        <v>381</v>
      </c>
      <c r="B47" s="26" t="s">
        <v>32</v>
      </c>
      <c r="C47" s="534" t="s">
        <v>61</v>
      </c>
      <c r="D47" s="535"/>
      <c r="E47" s="26">
        <v>40.18</v>
      </c>
      <c r="F47" s="392">
        <v>1976</v>
      </c>
      <c r="G47" s="395">
        <f t="shared" si="59"/>
        <v>79395.679999999993</v>
      </c>
      <c r="H47" s="403" t="s">
        <v>52</v>
      </c>
      <c r="I47" s="394">
        <v>10</v>
      </c>
      <c r="J47" s="18">
        <v>3000</v>
      </c>
      <c r="K47" s="9">
        <f t="shared" si="54"/>
        <v>300</v>
      </c>
      <c r="L47" s="394">
        <v>10</v>
      </c>
      <c r="M47" s="10">
        <f t="shared" ref="M47:M50" si="65">F47/V47*60</f>
        <v>2822.8571428571418</v>
      </c>
      <c r="N47" s="10">
        <f t="shared" si="61"/>
        <v>282.28571428571416</v>
      </c>
      <c r="O47" s="11">
        <f t="shared" si="62"/>
        <v>0</v>
      </c>
      <c r="P47" s="12">
        <f t="shared" si="51"/>
        <v>-17.714285714285836</v>
      </c>
      <c r="Q47" s="396">
        <f t="shared" si="52"/>
        <v>0.94095238095238054</v>
      </c>
      <c r="R47" s="548"/>
      <c r="S47" s="24">
        <v>0.37430555555555556</v>
      </c>
      <c r="T47" s="24">
        <v>0.40347222222222223</v>
      </c>
      <c r="U47" s="395">
        <f t="shared" si="64"/>
        <v>7.9999999999999716</v>
      </c>
      <c r="V47" s="393">
        <f t="shared" si="63"/>
        <v>42.000000000000014</v>
      </c>
      <c r="W47" s="14"/>
      <c r="X47" s="14"/>
      <c r="Y47" s="536"/>
      <c r="Z47" s="537"/>
      <c r="AA47" s="11">
        <f t="shared" si="2"/>
        <v>-177.14285714285825</v>
      </c>
      <c r="AB47" s="396">
        <f t="shared" si="57"/>
        <v>0.94095238095238054</v>
      </c>
      <c r="AC47" s="548"/>
    </row>
    <row r="48" spans="1:29" ht="15.75" customHeight="1">
      <c r="A48" s="545" t="s">
        <v>381</v>
      </c>
      <c r="B48" s="26" t="s">
        <v>32</v>
      </c>
      <c r="C48" s="534" t="s">
        <v>64</v>
      </c>
      <c r="D48" s="535"/>
      <c r="E48" s="26">
        <v>28.5</v>
      </c>
      <c r="F48" s="392">
        <v>1044</v>
      </c>
      <c r="G48" s="395">
        <f t="shared" si="59"/>
        <v>29754</v>
      </c>
      <c r="H48" s="403" t="s">
        <v>52</v>
      </c>
      <c r="I48" s="394">
        <v>10</v>
      </c>
      <c r="J48" s="18">
        <v>3000</v>
      </c>
      <c r="K48" s="9">
        <f t="shared" si="54"/>
        <v>300</v>
      </c>
      <c r="L48" s="394">
        <v>10</v>
      </c>
      <c r="M48" s="10">
        <f t="shared" si="65"/>
        <v>2847.272727272727</v>
      </c>
      <c r="N48" s="10">
        <f t="shared" si="61"/>
        <v>284.72727272727269</v>
      </c>
      <c r="O48" s="11">
        <f t="shared" si="62"/>
        <v>0</v>
      </c>
      <c r="P48" s="12">
        <f t="shared" si="51"/>
        <v>-15.272727272727309</v>
      </c>
      <c r="Q48" s="396">
        <f>N48/K48</f>
        <v>0.94909090909090899</v>
      </c>
      <c r="R48" s="548"/>
      <c r="S48" s="24">
        <v>0.40902777777777777</v>
      </c>
      <c r="T48" s="24">
        <v>0.42430555555555555</v>
      </c>
      <c r="U48" s="395">
        <f t="shared" si="64"/>
        <v>7.9999999999999716</v>
      </c>
      <c r="V48" s="393">
        <f t="shared" si="63"/>
        <v>22</v>
      </c>
      <c r="W48" s="14"/>
      <c r="X48" s="14"/>
      <c r="Y48" s="536"/>
      <c r="Z48" s="537"/>
      <c r="AA48" s="11">
        <f t="shared" si="2"/>
        <v>-152.72727272727298</v>
      </c>
      <c r="AB48" s="396">
        <f t="shared" si="57"/>
        <v>0.94909090909090899</v>
      </c>
      <c r="AC48" s="548"/>
    </row>
    <row r="49" spans="1:29" ht="15.75" customHeight="1">
      <c r="A49" s="545" t="s">
        <v>381</v>
      </c>
      <c r="B49" s="26" t="s">
        <v>32</v>
      </c>
      <c r="C49" s="534" t="s">
        <v>78</v>
      </c>
      <c r="D49" s="535"/>
      <c r="E49" s="26">
        <v>35.869999999999997</v>
      </c>
      <c r="F49" s="392">
        <v>3292</v>
      </c>
      <c r="G49" s="395">
        <f t="shared" si="59"/>
        <v>118084.04</v>
      </c>
      <c r="H49" s="403" t="s">
        <v>52</v>
      </c>
      <c r="I49" s="394">
        <v>10</v>
      </c>
      <c r="J49" s="18">
        <v>3000</v>
      </c>
      <c r="K49" s="9">
        <f t="shared" si="54"/>
        <v>300</v>
      </c>
      <c r="L49" s="394">
        <v>10</v>
      </c>
      <c r="M49" s="10">
        <f t="shared" si="65"/>
        <v>2781.9718309859159</v>
      </c>
      <c r="N49" s="10">
        <f t="shared" si="61"/>
        <v>278.19718309859161</v>
      </c>
      <c r="O49" s="11">
        <f t="shared" si="62"/>
        <v>0</v>
      </c>
      <c r="P49" s="12">
        <f t="shared" si="51"/>
        <v>-21.802816901408391</v>
      </c>
      <c r="Q49" s="396">
        <f t="shared" ref="Q49:Q51" si="66">N49/K49</f>
        <v>0.92732394366197202</v>
      </c>
      <c r="R49" s="548"/>
      <c r="S49" s="24">
        <v>0.42986111111111108</v>
      </c>
      <c r="T49" s="24">
        <v>0.47916666666666663</v>
      </c>
      <c r="U49" s="395">
        <f t="shared" si="64"/>
        <v>7.9999999999999716</v>
      </c>
      <c r="V49" s="393">
        <f t="shared" si="63"/>
        <v>70.999999999999986</v>
      </c>
      <c r="W49" s="14"/>
      <c r="X49" s="14"/>
      <c r="Y49" s="536"/>
      <c r="Z49" s="537"/>
      <c r="AA49" s="11">
        <f t="shared" si="2"/>
        <v>-218.02816901408414</v>
      </c>
      <c r="AB49" s="396">
        <f t="shared" si="57"/>
        <v>0.92732394366197191</v>
      </c>
      <c r="AC49" s="548"/>
    </row>
    <row r="50" spans="1:29" ht="15.75" customHeight="1">
      <c r="A50" s="545" t="s">
        <v>381</v>
      </c>
      <c r="B50" s="26" t="s">
        <v>32</v>
      </c>
      <c r="C50" s="534" t="s">
        <v>1081</v>
      </c>
      <c r="D50" s="535"/>
      <c r="E50" s="26">
        <v>36.14</v>
      </c>
      <c r="F50" s="392">
        <v>2451</v>
      </c>
      <c r="G50" s="395">
        <f t="shared" si="59"/>
        <v>88579.14</v>
      </c>
      <c r="H50" s="403" t="s">
        <v>52</v>
      </c>
      <c r="I50" s="394">
        <v>10</v>
      </c>
      <c r="J50" s="18">
        <v>3000</v>
      </c>
      <c r="K50" s="9">
        <f t="shared" si="54"/>
        <v>300</v>
      </c>
      <c r="L50" s="394">
        <v>10</v>
      </c>
      <c r="M50" s="10">
        <f t="shared" si="65"/>
        <v>2828.0769230769247</v>
      </c>
      <c r="N50" s="10">
        <f t="shared" si="61"/>
        <v>282.80769230769249</v>
      </c>
      <c r="O50" s="11">
        <f t="shared" si="62"/>
        <v>0</v>
      </c>
      <c r="P50" s="12">
        <f t="shared" si="51"/>
        <v>-17.192307692307509</v>
      </c>
      <c r="Q50" s="396">
        <f t="shared" si="66"/>
        <v>0.94269230769230827</v>
      </c>
      <c r="R50" s="548"/>
      <c r="S50" s="24">
        <v>0.48263888888888884</v>
      </c>
      <c r="T50" s="24">
        <v>0.51874999999999993</v>
      </c>
      <c r="U50" s="395">
        <f t="shared" si="64"/>
        <v>4.9999999999999822</v>
      </c>
      <c r="V50" s="393">
        <f t="shared" si="63"/>
        <v>51.999999999999972</v>
      </c>
      <c r="W50" s="14"/>
      <c r="X50" s="14"/>
      <c r="Y50" s="536"/>
      <c r="Z50" s="537"/>
      <c r="AA50" s="11">
        <f t="shared" si="2"/>
        <v>-171.92307692307531</v>
      </c>
      <c r="AB50" s="396">
        <f t="shared" si="57"/>
        <v>0.94269230769230827</v>
      </c>
      <c r="AC50" s="548"/>
    </row>
    <row r="51" spans="1:29" ht="15.75" customHeight="1">
      <c r="A51" s="546" t="s">
        <v>381</v>
      </c>
      <c r="B51" s="26" t="s">
        <v>82</v>
      </c>
      <c r="C51" s="540"/>
      <c r="D51" s="541"/>
      <c r="E51" s="402"/>
      <c r="F51" s="392"/>
      <c r="G51" s="395"/>
      <c r="H51" s="392"/>
      <c r="I51" s="17">
        <v>10</v>
      </c>
      <c r="J51" s="18">
        <v>3000</v>
      </c>
      <c r="K51" s="9">
        <f>J51/I51</f>
        <v>300</v>
      </c>
      <c r="L51" s="17">
        <v>10</v>
      </c>
      <c r="M51" s="10">
        <f>AVERAGE(M44:M50)</f>
        <v>2808.326663108769</v>
      </c>
      <c r="N51" s="9">
        <f t="shared" si="61"/>
        <v>280.8326663108769</v>
      </c>
      <c r="O51" s="11">
        <f t="shared" si="62"/>
        <v>0</v>
      </c>
      <c r="P51" s="12">
        <f t="shared" si="51"/>
        <v>-19.167333689123097</v>
      </c>
      <c r="Q51" s="396">
        <f t="shared" si="66"/>
        <v>0.936108887702923</v>
      </c>
      <c r="R51" s="549"/>
      <c r="S51" s="24"/>
      <c r="T51" s="24"/>
      <c r="U51" s="395"/>
      <c r="V51" s="393"/>
      <c r="W51" s="14"/>
      <c r="X51" s="14"/>
      <c r="Y51" s="536"/>
      <c r="Z51" s="537"/>
      <c r="AA51" s="11">
        <f t="shared" si="2"/>
        <v>-191.67333689123097</v>
      </c>
      <c r="AB51" s="396">
        <f t="shared" si="57"/>
        <v>0.936108887702923</v>
      </c>
      <c r="AC51" s="549"/>
    </row>
    <row r="52" spans="1:29" ht="15.75" customHeight="1">
      <c r="A52" s="542" t="s">
        <v>383</v>
      </c>
      <c r="B52" s="26" t="s">
        <v>15</v>
      </c>
      <c r="C52" s="529" t="s">
        <v>20</v>
      </c>
      <c r="D52" s="529"/>
      <c r="E52" s="26">
        <v>46</v>
      </c>
      <c r="F52" s="27">
        <v>3409</v>
      </c>
      <c r="G52" s="395">
        <f t="shared" ref="G52:G56" si="67">E52*F52</f>
        <v>156814</v>
      </c>
      <c r="H52" s="403" t="s">
        <v>52</v>
      </c>
      <c r="I52" s="394">
        <v>17</v>
      </c>
      <c r="J52" s="18">
        <v>2000</v>
      </c>
      <c r="K52" s="9">
        <f t="shared" ref="K52:K56" si="68">J52/I52</f>
        <v>117.64705882352941</v>
      </c>
      <c r="L52" s="394">
        <v>17</v>
      </c>
      <c r="M52" s="10">
        <f t="shared" ref="M52:M56" si="69">F52/V52*60</f>
        <v>1859.4545454545453</v>
      </c>
      <c r="N52" s="10">
        <f>M52/L52</f>
        <v>109.37967914438502</v>
      </c>
      <c r="O52" s="11">
        <f>L52-I52</f>
        <v>0</v>
      </c>
      <c r="P52" s="12">
        <f>N52-K52</f>
        <v>-8.2673796791443834</v>
      </c>
      <c r="Q52" s="396">
        <f>N52/K52</f>
        <v>0.92972727272727274</v>
      </c>
      <c r="R52" s="533">
        <f>Q57</f>
        <v>0.93271420601808064</v>
      </c>
      <c r="S52" s="24">
        <v>0.29166666666666669</v>
      </c>
      <c r="T52" s="24">
        <v>0.36805555555555558</v>
      </c>
      <c r="U52" s="15"/>
      <c r="V52" s="393">
        <f t="shared" ref="V52:V56" si="70">(T52-S52)*24*60</f>
        <v>110.00000000000001</v>
      </c>
      <c r="W52" s="15"/>
      <c r="X52" s="15"/>
      <c r="Y52" s="528"/>
      <c r="Z52" s="528"/>
      <c r="AA52" s="11">
        <f t="shared" si="2"/>
        <v>-140.54545454545473</v>
      </c>
      <c r="AB52" s="396">
        <f t="shared" si="57"/>
        <v>0.92972727272727262</v>
      </c>
      <c r="AC52" s="533">
        <f>AB57</f>
        <v>0.93271420601808075</v>
      </c>
    </row>
    <row r="53" spans="1:29" ht="15.75" customHeight="1">
      <c r="A53" s="542" t="s">
        <v>1544</v>
      </c>
      <c r="B53" s="26" t="s">
        <v>15</v>
      </c>
      <c r="C53" s="529" t="s">
        <v>65</v>
      </c>
      <c r="D53" s="529"/>
      <c r="E53" s="26">
        <v>46</v>
      </c>
      <c r="F53" s="27">
        <v>3550</v>
      </c>
      <c r="G53" s="395">
        <f t="shared" si="67"/>
        <v>163300</v>
      </c>
      <c r="H53" s="403" t="s">
        <v>52</v>
      </c>
      <c r="I53" s="394">
        <v>18</v>
      </c>
      <c r="J53" s="18">
        <v>2000</v>
      </c>
      <c r="K53" s="9">
        <f t="shared" si="68"/>
        <v>111.11111111111111</v>
      </c>
      <c r="L53" s="394">
        <v>18</v>
      </c>
      <c r="M53" s="10">
        <f t="shared" si="69"/>
        <v>1852.1739130434785</v>
      </c>
      <c r="N53" s="10">
        <f t="shared" ref="N53:N56" si="71">M53/L53</f>
        <v>102.89855072463769</v>
      </c>
      <c r="O53" s="11">
        <f t="shared" ref="O53:O56" si="72">L53-I53</f>
        <v>0</v>
      </c>
      <c r="P53" s="12">
        <f t="shared" ref="P53:P56" si="73">N53-K53</f>
        <v>-8.2125603864734273</v>
      </c>
      <c r="Q53" s="396">
        <f t="shared" ref="Q53:Q56" si="74">N53/K53</f>
        <v>0.92608695652173911</v>
      </c>
      <c r="R53" s="533"/>
      <c r="S53" s="24">
        <v>0.37152777777777779</v>
      </c>
      <c r="T53" s="24">
        <v>0.4513888888888889</v>
      </c>
      <c r="U53" s="395">
        <f>IF(S53=TIME(17,0,0),"",(S53-T52)*24*60)</f>
        <v>4.9999999999999822</v>
      </c>
      <c r="V53" s="393">
        <f t="shared" si="70"/>
        <v>114.99999999999999</v>
      </c>
      <c r="W53" s="14"/>
      <c r="X53" s="14"/>
      <c r="Y53" s="528"/>
      <c r="Z53" s="528"/>
      <c r="AA53" s="11">
        <f t="shared" si="2"/>
        <v>-147.82608695652152</v>
      </c>
      <c r="AB53" s="396">
        <f t="shared" si="57"/>
        <v>0.92608695652173922</v>
      </c>
      <c r="AC53" s="533"/>
    </row>
    <row r="54" spans="1:29" ht="15.75" customHeight="1">
      <c r="A54" s="542" t="s">
        <v>383</v>
      </c>
      <c r="B54" s="26" t="s">
        <v>13</v>
      </c>
      <c r="C54" s="534" t="s">
        <v>59</v>
      </c>
      <c r="D54" s="535"/>
      <c r="E54" s="26">
        <v>55.56</v>
      </c>
      <c r="F54" s="27">
        <v>2435</v>
      </c>
      <c r="G54" s="395">
        <f t="shared" si="67"/>
        <v>135288.6</v>
      </c>
      <c r="H54" s="403" t="s">
        <v>52</v>
      </c>
      <c r="I54" s="394">
        <v>17</v>
      </c>
      <c r="J54" s="18">
        <v>2000</v>
      </c>
      <c r="K54" s="9">
        <f t="shared" si="68"/>
        <v>117.64705882352941</v>
      </c>
      <c r="L54" s="394">
        <v>17</v>
      </c>
      <c r="M54" s="10">
        <f t="shared" si="69"/>
        <v>1873.076923076922</v>
      </c>
      <c r="N54" s="10">
        <f t="shared" si="71"/>
        <v>110.18099547511305</v>
      </c>
      <c r="O54" s="11">
        <f t="shared" si="72"/>
        <v>0</v>
      </c>
      <c r="P54" s="12">
        <f t="shared" si="73"/>
        <v>-7.4660633484163554</v>
      </c>
      <c r="Q54" s="396">
        <f t="shared" si="74"/>
        <v>0.93653846153846099</v>
      </c>
      <c r="R54" s="533"/>
      <c r="S54" s="24">
        <v>0.70833333333333337</v>
      </c>
      <c r="T54" s="24">
        <v>0.76250000000000007</v>
      </c>
      <c r="U54" s="395" t="str">
        <f t="shared" ref="U54:U56" si="75">IF(S54=TIME(17,0,0),"",(S54-T53)*24*60)</f>
        <v/>
      </c>
      <c r="V54" s="393">
        <f t="shared" si="70"/>
        <v>78.000000000000043</v>
      </c>
      <c r="W54" s="14"/>
      <c r="X54" s="14"/>
      <c r="Y54" s="397"/>
      <c r="Z54" s="398"/>
      <c r="AA54" s="11">
        <f t="shared" si="2"/>
        <v>-126.92307692307804</v>
      </c>
      <c r="AB54" s="396">
        <f t="shared" si="57"/>
        <v>0.93653846153846099</v>
      </c>
      <c r="AC54" s="533"/>
    </row>
    <row r="55" spans="1:29" ht="15.75" customHeight="1">
      <c r="A55" s="542" t="s">
        <v>383</v>
      </c>
      <c r="B55" s="26" t="s">
        <v>13</v>
      </c>
      <c r="C55" s="400" t="s">
        <v>58</v>
      </c>
      <c r="D55" s="401"/>
      <c r="E55" s="26">
        <v>55.32</v>
      </c>
      <c r="F55" s="27">
        <v>1807</v>
      </c>
      <c r="G55" s="395">
        <f t="shared" si="67"/>
        <v>99963.24</v>
      </c>
      <c r="H55" s="403" t="s">
        <v>52</v>
      </c>
      <c r="I55" s="394">
        <v>15</v>
      </c>
      <c r="J55" s="18">
        <v>2000</v>
      </c>
      <c r="K55" s="9">
        <f t="shared" si="68"/>
        <v>133.33333333333334</v>
      </c>
      <c r="L55" s="394">
        <v>15</v>
      </c>
      <c r="M55" s="10">
        <f t="shared" si="69"/>
        <v>1869.3103448275876</v>
      </c>
      <c r="N55" s="10">
        <f t="shared" si="71"/>
        <v>124.62068965517251</v>
      </c>
      <c r="O55" s="11">
        <f t="shared" si="72"/>
        <v>0</v>
      </c>
      <c r="P55" s="12">
        <f t="shared" si="73"/>
        <v>-8.7126436781608305</v>
      </c>
      <c r="Q55" s="396">
        <f t="shared" si="74"/>
        <v>0.93465517241379381</v>
      </c>
      <c r="R55" s="533"/>
      <c r="S55" s="24">
        <v>0.76736111111111116</v>
      </c>
      <c r="T55" s="24">
        <v>0.80763888888888891</v>
      </c>
      <c r="U55" s="395">
        <f t="shared" si="75"/>
        <v>6.9999999999999751</v>
      </c>
      <c r="V55" s="393">
        <f t="shared" si="70"/>
        <v>57.999999999999957</v>
      </c>
      <c r="W55" s="14"/>
      <c r="X55" s="14"/>
      <c r="Y55" s="397"/>
      <c r="Z55" s="398"/>
      <c r="AA55" s="11">
        <f t="shared" si="2"/>
        <v>-130.68965517241236</v>
      </c>
      <c r="AB55" s="396">
        <f t="shared" si="57"/>
        <v>0.93465517241379381</v>
      </c>
      <c r="AC55" s="533"/>
    </row>
    <row r="56" spans="1:29" ht="15.75" customHeight="1">
      <c r="A56" s="542" t="s">
        <v>383</v>
      </c>
      <c r="B56" s="26" t="s">
        <v>13</v>
      </c>
      <c r="C56" s="400" t="s">
        <v>60</v>
      </c>
      <c r="D56" s="401"/>
      <c r="E56" s="26">
        <v>57.73</v>
      </c>
      <c r="F56" s="27">
        <v>1524</v>
      </c>
      <c r="G56" s="395">
        <f t="shared" si="67"/>
        <v>87980.51999999999</v>
      </c>
      <c r="H56" s="403" t="s">
        <v>52</v>
      </c>
      <c r="I56" s="394">
        <v>16</v>
      </c>
      <c r="J56" s="18">
        <v>1500</v>
      </c>
      <c r="K56" s="9">
        <f t="shared" si="68"/>
        <v>93.75</v>
      </c>
      <c r="L56" s="394">
        <v>16</v>
      </c>
      <c r="M56" s="10">
        <f t="shared" si="69"/>
        <v>1406.7692307692323</v>
      </c>
      <c r="N56" s="10">
        <f t="shared" si="71"/>
        <v>87.923076923077019</v>
      </c>
      <c r="O56" s="11">
        <f t="shared" si="72"/>
        <v>0</v>
      </c>
      <c r="P56" s="12">
        <f t="shared" si="73"/>
        <v>-5.8269230769229807</v>
      </c>
      <c r="Q56" s="396">
        <f t="shared" si="74"/>
        <v>0.93784615384615488</v>
      </c>
      <c r="R56" s="533"/>
      <c r="S56" s="24">
        <v>0.81111111111111112</v>
      </c>
      <c r="T56" s="24">
        <v>0.85624999999999996</v>
      </c>
      <c r="U56" s="395">
        <f t="shared" si="75"/>
        <v>4.9999999999999822</v>
      </c>
      <c r="V56" s="393">
        <f t="shared" si="70"/>
        <v>64.999999999999929</v>
      </c>
      <c r="W56" s="14"/>
      <c r="X56" s="14"/>
      <c r="Y56" s="397"/>
      <c r="Z56" s="398"/>
      <c r="AA56" s="11">
        <f t="shared" si="2"/>
        <v>-93.230769230767692</v>
      </c>
      <c r="AB56" s="396">
        <f t="shared" si="57"/>
        <v>0.93784615384615488</v>
      </c>
      <c r="AC56" s="533"/>
    </row>
    <row r="57" spans="1:29">
      <c r="A57" s="543" t="s">
        <v>1544</v>
      </c>
      <c r="B57" s="26" t="s">
        <v>82</v>
      </c>
      <c r="C57" s="530"/>
      <c r="D57" s="530"/>
      <c r="E57" s="399"/>
      <c r="F57" s="16"/>
      <c r="G57" s="9"/>
      <c r="H57" s="392"/>
      <c r="I57" s="17">
        <v>16.600000000000001</v>
      </c>
      <c r="J57" s="18">
        <v>1900</v>
      </c>
      <c r="K57" s="9">
        <f>J57/I57</f>
        <v>114.4578313253012</v>
      </c>
      <c r="L57" s="17">
        <v>16.600000000000001</v>
      </c>
      <c r="M57" s="10">
        <f>AVERAGE(M52:M56)</f>
        <v>1772.1569914343534</v>
      </c>
      <c r="N57" s="9">
        <f>M57/L57</f>
        <v>106.75644526712971</v>
      </c>
      <c r="O57" s="11">
        <f>L57-I57</f>
        <v>0</v>
      </c>
      <c r="P57" s="12">
        <f>N57-K57</f>
        <v>-7.7013860581714937</v>
      </c>
      <c r="Q57" s="396">
        <f>N57/K57</f>
        <v>0.93271420601808064</v>
      </c>
      <c r="R57" s="533"/>
      <c r="S57" s="25"/>
      <c r="T57" s="24"/>
      <c r="U57" s="9"/>
      <c r="V57" s="393"/>
      <c r="W57" s="9"/>
      <c r="X57" s="9"/>
      <c r="Y57" s="528"/>
      <c r="Z57" s="528"/>
      <c r="AA57" s="11">
        <f t="shared" si="2"/>
        <v>-127.84300856564664</v>
      </c>
      <c r="AB57" s="396">
        <f t="shared" si="57"/>
        <v>0.93271420601808075</v>
      </c>
      <c r="AC57" s="533"/>
    </row>
    <row r="58" spans="1:29" ht="15.75" customHeight="1">
      <c r="A58" s="538" t="s">
        <v>385</v>
      </c>
      <c r="B58" s="392" t="s">
        <v>1546</v>
      </c>
      <c r="C58" s="529" t="s">
        <v>1084</v>
      </c>
      <c r="D58" s="529"/>
      <c r="E58" s="26">
        <v>84.51</v>
      </c>
      <c r="F58" s="27">
        <v>4275</v>
      </c>
      <c r="G58" s="395">
        <f t="shared" ref="G58:G63" si="76">E58*F58</f>
        <v>361280.25</v>
      </c>
      <c r="H58" s="403" t="s">
        <v>52</v>
      </c>
      <c r="I58" s="394">
        <v>17</v>
      </c>
      <c r="J58" s="18">
        <v>2400</v>
      </c>
      <c r="K58" s="9">
        <f t="shared" ref="K58:K63" si="77">J58/I58</f>
        <v>141.1764705882353</v>
      </c>
      <c r="L58" s="17">
        <v>17</v>
      </c>
      <c r="M58" s="10">
        <f t="shared" ref="M58:M63" si="78">F58/V58*60</f>
        <v>2230.434782608696</v>
      </c>
      <c r="N58" s="9">
        <f>M58/L58</f>
        <v>131.20204603580564</v>
      </c>
      <c r="O58" s="11">
        <f t="shared" ref="O58:O63" si="79">L58-I58</f>
        <v>0</v>
      </c>
      <c r="P58" s="12">
        <f t="shared" ref="P58:P63" si="80">N58-K58</f>
        <v>-9.9744245524296673</v>
      </c>
      <c r="Q58" s="396">
        <f>N58/K58</f>
        <v>0.92934782608695654</v>
      </c>
      <c r="R58" s="533">
        <f>Q64</f>
        <v>0.93464611834552147</v>
      </c>
      <c r="S58" s="24">
        <v>0.125</v>
      </c>
      <c r="T58" s="24">
        <v>0.2048611111111111</v>
      </c>
      <c r="U58" s="395"/>
      <c r="V58" s="393">
        <f t="shared" ref="V58:V63" si="81">(T58-S58)*24*60</f>
        <v>114.99999999999999</v>
      </c>
      <c r="W58" s="15"/>
      <c r="X58" s="15"/>
      <c r="Y58" s="528"/>
      <c r="Z58" s="528"/>
      <c r="AA58" s="11">
        <f t="shared" si="2"/>
        <v>-169.56521739130403</v>
      </c>
      <c r="AB58" s="396">
        <f t="shared" si="57"/>
        <v>0.92934782608695665</v>
      </c>
      <c r="AC58" s="533">
        <f>AB64</f>
        <v>0.93464611834552136</v>
      </c>
    </row>
    <row r="59" spans="1:29" ht="15.75" customHeight="1">
      <c r="A59" s="538" t="s">
        <v>385</v>
      </c>
      <c r="B59" s="392" t="s">
        <v>32</v>
      </c>
      <c r="C59" s="529" t="s">
        <v>35</v>
      </c>
      <c r="D59" s="529"/>
      <c r="E59" s="26">
        <v>26.78</v>
      </c>
      <c r="F59" s="27">
        <v>2467</v>
      </c>
      <c r="G59" s="395">
        <f t="shared" si="76"/>
        <v>66066.260000000009</v>
      </c>
      <c r="H59" s="403" t="s">
        <v>52</v>
      </c>
      <c r="I59" s="394">
        <v>10</v>
      </c>
      <c r="J59" s="18">
        <v>3000</v>
      </c>
      <c r="K59" s="9">
        <f t="shared" si="77"/>
        <v>300</v>
      </c>
      <c r="L59" s="17">
        <v>10</v>
      </c>
      <c r="M59" s="10">
        <f t="shared" si="78"/>
        <v>2792.8301886792447</v>
      </c>
      <c r="N59" s="9">
        <f t="shared" ref="N59:N63" si="82">M59/L59</f>
        <v>279.28301886792445</v>
      </c>
      <c r="O59" s="11">
        <f t="shared" si="79"/>
        <v>0</v>
      </c>
      <c r="P59" s="12">
        <f t="shared" si="80"/>
        <v>-20.716981132075546</v>
      </c>
      <c r="Q59" s="396">
        <f t="shared" ref="Q59:Q63" si="83">N59/K59</f>
        <v>0.93094339622641487</v>
      </c>
      <c r="R59" s="533"/>
      <c r="S59" s="24">
        <v>0.21041666666666667</v>
      </c>
      <c r="T59" s="24">
        <v>0.24722222222222223</v>
      </c>
      <c r="U59" s="395">
        <f>(S59-T58)*24*60</f>
        <v>8.0000000000000107</v>
      </c>
      <c r="V59" s="393">
        <f t="shared" si="81"/>
        <v>53.000000000000014</v>
      </c>
      <c r="W59" s="395"/>
      <c r="X59" s="395"/>
      <c r="Y59" s="528"/>
      <c r="Z59" s="528"/>
      <c r="AA59" s="11">
        <f t="shared" si="2"/>
        <v>-207.16981132075534</v>
      </c>
      <c r="AB59" s="396">
        <f t="shared" si="57"/>
        <v>0.93094339622641487</v>
      </c>
      <c r="AC59" s="533"/>
    </row>
    <row r="60" spans="1:29" ht="15.75" customHeight="1">
      <c r="A60" s="538" t="s">
        <v>385</v>
      </c>
      <c r="B60" s="392" t="s">
        <v>32</v>
      </c>
      <c r="C60" s="529" t="s">
        <v>39</v>
      </c>
      <c r="D60" s="529"/>
      <c r="E60" s="26">
        <v>35.369999999999997</v>
      </c>
      <c r="F60" s="27">
        <v>1565</v>
      </c>
      <c r="G60" s="395">
        <f t="shared" si="76"/>
        <v>55354.049999999996</v>
      </c>
      <c r="H60" s="403" t="s">
        <v>52</v>
      </c>
      <c r="I60" s="394">
        <v>10</v>
      </c>
      <c r="J60" s="18">
        <v>3000</v>
      </c>
      <c r="K60" s="9">
        <f t="shared" si="77"/>
        <v>300</v>
      </c>
      <c r="L60" s="17">
        <v>10</v>
      </c>
      <c r="M60" s="10">
        <f t="shared" si="78"/>
        <v>2845.4545454545419</v>
      </c>
      <c r="N60" s="9">
        <f t="shared" si="82"/>
        <v>284.54545454545416</v>
      </c>
      <c r="O60" s="11">
        <f t="shared" si="79"/>
        <v>0</v>
      </c>
      <c r="P60" s="12">
        <f t="shared" si="80"/>
        <v>-15.454545454545837</v>
      </c>
      <c r="Q60" s="396">
        <f t="shared" si="83"/>
        <v>0.94848484848484726</v>
      </c>
      <c r="R60" s="533"/>
      <c r="S60" s="24">
        <v>0.25208333333333333</v>
      </c>
      <c r="T60" s="24">
        <v>0.27500000000000002</v>
      </c>
      <c r="U60" s="395">
        <f t="shared" ref="U60:U63" si="84">(S60-T59)*24*60</f>
        <v>6.9999999999999751</v>
      </c>
      <c r="V60" s="393">
        <f t="shared" si="81"/>
        <v>33.000000000000043</v>
      </c>
      <c r="W60" s="395"/>
      <c r="X60" s="395"/>
      <c r="Y60" s="528"/>
      <c r="Z60" s="528"/>
      <c r="AA60" s="11">
        <f t="shared" si="2"/>
        <v>-154.54545454545814</v>
      </c>
      <c r="AB60" s="396">
        <f t="shared" si="57"/>
        <v>0.94848484848484726</v>
      </c>
      <c r="AC60" s="533"/>
    </row>
    <row r="61" spans="1:29" ht="15.75" customHeight="1">
      <c r="A61" s="538" t="s">
        <v>385</v>
      </c>
      <c r="B61" s="392" t="s">
        <v>15</v>
      </c>
      <c r="C61" s="529" t="s">
        <v>36</v>
      </c>
      <c r="D61" s="529"/>
      <c r="E61" s="26">
        <v>26.97</v>
      </c>
      <c r="F61" s="27">
        <v>3450</v>
      </c>
      <c r="G61" s="395">
        <f t="shared" si="76"/>
        <v>93046.5</v>
      </c>
      <c r="H61" s="403" t="s">
        <v>52</v>
      </c>
      <c r="I61" s="394">
        <v>8</v>
      </c>
      <c r="J61" s="18">
        <v>1500</v>
      </c>
      <c r="K61" s="9">
        <f t="shared" si="77"/>
        <v>187.5</v>
      </c>
      <c r="L61" s="17">
        <v>8</v>
      </c>
      <c r="M61" s="10">
        <f t="shared" si="78"/>
        <v>1389.2617449664426</v>
      </c>
      <c r="N61" s="9">
        <f t="shared" si="82"/>
        <v>173.65771812080533</v>
      </c>
      <c r="O61" s="11">
        <f t="shared" si="79"/>
        <v>0</v>
      </c>
      <c r="P61" s="12">
        <f t="shared" si="80"/>
        <v>-13.842281879194672</v>
      </c>
      <c r="Q61" s="396">
        <f t="shared" si="83"/>
        <v>0.92617449664429508</v>
      </c>
      <c r="R61" s="533"/>
      <c r="S61" s="24">
        <v>0.27986111111111112</v>
      </c>
      <c r="T61" s="24">
        <v>0.38333333333333336</v>
      </c>
      <c r="U61" s="395">
        <f t="shared" si="84"/>
        <v>6.9999999999999751</v>
      </c>
      <c r="V61" s="393">
        <f t="shared" si="81"/>
        <v>149.00000000000003</v>
      </c>
      <c r="W61" s="395"/>
      <c r="X61" s="395"/>
      <c r="Y61" s="528"/>
      <c r="Z61" s="528"/>
      <c r="AA61" s="11">
        <f t="shared" si="2"/>
        <v>-110.73825503355738</v>
      </c>
      <c r="AB61" s="396">
        <f t="shared" si="57"/>
        <v>0.92617449664429508</v>
      </c>
      <c r="AC61" s="533"/>
    </row>
    <row r="62" spans="1:29">
      <c r="A62" s="539" t="s">
        <v>385</v>
      </c>
      <c r="B62" s="392" t="s">
        <v>32</v>
      </c>
      <c r="C62" s="529" t="s">
        <v>37</v>
      </c>
      <c r="D62" s="529"/>
      <c r="E62" s="26">
        <v>35.119999999999997</v>
      </c>
      <c r="F62" s="27">
        <v>1242</v>
      </c>
      <c r="G62" s="395">
        <f t="shared" si="76"/>
        <v>43619.039999999994</v>
      </c>
      <c r="H62" s="403" t="s">
        <v>52</v>
      </c>
      <c r="I62" s="394">
        <v>13</v>
      </c>
      <c r="J62" s="18">
        <v>2000</v>
      </c>
      <c r="K62" s="9">
        <f t="shared" si="77"/>
        <v>153.84615384615384</v>
      </c>
      <c r="L62" s="17">
        <v>13</v>
      </c>
      <c r="M62" s="10">
        <f t="shared" si="78"/>
        <v>1862.9999999999993</v>
      </c>
      <c r="N62" s="9">
        <f t="shared" si="82"/>
        <v>143.30769230769226</v>
      </c>
      <c r="O62" s="11">
        <f t="shared" si="79"/>
        <v>0</v>
      </c>
      <c r="P62" s="12">
        <f t="shared" si="80"/>
        <v>-10.538461538461576</v>
      </c>
      <c r="Q62" s="396">
        <f t="shared" si="83"/>
        <v>0.93149999999999977</v>
      </c>
      <c r="R62" s="533"/>
      <c r="S62" s="24">
        <v>0.38750000000000001</v>
      </c>
      <c r="T62" s="24">
        <v>0.4152777777777778</v>
      </c>
      <c r="U62" s="395">
        <f t="shared" si="84"/>
        <v>5.9999999999999787</v>
      </c>
      <c r="V62" s="393">
        <f t="shared" si="81"/>
        <v>40.000000000000014</v>
      </c>
      <c r="W62" s="14"/>
      <c r="X62" s="14"/>
      <c r="Y62" s="528"/>
      <c r="Z62" s="528"/>
      <c r="AA62" s="11">
        <f t="shared" si="2"/>
        <v>-137.00000000000068</v>
      </c>
      <c r="AB62" s="396">
        <f t="shared" si="57"/>
        <v>0.93149999999999966</v>
      </c>
      <c r="AC62" s="533"/>
    </row>
    <row r="63" spans="1:29" ht="15" customHeight="1">
      <c r="A63" s="539" t="s">
        <v>385</v>
      </c>
      <c r="B63" s="392" t="s">
        <v>32</v>
      </c>
      <c r="C63" s="534" t="s">
        <v>84</v>
      </c>
      <c r="D63" s="535"/>
      <c r="E63" s="26">
        <v>35.869999999999997</v>
      </c>
      <c r="F63" s="27">
        <v>2852</v>
      </c>
      <c r="G63" s="395">
        <f t="shared" si="76"/>
        <v>102301.23999999999</v>
      </c>
      <c r="H63" s="403" t="s">
        <v>52</v>
      </c>
      <c r="I63" s="394">
        <v>10</v>
      </c>
      <c r="J63" s="18">
        <v>3000</v>
      </c>
      <c r="K63" s="9">
        <f t="shared" si="77"/>
        <v>300</v>
      </c>
      <c r="L63" s="17">
        <v>10</v>
      </c>
      <c r="M63" s="10">
        <f t="shared" si="78"/>
        <v>2805.2459016393436</v>
      </c>
      <c r="N63" s="9">
        <f t="shared" si="82"/>
        <v>280.52459016393436</v>
      </c>
      <c r="O63" s="11">
        <f t="shared" si="79"/>
        <v>0</v>
      </c>
      <c r="P63" s="12">
        <f t="shared" si="80"/>
        <v>-19.475409836065637</v>
      </c>
      <c r="Q63" s="396">
        <f t="shared" si="83"/>
        <v>0.93508196721311454</v>
      </c>
      <c r="R63" s="533"/>
      <c r="S63" s="24">
        <v>0.41944444444444445</v>
      </c>
      <c r="T63" s="24">
        <v>0.46180555555555558</v>
      </c>
      <c r="U63" s="395">
        <f t="shared" si="84"/>
        <v>5.9999999999999787</v>
      </c>
      <c r="V63" s="393">
        <f t="shared" si="81"/>
        <v>61.000000000000021</v>
      </c>
      <c r="W63" s="395"/>
      <c r="X63" s="395"/>
      <c r="Y63" s="536"/>
      <c r="Z63" s="537"/>
      <c r="AA63" s="11">
        <f t="shared" si="2"/>
        <v>-194.75409836065637</v>
      </c>
      <c r="AB63" s="396">
        <f t="shared" si="57"/>
        <v>0.93508196721311454</v>
      </c>
      <c r="AC63" s="533"/>
    </row>
    <row r="64" spans="1:29">
      <c r="A64" s="539" t="s">
        <v>385</v>
      </c>
      <c r="B64" s="26" t="s">
        <v>82</v>
      </c>
      <c r="C64" s="530"/>
      <c r="D64" s="530"/>
      <c r="E64" s="399"/>
      <c r="F64" s="16"/>
      <c r="G64" s="9"/>
      <c r="H64" s="392"/>
      <c r="I64" s="17">
        <v>11.333333333333334</v>
      </c>
      <c r="J64" s="18">
        <v>2483.3333333333335</v>
      </c>
      <c r="K64" s="9">
        <f>J64/I64</f>
        <v>219.11764705882354</v>
      </c>
      <c r="L64" s="17">
        <v>11.333333333333334</v>
      </c>
      <c r="M64" s="10">
        <f>AVERAGE(M58:M63)</f>
        <v>2321.0378605580449</v>
      </c>
      <c r="N64" s="9">
        <f>M64/L64</f>
        <v>204.79745828453338</v>
      </c>
      <c r="O64" s="11">
        <f>L64-I64</f>
        <v>0</v>
      </c>
      <c r="P64" s="12">
        <f>N64-K64</f>
        <v>-14.320188774290159</v>
      </c>
      <c r="Q64" s="396">
        <f>N64/K64</f>
        <v>0.93464611834552147</v>
      </c>
      <c r="R64" s="533"/>
      <c r="S64" s="24"/>
      <c r="T64" s="24"/>
      <c r="U64" s="9"/>
      <c r="V64" s="393"/>
      <c r="W64" s="9"/>
      <c r="X64" s="9"/>
      <c r="Y64" s="528"/>
      <c r="Z64" s="528"/>
      <c r="AA64" s="11">
        <f t="shared" si="2"/>
        <v>-162.29547277528854</v>
      </c>
      <c r="AB64" s="396">
        <f t="shared" si="57"/>
        <v>0.93464611834552136</v>
      </c>
      <c r="AC64" s="533"/>
    </row>
    <row r="65" spans="1:29" ht="15.75" customHeight="1">
      <c r="A65" s="531" t="s">
        <v>387</v>
      </c>
      <c r="B65" s="392" t="s">
        <v>24</v>
      </c>
      <c r="C65" s="529" t="s">
        <v>67</v>
      </c>
      <c r="D65" s="529"/>
      <c r="E65" s="26">
        <v>32.03</v>
      </c>
      <c r="F65" s="392">
        <v>958</v>
      </c>
      <c r="G65" s="395">
        <f t="shared" ref="G65:G72" si="85">E65*F65</f>
        <v>30684.74</v>
      </c>
      <c r="H65" s="403" t="s">
        <v>52</v>
      </c>
      <c r="I65" s="394">
        <v>19</v>
      </c>
      <c r="J65" s="18">
        <v>2400</v>
      </c>
      <c r="K65" s="9">
        <f t="shared" ref="K65:K67" si="86">J65/I65</f>
        <v>126.31578947368421</v>
      </c>
      <c r="L65" s="17">
        <v>19</v>
      </c>
      <c r="M65" s="10">
        <f>F65/V65*60</f>
        <v>2299.2000000000003</v>
      </c>
      <c r="N65" s="9">
        <f t="shared" ref="N65:N72" si="87">M65/L65</f>
        <v>121.01052631578949</v>
      </c>
      <c r="O65" s="11">
        <f t="shared" ref="O65:O72" si="88">L65-I65</f>
        <v>0</v>
      </c>
      <c r="P65" s="12">
        <f t="shared" ref="P65:P72" si="89">N65-K65</f>
        <v>-5.3052631578947143</v>
      </c>
      <c r="Q65" s="396">
        <f>N65/K65</f>
        <v>0.95800000000000018</v>
      </c>
      <c r="R65" s="533">
        <f>Q73</f>
        <v>0.93589415797608844</v>
      </c>
      <c r="S65" s="24">
        <v>0.125</v>
      </c>
      <c r="T65" s="24">
        <v>0.1423611111111111</v>
      </c>
      <c r="U65" s="15"/>
      <c r="V65" s="393">
        <f t="shared" ref="V65:V72" si="90">(T65-S65)*24*60</f>
        <v>24.999999999999993</v>
      </c>
      <c r="W65" s="14">
        <f>T65</f>
        <v>0.1423611111111111</v>
      </c>
      <c r="X65" s="14">
        <f>S66</f>
        <v>0.16250000000000001</v>
      </c>
      <c r="Y65" s="528"/>
      <c r="Z65" s="528"/>
      <c r="AA65" s="11">
        <f t="shared" si="2"/>
        <v>-100.79999999999973</v>
      </c>
      <c r="AB65" s="396">
        <f>M65/J65</f>
        <v>0.95800000000000007</v>
      </c>
      <c r="AC65" s="533">
        <f>AB73</f>
        <v>0.93589415797608844</v>
      </c>
    </row>
    <row r="66" spans="1:29" ht="15.75" customHeight="1">
      <c r="A66" s="531" t="s">
        <v>387</v>
      </c>
      <c r="B66" s="392" t="s">
        <v>24</v>
      </c>
      <c r="C66" s="529" t="s">
        <v>51</v>
      </c>
      <c r="D66" s="529"/>
      <c r="E66" s="26">
        <v>20.2</v>
      </c>
      <c r="F66" s="392">
        <v>2974</v>
      </c>
      <c r="G66" s="395">
        <f t="shared" si="85"/>
        <v>60074.799999999996</v>
      </c>
      <c r="H66" s="403" t="s">
        <v>52</v>
      </c>
      <c r="I66" s="394">
        <v>19</v>
      </c>
      <c r="J66" s="18">
        <v>2400</v>
      </c>
      <c r="K66" s="9">
        <f t="shared" si="86"/>
        <v>126.31578947368421</v>
      </c>
      <c r="L66" s="17">
        <v>19</v>
      </c>
      <c r="M66" s="10">
        <f t="shared" ref="M66:M72" si="91">F66/V66*60</f>
        <v>2230.5</v>
      </c>
      <c r="N66" s="9">
        <f t="shared" si="87"/>
        <v>117.39473684210526</v>
      </c>
      <c r="O66" s="11">
        <f t="shared" si="88"/>
        <v>0</v>
      </c>
      <c r="P66" s="12">
        <f t="shared" si="89"/>
        <v>-8.9210526315789451</v>
      </c>
      <c r="Q66" s="396">
        <f t="shared" ref="Q66:Q73" si="92">N66/K66</f>
        <v>0.92937500000000006</v>
      </c>
      <c r="R66" s="533"/>
      <c r="S66" s="24">
        <v>0.16250000000000001</v>
      </c>
      <c r="T66" s="24">
        <v>0.21805555555555556</v>
      </c>
      <c r="U66" s="395">
        <f>(S66-T65)*24*60</f>
        <v>29.000000000000018</v>
      </c>
      <c r="V66" s="393">
        <f t="shared" si="90"/>
        <v>80</v>
      </c>
      <c r="W66" s="14"/>
      <c r="X66" s="14"/>
      <c r="Y66" s="528"/>
      <c r="Z66" s="528"/>
      <c r="AA66" s="11">
        <f t="shared" si="2"/>
        <v>-169.5</v>
      </c>
      <c r="AB66" s="396">
        <f t="shared" ref="AB66:AB73" si="93">M66/J66</f>
        <v>0.92937499999999995</v>
      </c>
      <c r="AC66" s="533"/>
    </row>
    <row r="67" spans="1:29" ht="15.75" customHeight="1">
      <c r="A67" s="531" t="s">
        <v>387</v>
      </c>
      <c r="B67" s="392" t="s">
        <v>24</v>
      </c>
      <c r="C67" s="529" t="s">
        <v>41</v>
      </c>
      <c r="D67" s="529"/>
      <c r="E67" s="26">
        <v>19.02</v>
      </c>
      <c r="F67" s="392">
        <v>4200</v>
      </c>
      <c r="G67" s="395">
        <f t="shared" si="85"/>
        <v>79884</v>
      </c>
      <c r="H67" s="403">
        <v>2</v>
      </c>
      <c r="I67" s="394">
        <v>15</v>
      </c>
      <c r="J67" s="18">
        <v>2400</v>
      </c>
      <c r="K67" s="9">
        <f t="shared" si="86"/>
        <v>160</v>
      </c>
      <c r="L67" s="17">
        <v>15</v>
      </c>
      <c r="M67" s="10">
        <f t="shared" si="91"/>
        <v>2230.0884955752203</v>
      </c>
      <c r="N67" s="9">
        <f t="shared" si="87"/>
        <v>148.67256637168137</v>
      </c>
      <c r="O67" s="11">
        <f t="shared" si="88"/>
        <v>0</v>
      </c>
      <c r="P67" s="12">
        <f t="shared" si="89"/>
        <v>-11.32743362831863</v>
      </c>
      <c r="Q67" s="396">
        <f t="shared" si="92"/>
        <v>0.92920353982300852</v>
      </c>
      <c r="R67" s="533"/>
      <c r="S67" s="24">
        <v>0.22361111111111112</v>
      </c>
      <c r="T67" s="24">
        <v>0.30208333333333337</v>
      </c>
      <c r="U67" s="395">
        <f t="shared" ref="U67:U72" si="94">(S67-T66)*24*60</f>
        <v>8.0000000000000107</v>
      </c>
      <c r="V67" s="393">
        <f t="shared" si="90"/>
        <v>113.00000000000004</v>
      </c>
      <c r="W67" s="14"/>
      <c r="X67" s="14"/>
      <c r="Y67" s="528"/>
      <c r="Z67" s="528"/>
      <c r="AA67" s="11">
        <f t="shared" si="2"/>
        <v>-169.91150442477965</v>
      </c>
      <c r="AB67" s="396">
        <f t="shared" si="93"/>
        <v>0.92920353982300852</v>
      </c>
      <c r="AC67" s="533"/>
    </row>
    <row r="68" spans="1:29" ht="15.75" customHeight="1">
      <c r="A68" s="531" t="s">
        <v>387</v>
      </c>
      <c r="B68" s="392" t="s">
        <v>24</v>
      </c>
      <c r="C68" s="529" t="s">
        <v>42</v>
      </c>
      <c r="D68" s="529"/>
      <c r="E68" s="26">
        <v>25</v>
      </c>
      <c r="F68" s="392">
        <v>4365</v>
      </c>
      <c r="G68" s="395">
        <f t="shared" si="85"/>
        <v>109125</v>
      </c>
      <c r="H68" s="403" t="s">
        <v>52</v>
      </c>
      <c r="I68" s="394">
        <v>15</v>
      </c>
      <c r="J68" s="18">
        <v>2400</v>
      </c>
      <c r="K68" s="9">
        <f>J68/I68</f>
        <v>160</v>
      </c>
      <c r="L68" s="17">
        <v>15</v>
      </c>
      <c r="M68" s="10">
        <f t="shared" si="91"/>
        <v>2238.461538461539</v>
      </c>
      <c r="N68" s="9">
        <f t="shared" si="87"/>
        <v>149.23076923076925</v>
      </c>
      <c r="O68" s="11">
        <f t="shared" si="88"/>
        <v>0</v>
      </c>
      <c r="P68" s="12">
        <f t="shared" si="89"/>
        <v>-10.769230769230745</v>
      </c>
      <c r="Q68" s="396">
        <f t="shared" si="92"/>
        <v>0.93269230769230782</v>
      </c>
      <c r="R68" s="533"/>
      <c r="S68" s="24">
        <v>0.30694444444444446</v>
      </c>
      <c r="T68" s="24">
        <v>0.38819444444444445</v>
      </c>
      <c r="U68" s="395">
        <f t="shared" si="94"/>
        <v>6.9999999999999751</v>
      </c>
      <c r="V68" s="393">
        <f t="shared" si="90"/>
        <v>116.99999999999999</v>
      </c>
      <c r="W68" s="14"/>
      <c r="X68" s="14"/>
      <c r="Y68" s="528"/>
      <c r="Z68" s="528"/>
      <c r="AA68" s="11">
        <f t="shared" si="2"/>
        <v>-161.53846153846098</v>
      </c>
      <c r="AB68" s="396">
        <f t="shared" si="93"/>
        <v>0.93269230769230793</v>
      </c>
      <c r="AC68" s="533"/>
    </row>
    <row r="69" spans="1:29" ht="15.75" customHeight="1">
      <c r="A69" s="531" t="s">
        <v>387</v>
      </c>
      <c r="B69" s="392" t="s">
        <v>24</v>
      </c>
      <c r="C69" s="529" t="s">
        <v>77</v>
      </c>
      <c r="D69" s="529"/>
      <c r="E69" s="26">
        <v>28.51</v>
      </c>
      <c r="F69" s="392">
        <v>3850</v>
      </c>
      <c r="G69" s="395">
        <f t="shared" si="85"/>
        <v>109763.5</v>
      </c>
      <c r="H69" s="403" t="s">
        <v>52</v>
      </c>
      <c r="I69" s="394">
        <v>19</v>
      </c>
      <c r="J69" s="18">
        <v>2400</v>
      </c>
      <c r="K69" s="9">
        <f t="shared" ref="K69:K73" si="95">J69/I69</f>
        <v>126.31578947368421</v>
      </c>
      <c r="L69" s="17">
        <v>19</v>
      </c>
      <c r="M69" s="10">
        <f t="shared" si="91"/>
        <v>2242.7184466019412</v>
      </c>
      <c r="N69" s="9">
        <f t="shared" si="87"/>
        <v>118.03781297904953</v>
      </c>
      <c r="O69" s="11">
        <f t="shared" si="88"/>
        <v>0</v>
      </c>
      <c r="P69" s="12">
        <f t="shared" si="89"/>
        <v>-8.2779764946346717</v>
      </c>
      <c r="Q69" s="396">
        <f t="shared" si="92"/>
        <v>0.93446601941747554</v>
      </c>
      <c r="R69" s="533"/>
      <c r="S69" s="24">
        <v>0.39305555555555555</v>
      </c>
      <c r="T69" s="24">
        <v>0.46458333333333335</v>
      </c>
      <c r="U69" s="395">
        <f t="shared" si="94"/>
        <v>6.9999999999999751</v>
      </c>
      <c r="V69" s="393">
        <f t="shared" si="90"/>
        <v>103.00000000000003</v>
      </c>
      <c r="W69" s="14"/>
      <c r="X69" s="14"/>
      <c r="Y69" s="528"/>
      <c r="Z69" s="528"/>
      <c r="AA69" s="11">
        <f t="shared" ref="AA69:AA73" si="96">M69-J69</f>
        <v>-157.2815533980588</v>
      </c>
      <c r="AB69" s="396">
        <f t="shared" si="93"/>
        <v>0.93446601941747554</v>
      </c>
      <c r="AC69" s="533"/>
    </row>
    <row r="70" spans="1:29" ht="15.75" customHeight="1">
      <c r="A70" s="531" t="s">
        <v>387</v>
      </c>
      <c r="B70" s="392" t="s">
        <v>24</v>
      </c>
      <c r="C70" s="529" t="s">
        <v>25</v>
      </c>
      <c r="D70" s="529"/>
      <c r="E70" s="26">
        <v>20.52</v>
      </c>
      <c r="F70" s="392">
        <v>2500</v>
      </c>
      <c r="G70" s="395">
        <f t="shared" si="85"/>
        <v>51300</v>
      </c>
      <c r="H70" s="403">
        <v>2</v>
      </c>
      <c r="I70" s="394">
        <v>18</v>
      </c>
      <c r="J70" s="18">
        <v>2400</v>
      </c>
      <c r="K70" s="9">
        <f t="shared" si="95"/>
        <v>133.33333333333334</v>
      </c>
      <c r="L70" s="17">
        <v>18</v>
      </c>
      <c r="M70" s="10">
        <f t="shared" si="91"/>
        <v>2238.8059701492507</v>
      </c>
      <c r="N70" s="9">
        <f t="shared" si="87"/>
        <v>124.37810945273615</v>
      </c>
      <c r="O70" s="11">
        <f t="shared" si="88"/>
        <v>0</v>
      </c>
      <c r="P70" s="12">
        <f t="shared" si="89"/>
        <v>-8.9552238805971882</v>
      </c>
      <c r="Q70" s="396">
        <f t="shared" si="92"/>
        <v>0.93283582089552108</v>
      </c>
      <c r="R70" s="533"/>
      <c r="S70" s="24">
        <v>0.46805555555555556</v>
      </c>
      <c r="T70" s="24">
        <v>0.51458333333333339</v>
      </c>
      <c r="U70" s="395">
        <f t="shared" si="94"/>
        <v>4.9999999999999822</v>
      </c>
      <c r="V70" s="393">
        <f t="shared" si="90"/>
        <v>67.000000000000085</v>
      </c>
      <c r="W70" s="14">
        <f>T70</f>
        <v>0.51458333333333339</v>
      </c>
      <c r="X70" s="14">
        <f>S71</f>
        <v>0.5541666666666667</v>
      </c>
      <c r="Y70" s="528"/>
      <c r="Z70" s="528"/>
      <c r="AA70" s="11">
        <f t="shared" si="96"/>
        <v>-161.1940298507493</v>
      </c>
      <c r="AB70" s="396">
        <f t="shared" si="93"/>
        <v>0.93283582089552108</v>
      </c>
      <c r="AC70" s="533"/>
    </row>
    <row r="71" spans="1:29" ht="15.75" customHeight="1">
      <c r="A71" s="531" t="s">
        <v>387</v>
      </c>
      <c r="B71" s="392" t="s">
        <v>24</v>
      </c>
      <c r="C71" s="534" t="s">
        <v>41</v>
      </c>
      <c r="D71" s="535"/>
      <c r="E71" s="26">
        <v>19.02</v>
      </c>
      <c r="F71" s="392">
        <v>7119</v>
      </c>
      <c r="G71" s="395">
        <f t="shared" si="85"/>
        <v>135403.38</v>
      </c>
      <c r="H71" s="403" t="s">
        <v>52</v>
      </c>
      <c r="I71" s="394">
        <v>15</v>
      </c>
      <c r="J71" s="18">
        <v>2400</v>
      </c>
      <c r="K71" s="9">
        <f t="shared" si="95"/>
        <v>160</v>
      </c>
      <c r="L71" s="17">
        <v>15</v>
      </c>
      <c r="M71" s="10">
        <f t="shared" si="91"/>
        <v>2224.6875000000009</v>
      </c>
      <c r="N71" s="9">
        <f t="shared" si="87"/>
        <v>148.31250000000006</v>
      </c>
      <c r="O71" s="11">
        <f t="shared" si="88"/>
        <v>0</v>
      </c>
      <c r="P71" s="12">
        <f t="shared" si="89"/>
        <v>-11.687499999999943</v>
      </c>
      <c r="Q71" s="396">
        <f t="shared" si="92"/>
        <v>0.92695312500000038</v>
      </c>
      <c r="R71" s="533"/>
      <c r="S71" s="24">
        <v>0.5541666666666667</v>
      </c>
      <c r="T71" s="24">
        <v>0.6875</v>
      </c>
      <c r="U71" s="395">
        <f t="shared" si="94"/>
        <v>56.999999999999957</v>
      </c>
      <c r="V71" s="393">
        <f t="shared" si="90"/>
        <v>191.99999999999994</v>
      </c>
      <c r="W71" s="14"/>
      <c r="X71" s="14"/>
      <c r="Y71" s="536"/>
      <c r="Z71" s="537"/>
      <c r="AA71" s="11">
        <f t="shared" si="96"/>
        <v>-175.31249999999909</v>
      </c>
      <c r="AB71" s="396">
        <f t="shared" si="93"/>
        <v>0.92695312500000038</v>
      </c>
      <c r="AC71" s="533"/>
    </row>
    <row r="72" spans="1:29" ht="15.75" customHeight="1">
      <c r="A72" s="531" t="s">
        <v>387</v>
      </c>
      <c r="B72" s="392" t="s">
        <v>24</v>
      </c>
      <c r="C72" s="534" t="s">
        <v>25</v>
      </c>
      <c r="D72" s="535"/>
      <c r="E72" s="26">
        <v>20.52</v>
      </c>
      <c r="F72" s="392">
        <v>1925</v>
      </c>
      <c r="G72" s="395">
        <f t="shared" si="85"/>
        <v>39501</v>
      </c>
      <c r="H72" s="403" t="s">
        <v>52</v>
      </c>
      <c r="I72" s="394">
        <v>18</v>
      </c>
      <c r="J72" s="18">
        <v>2400</v>
      </c>
      <c r="K72" s="9">
        <f t="shared" si="95"/>
        <v>133.33333333333334</v>
      </c>
      <c r="L72" s="17">
        <v>18</v>
      </c>
      <c r="M72" s="10">
        <f t="shared" si="91"/>
        <v>2264.7058823529424</v>
      </c>
      <c r="N72" s="9">
        <f t="shared" si="87"/>
        <v>125.81699346405236</v>
      </c>
      <c r="O72" s="11">
        <f t="shared" si="88"/>
        <v>0</v>
      </c>
      <c r="P72" s="12">
        <f t="shared" si="89"/>
        <v>-7.5163398692809835</v>
      </c>
      <c r="Q72" s="396">
        <f t="shared" si="92"/>
        <v>0.94362745098039258</v>
      </c>
      <c r="R72" s="533"/>
      <c r="S72" s="24">
        <v>0.69305555555555554</v>
      </c>
      <c r="T72" s="24">
        <v>0.72847222222222219</v>
      </c>
      <c r="U72" s="395">
        <f t="shared" si="94"/>
        <v>7.9999999999999716</v>
      </c>
      <c r="V72" s="393">
        <f t="shared" si="90"/>
        <v>50.999999999999979</v>
      </c>
      <c r="W72" s="14"/>
      <c r="X72" s="14"/>
      <c r="Y72" s="536"/>
      <c r="Z72" s="537"/>
      <c r="AA72" s="11">
        <f t="shared" si="96"/>
        <v>-135.29411764705765</v>
      </c>
      <c r="AB72" s="396">
        <f t="shared" si="93"/>
        <v>0.94362745098039269</v>
      </c>
      <c r="AC72" s="533"/>
    </row>
    <row r="73" spans="1:29" ht="16.5" customHeight="1">
      <c r="A73" s="532" t="s">
        <v>387</v>
      </c>
      <c r="B73" s="26" t="s">
        <v>1545</v>
      </c>
      <c r="C73" s="530"/>
      <c r="D73" s="530"/>
      <c r="E73" s="399"/>
      <c r="F73" s="16"/>
      <c r="G73" s="9"/>
      <c r="H73" s="392"/>
      <c r="I73" s="17">
        <v>17.25</v>
      </c>
      <c r="J73" s="18">
        <v>2400</v>
      </c>
      <c r="K73" s="9">
        <f t="shared" si="95"/>
        <v>139.13043478260869</v>
      </c>
      <c r="L73" s="17">
        <v>17.25</v>
      </c>
      <c r="M73" s="10">
        <f>AVERAGE(M65:M72)</f>
        <v>2246.1459791426123</v>
      </c>
      <c r="N73" s="9">
        <f>M73/L73</f>
        <v>130.21136110971665</v>
      </c>
      <c r="O73" s="11">
        <f>L73-I73</f>
        <v>0</v>
      </c>
      <c r="P73" s="12">
        <f>N73-K73</f>
        <v>-8.9190736728920399</v>
      </c>
      <c r="Q73" s="396">
        <f t="shared" si="92"/>
        <v>0.93589415797608844</v>
      </c>
      <c r="R73" s="533"/>
      <c r="S73" s="24"/>
      <c r="T73" s="24"/>
      <c r="U73" s="9"/>
      <c r="V73" s="393"/>
      <c r="W73" s="9"/>
      <c r="X73" s="9"/>
      <c r="Y73" s="528"/>
      <c r="Z73" s="528"/>
      <c r="AA73" s="11">
        <f t="shared" si="96"/>
        <v>-153.8540208573877</v>
      </c>
      <c r="AB73" s="396">
        <f t="shared" si="93"/>
        <v>0.93589415797608844</v>
      </c>
      <c r="AC73" s="533"/>
    </row>
    <row r="74" spans="1:29">
      <c r="D74" s="19"/>
      <c r="E74" s="19"/>
    </row>
  </sheetData>
  <mergeCells count="194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4"/>
    <mergeCell ref="C9:D9"/>
    <mergeCell ref="R9:R14"/>
    <mergeCell ref="Y9:Z9"/>
    <mergeCell ref="Y14:Z14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AC9:AC14"/>
    <mergeCell ref="C10:D10"/>
    <mergeCell ref="Y10:Z10"/>
    <mergeCell ref="C11:D11"/>
    <mergeCell ref="Y11:Z11"/>
    <mergeCell ref="C12:D12"/>
    <mergeCell ref="Y12:Z12"/>
    <mergeCell ref="C13:D13"/>
    <mergeCell ref="Y13:Z13"/>
    <mergeCell ref="C14:D14"/>
    <mergeCell ref="AC19:AC25"/>
    <mergeCell ref="C20:D20"/>
    <mergeCell ref="Y20:Z20"/>
    <mergeCell ref="C21:D21"/>
    <mergeCell ref="Y21:Z21"/>
    <mergeCell ref="A15:A18"/>
    <mergeCell ref="C15:D15"/>
    <mergeCell ref="R15:R18"/>
    <mergeCell ref="Y15:Z15"/>
    <mergeCell ref="AC15:AC18"/>
    <mergeCell ref="C16:D16"/>
    <mergeCell ref="Y16:Z16"/>
    <mergeCell ref="C17:D17"/>
    <mergeCell ref="Y17:Z17"/>
    <mergeCell ref="C18:D18"/>
    <mergeCell ref="C22:D22"/>
    <mergeCell ref="Y22:Z22"/>
    <mergeCell ref="C23:D23"/>
    <mergeCell ref="Y23:Z23"/>
    <mergeCell ref="C24:D24"/>
    <mergeCell ref="Y24:Z24"/>
    <mergeCell ref="Y18:Z18"/>
    <mergeCell ref="A19:A25"/>
    <mergeCell ref="C19:D19"/>
    <mergeCell ref="R19:R25"/>
    <mergeCell ref="Y19:Z19"/>
    <mergeCell ref="C25:D25"/>
    <mergeCell ref="Y25:Z25"/>
    <mergeCell ref="A26:A33"/>
    <mergeCell ref="C26:D26"/>
    <mergeCell ref="R26:R33"/>
    <mergeCell ref="Y26:Z26"/>
    <mergeCell ref="Y31:Z31"/>
    <mergeCell ref="C32:D32"/>
    <mergeCell ref="Y32:Z32"/>
    <mergeCell ref="C33:D33"/>
    <mergeCell ref="Y33:Z33"/>
    <mergeCell ref="AC34:AC43"/>
    <mergeCell ref="C35:D35"/>
    <mergeCell ref="Y35:Z35"/>
    <mergeCell ref="C36:D36"/>
    <mergeCell ref="Y36:Z36"/>
    <mergeCell ref="C40:D40"/>
    <mergeCell ref="Y40:Z40"/>
    <mergeCell ref="C41:D41"/>
    <mergeCell ref="Y41:Z41"/>
    <mergeCell ref="C42:D42"/>
    <mergeCell ref="Y42:Z42"/>
    <mergeCell ref="C37:D37"/>
    <mergeCell ref="Y37:Z37"/>
    <mergeCell ref="C38:D38"/>
    <mergeCell ref="Y38:Z38"/>
    <mergeCell ref="C39:D39"/>
    <mergeCell ref="Y39:Z39"/>
    <mergeCell ref="AC26:AC33"/>
    <mergeCell ref="C27:D27"/>
    <mergeCell ref="Y27:Z27"/>
    <mergeCell ref="C28:D28"/>
    <mergeCell ref="Y28:Z28"/>
    <mergeCell ref="C29:D29"/>
    <mergeCell ref="Y29:Z29"/>
    <mergeCell ref="C30:D30"/>
    <mergeCell ref="Y30:Z30"/>
    <mergeCell ref="C31:D31"/>
    <mergeCell ref="C49:D49"/>
    <mergeCell ref="C43:D43"/>
    <mergeCell ref="Y43:Z43"/>
    <mergeCell ref="A44:A51"/>
    <mergeCell ref="C44:D44"/>
    <mergeCell ref="R44:R51"/>
    <mergeCell ref="Y44:Z44"/>
    <mergeCell ref="Y49:Z49"/>
    <mergeCell ref="C50:D50"/>
    <mergeCell ref="Y50:Z50"/>
    <mergeCell ref="C51:D51"/>
    <mergeCell ref="A34:A43"/>
    <mergeCell ref="C34:D34"/>
    <mergeCell ref="R34:R43"/>
    <mergeCell ref="Y34:Z34"/>
    <mergeCell ref="AC58:AC64"/>
    <mergeCell ref="C59:D59"/>
    <mergeCell ref="Y59:Z59"/>
    <mergeCell ref="C60:D60"/>
    <mergeCell ref="Y60:Z60"/>
    <mergeCell ref="Y51:Z51"/>
    <mergeCell ref="A52:A57"/>
    <mergeCell ref="C52:D52"/>
    <mergeCell ref="R52:R57"/>
    <mergeCell ref="Y52:Z52"/>
    <mergeCell ref="AC52:AC57"/>
    <mergeCell ref="C53:D53"/>
    <mergeCell ref="Y53:Z53"/>
    <mergeCell ref="C54:D54"/>
    <mergeCell ref="C57:D57"/>
    <mergeCell ref="AC44:AC51"/>
    <mergeCell ref="C45:D45"/>
    <mergeCell ref="Y45:Z45"/>
    <mergeCell ref="C46:D46"/>
    <mergeCell ref="Y46:Z46"/>
    <mergeCell ref="C47:D47"/>
    <mergeCell ref="Y47:Z47"/>
    <mergeCell ref="C48:D48"/>
    <mergeCell ref="Y48:Z48"/>
    <mergeCell ref="C61:D61"/>
    <mergeCell ref="Y61:Z61"/>
    <mergeCell ref="C62:D62"/>
    <mergeCell ref="Y62:Z62"/>
    <mergeCell ref="C63:D63"/>
    <mergeCell ref="Y63:Z63"/>
    <mergeCell ref="Y57:Z57"/>
    <mergeCell ref="A58:A64"/>
    <mergeCell ref="C58:D58"/>
    <mergeCell ref="R58:R64"/>
    <mergeCell ref="Y58:Z58"/>
    <mergeCell ref="C64:D64"/>
    <mergeCell ref="Y64:Z64"/>
    <mergeCell ref="A65:A73"/>
    <mergeCell ref="C65:D65"/>
    <mergeCell ref="R65:R73"/>
    <mergeCell ref="Y65:Z65"/>
    <mergeCell ref="Y70:Z70"/>
    <mergeCell ref="C71:D71"/>
    <mergeCell ref="Y71:Z71"/>
    <mergeCell ref="C72:D72"/>
    <mergeCell ref="Y72:Z72"/>
    <mergeCell ref="C73:D73"/>
    <mergeCell ref="Y73:Z73"/>
    <mergeCell ref="AC65:AC73"/>
    <mergeCell ref="C66:D66"/>
    <mergeCell ref="Y66:Z66"/>
    <mergeCell ref="C67:D67"/>
    <mergeCell ref="Y67:Z67"/>
    <mergeCell ref="C68:D68"/>
    <mergeCell ref="Y68:Z68"/>
    <mergeCell ref="C69:D69"/>
    <mergeCell ref="Y69:Z69"/>
    <mergeCell ref="C70:D70"/>
  </mergeCells>
  <phoneticPr fontId="3" type="noConversion"/>
  <conditionalFormatting sqref="O61:O70 O73 O5:O9 O14:O16 O51:O58 O18:O49">
    <cfRule type="cellIs" dxfId="1429" priority="49" operator="greaterThan">
      <formula>0</formula>
    </cfRule>
  </conditionalFormatting>
  <conditionalFormatting sqref="P5:P7 P61:P63 AA61:AA63 P65:P70 P26:P32 P58 P9 P14:P16 P19:P24 P52:P56 P34:P49 AA5:AA58 AA65:AA73">
    <cfRule type="cellIs" dxfId="1428" priority="53" operator="lessThan">
      <formula>0</formula>
    </cfRule>
  </conditionalFormatting>
  <conditionalFormatting sqref="AB61:AB63 Q61:Q70 Q73 Q5:Q9 Q14:Q16 Q51:Q58 Q18:Q49 AB5:AB58 AB65:AB73">
    <cfRule type="cellIs" dxfId="1427" priority="50" operator="greaterThan">
      <formula>1</formula>
    </cfRule>
    <cfRule type="cellIs" dxfId="1426" priority="51" operator="lessThan">
      <formula>0.8</formula>
    </cfRule>
  </conditionalFormatting>
  <conditionalFormatting sqref="AC15:AC16 R15:R16 AC61 R61:R70 R18:R41 AC18:AC41 R73 AC5:AC9 R5:R9 R43:R49 AC43:AC49 AC51:AC58 R51:R58">
    <cfRule type="cellIs" dxfId="1425" priority="55" operator="lessThan">
      <formula>0.8</formula>
    </cfRule>
  </conditionalFormatting>
  <conditionalFormatting sqref="AC44">
    <cfRule type="cellIs" dxfId="1424" priority="57" operator="lessThan">
      <formula>0.8</formula>
    </cfRule>
  </conditionalFormatting>
  <conditionalFormatting sqref="AC19:AC24">
    <cfRule type="cellIs" dxfId="1423" priority="54" operator="lessThan">
      <formula>0.8</formula>
    </cfRule>
  </conditionalFormatting>
  <conditionalFormatting sqref="AC26">
    <cfRule type="cellIs" dxfId="1422" priority="56" operator="lessThan">
      <formula>0.8</formula>
    </cfRule>
  </conditionalFormatting>
  <conditionalFormatting sqref="AC34:AC41">
    <cfRule type="cellIs" dxfId="1421" priority="52" operator="lessThan">
      <formula>0.8</formula>
    </cfRule>
  </conditionalFormatting>
  <conditionalFormatting sqref="AA64">
    <cfRule type="cellIs" dxfId="1420" priority="48" operator="lessThan">
      <formula>0</formula>
    </cfRule>
  </conditionalFormatting>
  <conditionalFormatting sqref="AB64">
    <cfRule type="cellIs" dxfId="1419" priority="46" operator="greaterThan">
      <formula>1</formula>
    </cfRule>
    <cfRule type="cellIs" dxfId="1418" priority="47" operator="lessThan">
      <formula>0.8</formula>
    </cfRule>
  </conditionalFormatting>
  <conditionalFormatting sqref="O17">
    <cfRule type="cellIs" dxfId="1417" priority="41" operator="greaterThan">
      <formula>0</formula>
    </cfRule>
  </conditionalFormatting>
  <conditionalFormatting sqref="P17">
    <cfRule type="cellIs" dxfId="1416" priority="44" operator="lessThan">
      <formula>0</formula>
    </cfRule>
  </conditionalFormatting>
  <conditionalFormatting sqref="Q17">
    <cfRule type="cellIs" dxfId="1415" priority="42" operator="greaterThan">
      <formula>1</formula>
    </cfRule>
    <cfRule type="cellIs" dxfId="1414" priority="43" operator="lessThan">
      <formula>0.8</formula>
    </cfRule>
  </conditionalFormatting>
  <conditionalFormatting sqref="R17 AC17">
    <cfRule type="cellIs" dxfId="1413" priority="45" operator="lessThan">
      <formula>0.8</formula>
    </cfRule>
  </conditionalFormatting>
  <conditionalFormatting sqref="O10:O13">
    <cfRule type="cellIs" dxfId="1412" priority="37" operator="greaterThan">
      <formula>0</formula>
    </cfRule>
  </conditionalFormatting>
  <conditionalFormatting sqref="P10:P13">
    <cfRule type="cellIs" dxfId="1411" priority="40" operator="lessThan">
      <formula>0</formula>
    </cfRule>
  </conditionalFormatting>
  <conditionalFormatting sqref="Q10:Q13">
    <cfRule type="cellIs" dxfId="1410" priority="38" operator="greaterThan">
      <formula>1</formula>
    </cfRule>
    <cfRule type="cellIs" dxfId="1409" priority="39" operator="lessThan">
      <formula>0.8</formula>
    </cfRule>
  </conditionalFormatting>
  <conditionalFormatting sqref="R42 AC42">
    <cfRule type="cellIs" dxfId="1408" priority="36" operator="lessThan">
      <formula>0.8</formula>
    </cfRule>
  </conditionalFormatting>
  <conditionalFormatting sqref="AC42">
    <cfRule type="cellIs" dxfId="1407" priority="35" operator="lessThan">
      <formula>0.8</formula>
    </cfRule>
  </conditionalFormatting>
  <conditionalFormatting sqref="O60">
    <cfRule type="cellIs" dxfId="1406" priority="30" operator="greaterThan">
      <formula>0</formula>
    </cfRule>
  </conditionalFormatting>
  <conditionalFormatting sqref="P60 AA60">
    <cfRule type="cellIs" dxfId="1405" priority="33" operator="lessThan">
      <formula>0</formula>
    </cfRule>
  </conditionalFormatting>
  <conditionalFormatting sqref="Q60 AB60">
    <cfRule type="cellIs" dxfId="1404" priority="31" operator="greaterThan">
      <formula>1</formula>
    </cfRule>
    <cfRule type="cellIs" dxfId="1403" priority="32" operator="lessThan">
      <formula>0.8</formula>
    </cfRule>
  </conditionalFormatting>
  <conditionalFormatting sqref="R60 AC60">
    <cfRule type="cellIs" dxfId="1402" priority="34" operator="lessThan">
      <formula>0.8</formula>
    </cfRule>
  </conditionalFormatting>
  <conditionalFormatting sqref="O71">
    <cfRule type="cellIs" dxfId="1401" priority="25" operator="greaterThan">
      <formula>0</formula>
    </cfRule>
  </conditionalFormatting>
  <conditionalFormatting sqref="P71">
    <cfRule type="cellIs" dxfId="1400" priority="28" operator="lessThan">
      <formula>0</formula>
    </cfRule>
  </conditionalFormatting>
  <conditionalFormatting sqref="Q71">
    <cfRule type="cellIs" dxfId="1399" priority="26" operator="greaterThan">
      <formula>1</formula>
    </cfRule>
    <cfRule type="cellIs" dxfId="1398" priority="27" operator="lessThan">
      <formula>0.8</formula>
    </cfRule>
  </conditionalFormatting>
  <conditionalFormatting sqref="R71">
    <cfRule type="cellIs" dxfId="1397" priority="29" operator="lessThan">
      <formula>0.8</formula>
    </cfRule>
  </conditionalFormatting>
  <conditionalFormatting sqref="O50">
    <cfRule type="cellIs" dxfId="1396" priority="19" operator="greaterThan">
      <formula>0</formula>
    </cfRule>
  </conditionalFormatting>
  <conditionalFormatting sqref="P50">
    <cfRule type="cellIs" dxfId="1395" priority="23" operator="lessThan">
      <formula>0</formula>
    </cfRule>
  </conditionalFormatting>
  <conditionalFormatting sqref="Q50">
    <cfRule type="cellIs" dxfId="1394" priority="20" operator="greaterThan">
      <formula>1</formula>
    </cfRule>
    <cfRule type="cellIs" dxfId="1393" priority="21" operator="lessThan">
      <formula>0.8</formula>
    </cfRule>
  </conditionalFormatting>
  <conditionalFormatting sqref="R50 AC50">
    <cfRule type="cellIs" dxfId="1392" priority="24" operator="lessThan">
      <formula>0.8</formula>
    </cfRule>
  </conditionalFormatting>
  <conditionalFormatting sqref="AC50">
    <cfRule type="cellIs" dxfId="1391" priority="22" operator="lessThan">
      <formula>0.8</formula>
    </cfRule>
  </conditionalFormatting>
  <conditionalFormatting sqref="O59">
    <cfRule type="cellIs" dxfId="1390" priority="14" operator="greaterThan">
      <formula>0</formula>
    </cfRule>
  </conditionalFormatting>
  <conditionalFormatting sqref="P59 AA59">
    <cfRule type="cellIs" dxfId="1389" priority="17" operator="lessThan">
      <formula>0</formula>
    </cfRule>
  </conditionalFormatting>
  <conditionalFormatting sqref="Q59 AB59">
    <cfRule type="cellIs" dxfId="1388" priority="15" operator="greaterThan">
      <formula>1</formula>
    </cfRule>
    <cfRule type="cellIs" dxfId="1387" priority="16" operator="lessThan">
      <formula>0.8</formula>
    </cfRule>
  </conditionalFormatting>
  <conditionalFormatting sqref="R59 AC59">
    <cfRule type="cellIs" dxfId="1386" priority="18" operator="lessThan">
      <formula>0.8</formula>
    </cfRule>
  </conditionalFormatting>
  <conditionalFormatting sqref="P8">
    <cfRule type="cellIs" dxfId="1385" priority="13" operator="lessThan">
      <formula>0</formula>
    </cfRule>
  </conditionalFormatting>
  <conditionalFormatting sqref="P18">
    <cfRule type="cellIs" dxfId="1384" priority="12" operator="lessThan">
      <formula>0</formula>
    </cfRule>
  </conditionalFormatting>
  <conditionalFormatting sqref="P25">
    <cfRule type="cellIs" dxfId="1383" priority="11" operator="lessThan">
      <formula>0</formula>
    </cfRule>
  </conditionalFormatting>
  <conditionalFormatting sqref="P33">
    <cfRule type="cellIs" dxfId="1382" priority="10" operator="lessThan">
      <formula>0</formula>
    </cfRule>
  </conditionalFormatting>
  <conditionalFormatting sqref="P51">
    <cfRule type="cellIs" dxfId="1381" priority="9" operator="lessThan">
      <formula>0</formula>
    </cfRule>
  </conditionalFormatting>
  <conditionalFormatting sqref="P57">
    <cfRule type="cellIs" dxfId="1380" priority="8" operator="lessThan">
      <formula>0</formula>
    </cfRule>
  </conditionalFormatting>
  <conditionalFormatting sqref="P64">
    <cfRule type="cellIs" dxfId="1379" priority="7" operator="lessThan">
      <formula>0</formula>
    </cfRule>
  </conditionalFormatting>
  <conditionalFormatting sqref="P73">
    <cfRule type="cellIs" dxfId="1378" priority="6" operator="lessThan">
      <formula>0</formula>
    </cfRule>
  </conditionalFormatting>
  <conditionalFormatting sqref="O72">
    <cfRule type="cellIs" dxfId="1377" priority="1" operator="greaterThan">
      <formula>0</formula>
    </cfRule>
  </conditionalFormatting>
  <conditionalFormatting sqref="P72">
    <cfRule type="cellIs" dxfId="1376" priority="4" operator="lessThan">
      <formula>0</formula>
    </cfRule>
  </conditionalFormatting>
  <conditionalFormatting sqref="Q72">
    <cfRule type="cellIs" dxfId="1375" priority="2" operator="greaterThan">
      <formula>1</formula>
    </cfRule>
    <cfRule type="cellIs" dxfId="1374" priority="3" operator="lessThan">
      <formula>0.8</formula>
    </cfRule>
  </conditionalFormatting>
  <conditionalFormatting sqref="R72">
    <cfRule type="cellIs" dxfId="1373" priority="5" operator="lessThan">
      <formula>0.8</formula>
    </cfRule>
  </conditionalFormatting>
  <dataValidations count="1">
    <dataValidation type="list" allowBlank="1" showInputMessage="1" showErrorMessage="1" sqref="Z8 Z62:Z63 Y5:Z7 Z10:Z58 Y8:Y63 Y64:Z73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4"/>
  <dimension ref="B1:Q28"/>
  <sheetViews>
    <sheetView zoomScale="80" zoomScaleNormal="80" workbookViewId="0">
      <selection activeCell="C23" sqref="C23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521" t="s">
        <v>1395</v>
      </c>
      <c r="C1" s="521"/>
      <c r="D1" s="521"/>
      <c r="E1" s="521"/>
      <c r="F1" s="521"/>
      <c r="G1" s="521"/>
      <c r="H1" s="521"/>
      <c r="I1" s="521"/>
      <c r="J1" s="521"/>
      <c r="K1" s="28"/>
      <c r="L1" s="28"/>
      <c r="M1" s="28"/>
      <c r="N1" s="28"/>
      <c r="O1" s="28"/>
      <c r="P1" s="28"/>
    </row>
    <row r="2" spans="2:17" ht="27.75" customHeight="1">
      <c r="B2" s="522"/>
      <c r="C2" s="522"/>
      <c r="D2" s="522"/>
      <c r="E2" s="522"/>
      <c r="F2" s="522"/>
      <c r="G2" s="522"/>
      <c r="H2" s="522"/>
      <c r="I2" s="522"/>
      <c r="J2" s="522"/>
      <c r="K2" s="30"/>
      <c r="L2" s="324"/>
      <c r="M2" s="30"/>
      <c r="N2" s="28"/>
      <c r="O2" s="28"/>
      <c r="P2" s="28"/>
    </row>
    <row r="3" spans="2:17" ht="46.5" customHeight="1">
      <c r="B3" s="375" t="s">
        <v>1396</v>
      </c>
      <c r="C3" s="523" t="str">
        <f>TEXT('0824 4度C'!A2,"yyyy.mm.ddaaaa")</f>
        <v>2025.08.24星期日</v>
      </c>
      <c r="D3" s="523"/>
      <c r="E3" s="375" t="s">
        <v>1397</v>
      </c>
      <c r="F3" s="524">
        <f>'0824 4度C'!D1</f>
        <v>182419</v>
      </c>
      <c r="G3" s="524"/>
      <c r="H3" s="375" t="s">
        <v>1398</v>
      </c>
      <c r="I3" s="525">
        <f>'0824 4度C'!F1</f>
        <v>6385967.120000001</v>
      </c>
      <c r="J3" s="525"/>
      <c r="K3" s="31"/>
      <c r="L3" s="325"/>
      <c r="M3" s="33"/>
      <c r="N3" s="33"/>
    </row>
    <row r="4" spans="2:17" ht="28.5" customHeight="1">
      <c r="B4" s="516" t="s">
        <v>124</v>
      </c>
      <c r="C4" s="516" t="s">
        <v>1399</v>
      </c>
      <c r="D4" s="516"/>
      <c r="E4" s="526" t="s">
        <v>1400</v>
      </c>
      <c r="F4" s="526"/>
      <c r="G4" s="526" t="s">
        <v>1401</v>
      </c>
      <c r="H4" s="526"/>
      <c r="I4" s="527" t="s">
        <v>1402</v>
      </c>
      <c r="J4" s="527"/>
      <c r="L4" s="326"/>
      <c r="M4" s="33"/>
      <c r="N4" s="33"/>
    </row>
    <row r="5" spans="2:17" ht="28.5" customHeight="1">
      <c r="B5" s="516"/>
      <c r="C5" s="516" t="s">
        <v>1403</v>
      </c>
      <c r="D5" s="516"/>
      <c r="E5" s="516" t="s">
        <v>1404</v>
      </c>
      <c r="F5" s="516"/>
      <c r="G5" s="517" t="s">
        <v>1405</v>
      </c>
      <c r="H5" s="517"/>
      <c r="I5" s="518" t="s">
        <v>1406</v>
      </c>
      <c r="J5" s="518"/>
      <c r="K5" s="33"/>
      <c r="L5" s="326"/>
      <c r="M5" s="33"/>
      <c r="N5" s="33"/>
    </row>
    <row r="6" spans="2:17" ht="28.5" customHeight="1">
      <c r="B6" s="516"/>
      <c r="C6" s="516" t="s">
        <v>43</v>
      </c>
      <c r="D6" s="516"/>
      <c r="E6" s="519">
        <f>AVERAGE(D13:M13)</f>
        <v>146.06906801486821</v>
      </c>
      <c r="F6" s="516">
        <f>AVERAGE(D27:O27,D13:J13)</f>
        <v>150.53354934365365</v>
      </c>
      <c r="G6" s="520">
        <f>AVERAGE(D13:J13)</f>
        <v>150.53354934365365</v>
      </c>
      <c r="H6" s="520"/>
      <c r="I6" s="520">
        <f>AVERAGE(K13:M13)</f>
        <v>135.65194491436881</v>
      </c>
      <c r="J6" s="520"/>
      <c r="K6" s="33"/>
      <c r="L6" s="326"/>
      <c r="M6" s="33"/>
      <c r="N6" s="33"/>
    </row>
    <row r="7" spans="2:17" ht="28.5" customHeight="1">
      <c r="B7" s="516"/>
      <c r="C7" s="510" t="s">
        <v>44</v>
      </c>
      <c r="D7" s="510"/>
      <c r="E7" s="511">
        <f>AVERAGE(D14:M14)</f>
        <v>136.38605359208381</v>
      </c>
      <c r="F7" s="512">
        <f>AVERAGE(D28:O28,D14:J14)</f>
        <v>140.60137398769771</v>
      </c>
      <c r="G7" s="513">
        <f>AVERAGE(D14:J14)</f>
        <v>140.60137398769771</v>
      </c>
      <c r="H7" s="513"/>
      <c r="I7" s="513">
        <f>AVERAGE(K14:M14)</f>
        <v>126.55030600231811</v>
      </c>
      <c r="J7" s="513"/>
      <c r="K7" s="33"/>
      <c r="L7" s="326"/>
      <c r="M7" s="33"/>
      <c r="N7" s="33"/>
    </row>
    <row r="8" spans="2:17" ht="28.5" customHeight="1">
      <c r="B8" s="516"/>
      <c r="C8" s="510" t="s">
        <v>45</v>
      </c>
      <c r="D8" s="510"/>
      <c r="E8" s="514">
        <f>AVERAGE(D15:M15)</f>
        <v>0.93372395103247552</v>
      </c>
      <c r="F8" s="510">
        <f>AVERAGE(D15:J15,D29:O29)</f>
        <v>0.93407442276842001</v>
      </c>
      <c r="G8" s="515">
        <f>AVERAGE(D15:J15)</f>
        <v>0.93407442276842001</v>
      </c>
      <c r="H8" s="515"/>
      <c r="I8" s="515">
        <f>AVERAGE(K15:M15)</f>
        <v>0.93290618364860523</v>
      </c>
      <c r="J8" s="515"/>
      <c r="K8" s="34" t="s">
        <v>1407</v>
      </c>
      <c r="L8" s="326"/>
      <c r="M8" s="33"/>
      <c r="N8" s="33"/>
    </row>
    <row r="9" spans="2:17" ht="28.5" customHeight="1" thickBot="1">
      <c r="H9" s="36"/>
      <c r="I9" s="291"/>
      <c r="L9" s="291"/>
      <c r="N9" s="33"/>
      <c r="O9" s="33"/>
      <c r="P9" s="33"/>
      <c r="Q9" s="33"/>
    </row>
    <row r="10" spans="2:17" ht="30" customHeight="1">
      <c r="B10" s="501" t="s">
        <v>1408</v>
      </c>
      <c r="C10" s="502"/>
      <c r="D10" s="503" t="s">
        <v>1409</v>
      </c>
      <c r="E10" s="504"/>
      <c r="F10" s="504"/>
      <c r="G10" s="504"/>
      <c r="H10" s="504"/>
      <c r="I10" s="504"/>
      <c r="J10" s="505"/>
      <c r="K10" s="506" t="s">
        <v>1410</v>
      </c>
      <c r="L10" s="504"/>
      <c r="M10" s="507"/>
      <c r="P10" s="37"/>
      <c r="Q10" s="37"/>
    </row>
    <row r="11" spans="2:17" ht="17.25" customHeight="1">
      <c r="B11" s="493" t="s">
        <v>1411</v>
      </c>
      <c r="C11" s="494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292">
        <v>6</v>
      </c>
      <c r="J11" s="40">
        <v>7</v>
      </c>
      <c r="K11" s="38">
        <v>1</v>
      </c>
      <c r="L11" s="292">
        <v>2</v>
      </c>
      <c r="M11" s="40">
        <v>3</v>
      </c>
      <c r="P11" s="37"/>
      <c r="Q11" s="37"/>
    </row>
    <row r="12" spans="2:17" ht="34.15" customHeight="1">
      <c r="B12" s="493"/>
      <c r="C12" s="494"/>
      <c r="D12" s="41" t="s">
        <v>345</v>
      </c>
      <c r="E12" s="42" t="s">
        <v>346</v>
      </c>
      <c r="F12" s="42" t="s">
        <v>347</v>
      </c>
      <c r="G12" s="42" t="s">
        <v>348</v>
      </c>
      <c r="H12" s="42" t="s">
        <v>349</v>
      </c>
      <c r="I12" s="293" t="s">
        <v>350</v>
      </c>
      <c r="J12" s="43" t="s">
        <v>351</v>
      </c>
      <c r="K12" s="41" t="s">
        <v>352</v>
      </c>
      <c r="L12" s="293" t="s">
        <v>353</v>
      </c>
      <c r="M12" s="43" t="s">
        <v>354</v>
      </c>
    </row>
    <row r="13" spans="2:17" ht="40.15" customHeight="1">
      <c r="B13" s="508" t="s">
        <v>1412</v>
      </c>
      <c r="C13" s="44" t="s">
        <v>1413</v>
      </c>
      <c r="D13" s="45">
        <f>SUMIFS('0824 4度C'!$K:$K,'0824 4度C'!$A:$A,"新豐6線",'0824 4度C'!$B:$B,"平均")</f>
        <v>117.64705882352941</v>
      </c>
      <c r="E13" s="46">
        <f>SUMIFS('0824 4度C'!$K:$K,'0824 4度C'!$A:$A,"新豐2線",'0824 4度C'!$B:$B,"平均")</f>
        <v>82.417582417582423</v>
      </c>
      <c r="F13" s="47">
        <f>SUMIFS('0824 4度C'!$K:$K,'0824 4度C'!$A:$A,"新豐5線",'0824 4度C'!$B:$B,"平均")</f>
        <v>93.220338983050837</v>
      </c>
      <c r="G13" s="47">
        <f>SUMIFS('0824 4度C'!$K:$K,'0824 4度C'!$A:$A,"新豐7線",'0824 4度C'!$B:$B,"平均")</f>
        <v>116.50485436893203</v>
      </c>
      <c r="H13" s="47">
        <f>SUMIFS('0824 4度C'!$K:$K,'0824 4度C'!$A:$A,"新豐3線",'0824 4度C'!$B:$B,"平均")</f>
        <v>300</v>
      </c>
      <c r="I13" s="294">
        <f>SUMIFS('0824 4度C'!$K:$K,'0824 4度C'!$A:$A,"新豐1線",'0824 4度C'!$B:$B,"平均")</f>
        <v>114.4578313253012</v>
      </c>
      <c r="J13" s="48">
        <f>SUMIFS('0824 4度C'!$K:$K,'0824 4度C'!$A:$A,"新豐10線",'0824 4度C'!$B:$B,"平均")</f>
        <v>229.4871794871795</v>
      </c>
      <c r="K13" s="49">
        <f>SUMIFS('0824 4度C'!$K:$K,'0824 4度C'!$A:$A,"新豐8線",'0824 4度C'!$B:$B,"平均")</f>
        <v>137.70491803278691</v>
      </c>
      <c r="L13" s="301">
        <f>SUMIFS('0824 4度C'!$K:$K,'0824 4度C'!$A:$A,"新豐9線",'0824 4度C'!$B:$B,"平均")</f>
        <v>130.12048192771084</v>
      </c>
      <c r="M13" s="48">
        <f>SUMIFS('0824 4度C'!$K:$K,'0824 4度C'!$A:$A,"新豐4線",'0824 4度C'!$B:$B,"平均")</f>
        <v>139.13043478260869</v>
      </c>
    </row>
    <row r="14" spans="2:17" ht="39.6" customHeight="1">
      <c r="B14" s="508"/>
      <c r="C14" s="51" t="s">
        <v>1414</v>
      </c>
      <c r="D14" s="52">
        <f>SUMIFS('0824 4度C'!$N:$N,'0824 4度C'!$A:$A,"新豐6線",'0824 4度C'!$B:$B,"平均")</f>
        <v>110.39707450144225</v>
      </c>
      <c r="E14" s="53">
        <f>SUMIFS('0824 4度C'!$N:$N,'0824 4度C'!$A:$A,"新豐2線",'0824 4度C'!$B:$B,"平均")</f>
        <v>76.643311350669364</v>
      </c>
      <c r="F14" s="53">
        <f>SUMIFS('0824 4度C'!$N:$N,'0824 4度C'!$A:$A,"新豐5線",'0824 4度C'!$B:$B,"平均")</f>
        <v>86.768283943096719</v>
      </c>
      <c r="G14" s="53">
        <f>SUMIFS('0824 4度C'!$N:$N,'0824 4度C'!$A:$A,"新豐7線",'0824 4度C'!$B:$B,"平均")</f>
        <v>109.54836322466467</v>
      </c>
      <c r="H14" s="53">
        <f>SUMIFS('0824 4度C'!$N:$N,'0824 4度C'!$A:$A,"新豐3線",'0824 4度C'!$B:$B,"平均")</f>
        <v>279.58386334434221</v>
      </c>
      <c r="I14" s="295">
        <f>SUMIFS('0824 4度C'!$N:$N,'0824 4度C'!$A:$A,"新豐1線",'0824 4度C'!$B:$B,"平均")</f>
        <v>106.69323176647212</v>
      </c>
      <c r="J14" s="54">
        <f>SUMIFS('0824 4度C'!$N:$N,'0824 4度C'!$A:$A,"新豐10線",'0824 4度C'!$B:$B,"平均")</f>
        <v>214.57548978319673</v>
      </c>
      <c r="K14" s="55">
        <f>SUMIFS('0824 4度C'!$N:$N,'0824 4度C'!$A:$A,"新豐8線",'0824 4度C'!$B:$B,"平均")</f>
        <v>128.34425530178279</v>
      </c>
      <c r="L14" s="302">
        <f>SUMIFS('0824 4度C'!$N:$N,'0824 4度C'!$A:$A,"新豐9線",'0824 4度C'!$B:$B,"平均")</f>
        <v>121.41843038943087</v>
      </c>
      <c r="M14" s="54">
        <f>SUMIFS('0824 4度C'!$N:$N,'0824 4度C'!$A:$A,"新豐4線",'0824 4度C'!$B:$B,"平均")</f>
        <v>129.88823231574065</v>
      </c>
    </row>
    <row r="15" spans="2:17" ht="40.15" customHeight="1">
      <c r="B15" s="508"/>
      <c r="C15" s="57" t="s">
        <v>1415</v>
      </c>
      <c r="D15" s="58">
        <f t="shared" ref="D15:M15" si="0">D14/D13</f>
        <v>0.93837513326225919</v>
      </c>
      <c r="E15" s="59">
        <f t="shared" si="0"/>
        <v>0.92993884438812158</v>
      </c>
      <c r="F15" s="59">
        <f t="shared" si="0"/>
        <v>0.93078704593503758</v>
      </c>
      <c r="G15" s="59">
        <f t="shared" si="0"/>
        <v>0.94029011767837178</v>
      </c>
      <c r="H15" s="59">
        <f t="shared" si="0"/>
        <v>0.9319462111478074</v>
      </c>
      <c r="I15" s="296">
        <f t="shared" si="0"/>
        <v>0.93216191964391437</v>
      </c>
      <c r="J15" s="60">
        <f t="shared" si="0"/>
        <v>0.93502168732342705</v>
      </c>
      <c r="K15" s="58">
        <f t="shared" si="0"/>
        <v>0.93202375873913679</v>
      </c>
      <c r="L15" s="296">
        <f t="shared" si="0"/>
        <v>0.93312312243729278</v>
      </c>
      <c r="M15" s="60">
        <f t="shared" si="0"/>
        <v>0.93357166976938599</v>
      </c>
    </row>
    <row r="16" spans="2:17" ht="17.25" customHeight="1">
      <c r="B16" s="509" t="s">
        <v>1416</v>
      </c>
      <c r="C16" s="374" t="s">
        <v>1417</v>
      </c>
      <c r="D16" s="61">
        <f>VLOOKUP("新豐6線",'0824 4度C'!$A:$T,19,0)</f>
        <v>0.70833333333333337</v>
      </c>
      <c r="E16" s="24">
        <f>VLOOKUP("新豐2線",'0824 4度C'!$A:$T,19,0)</f>
        <v>0.125</v>
      </c>
      <c r="F16" s="24">
        <f>VLOOKUP("新豐5線",'0824 4度C'!$A:$T,19,0)</f>
        <v>0.25</v>
      </c>
      <c r="G16" s="24">
        <f>VLOOKUP("新豐7線",'0824 4度C'!$A:$T,19,0)</f>
        <v>0.20833333333333334</v>
      </c>
      <c r="H16" s="24">
        <f>VLOOKUP("新豐3線",'0824 4度C'!$A:$T,19,0)</f>
        <v>0.125</v>
      </c>
      <c r="I16" s="297">
        <f>VLOOKUP("新豐1線",'0824 4度C'!$A:$T,19,0)</f>
        <v>0.29166666666666669</v>
      </c>
      <c r="J16" s="62">
        <f>VLOOKUP("新豐10線",'0824 4度C'!$A:$T,19,0)</f>
        <v>0.125</v>
      </c>
      <c r="K16" s="63">
        <f>VLOOKUP("新豐8線",'0824 4度C'!$A:$T,19,0)</f>
        <v>0.125</v>
      </c>
      <c r="L16" s="303">
        <f>VLOOKUP("新豐9線",'0824 4度C'!$A:$T,19,0)</f>
        <v>8.3333333333333329E-2</v>
      </c>
      <c r="M16" s="65">
        <f>VLOOKUP("新豐4線",'0824 4度C'!$A:$T,19,0)</f>
        <v>0.125</v>
      </c>
    </row>
    <row r="17" spans="2:13" ht="17.25" customHeight="1">
      <c r="B17" s="493"/>
      <c r="C17" s="374" t="s">
        <v>1418</v>
      </c>
      <c r="D17" s="63">
        <f>LOOKUP(2,1/(('0824 4度C'!$A:$A="新豐6線")*('0824 4度C'!$T:$T&lt;&gt;"")),'0824 4度C'!$T:$T)</f>
        <v>0.83333333333333348</v>
      </c>
      <c r="E17" s="24">
        <f>LOOKUP(2,1/(('0824 4度C'!$A:$A="新豐2線")*('0824 4度C'!$T:$T&lt;&gt;"")),'0824 4度C'!$T:$T)</f>
        <v>0.68680555555555556</v>
      </c>
      <c r="F17" s="24">
        <f>LOOKUP(2,1/(('0824 4度C'!$A:$A="新豐5線")*('0824 4度C'!$T:$T&lt;&gt;"")),'0824 4度C'!$T:$T)</f>
        <v>0.84375</v>
      </c>
      <c r="G17" s="24">
        <f>LOOKUP(2,1/(('0824 4度C'!$A:$A="新豐7線")*('0824 4度C'!$T:$T&lt;&gt;"")),'0824 4度C'!$T:$T)</f>
        <v>0.81458333333333333</v>
      </c>
      <c r="H17" s="24">
        <f>LOOKUP(2,1/(('0824 4度C'!$A:$A="新豐3線")*('0824 4度C'!$T:$T&lt;&gt;"")),'0824 4度C'!$T:$T)</f>
        <v>0.58958333333333324</v>
      </c>
      <c r="I17" s="297">
        <f>LOOKUP(2,1/(('0824 4度C'!$A:$A="新豐1線")*('0824 4度C'!$T:$T&lt;&gt;"")),'0824 4度C'!$T:$T)</f>
        <v>0.85347222222222219</v>
      </c>
      <c r="J17" s="62">
        <f>LOOKUP(2,1/(('0824 4度C'!$A:$A="新豐10線")*('0824 4度C'!$T:$T&lt;&gt;"")),'0824 4度C'!$T:$T)</f>
        <v>0.51736111111111105</v>
      </c>
      <c r="K17" s="61">
        <f>LOOKUP(2,1/(('0824 4度C'!$A:$A="新豐8線")*('0824 4度C'!$T:$T&lt;&gt;"")),'0824 4度C'!$T:$T)</f>
        <v>0.65624999999999989</v>
      </c>
      <c r="L17" s="297">
        <f>LOOKUP(2,1/(('0824 4度C'!$A:$A="新豐9線")*('0824 4度C'!$T:$T&lt;&gt;"")),'0824 4度C'!$T:$T)</f>
        <v>0.72013888888888866</v>
      </c>
      <c r="M17" s="62">
        <f>LOOKUP(2,1/(('0824 4度C'!$A:$A="新豐4線")*('0824 4度C'!$T:$T&lt;&gt;"")),'0824 4度C'!$T:$T)</f>
        <v>0.72777777777777775</v>
      </c>
    </row>
    <row r="18" spans="2:13" ht="17.25" customHeight="1">
      <c r="B18" s="493" t="s">
        <v>1419</v>
      </c>
      <c r="C18" s="494"/>
      <c r="D18" s="66">
        <f>SUMIFS('0824 4度C'!$I:$I,'0824 4度C'!$A:$A,"新豐6線",'0824 4度C'!$B:$B,"平均")</f>
        <v>17</v>
      </c>
      <c r="E18" s="67">
        <f>SUMIFS('0824 4度C'!$I:$I,'0824 4度C'!$A:$A,"新豐2線",'0824 4度C'!$B:$B,"平均")</f>
        <v>18.2</v>
      </c>
      <c r="F18" s="67">
        <f>SUMIFS('0824 4度C'!$I:$I,'0824 4度C'!$A:$A,"新豐5線",'0824 4度C'!$B:$B,"平均")</f>
        <v>19.666666666666668</v>
      </c>
      <c r="G18" s="67">
        <f>SUMIFS('0824 4度C'!$I:$I,'0824 4度C'!$A:$A,"新豐7線",'0824 4度C'!$B:$B,"平均")</f>
        <v>17.166666666666668</v>
      </c>
      <c r="H18" s="67">
        <f>SUMIFS('0824 4度C'!$I:$I,'0824 4度C'!$A:$A,"新豐3線",'0824 4度C'!$B:$B,"平均")</f>
        <v>10</v>
      </c>
      <c r="I18" s="298">
        <f>SUMIFS('0824 4度C'!$I:$I,'0824 4度C'!$A:$A,"新豐1線",'0824 4度C'!$B:$B,"平均")</f>
        <v>16.600000000000001</v>
      </c>
      <c r="J18" s="68">
        <f>SUMIFS('0824 4度C'!$I:$I,'0824 4度C'!$A:$A,"新豐10線",'0824 4度C'!$B:$B,"平均")</f>
        <v>11.142857142857142</v>
      </c>
      <c r="K18" s="66">
        <f>SUMIFS('0824 4度C'!$I:$I,'0824 4度C'!$A:$A,"新豐8線",'0824 4度C'!$B:$B,"平均")</f>
        <v>17.428571428571427</v>
      </c>
      <c r="L18" s="298">
        <f>SUMIFS('0824 4度C'!$I:$I,'0824 4度C'!$A:$A,"新豐9線",'0824 4度C'!$B:$B,"平均")</f>
        <v>18.444444444444443</v>
      </c>
      <c r="M18" s="68">
        <f>SUMIFS('0824 4度C'!$I:$I,'0824 4度C'!$A:$A,"新豐4線",'0824 4度C'!$B:$B,"平均")</f>
        <v>17.25</v>
      </c>
    </row>
    <row r="19" spans="2:13" ht="17.25" customHeight="1">
      <c r="B19" s="495" t="s">
        <v>1420</v>
      </c>
      <c r="C19" s="496"/>
      <c r="D19" s="69" t="s">
        <v>46</v>
      </c>
      <c r="E19" s="70" t="s">
        <v>47</v>
      </c>
      <c r="F19" s="70" t="s">
        <v>1421</v>
      </c>
      <c r="G19" s="70" t="s">
        <v>1421</v>
      </c>
      <c r="H19" s="70" t="s">
        <v>48</v>
      </c>
      <c r="I19" s="299" t="s">
        <v>46</v>
      </c>
      <c r="J19" s="71" t="s">
        <v>48</v>
      </c>
      <c r="K19" s="69" t="s">
        <v>1422</v>
      </c>
      <c r="L19" s="299" t="s">
        <v>1422</v>
      </c>
      <c r="M19" s="71" t="s">
        <v>1422</v>
      </c>
    </row>
    <row r="20" spans="2:13" ht="17.25" customHeight="1">
      <c r="B20" s="495" t="s">
        <v>1423</v>
      </c>
      <c r="C20" s="496"/>
      <c r="D20" s="69"/>
      <c r="E20" s="70"/>
      <c r="F20" s="70" t="s">
        <v>1424</v>
      </c>
      <c r="G20" s="70" t="s">
        <v>46</v>
      </c>
      <c r="H20" s="70"/>
      <c r="I20" s="299"/>
      <c r="J20" s="71"/>
      <c r="K20" s="69"/>
      <c r="L20" s="299"/>
      <c r="M20" s="71"/>
    </row>
    <row r="21" spans="2:13" ht="17.25" customHeight="1" thickBot="1">
      <c r="B21" s="497" t="s">
        <v>1425</v>
      </c>
      <c r="C21" s="498"/>
      <c r="D21" s="72"/>
      <c r="E21" s="73" t="s">
        <v>1426</v>
      </c>
      <c r="F21" s="499" t="s">
        <v>95</v>
      </c>
      <c r="G21" s="500"/>
      <c r="H21" s="73" t="s">
        <v>1427</v>
      </c>
      <c r="I21" s="300" t="s">
        <v>1428</v>
      </c>
      <c r="J21" s="74" t="s">
        <v>1427</v>
      </c>
      <c r="K21" s="75"/>
      <c r="L21" s="300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1372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5">
    <pageSetUpPr fitToPage="1"/>
  </sheetPr>
  <dimension ref="A1:AC76"/>
  <sheetViews>
    <sheetView zoomScale="70" zoomScaleNormal="70" workbookViewId="0">
      <pane ySplit="4" topLeftCell="A54" activePane="bottomLeft" state="frozen"/>
      <selection activeCell="C23" sqref="C23"/>
      <selection pane="bottomLeft" activeCell="C63" sqref="C63:D63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5" bestFit="1" customWidth="1"/>
    <col min="20" max="20" width="7.625" style="5" bestFit="1" customWidth="1"/>
    <col min="21" max="21" width="10.25" style="5" bestFit="1" customWidth="1"/>
    <col min="22" max="22" width="8.75" style="21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1429</v>
      </c>
      <c r="B1" s="1"/>
      <c r="C1" s="2" t="s">
        <v>1430</v>
      </c>
      <c r="D1" s="3">
        <f>SUM(F5:F75)</f>
        <v>182419</v>
      </c>
      <c r="E1" s="376" t="s">
        <v>1431</v>
      </c>
      <c r="F1" s="1">
        <f>SUM(G5:G75)</f>
        <v>6385967.120000001</v>
      </c>
      <c r="G1" s="1" t="s">
        <v>1432</v>
      </c>
      <c r="H1" s="4">
        <f>L8+L14+L52+L58+L18+L66+L33+L43+L25+L75</f>
        <v>162.89920634920634</v>
      </c>
      <c r="I1" s="572" t="s">
        <v>1433</v>
      </c>
      <c r="J1" s="572"/>
      <c r="K1" s="572"/>
      <c r="L1" s="572" t="s">
        <v>1434</v>
      </c>
      <c r="M1" s="572"/>
      <c r="N1" s="572"/>
      <c r="O1" s="572" t="s">
        <v>1435</v>
      </c>
      <c r="P1" s="572"/>
      <c r="Q1" s="572"/>
      <c r="R1" s="572"/>
      <c r="S1" s="572" t="s">
        <v>1436</v>
      </c>
      <c r="T1" s="572"/>
      <c r="U1" s="572"/>
      <c r="V1" s="572"/>
      <c r="W1" s="572"/>
      <c r="X1" s="572"/>
      <c r="Y1" s="572" t="s">
        <v>1437</v>
      </c>
      <c r="Z1" s="572"/>
      <c r="AA1" s="572" t="s">
        <v>1438</v>
      </c>
      <c r="AB1" s="573"/>
      <c r="AC1" s="573"/>
    </row>
    <row r="2" spans="1:29" ht="26.25" customHeight="1">
      <c r="A2" s="22">
        <v>45893</v>
      </c>
      <c r="B2" s="23" t="s">
        <v>247</v>
      </c>
      <c r="C2" s="2" t="s">
        <v>1412</v>
      </c>
      <c r="D2" s="6">
        <f>AVERAGE(N8,N14,N52,N58,N18,N66,N25,N33,N43,N75)</f>
        <v>136.38605359208381</v>
      </c>
      <c r="E2" s="7" t="s">
        <v>0</v>
      </c>
      <c r="F2" s="8">
        <f>F1/D1</f>
        <v>35.007138072240288</v>
      </c>
      <c r="G2" s="1" t="s">
        <v>1439</v>
      </c>
      <c r="H2" s="387">
        <f>COUNT(H5:H75)</f>
        <v>10</v>
      </c>
      <c r="I2" s="572"/>
      <c r="J2" s="572"/>
      <c r="K2" s="572"/>
      <c r="L2" s="572"/>
      <c r="M2" s="572"/>
      <c r="N2" s="572"/>
      <c r="O2" s="572"/>
      <c r="P2" s="572"/>
      <c r="Q2" s="572"/>
      <c r="R2" s="572"/>
      <c r="S2" s="572"/>
      <c r="T2" s="572"/>
      <c r="U2" s="572"/>
      <c r="V2" s="572"/>
      <c r="W2" s="572"/>
      <c r="X2" s="572"/>
      <c r="Y2" s="572"/>
      <c r="Z2" s="572"/>
      <c r="AA2" s="573"/>
      <c r="AB2" s="573"/>
      <c r="AC2" s="573"/>
    </row>
    <row r="3" spans="1:29" ht="23.25" customHeight="1">
      <c r="A3" s="528" t="s">
        <v>1440</v>
      </c>
      <c r="B3" s="528" t="s">
        <v>1441</v>
      </c>
      <c r="C3" s="528" t="s">
        <v>1442</v>
      </c>
      <c r="D3" s="528"/>
      <c r="E3" s="570" t="s">
        <v>1443</v>
      </c>
      <c r="F3" s="528" t="s">
        <v>1444</v>
      </c>
      <c r="G3" s="570" t="s">
        <v>1445</v>
      </c>
      <c r="H3" s="563" t="s">
        <v>1446</v>
      </c>
      <c r="I3" s="561" t="s">
        <v>1447</v>
      </c>
      <c r="J3" s="566" t="s">
        <v>1448</v>
      </c>
      <c r="K3" s="568" t="s">
        <v>1412</v>
      </c>
      <c r="L3" s="561" t="s">
        <v>1447</v>
      </c>
      <c r="M3" s="566" t="s">
        <v>1448</v>
      </c>
      <c r="N3" s="568" t="s">
        <v>1449</v>
      </c>
      <c r="O3" s="561" t="s">
        <v>1447</v>
      </c>
      <c r="P3" s="568" t="s">
        <v>1412</v>
      </c>
      <c r="Q3" s="567" t="s">
        <v>1450</v>
      </c>
      <c r="R3" s="542" t="s">
        <v>1451</v>
      </c>
      <c r="S3" s="528" t="s">
        <v>1</v>
      </c>
      <c r="T3" s="528"/>
      <c r="U3" s="563" t="s">
        <v>2</v>
      </c>
      <c r="V3" s="563" t="s">
        <v>1452</v>
      </c>
      <c r="W3" s="528" t="s">
        <v>1453</v>
      </c>
      <c r="X3" s="528"/>
      <c r="Y3" s="564" t="s">
        <v>1454</v>
      </c>
      <c r="Z3" s="565"/>
      <c r="AA3" s="566" t="s">
        <v>1448</v>
      </c>
      <c r="AB3" s="567" t="s">
        <v>1450</v>
      </c>
      <c r="AC3" s="542" t="s">
        <v>1455</v>
      </c>
    </row>
    <row r="4" spans="1:29">
      <c r="A4" s="528"/>
      <c r="B4" s="528"/>
      <c r="C4" s="528"/>
      <c r="D4" s="528"/>
      <c r="E4" s="571"/>
      <c r="F4" s="528"/>
      <c r="G4" s="571"/>
      <c r="H4" s="563"/>
      <c r="I4" s="561"/>
      <c r="J4" s="566"/>
      <c r="K4" s="568"/>
      <c r="L4" s="561"/>
      <c r="M4" s="566"/>
      <c r="N4" s="568"/>
      <c r="O4" s="561"/>
      <c r="P4" s="568"/>
      <c r="Q4" s="567"/>
      <c r="R4" s="542"/>
      <c r="S4" s="376" t="s">
        <v>3</v>
      </c>
      <c r="T4" s="376" t="s">
        <v>4</v>
      </c>
      <c r="U4" s="563"/>
      <c r="V4" s="563"/>
      <c r="W4" s="376" t="s">
        <v>1456</v>
      </c>
      <c r="X4" s="376" t="s">
        <v>1457</v>
      </c>
      <c r="Y4" s="565"/>
      <c r="Z4" s="565"/>
      <c r="AA4" s="566"/>
      <c r="AB4" s="567"/>
      <c r="AC4" s="542"/>
    </row>
    <row r="5" spans="1:29">
      <c r="A5" s="560" t="s">
        <v>1458</v>
      </c>
      <c r="B5" s="26" t="s">
        <v>13</v>
      </c>
      <c r="C5" s="562" t="s">
        <v>53</v>
      </c>
      <c r="D5" s="562"/>
      <c r="E5" s="26">
        <v>46.93</v>
      </c>
      <c r="F5" s="386">
        <v>1015</v>
      </c>
      <c r="G5" s="376">
        <f>E5*F5</f>
        <v>47633.95</v>
      </c>
      <c r="H5" s="388" t="s">
        <v>52</v>
      </c>
      <c r="I5" s="384">
        <v>17</v>
      </c>
      <c r="J5" s="18">
        <v>2000</v>
      </c>
      <c r="K5" s="9">
        <f>J5/I5</f>
        <v>117.64705882352941</v>
      </c>
      <c r="L5" s="384">
        <v>17</v>
      </c>
      <c r="M5" s="10">
        <f>F5/V5*60</f>
        <v>1903.1249999999975</v>
      </c>
      <c r="N5" s="9">
        <f>M5/L5</f>
        <v>111.94852941176455</v>
      </c>
      <c r="O5" s="11">
        <f t="shared" ref="O5:O7" si="0">L5-I5</f>
        <v>0</v>
      </c>
      <c r="P5" s="12">
        <f t="shared" ref="P5:P7" si="1">N5-K5</f>
        <v>-5.6985294117648522</v>
      </c>
      <c r="Q5" s="378">
        <f>N5/K5</f>
        <v>0.95156249999999876</v>
      </c>
      <c r="R5" s="533">
        <f>Q8</f>
        <v>0.93837513326225919</v>
      </c>
      <c r="S5" s="24">
        <v>0.70833333333333337</v>
      </c>
      <c r="T5" s="24">
        <v>0.73055555555555562</v>
      </c>
      <c r="U5" s="376"/>
      <c r="V5" s="385">
        <f>(T5-S5)*24*60</f>
        <v>32.000000000000043</v>
      </c>
      <c r="W5" s="14"/>
      <c r="X5" s="13"/>
      <c r="Y5" s="528"/>
      <c r="Z5" s="528"/>
      <c r="AA5" s="11">
        <f t="shared" ref="AA5:AA68" si="2">M5-J5</f>
        <v>-96.875000000002501</v>
      </c>
      <c r="AB5" s="378">
        <f t="shared" ref="AB5:AB7" si="3">M5/J5</f>
        <v>0.95156249999999876</v>
      </c>
      <c r="AC5" s="533">
        <f>AB8</f>
        <v>0.93837513326225908</v>
      </c>
    </row>
    <row r="6" spans="1:29">
      <c r="A6" s="561" t="s">
        <v>1459</v>
      </c>
      <c r="B6" s="26" t="s">
        <v>13</v>
      </c>
      <c r="C6" s="562" t="s">
        <v>55</v>
      </c>
      <c r="D6" s="562"/>
      <c r="E6" s="26">
        <v>50.49</v>
      </c>
      <c r="F6" s="386">
        <v>2171</v>
      </c>
      <c r="G6" s="376">
        <f t="shared" ref="G6:G7" si="4">E6*F6</f>
        <v>109613.79000000001</v>
      </c>
      <c r="H6" s="388" t="s">
        <v>52</v>
      </c>
      <c r="I6" s="384">
        <v>16</v>
      </c>
      <c r="J6" s="18">
        <v>2000</v>
      </c>
      <c r="K6" s="9">
        <f t="shared" ref="K6:K7" si="5">J6/I6</f>
        <v>125</v>
      </c>
      <c r="L6" s="384">
        <v>16</v>
      </c>
      <c r="M6" s="10">
        <f>F6/V6*60</f>
        <v>1860.8571428571411</v>
      </c>
      <c r="N6" s="9">
        <f t="shared" ref="N6:N7" si="6">M6/L6</f>
        <v>116.30357142857132</v>
      </c>
      <c r="O6" s="11">
        <f t="shared" si="0"/>
        <v>0</v>
      </c>
      <c r="P6" s="12">
        <f t="shared" si="1"/>
        <v>-8.6964285714286831</v>
      </c>
      <c r="Q6" s="378">
        <f t="shared" ref="Q6:Q7" si="7">N6/K6</f>
        <v>0.93042857142857049</v>
      </c>
      <c r="R6" s="533"/>
      <c r="S6" s="24">
        <v>0.73472222222222228</v>
      </c>
      <c r="T6" s="24">
        <v>0.78333333333333344</v>
      </c>
      <c r="U6" s="376">
        <f>(S6-T5)*24*60</f>
        <v>5.9999999999999787</v>
      </c>
      <c r="V6" s="385">
        <f>(T6-S6)*24*60</f>
        <v>70.000000000000071</v>
      </c>
      <c r="W6" s="14"/>
      <c r="X6" s="14"/>
      <c r="Y6" s="528"/>
      <c r="Z6" s="528"/>
      <c r="AA6" s="11">
        <f t="shared" si="2"/>
        <v>-139.14285714285893</v>
      </c>
      <c r="AB6" s="378">
        <f t="shared" si="3"/>
        <v>0.93042857142857049</v>
      </c>
      <c r="AC6" s="533"/>
    </row>
    <row r="7" spans="1:29">
      <c r="A7" s="561" t="s">
        <v>1459</v>
      </c>
      <c r="B7" s="26" t="s">
        <v>13</v>
      </c>
      <c r="C7" s="558" t="s">
        <v>76</v>
      </c>
      <c r="D7" s="559"/>
      <c r="E7" s="26">
        <v>50.67</v>
      </c>
      <c r="F7" s="386">
        <v>2084</v>
      </c>
      <c r="G7" s="376">
        <f t="shared" si="4"/>
        <v>105596.28</v>
      </c>
      <c r="H7" s="388" t="s">
        <v>52</v>
      </c>
      <c r="I7" s="384">
        <v>18</v>
      </c>
      <c r="J7" s="18">
        <v>2000</v>
      </c>
      <c r="K7" s="9">
        <f t="shared" si="5"/>
        <v>111.11111111111111</v>
      </c>
      <c r="L7" s="384">
        <v>18</v>
      </c>
      <c r="M7" s="10">
        <f t="shared" ref="M7" si="8">F7/V7*60</f>
        <v>1866.2686567164155</v>
      </c>
      <c r="N7" s="9">
        <f t="shared" si="6"/>
        <v>103.68159203980086</v>
      </c>
      <c r="O7" s="11">
        <f t="shared" si="0"/>
        <v>0</v>
      </c>
      <c r="P7" s="12">
        <f t="shared" si="1"/>
        <v>-7.4295190713102528</v>
      </c>
      <c r="Q7" s="378">
        <f t="shared" si="7"/>
        <v>0.93313432835820775</v>
      </c>
      <c r="R7" s="533"/>
      <c r="S7" s="24">
        <v>0.78680555555555565</v>
      </c>
      <c r="T7" s="24">
        <v>0.83333333333333348</v>
      </c>
      <c r="U7" s="376">
        <f t="shared" ref="U7" si="9">(S7-T6)*24*60</f>
        <v>4.9999999999999822</v>
      </c>
      <c r="V7" s="385">
        <f t="shared" ref="V7" si="10">(T7-S7)*24*60</f>
        <v>67.000000000000085</v>
      </c>
      <c r="W7" s="14"/>
      <c r="X7" s="14"/>
      <c r="Y7" s="536"/>
      <c r="Z7" s="537"/>
      <c r="AA7" s="11">
        <f t="shared" si="2"/>
        <v>-133.73134328358447</v>
      </c>
      <c r="AB7" s="378">
        <f t="shared" si="3"/>
        <v>0.93313432835820775</v>
      </c>
      <c r="AC7" s="533"/>
    </row>
    <row r="8" spans="1:29">
      <c r="A8" s="561" t="s">
        <v>1459</v>
      </c>
      <c r="B8" s="26" t="s">
        <v>1460</v>
      </c>
      <c r="C8" s="530"/>
      <c r="D8" s="530"/>
      <c r="E8" s="377"/>
      <c r="F8" s="16"/>
      <c r="G8" s="9"/>
      <c r="H8" s="386"/>
      <c r="I8" s="17">
        <v>17</v>
      </c>
      <c r="J8" s="18">
        <v>2000</v>
      </c>
      <c r="K8" s="9">
        <f>J8/I8</f>
        <v>117.64705882352941</v>
      </c>
      <c r="L8" s="17">
        <v>17</v>
      </c>
      <c r="M8" s="10">
        <f>AVERAGE(M5:M7)</f>
        <v>1876.7502665245181</v>
      </c>
      <c r="N8" s="9">
        <f>M8/L8</f>
        <v>110.39707450144225</v>
      </c>
      <c r="O8" s="11">
        <f>L8-I8</f>
        <v>0</v>
      </c>
      <c r="P8" s="12">
        <f>N8-K8</f>
        <v>-7.2499843220871583</v>
      </c>
      <c r="Q8" s="378">
        <f>N8/K8</f>
        <v>0.93837513326225919</v>
      </c>
      <c r="R8" s="533"/>
      <c r="S8" s="24"/>
      <c r="T8" s="24"/>
      <c r="U8" s="376"/>
      <c r="V8" s="385"/>
      <c r="W8" s="9"/>
      <c r="X8" s="9"/>
      <c r="Y8" s="528"/>
      <c r="Z8" s="528"/>
      <c r="AA8" s="11">
        <f t="shared" si="2"/>
        <v>-123.24973347548189</v>
      </c>
      <c r="AB8" s="378">
        <f>M8/J8</f>
        <v>0.93837513326225908</v>
      </c>
      <c r="AC8" s="533"/>
    </row>
    <row r="9" spans="1:29" ht="15.75" customHeight="1">
      <c r="A9" s="531" t="s">
        <v>1461</v>
      </c>
      <c r="B9" s="26" t="s">
        <v>15</v>
      </c>
      <c r="C9" s="558" t="s">
        <v>16</v>
      </c>
      <c r="D9" s="559"/>
      <c r="E9" s="26">
        <v>39.619999999999997</v>
      </c>
      <c r="F9" s="386">
        <v>3000</v>
      </c>
      <c r="G9" s="376">
        <f t="shared" ref="G9:G13" si="11">E9*F9</f>
        <v>118859.99999999999</v>
      </c>
      <c r="H9" s="388">
        <v>2</v>
      </c>
      <c r="I9" s="384">
        <v>19</v>
      </c>
      <c r="J9" s="18">
        <v>1500</v>
      </c>
      <c r="K9" s="9">
        <f t="shared" ref="K9:K13" si="12">J9/I9</f>
        <v>78.94736842105263</v>
      </c>
      <c r="L9" s="384">
        <v>19</v>
      </c>
      <c r="M9" s="10">
        <f t="shared" ref="M9:M13" si="13">F9/V9*60</f>
        <v>1395.348837209302</v>
      </c>
      <c r="N9" s="9">
        <f t="shared" ref="N9:N13" si="14">M9/L9</f>
        <v>73.4394124847001</v>
      </c>
      <c r="O9" s="11">
        <f t="shared" ref="O9:O13" si="15">L9-I9</f>
        <v>0</v>
      </c>
      <c r="P9" s="12">
        <f>N9-K9</f>
        <v>-5.5079559363525306</v>
      </c>
      <c r="Q9" s="378">
        <f>N9/K9</f>
        <v>0.93023255813953465</v>
      </c>
      <c r="R9" s="533">
        <f>Q14</f>
        <v>0.92993884438812158</v>
      </c>
      <c r="S9" s="24">
        <v>0.125</v>
      </c>
      <c r="T9" s="24">
        <v>0.21458333333333335</v>
      </c>
      <c r="U9" s="376"/>
      <c r="V9" s="385">
        <f t="shared" ref="V9:V13" si="16">(T9-S9)*24*60</f>
        <v>129.00000000000003</v>
      </c>
      <c r="W9" s="14">
        <f>T9</f>
        <v>0.21458333333333335</v>
      </c>
      <c r="X9" s="14">
        <f>S10</f>
        <v>0.2326388888888889</v>
      </c>
      <c r="Y9" s="528"/>
      <c r="Z9" s="528"/>
      <c r="AA9" s="11">
        <f t="shared" si="2"/>
        <v>-104.65116279069798</v>
      </c>
      <c r="AB9" s="378">
        <f>M9/J9</f>
        <v>0.93023255813953465</v>
      </c>
      <c r="AC9" s="533">
        <f>AB14</f>
        <v>0.92993884438812169</v>
      </c>
    </row>
    <row r="10" spans="1:29" ht="15.75" customHeight="1">
      <c r="A10" s="531" t="s">
        <v>1461</v>
      </c>
      <c r="B10" s="26" t="s">
        <v>15</v>
      </c>
      <c r="C10" s="558" t="s">
        <v>17</v>
      </c>
      <c r="D10" s="559"/>
      <c r="E10" s="26">
        <v>39.799999999999997</v>
      </c>
      <c r="F10" s="386">
        <v>4000</v>
      </c>
      <c r="G10" s="376">
        <f t="shared" si="11"/>
        <v>159200</v>
      </c>
      <c r="H10" s="388">
        <v>2</v>
      </c>
      <c r="I10" s="384">
        <v>17</v>
      </c>
      <c r="J10" s="18">
        <v>1500</v>
      </c>
      <c r="K10" s="9">
        <f t="shared" si="12"/>
        <v>88.235294117647058</v>
      </c>
      <c r="L10" s="384">
        <v>17</v>
      </c>
      <c r="M10" s="10">
        <f t="shared" si="13"/>
        <v>1395.348837209302</v>
      </c>
      <c r="N10" s="9">
        <f t="shared" si="14"/>
        <v>82.079343365253067</v>
      </c>
      <c r="O10" s="11">
        <f t="shared" si="15"/>
        <v>0</v>
      </c>
      <c r="P10" s="12">
        <f t="shared" ref="P10:P13" si="17">N10-K10</f>
        <v>-6.1559507523939914</v>
      </c>
      <c r="Q10" s="378">
        <f t="shared" ref="Q10:Q13" si="18">N10/K10</f>
        <v>0.93023255813953476</v>
      </c>
      <c r="R10" s="533"/>
      <c r="S10" s="24">
        <v>0.2326388888888889</v>
      </c>
      <c r="T10" s="24">
        <v>0.35208333333333336</v>
      </c>
      <c r="U10" s="376">
        <f>(S10-T9)*24*60</f>
        <v>25.999999999999986</v>
      </c>
      <c r="V10" s="385">
        <f t="shared" si="16"/>
        <v>172.00000000000003</v>
      </c>
      <c r="W10" s="14"/>
      <c r="X10" s="14"/>
      <c r="Y10" s="528"/>
      <c r="Z10" s="528"/>
      <c r="AA10" s="11">
        <f t="shared" si="2"/>
        <v>-104.65116279069798</v>
      </c>
      <c r="AB10" s="378">
        <f t="shared" ref="AB10:AB25" si="19">M10/J10</f>
        <v>0.93023255813953465</v>
      </c>
      <c r="AC10" s="533"/>
    </row>
    <row r="11" spans="1:29" ht="15.75" customHeight="1">
      <c r="A11" s="531" t="s">
        <v>1461</v>
      </c>
      <c r="B11" s="26" t="s">
        <v>15</v>
      </c>
      <c r="C11" s="558" t="s">
        <v>80</v>
      </c>
      <c r="D11" s="559"/>
      <c r="E11" s="26">
        <v>39.29</v>
      </c>
      <c r="F11" s="386">
        <v>4253</v>
      </c>
      <c r="G11" s="376">
        <f t="shared" si="11"/>
        <v>167100.37</v>
      </c>
      <c r="H11" s="388" t="s">
        <v>52</v>
      </c>
      <c r="I11" s="384">
        <v>19</v>
      </c>
      <c r="J11" s="18">
        <v>1500</v>
      </c>
      <c r="K11" s="9">
        <f t="shared" si="12"/>
        <v>78.94736842105263</v>
      </c>
      <c r="L11" s="384">
        <v>19</v>
      </c>
      <c r="M11" s="10">
        <f t="shared" si="13"/>
        <v>1394.4262295081967</v>
      </c>
      <c r="N11" s="9">
        <f t="shared" si="14"/>
        <v>73.390854184641924</v>
      </c>
      <c r="O11" s="11">
        <f t="shared" si="15"/>
        <v>0</v>
      </c>
      <c r="P11" s="12">
        <f t="shared" si="17"/>
        <v>-5.5565142364107061</v>
      </c>
      <c r="Q11" s="378">
        <f t="shared" si="18"/>
        <v>0.9296174863387977</v>
      </c>
      <c r="R11" s="533"/>
      <c r="S11" s="24">
        <v>0.35694444444444445</v>
      </c>
      <c r="T11" s="24">
        <v>0.48402777777777778</v>
      </c>
      <c r="U11" s="376">
        <f t="shared" ref="U11:U13" si="20">(S11-T10)*24*60</f>
        <v>6.9999999999999751</v>
      </c>
      <c r="V11" s="385">
        <f t="shared" si="16"/>
        <v>183</v>
      </c>
      <c r="W11" s="14">
        <f>T11</f>
        <v>0.48402777777777778</v>
      </c>
      <c r="X11" s="14">
        <f>S12</f>
        <v>0.52569444444444446</v>
      </c>
      <c r="Y11" s="528"/>
      <c r="Z11" s="528"/>
      <c r="AA11" s="11">
        <f t="shared" si="2"/>
        <v>-105.57377049180332</v>
      </c>
      <c r="AB11" s="378">
        <f t="shared" si="19"/>
        <v>0.92961748633879782</v>
      </c>
      <c r="AC11" s="533"/>
    </row>
    <row r="12" spans="1:29" ht="15.75" customHeight="1">
      <c r="A12" s="531" t="s">
        <v>1461</v>
      </c>
      <c r="B12" s="26" t="s">
        <v>15</v>
      </c>
      <c r="C12" s="558" t="s">
        <v>16</v>
      </c>
      <c r="D12" s="559"/>
      <c r="E12" s="26">
        <v>39.619999999999997</v>
      </c>
      <c r="F12" s="386">
        <v>2161</v>
      </c>
      <c r="G12" s="376">
        <f t="shared" si="11"/>
        <v>85618.819999999992</v>
      </c>
      <c r="H12" s="388" t="s">
        <v>52</v>
      </c>
      <c r="I12" s="384">
        <v>19</v>
      </c>
      <c r="J12" s="18">
        <v>1500</v>
      </c>
      <c r="K12" s="9">
        <f t="shared" si="12"/>
        <v>78.94736842105263</v>
      </c>
      <c r="L12" s="384">
        <v>19</v>
      </c>
      <c r="M12" s="10">
        <f t="shared" si="13"/>
        <v>1394.1935483870971</v>
      </c>
      <c r="N12" s="9">
        <f t="shared" si="14"/>
        <v>73.37860780984721</v>
      </c>
      <c r="O12" s="11">
        <f t="shared" si="15"/>
        <v>0</v>
      </c>
      <c r="P12" s="12">
        <f t="shared" si="17"/>
        <v>-5.5687606112054198</v>
      </c>
      <c r="Q12" s="378">
        <f t="shared" si="18"/>
        <v>0.92946236559139805</v>
      </c>
      <c r="R12" s="533"/>
      <c r="S12" s="24">
        <v>0.52569444444444446</v>
      </c>
      <c r="T12" s="24">
        <v>0.59027777777777779</v>
      </c>
      <c r="U12" s="376">
        <f t="shared" si="20"/>
        <v>60.000000000000028</v>
      </c>
      <c r="V12" s="385">
        <f t="shared" si="16"/>
        <v>92.999999999999986</v>
      </c>
      <c r="W12" s="14"/>
      <c r="X12" s="14"/>
      <c r="Y12" s="528"/>
      <c r="Z12" s="528"/>
      <c r="AA12" s="11">
        <f t="shared" si="2"/>
        <v>-105.80645161290295</v>
      </c>
      <c r="AB12" s="378">
        <f t="shared" si="19"/>
        <v>0.92946236559139805</v>
      </c>
      <c r="AC12" s="533"/>
    </row>
    <row r="13" spans="1:29" ht="15.75" customHeight="1">
      <c r="A13" s="531" t="s">
        <v>1461</v>
      </c>
      <c r="B13" s="26" t="s">
        <v>15</v>
      </c>
      <c r="C13" s="558" t="s">
        <v>17</v>
      </c>
      <c r="D13" s="559"/>
      <c r="E13" s="26">
        <v>39.799999999999997</v>
      </c>
      <c r="F13" s="386">
        <v>3116</v>
      </c>
      <c r="G13" s="376">
        <f t="shared" si="11"/>
        <v>124016.79999999999</v>
      </c>
      <c r="H13" s="388" t="s">
        <v>52</v>
      </c>
      <c r="I13" s="384">
        <v>17</v>
      </c>
      <c r="J13" s="18">
        <v>1500</v>
      </c>
      <c r="K13" s="9">
        <f t="shared" si="12"/>
        <v>88.235294117647058</v>
      </c>
      <c r="L13" s="384">
        <v>17</v>
      </c>
      <c r="M13" s="10">
        <f t="shared" si="13"/>
        <v>1395.2238805970151</v>
      </c>
      <c r="N13" s="9">
        <f t="shared" si="14"/>
        <v>82.071992976295007</v>
      </c>
      <c r="O13" s="11">
        <f t="shared" si="15"/>
        <v>0</v>
      </c>
      <c r="P13" s="12">
        <f t="shared" si="17"/>
        <v>-6.1633011413520506</v>
      </c>
      <c r="Q13" s="378">
        <f t="shared" si="18"/>
        <v>0.93014925373134338</v>
      </c>
      <c r="R13" s="533"/>
      <c r="S13" s="24">
        <v>0.59375</v>
      </c>
      <c r="T13" s="24">
        <v>0.68680555555555556</v>
      </c>
      <c r="U13" s="376">
        <f t="shared" si="20"/>
        <v>4.9999999999999822</v>
      </c>
      <c r="V13" s="385">
        <f t="shared" si="16"/>
        <v>134</v>
      </c>
      <c r="W13" s="14"/>
      <c r="X13" s="14"/>
      <c r="Y13" s="536"/>
      <c r="Z13" s="537"/>
      <c r="AA13" s="11">
        <f t="shared" si="2"/>
        <v>-104.77611940298493</v>
      </c>
      <c r="AB13" s="378">
        <f t="shared" si="19"/>
        <v>0.93014925373134338</v>
      </c>
      <c r="AC13" s="533"/>
    </row>
    <row r="14" spans="1:29" ht="16.5" customHeight="1">
      <c r="A14" s="531" t="s">
        <v>1461</v>
      </c>
      <c r="B14" s="26" t="s">
        <v>1460</v>
      </c>
      <c r="C14" s="530"/>
      <c r="D14" s="530"/>
      <c r="E14" s="377"/>
      <c r="F14" s="18"/>
      <c r="G14" s="10"/>
      <c r="H14" s="386"/>
      <c r="I14" s="17">
        <v>18.2</v>
      </c>
      <c r="J14" s="18">
        <v>1500</v>
      </c>
      <c r="K14" s="9">
        <f>J14/I14</f>
        <v>82.417582417582423</v>
      </c>
      <c r="L14" s="17">
        <v>18.2</v>
      </c>
      <c r="M14" s="10">
        <f>AVERAGE(M9:M13)</f>
        <v>1394.9082665821825</v>
      </c>
      <c r="N14" s="9">
        <f>M14/L14</f>
        <v>76.643311350669364</v>
      </c>
      <c r="O14" s="11">
        <f>L14-I14</f>
        <v>0</v>
      </c>
      <c r="P14" s="12">
        <f>N14-K14</f>
        <v>-5.7742710669130588</v>
      </c>
      <c r="Q14" s="378">
        <f>N14/K14</f>
        <v>0.92993884438812158</v>
      </c>
      <c r="R14" s="533"/>
      <c r="S14" s="24"/>
      <c r="T14" s="24"/>
      <c r="U14" s="9"/>
      <c r="V14" s="385"/>
      <c r="W14" s="9"/>
      <c r="X14" s="9"/>
      <c r="Y14" s="528"/>
      <c r="Z14" s="528"/>
      <c r="AA14" s="11">
        <f t="shared" si="2"/>
        <v>-105.09173341781752</v>
      </c>
      <c r="AB14" s="378">
        <f t="shared" si="19"/>
        <v>0.92993884438812169</v>
      </c>
      <c r="AC14" s="533"/>
    </row>
    <row r="15" spans="1:29" ht="16.5" customHeight="1">
      <c r="A15" s="556" t="s">
        <v>1462</v>
      </c>
      <c r="B15" s="386" t="s">
        <v>21</v>
      </c>
      <c r="C15" s="552" t="s">
        <v>19</v>
      </c>
      <c r="D15" s="552"/>
      <c r="E15" s="26">
        <v>41</v>
      </c>
      <c r="F15" s="386">
        <v>1993</v>
      </c>
      <c r="G15" s="376">
        <f t="shared" ref="G15:G17" si="21">E15*F15</f>
        <v>81713</v>
      </c>
      <c r="H15" s="388" t="s">
        <v>52</v>
      </c>
      <c r="I15" s="384">
        <v>26</v>
      </c>
      <c r="J15" s="18">
        <v>1500</v>
      </c>
      <c r="K15" s="9">
        <f>J15/I15</f>
        <v>57.692307692307693</v>
      </c>
      <c r="L15" s="384">
        <v>26</v>
      </c>
      <c r="M15" s="10">
        <f>F15/V15*60</f>
        <v>1390.4651162790694</v>
      </c>
      <c r="N15" s="9">
        <f t="shared" ref="N15:N24" si="22">M15/L15</f>
        <v>53.47942754919498</v>
      </c>
      <c r="O15" s="11">
        <f t="shared" ref="O15" si="23">L15-I15</f>
        <v>0</v>
      </c>
      <c r="P15" s="12">
        <f t="shared" ref="P15" si="24">N15-K15</f>
        <v>-4.212880143112713</v>
      </c>
      <c r="Q15" s="378">
        <f>N15/K15</f>
        <v>0.92697674418604636</v>
      </c>
      <c r="R15" s="533">
        <f>Q18</f>
        <v>0.93078704593503758</v>
      </c>
      <c r="S15" s="24">
        <v>0.25</v>
      </c>
      <c r="T15" s="24">
        <v>0.30972222222222223</v>
      </c>
      <c r="U15" s="376"/>
      <c r="V15" s="385">
        <f>(T15-S15)*24*60</f>
        <v>86.000000000000014</v>
      </c>
      <c r="W15" s="15"/>
      <c r="X15" s="15"/>
      <c r="Y15" s="528"/>
      <c r="Z15" s="528"/>
      <c r="AA15" s="11">
        <f t="shared" si="2"/>
        <v>-109.53488372093057</v>
      </c>
      <c r="AB15" s="378">
        <f t="shared" si="19"/>
        <v>0.92697674418604625</v>
      </c>
      <c r="AC15" s="533">
        <f>AB18</f>
        <v>0.93078704593503758</v>
      </c>
    </row>
    <row r="16" spans="1:29" ht="16.5" customHeight="1">
      <c r="A16" s="557" t="s">
        <v>1462</v>
      </c>
      <c r="B16" s="386" t="s">
        <v>13</v>
      </c>
      <c r="C16" s="552" t="s">
        <v>57</v>
      </c>
      <c r="D16" s="552"/>
      <c r="E16" s="26">
        <v>50.98</v>
      </c>
      <c r="F16" s="386">
        <v>2733</v>
      </c>
      <c r="G16" s="376">
        <f t="shared" si="21"/>
        <v>139328.34</v>
      </c>
      <c r="H16" s="388" t="s">
        <v>52</v>
      </c>
      <c r="I16" s="384">
        <v>17</v>
      </c>
      <c r="J16" s="18">
        <v>2000</v>
      </c>
      <c r="K16" s="9">
        <f>J16/I16</f>
        <v>117.64705882352941</v>
      </c>
      <c r="L16" s="384">
        <v>17</v>
      </c>
      <c r="M16" s="10">
        <f>F16/V16*60</f>
        <v>1863.409090909091</v>
      </c>
      <c r="N16" s="9">
        <f t="shared" si="22"/>
        <v>109.61229946524065</v>
      </c>
      <c r="O16" s="11">
        <f>L16-I16</f>
        <v>0</v>
      </c>
      <c r="P16" s="12">
        <f>N16-K16</f>
        <v>-8.0347593582887527</v>
      </c>
      <c r="Q16" s="378">
        <f>N16/K16</f>
        <v>0.93170454545454562</v>
      </c>
      <c r="R16" s="533"/>
      <c r="S16" s="24">
        <v>0.70833333333333337</v>
      </c>
      <c r="T16" s="24">
        <v>0.76944444444444449</v>
      </c>
      <c r="U16" s="376" t="str">
        <f>IF(S16=TIME(17,0,0),"",(S16-T15)*24*60)</f>
        <v/>
      </c>
      <c r="V16" s="385">
        <f>(T16-S16)*24*60</f>
        <v>88</v>
      </c>
      <c r="W16" s="14"/>
      <c r="X16" s="14"/>
      <c r="Y16" s="528"/>
      <c r="Z16" s="528"/>
      <c r="AA16" s="11">
        <f t="shared" si="2"/>
        <v>-136.59090909090901</v>
      </c>
      <c r="AB16" s="378">
        <f t="shared" si="19"/>
        <v>0.93170454545454551</v>
      </c>
      <c r="AC16" s="533"/>
    </row>
    <row r="17" spans="1:29" ht="16.5" customHeight="1">
      <c r="A17" s="557" t="s">
        <v>1462</v>
      </c>
      <c r="B17" s="386" t="s">
        <v>13</v>
      </c>
      <c r="C17" s="552" t="s">
        <v>54</v>
      </c>
      <c r="D17" s="552"/>
      <c r="E17" s="26">
        <v>50.92</v>
      </c>
      <c r="F17" s="386">
        <v>3078</v>
      </c>
      <c r="G17" s="376">
        <f t="shared" si="21"/>
        <v>156731.76</v>
      </c>
      <c r="H17" s="388" t="s">
        <v>52</v>
      </c>
      <c r="I17" s="384">
        <v>16</v>
      </c>
      <c r="J17" s="18">
        <v>2000</v>
      </c>
      <c r="K17" s="9">
        <f t="shared" ref="K17" si="25">J17/I17</f>
        <v>125</v>
      </c>
      <c r="L17" s="384">
        <v>16</v>
      </c>
      <c r="M17" s="10">
        <f t="shared" ref="M17" si="26">F17/V17*60</f>
        <v>1865.454545454546</v>
      </c>
      <c r="N17" s="9">
        <f t="shared" si="22"/>
        <v>116.59090909090912</v>
      </c>
      <c r="O17" s="11">
        <f t="shared" ref="O17" si="27">L17-I17</f>
        <v>0</v>
      </c>
      <c r="P17" s="12">
        <f t="shared" ref="P17" si="28">N17-K17</f>
        <v>-8.4090909090908781</v>
      </c>
      <c r="Q17" s="378">
        <f t="shared" ref="Q17:Q24" si="29">N17/K17</f>
        <v>0.93272727272727296</v>
      </c>
      <c r="R17" s="533"/>
      <c r="S17" s="24">
        <v>0.77500000000000002</v>
      </c>
      <c r="T17" s="24">
        <v>0.84375</v>
      </c>
      <c r="U17" s="376">
        <f t="shared" ref="U17" si="30">IF(S17=TIME(17,0,0),"",(S17-T16)*24*60)</f>
        <v>7.9999999999999716</v>
      </c>
      <c r="V17" s="385">
        <f t="shared" ref="V17" si="31">(T17-S17)*24*60</f>
        <v>98.999999999999972</v>
      </c>
      <c r="W17" s="14"/>
      <c r="X17" s="14"/>
      <c r="Y17" s="528"/>
      <c r="Z17" s="528"/>
      <c r="AA17" s="11">
        <f t="shared" si="2"/>
        <v>-134.54545454545405</v>
      </c>
      <c r="AB17" s="378">
        <f t="shared" si="19"/>
        <v>0.93272727272727296</v>
      </c>
      <c r="AC17" s="533"/>
    </row>
    <row r="18" spans="1:29" ht="16.5" customHeight="1">
      <c r="A18" s="557" t="s">
        <v>1462</v>
      </c>
      <c r="B18" s="26" t="s">
        <v>1460</v>
      </c>
      <c r="C18" s="530"/>
      <c r="D18" s="530"/>
      <c r="E18" s="377"/>
      <c r="F18" s="16"/>
      <c r="G18" s="9"/>
      <c r="H18" s="386"/>
      <c r="I18" s="17">
        <v>19.666666666666668</v>
      </c>
      <c r="J18" s="18">
        <v>1833.3333333333333</v>
      </c>
      <c r="K18" s="9">
        <f>J18/I18</f>
        <v>93.220338983050837</v>
      </c>
      <c r="L18" s="17">
        <v>19.666666666666668</v>
      </c>
      <c r="M18" s="10">
        <f>AVERAGE(M15:M17)</f>
        <v>1706.4429175475689</v>
      </c>
      <c r="N18" s="9">
        <f t="shared" si="22"/>
        <v>86.768283943096719</v>
      </c>
      <c r="O18" s="11">
        <f>L18-I18</f>
        <v>0</v>
      </c>
      <c r="P18" s="12">
        <f>N18-K18</f>
        <v>-6.4520550399541179</v>
      </c>
      <c r="Q18" s="378">
        <f t="shared" si="29"/>
        <v>0.93078704593503758</v>
      </c>
      <c r="R18" s="533"/>
      <c r="S18" s="24"/>
      <c r="T18" s="24"/>
      <c r="U18" s="376"/>
      <c r="V18" s="385"/>
      <c r="W18" s="9"/>
      <c r="X18" s="9"/>
      <c r="Y18" s="528"/>
      <c r="Z18" s="528"/>
      <c r="AA18" s="11">
        <f t="shared" si="2"/>
        <v>-126.89041578576439</v>
      </c>
      <c r="AB18" s="378">
        <f t="shared" si="19"/>
        <v>0.93078704593503758</v>
      </c>
      <c r="AC18" s="533"/>
    </row>
    <row r="19" spans="1:29" ht="15.75" customHeight="1">
      <c r="A19" s="554" t="s">
        <v>1463</v>
      </c>
      <c r="B19" s="26" t="s">
        <v>21</v>
      </c>
      <c r="C19" s="552" t="s">
        <v>22</v>
      </c>
      <c r="D19" s="552"/>
      <c r="E19" s="26">
        <v>43.14</v>
      </c>
      <c r="F19" s="386">
        <v>1529</v>
      </c>
      <c r="G19" s="376">
        <f t="shared" ref="G19:G24" si="32">E19*F19</f>
        <v>65961.06</v>
      </c>
      <c r="H19" s="388" t="s">
        <v>52</v>
      </c>
      <c r="I19" s="384">
        <v>17</v>
      </c>
      <c r="J19" s="18">
        <v>2000</v>
      </c>
      <c r="K19" s="9">
        <f t="shared" ref="K19:K25" si="33">J19/I19</f>
        <v>117.64705882352941</v>
      </c>
      <c r="L19" s="384">
        <v>17</v>
      </c>
      <c r="M19" s="10">
        <f t="shared" ref="M19:M24" si="34">F19/V19*60</f>
        <v>1872.2448979591843</v>
      </c>
      <c r="N19" s="9">
        <f t="shared" si="22"/>
        <v>110.13205282112848</v>
      </c>
      <c r="O19" s="11">
        <f t="shared" ref="O19:O24" si="35">L19-I19</f>
        <v>0</v>
      </c>
      <c r="P19" s="12">
        <f t="shared" ref="P19:P24" si="36">N19-K19</f>
        <v>-7.5150060024009235</v>
      </c>
      <c r="Q19" s="378">
        <f t="shared" si="29"/>
        <v>0.93612244897959218</v>
      </c>
      <c r="R19" s="533">
        <f>Q25</f>
        <v>0.94029011767837178</v>
      </c>
      <c r="S19" s="24">
        <v>0.20833333333333334</v>
      </c>
      <c r="T19" s="24">
        <v>0.24236111111111111</v>
      </c>
      <c r="U19" s="376"/>
      <c r="V19" s="385">
        <f>(T19-S19)*24*60</f>
        <v>48.999999999999986</v>
      </c>
      <c r="W19" s="15"/>
      <c r="X19" s="15"/>
      <c r="Y19" s="528"/>
      <c r="Z19" s="528"/>
      <c r="AA19" s="11">
        <f t="shared" si="2"/>
        <v>-127.7551020408157</v>
      </c>
      <c r="AB19" s="378">
        <f t="shared" si="19"/>
        <v>0.93612244897959218</v>
      </c>
      <c r="AC19" s="533">
        <f>AB25</f>
        <v>0.94029011767837178</v>
      </c>
    </row>
    <row r="20" spans="1:29" ht="15.75" customHeight="1">
      <c r="A20" s="555" t="s">
        <v>1463</v>
      </c>
      <c r="B20" s="26" t="s">
        <v>13</v>
      </c>
      <c r="C20" s="552" t="s">
        <v>23</v>
      </c>
      <c r="D20" s="552"/>
      <c r="E20" s="26">
        <v>57.73</v>
      </c>
      <c r="F20" s="386">
        <v>2851</v>
      </c>
      <c r="G20" s="376">
        <f t="shared" si="32"/>
        <v>164588.22999999998</v>
      </c>
      <c r="H20" s="388" t="s">
        <v>52</v>
      </c>
      <c r="I20" s="384">
        <v>16</v>
      </c>
      <c r="J20" s="18">
        <v>2000</v>
      </c>
      <c r="K20" s="9">
        <f t="shared" si="33"/>
        <v>125</v>
      </c>
      <c r="L20" s="384">
        <v>16</v>
      </c>
      <c r="M20" s="10">
        <f t="shared" si="34"/>
        <v>1859.3478260869558</v>
      </c>
      <c r="N20" s="9">
        <f t="shared" si="22"/>
        <v>116.20923913043474</v>
      </c>
      <c r="O20" s="11">
        <f t="shared" si="35"/>
        <v>0</v>
      </c>
      <c r="P20" s="12">
        <f t="shared" si="36"/>
        <v>-8.7907608695652613</v>
      </c>
      <c r="Q20" s="378">
        <f t="shared" si="29"/>
        <v>0.92967391304347791</v>
      </c>
      <c r="R20" s="533"/>
      <c r="S20" s="24">
        <v>0.24583333333333332</v>
      </c>
      <c r="T20" s="24">
        <v>0.30972222222222223</v>
      </c>
      <c r="U20" s="376">
        <f>IF(S20=TIME(17,0,0),"",(S20-T19)*24*60)</f>
        <v>4.9999999999999822</v>
      </c>
      <c r="V20" s="385">
        <f t="shared" ref="V20:V24" si="37">(T20-S20)*24*60</f>
        <v>92.000000000000028</v>
      </c>
      <c r="W20" s="14"/>
      <c r="X20" s="376"/>
      <c r="Y20" s="528"/>
      <c r="Z20" s="528"/>
      <c r="AA20" s="11">
        <f t="shared" si="2"/>
        <v>-140.65217391304418</v>
      </c>
      <c r="AB20" s="378">
        <f t="shared" si="19"/>
        <v>0.92967391304347791</v>
      </c>
      <c r="AC20" s="533"/>
    </row>
    <row r="21" spans="1:29" ht="15.75" customHeight="1">
      <c r="A21" s="555" t="s">
        <v>1463</v>
      </c>
      <c r="B21" s="26" t="s">
        <v>13</v>
      </c>
      <c r="C21" s="552" t="s">
        <v>14</v>
      </c>
      <c r="D21" s="552"/>
      <c r="E21" s="26">
        <v>53.68</v>
      </c>
      <c r="F21" s="386">
        <v>1913</v>
      </c>
      <c r="G21" s="376">
        <f t="shared" si="32"/>
        <v>102689.84</v>
      </c>
      <c r="H21" s="388" t="s">
        <v>52</v>
      </c>
      <c r="I21" s="384">
        <v>17</v>
      </c>
      <c r="J21" s="18">
        <v>2000</v>
      </c>
      <c r="K21" s="9">
        <f t="shared" si="33"/>
        <v>117.64705882352941</v>
      </c>
      <c r="L21" s="384">
        <v>17</v>
      </c>
      <c r="M21" s="10">
        <f t="shared" si="34"/>
        <v>1881.6393442622943</v>
      </c>
      <c r="N21" s="9">
        <f t="shared" si="22"/>
        <v>110.68466730954673</v>
      </c>
      <c r="O21" s="11">
        <f t="shared" si="35"/>
        <v>0</v>
      </c>
      <c r="P21" s="12">
        <f t="shared" si="36"/>
        <v>-6.9623915139826806</v>
      </c>
      <c r="Q21" s="378">
        <f t="shared" si="29"/>
        <v>0.94081967213114726</v>
      </c>
      <c r="R21" s="533"/>
      <c r="S21" s="24">
        <v>0.31458333333333333</v>
      </c>
      <c r="T21" s="24">
        <v>0.35694444444444445</v>
      </c>
      <c r="U21" s="376">
        <f t="shared" ref="U21:U24" si="38">IF(S21=TIME(17,0,0),"",(S21-T20)*24*60)</f>
        <v>6.9999999999999751</v>
      </c>
      <c r="V21" s="385">
        <f t="shared" si="37"/>
        <v>61.000000000000021</v>
      </c>
      <c r="W21" s="14"/>
      <c r="X21" s="376"/>
      <c r="Y21" s="528"/>
      <c r="Z21" s="528"/>
      <c r="AA21" s="11">
        <f t="shared" si="2"/>
        <v>-118.36065573770566</v>
      </c>
      <c r="AB21" s="378">
        <f t="shared" si="19"/>
        <v>0.94081967213114714</v>
      </c>
      <c r="AC21" s="533"/>
    </row>
    <row r="22" spans="1:29" ht="15.75" customHeight="1">
      <c r="A22" s="555" t="s">
        <v>1463</v>
      </c>
      <c r="B22" s="26" t="s">
        <v>13</v>
      </c>
      <c r="C22" s="552" t="s">
        <v>81</v>
      </c>
      <c r="D22" s="552"/>
      <c r="E22" s="26">
        <v>58.17</v>
      </c>
      <c r="F22" s="386">
        <v>2000</v>
      </c>
      <c r="G22" s="376">
        <f t="shared" si="32"/>
        <v>116340</v>
      </c>
      <c r="H22" s="388" t="s">
        <v>52</v>
      </c>
      <c r="I22" s="384">
        <v>18</v>
      </c>
      <c r="J22" s="18">
        <v>2000</v>
      </c>
      <c r="K22" s="9">
        <f t="shared" si="33"/>
        <v>111.11111111111111</v>
      </c>
      <c r="L22" s="384">
        <v>18</v>
      </c>
      <c r="M22" s="10">
        <f t="shared" si="34"/>
        <v>1874.9999999999995</v>
      </c>
      <c r="N22" s="9">
        <f t="shared" si="22"/>
        <v>104.16666666666664</v>
      </c>
      <c r="O22" s="11">
        <f t="shared" si="35"/>
        <v>0</v>
      </c>
      <c r="P22" s="12">
        <f t="shared" si="36"/>
        <v>-6.9444444444444713</v>
      </c>
      <c r="Q22" s="378">
        <f t="shared" si="29"/>
        <v>0.93749999999999978</v>
      </c>
      <c r="R22" s="533"/>
      <c r="S22" s="24">
        <v>0.3611111111111111</v>
      </c>
      <c r="T22" s="24">
        <v>0.40555555555555556</v>
      </c>
      <c r="U22" s="376">
        <f t="shared" si="38"/>
        <v>5.9999999999999787</v>
      </c>
      <c r="V22" s="385">
        <f t="shared" si="37"/>
        <v>64.000000000000014</v>
      </c>
      <c r="W22" s="14"/>
      <c r="X22" s="376"/>
      <c r="Y22" s="528"/>
      <c r="Z22" s="528"/>
      <c r="AA22" s="11">
        <f t="shared" si="2"/>
        <v>-125.00000000000045</v>
      </c>
      <c r="AB22" s="378">
        <f t="shared" si="19"/>
        <v>0.93749999999999978</v>
      </c>
      <c r="AC22" s="533"/>
    </row>
    <row r="23" spans="1:29" ht="15.75" customHeight="1">
      <c r="A23" s="555" t="s">
        <v>1463</v>
      </c>
      <c r="B23" s="26" t="s">
        <v>13</v>
      </c>
      <c r="C23" s="552" t="s">
        <v>85</v>
      </c>
      <c r="D23" s="552"/>
      <c r="E23" s="26">
        <v>54.09</v>
      </c>
      <c r="F23" s="386">
        <v>3934</v>
      </c>
      <c r="G23" s="376">
        <f t="shared" si="32"/>
        <v>212790.06000000003</v>
      </c>
      <c r="H23" s="388" t="s">
        <v>52</v>
      </c>
      <c r="I23" s="384">
        <v>20</v>
      </c>
      <c r="J23" s="18">
        <v>2000</v>
      </c>
      <c r="K23" s="9">
        <f t="shared" si="33"/>
        <v>100</v>
      </c>
      <c r="L23" s="384">
        <v>20</v>
      </c>
      <c r="M23" s="10">
        <f t="shared" si="34"/>
        <v>1858.582677165354</v>
      </c>
      <c r="N23" s="9">
        <f t="shared" si="22"/>
        <v>92.929133858267704</v>
      </c>
      <c r="O23" s="11">
        <f t="shared" si="35"/>
        <v>0</v>
      </c>
      <c r="P23" s="12">
        <f t="shared" si="36"/>
        <v>-7.0708661417322958</v>
      </c>
      <c r="Q23" s="378">
        <f t="shared" si="29"/>
        <v>0.9292913385826771</v>
      </c>
      <c r="R23" s="533"/>
      <c r="S23" s="24">
        <v>0.70833333333333337</v>
      </c>
      <c r="T23" s="24">
        <v>0.79652777777777783</v>
      </c>
      <c r="U23" s="376" t="str">
        <f t="shared" si="38"/>
        <v/>
      </c>
      <c r="V23" s="385">
        <f t="shared" si="37"/>
        <v>127.00000000000003</v>
      </c>
      <c r="W23" s="14"/>
      <c r="X23" s="376"/>
      <c r="Y23" s="528"/>
      <c r="Z23" s="528"/>
      <c r="AA23" s="11">
        <f t="shared" si="2"/>
        <v>-141.41732283464603</v>
      </c>
      <c r="AB23" s="378">
        <f t="shared" si="19"/>
        <v>0.92929133858267698</v>
      </c>
      <c r="AC23" s="533"/>
    </row>
    <row r="24" spans="1:29" ht="15.75" customHeight="1">
      <c r="A24" s="555" t="s">
        <v>1463</v>
      </c>
      <c r="B24" s="26" t="s">
        <v>13</v>
      </c>
      <c r="C24" s="552" t="s">
        <v>56</v>
      </c>
      <c r="D24" s="552"/>
      <c r="E24" s="26">
        <v>53.27</v>
      </c>
      <c r="F24" s="386">
        <v>581</v>
      </c>
      <c r="G24" s="376">
        <f t="shared" si="32"/>
        <v>30949.870000000003</v>
      </c>
      <c r="H24" s="388" t="s">
        <v>52</v>
      </c>
      <c r="I24" s="384">
        <v>15</v>
      </c>
      <c r="J24" s="18">
        <v>2000</v>
      </c>
      <c r="K24" s="9">
        <f t="shared" si="33"/>
        <v>133.33333333333334</v>
      </c>
      <c r="L24" s="384">
        <v>15</v>
      </c>
      <c r="M24" s="10">
        <f t="shared" si="34"/>
        <v>1936.6666666666736</v>
      </c>
      <c r="N24" s="9">
        <f t="shared" si="22"/>
        <v>129.11111111111157</v>
      </c>
      <c r="O24" s="11">
        <f t="shared" si="35"/>
        <v>0</v>
      </c>
      <c r="P24" s="12">
        <f t="shared" si="36"/>
        <v>-4.2222222222217738</v>
      </c>
      <c r="Q24" s="378">
        <f t="shared" si="29"/>
        <v>0.96833333333333671</v>
      </c>
      <c r="R24" s="533"/>
      <c r="S24" s="24">
        <v>0.80208333333333337</v>
      </c>
      <c r="T24" s="24">
        <v>0.81458333333333333</v>
      </c>
      <c r="U24" s="376">
        <f t="shared" si="38"/>
        <v>7.9999999999999716</v>
      </c>
      <c r="V24" s="385">
        <f t="shared" si="37"/>
        <v>17.999999999999936</v>
      </c>
      <c r="W24" s="14"/>
      <c r="X24" s="15"/>
      <c r="Y24" s="528"/>
      <c r="Z24" s="528"/>
      <c r="AA24" s="11">
        <f t="shared" si="2"/>
        <v>-63.333333333326436</v>
      </c>
      <c r="AB24" s="378">
        <f t="shared" si="19"/>
        <v>0.96833333333333682</v>
      </c>
      <c r="AC24" s="533"/>
    </row>
    <row r="25" spans="1:29" ht="15.75" customHeight="1">
      <c r="A25" s="555" t="s">
        <v>1463</v>
      </c>
      <c r="B25" s="26" t="s">
        <v>1460</v>
      </c>
      <c r="C25" s="530"/>
      <c r="D25" s="530"/>
      <c r="E25" s="377"/>
      <c r="F25" s="386"/>
      <c r="G25" s="376"/>
      <c r="H25" s="386"/>
      <c r="I25" s="17">
        <v>17.166666666666668</v>
      </c>
      <c r="J25" s="18">
        <v>2000</v>
      </c>
      <c r="K25" s="9">
        <f t="shared" si="33"/>
        <v>116.50485436893203</v>
      </c>
      <c r="L25" s="17">
        <v>17.166666666666668</v>
      </c>
      <c r="M25" s="10">
        <f>AVERAGE(M19:M24)</f>
        <v>1880.5802353567435</v>
      </c>
      <c r="N25" s="9">
        <f>M25/L25</f>
        <v>109.54836322466467</v>
      </c>
      <c r="O25" s="11">
        <f>L25-I25</f>
        <v>0</v>
      </c>
      <c r="P25" s="12">
        <f>N25-K25</f>
        <v>-6.9564911442673605</v>
      </c>
      <c r="Q25" s="378">
        <f>N25/K25</f>
        <v>0.94029011767837178</v>
      </c>
      <c r="R25" s="533"/>
      <c r="S25" s="24"/>
      <c r="T25" s="24"/>
      <c r="U25" s="9"/>
      <c r="V25" s="385"/>
      <c r="W25" s="9"/>
      <c r="X25" s="9"/>
      <c r="Y25" s="528"/>
      <c r="Z25" s="528"/>
      <c r="AA25" s="11">
        <f t="shared" si="2"/>
        <v>-119.41976464325649</v>
      </c>
      <c r="AB25" s="378">
        <f t="shared" si="19"/>
        <v>0.94029011767837178</v>
      </c>
      <c r="AC25" s="533"/>
    </row>
    <row r="26" spans="1:29" ht="15.75" customHeight="1">
      <c r="A26" s="553" t="s">
        <v>1464</v>
      </c>
      <c r="B26" s="26" t="s">
        <v>24</v>
      </c>
      <c r="C26" s="552" t="s">
        <v>26</v>
      </c>
      <c r="D26" s="552"/>
      <c r="E26" s="26">
        <v>26.2</v>
      </c>
      <c r="F26" s="386">
        <v>3985</v>
      </c>
      <c r="G26" s="376">
        <f t="shared" ref="G26:G32" si="39">E26*F26</f>
        <v>104407</v>
      </c>
      <c r="H26" s="388" t="s">
        <v>52</v>
      </c>
      <c r="I26" s="384">
        <v>20</v>
      </c>
      <c r="J26" s="18">
        <v>2400</v>
      </c>
      <c r="K26" s="9">
        <f>J26/I26</f>
        <v>120</v>
      </c>
      <c r="L26" s="384">
        <v>20</v>
      </c>
      <c r="M26" s="10">
        <f t="shared" ref="M26:M32" si="40">F26/V26*60</f>
        <v>2234.5794392523362</v>
      </c>
      <c r="N26" s="9">
        <f t="shared" ref="N26:N32" si="41">M26/L26</f>
        <v>111.72897196261681</v>
      </c>
      <c r="O26" s="11">
        <f t="shared" ref="O26:O32" si="42">L26-I26</f>
        <v>0</v>
      </c>
      <c r="P26" s="12">
        <f t="shared" ref="P26:P32" si="43">N26-K26</f>
        <v>-8.2710280373831893</v>
      </c>
      <c r="Q26" s="378">
        <f t="shared" ref="Q26:Q32" si="44">N26/K26</f>
        <v>0.93107476635514008</v>
      </c>
      <c r="R26" s="533">
        <f>Q33</f>
        <v>0.93202375873913679</v>
      </c>
      <c r="S26" s="24">
        <v>0.125</v>
      </c>
      <c r="T26" s="24">
        <v>0.19930555555555557</v>
      </c>
      <c r="U26" s="376"/>
      <c r="V26" s="385">
        <f t="shared" ref="V26:V32" si="45">(T26-S26)*24*60</f>
        <v>107.00000000000001</v>
      </c>
      <c r="W26" s="14">
        <f>T26</f>
        <v>0.19930555555555557</v>
      </c>
      <c r="X26" s="14">
        <f>S27</f>
        <v>0.22083333333333335</v>
      </c>
      <c r="Y26" s="528"/>
      <c r="Z26" s="528"/>
      <c r="AA26" s="11">
        <f t="shared" si="2"/>
        <v>-165.42056074766379</v>
      </c>
      <c r="AB26" s="378">
        <f>M26/J26</f>
        <v>0.93107476635514008</v>
      </c>
      <c r="AC26" s="533">
        <f>AB33</f>
        <v>0.9320237587391369</v>
      </c>
    </row>
    <row r="27" spans="1:29" ht="15.75" customHeight="1">
      <c r="A27" s="553" t="s">
        <v>1464</v>
      </c>
      <c r="B27" s="26" t="s">
        <v>24</v>
      </c>
      <c r="C27" s="552" t="s">
        <v>79</v>
      </c>
      <c r="D27" s="552"/>
      <c r="E27" s="26">
        <v>31.29</v>
      </c>
      <c r="F27" s="386">
        <v>8991</v>
      </c>
      <c r="G27" s="376">
        <f t="shared" si="39"/>
        <v>281328.39</v>
      </c>
      <c r="H27" s="388" t="s">
        <v>52</v>
      </c>
      <c r="I27" s="384">
        <v>16</v>
      </c>
      <c r="J27" s="18">
        <v>2400</v>
      </c>
      <c r="K27" s="9">
        <f t="shared" ref="K27:K33" si="46">J27/I27</f>
        <v>150</v>
      </c>
      <c r="L27" s="384">
        <v>16</v>
      </c>
      <c r="M27" s="10">
        <f t="shared" si="40"/>
        <v>2229.1735537190084</v>
      </c>
      <c r="N27" s="9">
        <f t="shared" si="41"/>
        <v>139.32334710743802</v>
      </c>
      <c r="O27" s="11">
        <f t="shared" si="42"/>
        <v>0</v>
      </c>
      <c r="P27" s="12">
        <f t="shared" si="43"/>
        <v>-10.676652892561975</v>
      </c>
      <c r="Q27" s="378">
        <f t="shared" si="44"/>
        <v>0.92882231404958682</v>
      </c>
      <c r="R27" s="533"/>
      <c r="S27" s="24">
        <v>0.22083333333333335</v>
      </c>
      <c r="T27" s="24">
        <v>0.3888888888888889</v>
      </c>
      <c r="U27" s="376">
        <f>(S27-T26)*24*60</f>
        <v>31.000000000000011</v>
      </c>
      <c r="V27" s="385">
        <f t="shared" si="45"/>
        <v>242</v>
      </c>
      <c r="W27" s="14"/>
      <c r="X27" s="14"/>
      <c r="Y27" s="528"/>
      <c r="Z27" s="528"/>
      <c r="AA27" s="11">
        <f t="shared" si="2"/>
        <v>-170.8264462809916</v>
      </c>
      <c r="AB27" s="378">
        <f t="shared" ref="AB27:AB32" si="47">M27/J27</f>
        <v>0.92882231404958682</v>
      </c>
      <c r="AC27" s="533"/>
    </row>
    <row r="28" spans="1:29" ht="15.75" customHeight="1">
      <c r="A28" s="553" t="s">
        <v>1464</v>
      </c>
      <c r="B28" s="26" t="s">
        <v>24</v>
      </c>
      <c r="C28" s="552" t="s">
        <v>68</v>
      </c>
      <c r="D28" s="552"/>
      <c r="E28" s="26">
        <v>24.25</v>
      </c>
      <c r="F28" s="386">
        <v>1800</v>
      </c>
      <c r="G28" s="376">
        <f t="shared" si="39"/>
        <v>43650</v>
      </c>
      <c r="H28" s="388">
        <v>2</v>
      </c>
      <c r="I28" s="384">
        <v>18</v>
      </c>
      <c r="J28" s="18">
        <v>2400</v>
      </c>
      <c r="K28" s="9">
        <f t="shared" si="46"/>
        <v>133.33333333333334</v>
      </c>
      <c r="L28" s="384">
        <v>18</v>
      </c>
      <c r="M28" s="10">
        <f t="shared" si="40"/>
        <v>2250.0000000000009</v>
      </c>
      <c r="N28" s="9">
        <f t="shared" si="41"/>
        <v>125.00000000000006</v>
      </c>
      <c r="O28" s="11">
        <f t="shared" si="42"/>
        <v>0</v>
      </c>
      <c r="P28" s="12">
        <f t="shared" si="43"/>
        <v>-8.333333333333286</v>
      </c>
      <c r="Q28" s="378">
        <f t="shared" si="44"/>
        <v>0.93750000000000033</v>
      </c>
      <c r="R28" s="533"/>
      <c r="S28" s="24">
        <v>0.39305555555555555</v>
      </c>
      <c r="T28" s="24">
        <v>0.42638888888888887</v>
      </c>
      <c r="U28" s="376">
        <f t="shared" ref="U28:U32" si="48">(S28-T27)*24*60</f>
        <v>5.9999999999999787</v>
      </c>
      <c r="V28" s="385">
        <f t="shared" si="45"/>
        <v>47.999999999999986</v>
      </c>
      <c r="W28" s="14"/>
      <c r="X28" s="14"/>
      <c r="Y28" s="528"/>
      <c r="Z28" s="528"/>
      <c r="AA28" s="11">
        <f t="shared" si="2"/>
        <v>-149.99999999999909</v>
      </c>
      <c r="AB28" s="378">
        <f t="shared" si="47"/>
        <v>0.93750000000000033</v>
      </c>
      <c r="AC28" s="533"/>
    </row>
    <row r="29" spans="1:29" ht="15.75" customHeight="1">
      <c r="A29" s="553" t="s">
        <v>1464</v>
      </c>
      <c r="B29" s="26" t="s">
        <v>24</v>
      </c>
      <c r="C29" s="552" t="s">
        <v>328</v>
      </c>
      <c r="D29" s="552"/>
      <c r="E29" s="26">
        <v>25.98</v>
      </c>
      <c r="F29" s="386">
        <v>2800</v>
      </c>
      <c r="G29" s="376">
        <f t="shared" si="39"/>
        <v>72744</v>
      </c>
      <c r="H29" s="388">
        <v>2</v>
      </c>
      <c r="I29" s="384">
        <v>17</v>
      </c>
      <c r="J29" s="18">
        <v>2400</v>
      </c>
      <c r="K29" s="9">
        <f t="shared" si="46"/>
        <v>141.1764705882353</v>
      </c>
      <c r="L29" s="384">
        <v>17</v>
      </c>
      <c r="M29" s="10">
        <f t="shared" si="40"/>
        <v>2240.0000000000009</v>
      </c>
      <c r="N29" s="9">
        <f t="shared" si="41"/>
        <v>131.76470588235298</v>
      </c>
      <c r="O29" s="11">
        <f t="shared" si="42"/>
        <v>0</v>
      </c>
      <c r="P29" s="12">
        <f t="shared" si="43"/>
        <v>-9.4117647058823195</v>
      </c>
      <c r="Q29" s="378">
        <f t="shared" si="44"/>
        <v>0.93333333333333357</v>
      </c>
      <c r="R29" s="533"/>
      <c r="S29" s="24">
        <v>0.43124999999999997</v>
      </c>
      <c r="T29" s="24">
        <v>0.48333333333333328</v>
      </c>
      <c r="U29" s="376">
        <f t="shared" si="48"/>
        <v>6.9999999999999751</v>
      </c>
      <c r="V29" s="385">
        <f t="shared" si="45"/>
        <v>74.999999999999972</v>
      </c>
      <c r="W29" s="14"/>
      <c r="X29" s="14"/>
      <c r="Y29" s="528"/>
      <c r="Z29" s="528"/>
      <c r="AA29" s="11">
        <f t="shared" si="2"/>
        <v>-159.99999999999909</v>
      </c>
      <c r="AB29" s="378">
        <f t="shared" si="47"/>
        <v>0.93333333333333368</v>
      </c>
      <c r="AC29" s="533"/>
    </row>
    <row r="30" spans="1:29" ht="15.75" customHeight="1">
      <c r="A30" s="553" t="s">
        <v>1464</v>
      </c>
      <c r="B30" s="26" t="s">
        <v>24</v>
      </c>
      <c r="C30" s="552" t="s">
        <v>62</v>
      </c>
      <c r="D30" s="552"/>
      <c r="E30" s="26">
        <v>22.35</v>
      </c>
      <c r="F30" s="386">
        <v>1936</v>
      </c>
      <c r="G30" s="376">
        <f t="shared" si="39"/>
        <v>43269.600000000006</v>
      </c>
      <c r="H30" s="388" t="s">
        <v>52</v>
      </c>
      <c r="I30" s="384">
        <v>16</v>
      </c>
      <c r="J30" s="18">
        <v>2400</v>
      </c>
      <c r="K30" s="9">
        <f t="shared" si="46"/>
        <v>150</v>
      </c>
      <c r="L30" s="384">
        <v>16</v>
      </c>
      <c r="M30" s="10">
        <f t="shared" si="40"/>
        <v>2233.8461538461547</v>
      </c>
      <c r="N30" s="9">
        <f t="shared" si="41"/>
        <v>139.61538461538467</v>
      </c>
      <c r="O30" s="11">
        <f t="shared" si="42"/>
        <v>0</v>
      </c>
      <c r="P30" s="12">
        <f t="shared" si="43"/>
        <v>-10.38461538461533</v>
      </c>
      <c r="Q30" s="378">
        <f t="shared" si="44"/>
        <v>0.93076923076923113</v>
      </c>
      <c r="R30" s="533"/>
      <c r="S30" s="24">
        <v>0.48749999999999993</v>
      </c>
      <c r="T30" s="24">
        <v>0.52361111111111103</v>
      </c>
      <c r="U30" s="376">
        <f t="shared" si="48"/>
        <v>5.9999999999999787</v>
      </c>
      <c r="V30" s="385">
        <f t="shared" si="45"/>
        <v>51.999999999999972</v>
      </c>
      <c r="W30" s="14">
        <f>T30</f>
        <v>0.52361111111111103</v>
      </c>
      <c r="X30" s="14">
        <f>S31</f>
        <v>0.56388888888888877</v>
      </c>
      <c r="Y30" s="528"/>
      <c r="Z30" s="528"/>
      <c r="AA30" s="11">
        <f t="shared" si="2"/>
        <v>-166.15384615384528</v>
      </c>
      <c r="AB30" s="378">
        <f t="shared" si="47"/>
        <v>0.93076923076923113</v>
      </c>
      <c r="AC30" s="533"/>
    </row>
    <row r="31" spans="1:29" ht="15.75" customHeight="1">
      <c r="A31" s="553" t="s">
        <v>1464</v>
      </c>
      <c r="B31" s="26" t="s">
        <v>24</v>
      </c>
      <c r="C31" s="552" t="s">
        <v>68</v>
      </c>
      <c r="D31" s="552"/>
      <c r="E31" s="26">
        <v>24.25</v>
      </c>
      <c r="F31" s="386">
        <v>2783</v>
      </c>
      <c r="G31" s="376">
        <f t="shared" si="39"/>
        <v>67487.75</v>
      </c>
      <c r="H31" s="388" t="s">
        <v>52</v>
      </c>
      <c r="I31" s="384">
        <v>18</v>
      </c>
      <c r="J31" s="18">
        <v>2400</v>
      </c>
      <c r="K31" s="9">
        <f t="shared" si="46"/>
        <v>133.33333333333334</v>
      </c>
      <c r="L31" s="384">
        <v>18</v>
      </c>
      <c r="M31" s="10">
        <f t="shared" si="40"/>
        <v>2226.3999999999983</v>
      </c>
      <c r="N31" s="9">
        <f t="shared" si="41"/>
        <v>123.6888888888888</v>
      </c>
      <c r="O31" s="11">
        <f t="shared" si="42"/>
        <v>0</v>
      </c>
      <c r="P31" s="12">
        <f t="shared" si="43"/>
        <v>-9.6444444444445452</v>
      </c>
      <c r="Q31" s="378">
        <f t="shared" si="44"/>
        <v>0.92766666666666586</v>
      </c>
      <c r="R31" s="533"/>
      <c r="S31" s="24">
        <v>0.56388888888888877</v>
      </c>
      <c r="T31" s="24">
        <v>0.61597222222222214</v>
      </c>
      <c r="U31" s="376">
        <f t="shared" si="48"/>
        <v>57.999999999999957</v>
      </c>
      <c r="V31" s="385">
        <f t="shared" si="45"/>
        <v>75.000000000000057</v>
      </c>
      <c r="W31" s="14"/>
      <c r="X31" s="14"/>
      <c r="Y31" s="528"/>
      <c r="Z31" s="528"/>
      <c r="AA31" s="11">
        <f t="shared" si="2"/>
        <v>-173.60000000000173</v>
      </c>
      <c r="AB31" s="378">
        <f t="shared" si="47"/>
        <v>0.92766666666666597</v>
      </c>
      <c r="AC31" s="533"/>
    </row>
    <row r="32" spans="1:29" ht="15.75" customHeight="1">
      <c r="A32" s="553" t="s">
        <v>1464</v>
      </c>
      <c r="B32" s="26" t="s">
        <v>24</v>
      </c>
      <c r="C32" s="552" t="s">
        <v>328</v>
      </c>
      <c r="D32" s="552"/>
      <c r="E32" s="26">
        <v>25.98</v>
      </c>
      <c r="F32" s="386">
        <v>1870</v>
      </c>
      <c r="G32" s="376">
        <f t="shared" si="39"/>
        <v>48582.6</v>
      </c>
      <c r="H32" s="388" t="s">
        <v>52</v>
      </c>
      <c r="I32" s="384">
        <v>17</v>
      </c>
      <c r="J32" s="18">
        <v>2400</v>
      </c>
      <c r="K32" s="9">
        <f t="shared" si="46"/>
        <v>141.1764705882353</v>
      </c>
      <c r="L32" s="384">
        <v>17</v>
      </c>
      <c r="M32" s="10">
        <f t="shared" si="40"/>
        <v>2244.0000000000009</v>
      </c>
      <c r="N32" s="9">
        <f t="shared" si="41"/>
        <v>132.00000000000006</v>
      </c>
      <c r="O32" s="11">
        <f t="shared" si="42"/>
        <v>0</v>
      </c>
      <c r="P32" s="12">
        <f t="shared" si="43"/>
        <v>-9.1764705882352473</v>
      </c>
      <c r="Q32" s="378">
        <f t="shared" si="44"/>
        <v>0.93500000000000039</v>
      </c>
      <c r="R32" s="533"/>
      <c r="S32" s="24">
        <v>0.62152777777777768</v>
      </c>
      <c r="T32" s="24">
        <v>0.65624999999999989</v>
      </c>
      <c r="U32" s="376">
        <f t="shared" si="48"/>
        <v>7.9999999999999716</v>
      </c>
      <c r="V32" s="385">
        <f t="shared" si="45"/>
        <v>49.999999999999986</v>
      </c>
      <c r="W32" s="14"/>
      <c r="X32" s="14"/>
      <c r="Y32" s="528"/>
      <c r="Z32" s="528"/>
      <c r="AA32" s="11">
        <f t="shared" si="2"/>
        <v>-155.99999999999909</v>
      </c>
      <c r="AB32" s="378">
        <f t="shared" si="47"/>
        <v>0.93500000000000039</v>
      </c>
      <c r="AC32" s="533"/>
    </row>
    <row r="33" spans="1:29" ht="15.75" customHeight="1">
      <c r="A33" s="553" t="s">
        <v>1464</v>
      </c>
      <c r="B33" s="26" t="s">
        <v>1460</v>
      </c>
      <c r="C33" s="530"/>
      <c r="D33" s="530"/>
      <c r="E33" s="377"/>
      <c r="F33" s="386"/>
      <c r="G33" s="376"/>
      <c r="H33" s="386"/>
      <c r="I33" s="17">
        <v>17.428571428571427</v>
      </c>
      <c r="J33" s="18">
        <v>2400</v>
      </c>
      <c r="K33" s="9">
        <f t="shared" si="46"/>
        <v>137.70491803278691</v>
      </c>
      <c r="L33" s="17">
        <v>17.428571428571427</v>
      </c>
      <c r="M33" s="10">
        <f>AVERAGE(M26:M32)</f>
        <v>2236.8570209739287</v>
      </c>
      <c r="N33" s="9">
        <f>M33/L33</f>
        <v>128.34425530178279</v>
      </c>
      <c r="O33" s="11">
        <f>L33-I33</f>
        <v>0</v>
      </c>
      <c r="P33" s="12">
        <f>N33-K33</f>
        <v>-9.3606627310041119</v>
      </c>
      <c r="Q33" s="378">
        <f>N33/K33</f>
        <v>0.93202375873913679</v>
      </c>
      <c r="R33" s="533"/>
      <c r="S33" s="24"/>
      <c r="T33" s="24"/>
      <c r="U33" s="376"/>
      <c r="V33" s="385"/>
      <c r="W33" s="376"/>
      <c r="X33" s="376"/>
      <c r="Y33" s="528"/>
      <c r="Z33" s="528"/>
      <c r="AA33" s="11">
        <f t="shared" si="2"/>
        <v>-163.14297902607132</v>
      </c>
      <c r="AB33" s="378">
        <f>M33/J33</f>
        <v>0.9320237587391369</v>
      </c>
      <c r="AC33" s="533"/>
    </row>
    <row r="34" spans="1:29" ht="15.75" customHeight="1">
      <c r="A34" s="550" t="s">
        <v>379</v>
      </c>
      <c r="B34" s="26" t="s">
        <v>24</v>
      </c>
      <c r="C34" s="529" t="s">
        <v>28</v>
      </c>
      <c r="D34" s="529"/>
      <c r="E34" s="26">
        <v>26.2</v>
      </c>
      <c r="F34" s="386">
        <v>6487</v>
      </c>
      <c r="G34" s="376">
        <f t="shared" ref="G34:G42" si="49">E34*F34</f>
        <v>169959.4</v>
      </c>
      <c r="H34" s="388" t="s">
        <v>52</v>
      </c>
      <c r="I34" s="384">
        <v>18</v>
      </c>
      <c r="J34" s="18">
        <v>2400</v>
      </c>
      <c r="K34" s="9">
        <f>J34/I34</f>
        <v>133.33333333333334</v>
      </c>
      <c r="L34" s="384">
        <v>18</v>
      </c>
      <c r="M34" s="10">
        <f>F34/V34*60</f>
        <v>2224.1142857142859</v>
      </c>
      <c r="N34" s="9">
        <f>M34/L34</f>
        <v>123.56190476190477</v>
      </c>
      <c r="O34" s="11">
        <f t="shared" ref="O34:O42" si="50">L34-I34</f>
        <v>0</v>
      </c>
      <c r="P34" s="12">
        <f t="shared" ref="P34:P52" si="51">N34-K34</f>
        <v>-9.7714285714285722</v>
      </c>
      <c r="Q34" s="378">
        <f t="shared" ref="Q34:Q47" si="52">N34/K34</f>
        <v>0.92671428571428571</v>
      </c>
      <c r="R34" s="533">
        <f>Q43</f>
        <v>0.93312312243729278</v>
      </c>
      <c r="S34" s="24">
        <v>8.3333333333333329E-2</v>
      </c>
      <c r="T34" s="24">
        <v>0.2048611111111111</v>
      </c>
      <c r="U34" s="376"/>
      <c r="V34" s="385">
        <f t="shared" ref="V34:V42" si="53">(T34-S34)*24*60</f>
        <v>175</v>
      </c>
      <c r="W34" s="15">
        <f>T34</f>
        <v>0.2048611111111111</v>
      </c>
      <c r="X34" s="15">
        <f>S35</f>
        <v>0.22430555555555554</v>
      </c>
      <c r="Y34" s="528"/>
      <c r="Z34" s="528"/>
      <c r="AA34" s="11">
        <f t="shared" si="2"/>
        <v>-175.88571428571413</v>
      </c>
      <c r="AB34" s="378">
        <f>M34/J34</f>
        <v>0.92671428571428582</v>
      </c>
      <c r="AC34" s="533">
        <f>AB43</f>
        <v>0.93312312243729267</v>
      </c>
    </row>
    <row r="35" spans="1:29" ht="15.75" customHeight="1">
      <c r="A35" s="550" t="s">
        <v>1465</v>
      </c>
      <c r="B35" s="26" t="s">
        <v>24</v>
      </c>
      <c r="C35" s="529" t="s">
        <v>30</v>
      </c>
      <c r="D35" s="529"/>
      <c r="E35" s="26">
        <v>24.45</v>
      </c>
      <c r="F35" s="386">
        <v>2323</v>
      </c>
      <c r="G35" s="376">
        <f t="shared" si="49"/>
        <v>56797.35</v>
      </c>
      <c r="H35" s="388" t="s">
        <v>52</v>
      </c>
      <c r="I35" s="384">
        <v>20</v>
      </c>
      <c r="J35" s="18">
        <v>2400</v>
      </c>
      <c r="K35" s="9">
        <f t="shared" ref="K35:K51" si="54">J35/I35</f>
        <v>120</v>
      </c>
      <c r="L35" s="384">
        <v>20</v>
      </c>
      <c r="M35" s="10">
        <f t="shared" ref="M35:M42" si="55">F35/V35*60</f>
        <v>2248.0645161290313</v>
      </c>
      <c r="N35" s="9">
        <f t="shared" ref="N35:N42" si="56">M35/L35</f>
        <v>112.40322580645156</v>
      </c>
      <c r="O35" s="11">
        <f t="shared" si="50"/>
        <v>0</v>
      </c>
      <c r="P35" s="12">
        <f t="shared" si="51"/>
        <v>-7.5967741935484412</v>
      </c>
      <c r="Q35" s="378">
        <f t="shared" si="52"/>
        <v>0.93669354838709629</v>
      </c>
      <c r="R35" s="533"/>
      <c r="S35" s="24">
        <v>0.22430555555555554</v>
      </c>
      <c r="T35" s="24">
        <v>0.2673611111111111</v>
      </c>
      <c r="U35" s="376">
        <f>(S35-T34)*24*60</f>
        <v>27.999999999999979</v>
      </c>
      <c r="V35" s="385">
        <f t="shared" si="53"/>
        <v>62.000000000000021</v>
      </c>
      <c r="W35" s="376"/>
      <c r="X35" s="376"/>
      <c r="Y35" s="528"/>
      <c r="Z35" s="528"/>
      <c r="AA35" s="11">
        <f t="shared" si="2"/>
        <v>-151.93548387096871</v>
      </c>
      <c r="AB35" s="378">
        <f t="shared" ref="AB35:AB66" si="57">M35/J35</f>
        <v>0.9366935483870964</v>
      </c>
      <c r="AC35" s="533"/>
    </row>
    <row r="36" spans="1:29">
      <c r="A36" s="551" t="s">
        <v>1465</v>
      </c>
      <c r="B36" s="26" t="s">
        <v>24</v>
      </c>
      <c r="C36" s="529" t="s">
        <v>29</v>
      </c>
      <c r="D36" s="529"/>
      <c r="E36" s="26">
        <v>26.39</v>
      </c>
      <c r="F36" s="386">
        <v>2000</v>
      </c>
      <c r="G36" s="376">
        <f t="shared" si="49"/>
        <v>52780</v>
      </c>
      <c r="H36" s="388">
        <v>2</v>
      </c>
      <c r="I36" s="384">
        <v>19</v>
      </c>
      <c r="J36" s="18">
        <v>2400</v>
      </c>
      <c r="K36" s="9">
        <f t="shared" si="54"/>
        <v>126.31578947368421</v>
      </c>
      <c r="L36" s="384">
        <v>19</v>
      </c>
      <c r="M36" s="10">
        <f t="shared" si="55"/>
        <v>2264.1509433962278</v>
      </c>
      <c r="N36" s="9">
        <f t="shared" si="56"/>
        <v>119.16583912611725</v>
      </c>
      <c r="O36" s="11">
        <f t="shared" si="50"/>
        <v>0</v>
      </c>
      <c r="P36" s="12">
        <f t="shared" si="51"/>
        <v>-7.149950347566957</v>
      </c>
      <c r="Q36" s="378">
        <f t="shared" si="52"/>
        <v>0.94339622641509491</v>
      </c>
      <c r="R36" s="533"/>
      <c r="S36" s="24">
        <v>0.27083333333333331</v>
      </c>
      <c r="T36" s="24">
        <v>0.30763888888888885</v>
      </c>
      <c r="U36" s="376">
        <f t="shared" ref="U36:U42" si="58">(S36-T35)*24*60</f>
        <v>4.9999999999999822</v>
      </c>
      <c r="V36" s="385">
        <f t="shared" si="53"/>
        <v>52.999999999999972</v>
      </c>
      <c r="W36" s="376"/>
      <c r="X36" s="376"/>
      <c r="Y36" s="528"/>
      <c r="Z36" s="528"/>
      <c r="AA36" s="11">
        <f t="shared" si="2"/>
        <v>-135.84905660377217</v>
      </c>
      <c r="AB36" s="378">
        <f t="shared" si="57"/>
        <v>0.94339622641509491</v>
      </c>
      <c r="AC36" s="533"/>
    </row>
    <row r="37" spans="1:29">
      <c r="A37" s="551" t="s">
        <v>1465</v>
      </c>
      <c r="B37" s="26" t="s">
        <v>24</v>
      </c>
      <c r="C37" s="529" t="s">
        <v>27</v>
      </c>
      <c r="D37" s="529"/>
      <c r="E37" s="26">
        <v>20.52</v>
      </c>
      <c r="F37" s="386">
        <v>3319</v>
      </c>
      <c r="G37" s="376">
        <f t="shared" si="49"/>
        <v>68105.88</v>
      </c>
      <c r="H37" s="388" t="s">
        <v>52</v>
      </c>
      <c r="I37" s="384">
        <v>18</v>
      </c>
      <c r="J37" s="18">
        <v>2400</v>
      </c>
      <c r="K37" s="9">
        <f t="shared" si="54"/>
        <v>133.33333333333334</v>
      </c>
      <c r="L37" s="384">
        <v>18</v>
      </c>
      <c r="M37" s="10">
        <f t="shared" si="55"/>
        <v>2237.5280898876404</v>
      </c>
      <c r="N37" s="9">
        <f t="shared" si="56"/>
        <v>124.30711610486891</v>
      </c>
      <c r="O37" s="11">
        <f t="shared" si="50"/>
        <v>0</v>
      </c>
      <c r="P37" s="12">
        <f t="shared" si="51"/>
        <v>-9.0262172284644322</v>
      </c>
      <c r="Q37" s="378">
        <f t="shared" si="52"/>
        <v>0.93230337078651682</v>
      </c>
      <c r="R37" s="533"/>
      <c r="S37" s="24">
        <v>0.31249999999999994</v>
      </c>
      <c r="T37" s="24">
        <v>0.3743055555555555</v>
      </c>
      <c r="U37" s="376">
        <f t="shared" si="58"/>
        <v>6.9999999999999751</v>
      </c>
      <c r="V37" s="385">
        <f t="shared" si="53"/>
        <v>89</v>
      </c>
      <c r="W37" s="14"/>
      <c r="X37" s="14"/>
      <c r="Y37" s="528"/>
      <c r="Z37" s="528"/>
      <c r="AA37" s="11">
        <f t="shared" si="2"/>
        <v>-162.47191011235964</v>
      </c>
      <c r="AB37" s="378">
        <f t="shared" si="57"/>
        <v>0.93230337078651682</v>
      </c>
      <c r="AC37" s="533"/>
    </row>
    <row r="38" spans="1:29">
      <c r="A38" s="551" t="s">
        <v>1465</v>
      </c>
      <c r="B38" s="26" t="s">
        <v>24</v>
      </c>
      <c r="C38" s="529" t="s">
        <v>50</v>
      </c>
      <c r="D38" s="529"/>
      <c r="E38" s="26">
        <v>26.2</v>
      </c>
      <c r="F38" s="386">
        <v>3200</v>
      </c>
      <c r="G38" s="376">
        <f t="shared" si="49"/>
        <v>83840</v>
      </c>
      <c r="H38" s="388">
        <v>2</v>
      </c>
      <c r="I38" s="384">
        <v>19</v>
      </c>
      <c r="J38" s="18">
        <v>2400</v>
      </c>
      <c r="K38" s="9">
        <f t="shared" si="54"/>
        <v>126.31578947368421</v>
      </c>
      <c r="L38" s="384">
        <v>19</v>
      </c>
      <c r="M38" s="10">
        <f t="shared" si="55"/>
        <v>2232.5581395348836</v>
      </c>
      <c r="N38" s="9">
        <f t="shared" si="56"/>
        <v>117.50305997552019</v>
      </c>
      <c r="O38" s="11">
        <f t="shared" si="50"/>
        <v>0</v>
      </c>
      <c r="P38" s="12">
        <f t="shared" si="51"/>
        <v>-8.8127294981640176</v>
      </c>
      <c r="Q38" s="378">
        <f t="shared" si="52"/>
        <v>0.93023255813953487</v>
      </c>
      <c r="R38" s="533"/>
      <c r="S38" s="24">
        <v>0.37847222222222215</v>
      </c>
      <c r="T38" s="24">
        <v>0.43819444444444439</v>
      </c>
      <c r="U38" s="376">
        <f t="shared" si="58"/>
        <v>5.9999999999999787</v>
      </c>
      <c r="V38" s="385">
        <f t="shared" si="53"/>
        <v>86.000000000000014</v>
      </c>
      <c r="W38" s="14"/>
      <c r="X38" s="14"/>
      <c r="Y38" s="528"/>
      <c r="Z38" s="528"/>
      <c r="AA38" s="11">
        <f t="shared" si="2"/>
        <v>-167.44186046511641</v>
      </c>
      <c r="AB38" s="378">
        <f t="shared" si="57"/>
        <v>0.93023255813953487</v>
      </c>
      <c r="AC38" s="533"/>
    </row>
    <row r="39" spans="1:29">
      <c r="A39" s="551" t="s">
        <v>1465</v>
      </c>
      <c r="B39" s="26" t="s">
        <v>24</v>
      </c>
      <c r="C39" s="529" t="s">
        <v>1079</v>
      </c>
      <c r="D39" s="529"/>
      <c r="E39" s="26">
        <v>25.98</v>
      </c>
      <c r="F39" s="386">
        <v>3500</v>
      </c>
      <c r="G39" s="376">
        <f t="shared" si="49"/>
        <v>90930</v>
      </c>
      <c r="H39" s="388">
        <v>2</v>
      </c>
      <c r="I39" s="384">
        <v>17</v>
      </c>
      <c r="J39" s="18">
        <v>2400</v>
      </c>
      <c r="K39" s="9">
        <f t="shared" si="54"/>
        <v>141.1764705882353</v>
      </c>
      <c r="L39" s="384">
        <v>17</v>
      </c>
      <c r="M39" s="10">
        <f t="shared" si="55"/>
        <v>2234.042553191488</v>
      </c>
      <c r="N39" s="9">
        <f t="shared" si="56"/>
        <v>131.41426783479341</v>
      </c>
      <c r="O39" s="11">
        <f t="shared" si="50"/>
        <v>0</v>
      </c>
      <c r="P39" s="12">
        <f t="shared" si="51"/>
        <v>-9.7622027534418976</v>
      </c>
      <c r="Q39" s="378">
        <f t="shared" si="52"/>
        <v>0.93085106382978655</v>
      </c>
      <c r="R39" s="533"/>
      <c r="S39" s="24">
        <v>0.44236111111111104</v>
      </c>
      <c r="T39" s="24">
        <v>0.50763888888888886</v>
      </c>
      <c r="U39" s="376">
        <f t="shared" si="58"/>
        <v>5.9999999999999787</v>
      </c>
      <c r="V39" s="385">
        <f t="shared" si="53"/>
        <v>94.000000000000071</v>
      </c>
      <c r="W39" s="14">
        <f>T39</f>
        <v>0.50763888888888886</v>
      </c>
      <c r="X39" s="14">
        <f>S40</f>
        <v>0.54861111111111105</v>
      </c>
      <c r="Y39" s="528"/>
      <c r="Z39" s="528"/>
      <c r="AA39" s="11">
        <f t="shared" si="2"/>
        <v>-165.95744680851203</v>
      </c>
      <c r="AB39" s="378">
        <f t="shared" si="57"/>
        <v>0.93085106382978666</v>
      </c>
      <c r="AC39" s="533"/>
    </row>
    <row r="40" spans="1:29">
      <c r="A40" s="551" t="s">
        <v>1465</v>
      </c>
      <c r="B40" s="26" t="s">
        <v>24</v>
      </c>
      <c r="C40" s="529" t="s">
        <v>29</v>
      </c>
      <c r="D40" s="529"/>
      <c r="E40" s="26">
        <v>26.39</v>
      </c>
      <c r="F40" s="386">
        <v>4122</v>
      </c>
      <c r="G40" s="376">
        <f t="shared" si="49"/>
        <v>108779.58</v>
      </c>
      <c r="H40" s="388" t="s">
        <v>52</v>
      </c>
      <c r="I40" s="384">
        <v>19</v>
      </c>
      <c r="J40" s="18">
        <v>2400</v>
      </c>
      <c r="K40" s="9">
        <f t="shared" si="54"/>
        <v>126.31578947368421</v>
      </c>
      <c r="L40" s="384">
        <v>19</v>
      </c>
      <c r="M40" s="10">
        <f t="shared" si="55"/>
        <v>2228.1081081081093</v>
      </c>
      <c r="N40" s="9">
        <f t="shared" si="56"/>
        <v>117.26884779516365</v>
      </c>
      <c r="O40" s="11">
        <f t="shared" si="50"/>
        <v>0</v>
      </c>
      <c r="P40" s="12">
        <f t="shared" si="51"/>
        <v>-9.0469416785205539</v>
      </c>
      <c r="Q40" s="378">
        <f t="shared" si="52"/>
        <v>0.928378378378379</v>
      </c>
      <c r="R40" s="533"/>
      <c r="S40" s="24">
        <v>0.54861111111111105</v>
      </c>
      <c r="T40" s="24">
        <v>0.62569444444444433</v>
      </c>
      <c r="U40" s="376">
        <f t="shared" si="58"/>
        <v>58.99999999999995</v>
      </c>
      <c r="V40" s="385">
        <f t="shared" si="53"/>
        <v>110.99999999999993</v>
      </c>
      <c r="W40" s="14"/>
      <c r="X40" s="14"/>
      <c r="Y40" s="536"/>
      <c r="Z40" s="537"/>
      <c r="AA40" s="11">
        <f t="shared" si="2"/>
        <v>-171.89189189189074</v>
      </c>
      <c r="AB40" s="378">
        <f t="shared" si="57"/>
        <v>0.92837837837837889</v>
      </c>
      <c r="AC40" s="533"/>
    </row>
    <row r="41" spans="1:29">
      <c r="A41" s="551" t="s">
        <v>1465</v>
      </c>
      <c r="B41" s="26" t="s">
        <v>24</v>
      </c>
      <c r="C41" s="529" t="s">
        <v>50</v>
      </c>
      <c r="D41" s="529"/>
      <c r="E41" s="26">
        <v>26.2</v>
      </c>
      <c r="F41" s="386">
        <v>2055</v>
      </c>
      <c r="G41" s="376">
        <f t="shared" si="49"/>
        <v>53841</v>
      </c>
      <c r="H41" s="388" t="s">
        <v>52</v>
      </c>
      <c r="I41" s="384">
        <v>19</v>
      </c>
      <c r="J41" s="18">
        <v>2400</v>
      </c>
      <c r="K41" s="9">
        <f t="shared" si="54"/>
        <v>126.31578947368421</v>
      </c>
      <c r="L41" s="384">
        <v>19</v>
      </c>
      <c r="M41" s="10">
        <f t="shared" si="55"/>
        <v>2241.8181818181833</v>
      </c>
      <c r="N41" s="9">
        <f t="shared" si="56"/>
        <v>117.99043062200965</v>
      </c>
      <c r="O41" s="11">
        <f t="shared" si="50"/>
        <v>0</v>
      </c>
      <c r="P41" s="12">
        <f t="shared" si="51"/>
        <v>-8.3253588516745509</v>
      </c>
      <c r="Q41" s="378">
        <f t="shared" si="52"/>
        <v>0.93409090909090975</v>
      </c>
      <c r="R41" s="533"/>
      <c r="S41" s="24">
        <v>0.63124999999999987</v>
      </c>
      <c r="T41" s="24">
        <v>0.66944444444444429</v>
      </c>
      <c r="U41" s="376">
        <f t="shared" si="58"/>
        <v>7.9999999999999716</v>
      </c>
      <c r="V41" s="385">
        <f t="shared" si="53"/>
        <v>54.999999999999964</v>
      </c>
      <c r="W41" s="14"/>
      <c r="X41" s="14"/>
      <c r="Y41" s="536"/>
      <c r="Z41" s="537"/>
      <c r="AA41" s="11">
        <f t="shared" si="2"/>
        <v>-158.18181818181665</v>
      </c>
      <c r="AB41" s="378">
        <f t="shared" si="57"/>
        <v>0.93409090909090975</v>
      </c>
      <c r="AC41" s="533"/>
    </row>
    <row r="42" spans="1:29">
      <c r="A42" s="551" t="s">
        <v>1465</v>
      </c>
      <c r="B42" s="26" t="s">
        <v>24</v>
      </c>
      <c r="C42" s="529" t="s">
        <v>1079</v>
      </c>
      <c r="D42" s="529"/>
      <c r="E42" s="26">
        <v>25.98</v>
      </c>
      <c r="F42" s="386">
        <v>2507</v>
      </c>
      <c r="G42" s="376">
        <f t="shared" si="49"/>
        <v>65131.86</v>
      </c>
      <c r="H42" s="388" t="s">
        <v>52</v>
      </c>
      <c r="I42" s="384">
        <v>17</v>
      </c>
      <c r="J42" s="18">
        <v>2400</v>
      </c>
      <c r="K42" s="9">
        <f t="shared" si="54"/>
        <v>141.1764705882353</v>
      </c>
      <c r="L42" s="384">
        <v>17</v>
      </c>
      <c r="M42" s="10">
        <f t="shared" si="55"/>
        <v>2245.0746268656749</v>
      </c>
      <c r="N42" s="9">
        <f t="shared" si="56"/>
        <v>132.06321334503969</v>
      </c>
      <c r="O42" s="11">
        <f t="shared" si="50"/>
        <v>0</v>
      </c>
      <c r="P42" s="12">
        <f t="shared" si="51"/>
        <v>-9.1132572431956191</v>
      </c>
      <c r="Q42" s="378">
        <f t="shared" si="52"/>
        <v>0.93544776119403106</v>
      </c>
      <c r="R42" s="533"/>
      <c r="S42" s="24">
        <v>0.67361111111111094</v>
      </c>
      <c r="T42" s="24">
        <v>0.72013888888888866</v>
      </c>
      <c r="U42" s="376">
        <f t="shared" si="58"/>
        <v>5.9999999999999787</v>
      </c>
      <c r="V42" s="385">
        <f t="shared" si="53"/>
        <v>66.999999999999915</v>
      </c>
      <c r="W42" s="14"/>
      <c r="X42" s="14"/>
      <c r="Y42" s="536"/>
      <c r="Z42" s="537"/>
      <c r="AA42" s="11">
        <f t="shared" si="2"/>
        <v>-154.92537313432513</v>
      </c>
      <c r="AB42" s="378">
        <f t="shared" si="57"/>
        <v>0.93544776119403117</v>
      </c>
      <c r="AC42" s="533"/>
    </row>
    <row r="43" spans="1:29">
      <c r="A43" s="551" t="s">
        <v>1465</v>
      </c>
      <c r="B43" s="16" t="s">
        <v>1460</v>
      </c>
      <c r="C43" s="530"/>
      <c r="D43" s="530"/>
      <c r="E43" s="377"/>
      <c r="F43" s="16"/>
      <c r="G43" s="9"/>
      <c r="H43" s="386"/>
      <c r="I43" s="17">
        <v>18.444444444444443</v>
      </c>
      <c r="J43" s="18">
        <v>2400</v>
      </c>
      <c r="K43" s="9">
        <f t="shared" si="54"/>
        <v>130.12048192771084</v>
      </c>
      <c r="L43" s="17">
        <v>18.444444444444443</v>
      </c>
      <c r="M43" s="10">
        <f>AVERAGE(M34:M42)</f>
        <v>2239.4954938495025</v>
      </c>
      <c r="N43" s="9">
        <f>M43/L43</f>
        <v>121.41843038943087</v>
      </c>
      <c r="O43" s="11">
        <f>L43-I43</f>
        <v>0</v>
      </c>
      <c r="P43" s="12">
        <f t="shared" si="51"/>
        <v>-8.7020515382799744</v>
      </c>
      <c r="Q43" s="378">
        <f t="shared" si="52"/>
        <v>0.93312312243729278</v>
      </c>
      <c r="R43" s="533"/>
      <c r="S43" s="24"/>
      <c r="T43" s="24"/>
      <c r="U43" s="9"/>
      <c r="V43" s="385"/>
      <c r="W43" s="9"/>
      <c r="X43" s="9"/>
      <c r="Y43" s="528"/>
      <c r="Z43" s="528"/>
      <c r="AA43" s="11">
        <f t="shared" si="2"/>
        <v>-160.50450615049749</v>
      </c>
      <c r="AB43" s="378">
        <f t="shared" si="57"/>
        <v>0.93312312243729267</v>
      </c>
      <c r="AC43" s="533"/>
    </row>
    <row r="44" spans="1:29" ht="15.75" customHeight="1">
      <c r="A44" s="544" t="s">
        <v>1466</v>
      </c>
      <c r="B44" s="26" t="s">
        <v>32</v>
      </c>
      <c r="C44" s="534" t="s">
        <v>33</v>
      </c>
      <c r="D44" s="535"/>
      <c r="E44" s="26">
        <v>27.17</v>
      </c>
      <c r="F44" s="386">
        <v>6042</v>
      </c>
      <c r="G44" s="376">
        <f t="shared" ref="G44:G51" si="59">E44*F44</f>
        <v>164161.14000000001</v>
      </c>
      <c r="H44" s="388" t="s">
        <v>52</v>
      </c>
      <c r="I44" s="384">
        <v>10</v>
      </c>
      <c r="J44" s="18">
        <v>3000</v>
      </c>
      <c r="K44" s="9">
        <f t="shared" si="54"/>
        <v>300</v>
      </c>
      <c r="L44" s="384">
        <v>10</v>
      </c>
      <c r="M44" s="10">
        <f t="shared" ref="M44:M45" si="60">F44/V44*60</f>
        <v>2788.6153846153838</v>
      </c>
      <c r="N44" s="10">
        <f t="shared" ref="N44:N52" si="61">M44/L44</f>
        <v>278.86153846153837</v>
      </c>
      <c r="O44" s="11">
        <f t="shared" ref="O44:O52" si="62">L44-I44</f>
        <v>0</v>
      </c>
      <c r="P44" s="12">
        <f t="shared" si="51"/>
        <v>-21.138461538461627</v>
      </c>
      <c r="Q44" s="378">
        <f t="shared" si="52"/>
        <v>0.9295384615384612</v>
      </c>
      <c r="R44" s="547">
        <f>Q52</f>
        <v>0.9319462111478074</v>
      </c>
      <c r="S44" s="24">
        <v>0.125</v>
      </c>
      <c r="T44" s="24">
        <v>0.21527777777777779</v>
      </c>
      <c r="U44" s="15"/>
      <c r="V44" s="385">
        <f t="shared" ref="V44:V51" si="63">(T44-S44)*24*60</f>
        <v>130.00000000000003</v>
      </c>
      <c r="W44" s="376"/>
      <c r="X44" s="376"/>
      <c r="Y44" s="536"/>
      <c r="Z44" s="537"/>
      <c r="AA44" s="11">
        <f t="shared" si="2"/>
        <v>-211.38461538461615</v>
      </c>
      <c r="AB44" s="378">
        <f t="shared" si="57"/>
        <v>0.92953846153846131</v>
      </c>
      <c r="AC44" s="547">
        <f>AB52</f>
        <v>0.9319462111478074</v>
      </c>
    </row>
    <row r="45" spans="1:29" ht="15.75" customHeight="1">
      <c r="A45" s="545" t="s">
        <v>1466</v>
      </c>
      <c r="B45" s="26" t="s">
        <v>32</v>
      </c>
      <c r="C45" s="534" t="s">
        <v>34</v>
      </c>
      <c r="D45" s="535"/>
      <c r="E45" s="26">
        <v>21.13</v>
      </c>
      <c r="F45" s="386">
        <v>4800</v>
      </c>
      <c r="G45" s="376">
        <f t="shared" si="59"/>
        <v>101424</v>
      </c>
      <c r="H45" s="388" t="s">
        <v>52</v>
      </c>
      <c r="I45" s="384">
        <v>10</v>
      </c>
      <c r="J45" s="18">
        <v>3000</v>
      </c>
      <c r="K45" s="9">
        <f t="shared" si="54"/>
        <v>300</v>
      </c>
      <c r="L45" s="384">
        <v>10</v>
      </c>
      <c r="M45" s="10">
        <f t="shared" si="60"/>
        <v>2796.1165048543689</v>
      </c>
      <c r="N45" s="10">
        <f t="shared" si="61"/>
        <v>279.61165048543688</v>
      </c>
      <c r="O45" s="11">
        <f t="shared" si="62"/>
        <v>0</v>
      </c>
      <c r="P45" s="12">
        <f t="shared" si="51"/>
        <v>-20.388349514563117</v>
      </c>
      <c r="Q45" s="378">
        <f t="shared" si="52"/>
        <v>0.93203883495145623</v>
      </c>
      <c r="R45" s="548"/>
      <c r="S45" s="24">
        <v>0.22013888888888891</v>
      </c>
      <c r="T45" s="24">
        <v>0.29166666666666669</v>
      </c>
      <c r="U45" s="376">
        <f>(S45-T44)*24*60</f>
        <v>7.0000000000000151</v>
      </c>
      <c r="V45" s="385">
        <f t="shared" si="63"/>
        <v>103</v>
      </c>
      <c r="W45" s="14"/>
      <c r="X45" s="14"/>
      <c r="Y45" s="536"/>
      <c r="Z45" s="537"/>
      <c r="AA45" s="11">
        <f t="shared" si="2"/>
        <v>-203.88349514563106</v>
      </c>
      <c r="AB45" s="378">
        <f t="shared" si="57"/>
        <v>0.93203883495145634</v>
      </c>
      <c r="AC45" s="548"/>
    </row>
    <row r="46" spans="1:29" ht="15.75" customHeight="1">
      <c r="A46" s="545" t="s">
        <v>1466</v>
      </c>
      <c r="B46" s="26" t="s">
        <v>32</v>
      </c>
      <c r="C46" s="534" t="s">
        <v>40</v>
      </c>
      <c r="D46" s="535"/>
      <c r="E46" s="26">
        <v>35.119999999999997</v>
      </c>
      <c r="F46" s="386">
        <v>4448</v>
      </c>
      <c r="G46" s="376">
        <f t="shared" si="59"/>
        <v>156213.75999999998</v>
      </c>
      <c r="H46" s="388" t="s">
        <v>52</v>
      </c>
      <c r="I46" s="384">
        <v>10</v>
      </c>
      <c r="J46" s="18">
        <v>3000</v>
      </c>
      <c r="K46" s="9">
        <f t="shared" si="54"/>
        <v>300</v>
      </c>
      <c r="L46" s="384">
        <v>10</v>
      </c>
      <c r="M46" s="10">
        <f>F46/V46*60</f>
        <v>2780.0000000000009</v>
      </c>
      <c r="N46" s="10">
        <f t="shared" si="61"/>
        <v>278.00000000000011</v>
      </c>
      <c r="O46" s="11">
        <f t="shared" si="62"/>
        <v>0</v>
      </c>
      <c r="P46" s="12">
        <f t="shared" si="51"/>
        <v>-21.999999999999886</v>
      </c>
      <c r="Q46" s="378">
        <f t="shared" si="52"/>
        <v>0.92666666666666708</v>
      </c>
      <c r="R46" s="548"/>
      <c r="S46" s="24">
        <v>0.29583333333333334</v>
      </c>
      <c r="T46" s="24">
        <v>0.36249999999999999</v>
      </c>
      <c r="U46" s="376">
        <f t="shared" ref="U46:U51" si="64">(S46-T45)*24*60</f>
        <v>5.9999999999999787</v>
      </c>
      <c r="V46" s="385">
        <f t="shared" si="63"/>
        <v>95.999999999999972</v>
      </c>
      <c r="W46" s="14"/>
      <c r="X46" s="14"/>
      <c r="Y46" s="536"/>
      <c r="Z46" s="537"/>
      <c r="AA46" s="11">
        <f t="shared" si="2"/>
        <v>-219.99999999999909</v>
      </c>
      <c r="AB46" s="378">
        <f t="shared" si="57"/>
        <v>0.92666666666666697</v>
      </c>
      <c r="AC46" s="548"/>
    </row>
    <row r="47" spans="1:29" ht="15.75" customHeight="1">
      <c r="A47" s="545" t="s">
        <v>1466</v>
      </c>
      <c r="B47" s="26" t="s">
        <v>32</v>
      </c>
      <c r="C47" s="534" t="s">
        <v>61</v>
      </c>
      <c r="D47" s="535"/>
      <c r="E47" s="26">
        <v>40.18</v>
      </c>
      <c r="F47" s="386">
        <v>1867</v>
      </c>
      <c r="G47" s="376">
        <f t="shared" si="59"/>
        <v>75016.06</v>
      </c>
      <c r="H47" s="388" t="s">
        <v>52</v>
      </c>
      <c r="I47" s="384">
        <v>10</v>
      </c>
      <c r="J47" s="18">
        <v>3000</v>
      </c>
      <c r="K47" s="9">
        <f t="shared" si="54"/>
        <v>300</v>
      </c>
      <c r="L47" s="384">
        <v>10</v>
      </c>
      <c r="M47" s="10">
        <f t="shared" ref="M47:M51" si="65">F47/V47*60</f>
        <v>2800.4999999999991</v>
      </c>
      <c r="N47" s="10">
        <f t="shared" si="61"/>
        <v>280.0499999999999</v>
      </c>
      <c r="O47" s="11">
        <f t="shared" si="62"/>
        <v>0</v>
      </c>
      <c r="P47" s="12">
        <f t="shared" si="51"/>
        <v>-19.950000000000102</v>
      </c>
      <c r="Q47" s="378">
        <f t="shared" si="52"/>
        <v>0.93349999999999966</v>
      </c>
      <c r="R47" s="548"/>
      <c r="S47" s="24">
        <v>0.36666666666666664</v>
      </c>
      <c r="T47" s="24">
        <v>0.39444444444444443</v>
      </c>
      <c r="U47" s="376">
        <f t="shared" si="64"/>
        <v>5.9999999999999787</v>
      </c>
      <c r="V47" s="385">
        <f t="shared" si="63"/>
        <v>40.000000000000014</v>
      </c>
      <c r="W47" s="14"/>
      <c r="X47" s="14"/>
      <c r="Y47" s="536"/>
      <c r="Z47" s="537"/>
      <c r="AA47" s="11">
        <f t="shared" si="2"/>
        <v>-199.50000000000091</v>
      </c>
      <c r="AB47" s="378">
        <f t="shared" si="57"/>
        <v>0.93349999999999966</v>
      </c>
      <c r="AC47" s="548"/>
    </row>
    <row r="48" spans="1:29" ht="15.75" customHeight="1">
      <c r="A48" s="545" t="s">
        <v>1466</v>
      </c>
      <c r="B48" s="26" t="s">
        <v>32</v>
      </c>
      <c r="C48" s="534" t="s">
        <v>64</v>
      </c>
      <c r="D48" s="535"/>
      <c r="E48" s="26">
        <v>28.5</v>
      </c>
      <c r="F48" s="386">
        <v>1129</v>
      </c>
      <c r="G48" s="376">
        <f t="shared" si="59"/>
        <v>32176.5</v>
      </c>
      <c r="H48" s="388" t="s">
        <v>52</v>
      </c>
      <c r="I48" s="384">
        <v>10</v>
      </c>
      <c r="J48" s="18">
        <v>3000</v>
      </c>
      <c r="K48" s="9">
        <f t="shared" si="54"/>
        <v>300</v>
      </c>
      <c r="L48" s="384">
        <v>10</v>
      </c>
      <c r="M48" s="10">
        <f t="shared" si="65"/>
        <v>2822.5000000000009</v>
      </c>
      <c r="N48" s="10">
        <f t="shared" si="61"/>
        <v>282.25000000000011</v>
      </c>
      <c r="O48" s="11">
        <f t="shared" si="62"/>
        <v>0</v>
      </c>
      <c r="P48" s="12">
        <f t="shared" si="51"/>
        <v>-17.749999999999886</v>
      </c>
      <c r="Q48" s="378">
        <f>N48/K48</f>
        <v>0.94083333333333374</v>
      </c>
      <c r="R48" s="548"/>
      <c r="S48" s="24">
        <v>0.39861111111111108</v>
      </c>
      <c r="T48" s="24">
        <v>0.41527777777777775</v>
      </c>
      <c r="U48" s="376">
        <f t="shared" si="64"/>
        <v>5.9999999999999787</v>
      </c>
      <c r="V48" s="385">
        <f t="shared" si="63"/>
        <v>23.999999999999993</v>
      </c>
      <c r="W48" s="14"/>
      <c r="X48" s="14"/>
      <c r="Y48" s="536"/>
      <c r="Z48" s="537"/>
      <c r="AA48" s="11">
        <f t="shared" si="2"/>
        <v>-177.49999999999909</v>
      </c>
      <c r="AB48" s="378">
        <f t="shared" si="57"/>
        <v>0.94083333333333363</v>
      </c>
      <c r="AC48" s="548"/>
    </row>
    <row r="49" spans="1:29" ht="15.75" customHeight="1">
      <c r="A49" s="545" t="s">
        <v>1466</v>
      </c>
      <c r="B49" s="26" t="s">
        <v>32</v>
      </c>
      <c r="C49" s="534" t="s">
        <v>78</v>
      </c>
      <c r="D49" s="535"/>
      <c r="E49" s="26">
        <v>35.869999999999997</v>
      </c>
      <c r="F49" s="386">
        <v>3196</v>
      </c>
      <c r="G49" s="376">
        <f t="shared" si="59"/>
        <v>114640.51999999999</v>
      </c>
      <c r="H49" s="388" t="s">
        <v>52</v>
      </c>
      <c r="I49" s="384">
        <v>10</v>
      </c>
      <c r="J49" s="18">
        <v>3000</v>
      </c>
      <c r="K49" s="9">
        <f t="shared" si="54"/>
        <v>300</v>
      </c>
      <c r="L49" s="384">
        <v>10</v>
      </c>
      <c r="M49" s="10">
        <f t="shared" si="65"/>
        <v>2779.130434782609</v>
      </c>
      <c r="N49" s="10">
        <f t="shared" si="61"/>
        <v>277.91304347826087</v>
      </c>
      <c r="O49" s="11">
        <f t="shared" si="62"/>
        <v>0</v>
      </c>
      <c r="P49" s="12">
        <f t="shared" si="51"/>
        <v>-22.086956521739125</v>
      </c>
      <c r="Q49" s="378">
        <f t="shared" ref="Q49:Q52" si="66">N49/K49</f>
        <v>0.92637681159420293</v>
      </c>
      <c r="R49" s="548"/>
      <c r="S49" s="24">
        <v>0.41874999999999996</v>
      </c>
      <c r="T49" s="24">
        <v>0.46666666666666662</v>
      </c>
      <c r="U49" s="376">
        <f t="shared" si="64"/>
        <v>4.9999999999999822</v>
      </c>
      <c r="V49" s="385">
        <f t="shared" si="63"/>
        <v>69</v>
      </c>
      <c r="W49" s="14"/>
      <c r="X49" s="14"/>
      <c r="Y49" s="536"/>
      <c r="Z49" s="537"/>
      <c r="AA49" s="11">
        <f t="shared" si="2"/>
        <v>-220.86956521739103</v>
      </c>
      <c r="AB49" s="378">
        <f t="shared" si="57"/>
        <v>0.92637681159420304</v>
      </c>
      <c r="AC49" s="548"/>
    </row>
    <row r="50" spans="1:29" ht="15.75" customHeight="1">
      <c r="A50" s="545" t="s">
        <v>1466</v>
      </c>
      <c r="B50" s="26" t="s">
        <v>32</v>
      </c>
      <c r="C50" s="534" t="s">
        <v>1081</v>
      </c>
      <c r="D50" s="535"/>
      <c r="E50" s="26">
        <v>36.14</v>
      </c>
      <c r="F50" s="386">
        <v>2500</v>
      </c>
      <c r="G50" s="376">
        <f t="shared" si="59"/>
        <v>90350</v>
      </c>
      <c r="H50" s="388">
        <v>2</v>
      </c>
      <c r="I50" s="384">
        <v>10</v>
      </c>
      <c r="J50" s="18">
        <v>3000</v>
      </c>
      <c r="K50" s="9">
        <f t="shared" si="54"/>
        <v>300</v>
      </c>
      <c r="L50" s="384">
        <v>10</v>
      </c>
      <c r="M50" s="10">
        <f t="shared" si="65"/>
        <v>2777.7777777777751</v>
      </c>
      <c r="N50" s="10">
        <f t="shared" si="61"/>
        <v>277.77777777777749</v>
      </c>
      <c r="O50" s="11">
        <f t="shared" si="62"/>
        <v>0</v>
      </c>
      <c r="P50" s="12">
        <f t="shared" si="51"/>
        <v>-22.222222222222513</v>
      </c>
      <c r="Q50" s="378">
        <f t="shared" si="66"/>
        <v>0.92592592592592493</v>
      </c>
      <c r="R50" s="548"/>
      <c r="S50" s="24">
        <v>0.47013888888888883</v>
      </c>
      <c r="T50" s="24">
        <v>0.50763888888888886</v>
      </c>
      <c r="U50" s="376">
        <f t="shared" si="64"/>
        <v>4.9999999999999822</v>
      </c>
      <c r="V50" s="385">
        <f t="shared" si="63"/>
        <v>54.00000000000005</v>
      </c>
      <c r="W50" s="14">
        <f>T50</f>
        <v>0.50763888888888886</v>
      </c>
      <c r="X50" s="14">
        <f>S51</f>
        <v>0.54930555555555549</v>
      </c>
      <c r="Y50" s="536"/>
      <c r="Z50" s="537"/>
      <c r="AA50" s="11">
        <f t="shared" si="2"/>
        <v>-222.2222222222249</v>
      </c>
      <c r="AB50" s="378">
        <f t="shared" si="57"/>
        <v>0.92592592592592504</v>
      </c>
      <c r="AC50" s="548"/>
    </row>
    <row r="51" spans="1:29" ht="15.75" customHeight="1">
      <c r="A51" s="545" t="s">
        <v>1466</v>
      </c>
      <c r="B51" s="26" t="s">
        <v>32</v>
      </c>
      <c r="C51" s="534" t="s">
        <v>1081</v>
      </c>
      <c r="D51" s="535"/>
      <c r="E51" s="26">
        <v>36.14</v>
      </c>
      <c r="F51" s="386">
        <v>2728</v>
      </c>
      <c r="G51" s="376">
        <f t="shared" si="59"/>
        <v>98589.92</v>
      </c>
      <c r="H51" s="388" t="s">
        <v>52</v>
      </c>
      <c r="I51" s="384">
        <v>10</v>
      </c>
      <c r="J51" s="18">
        <v>3000</v>
      </c>
      <c r="K51" s="9">
        <f t="shared" si="54"/>
        <v>300</v>
      </c>
      <c r="L51" s="384">
        <v>10</v>
      </c>
      <c r="M51" s="10">
        <f t="shared" si="65"/>
        <v>2822.0689655172437</v>
      </c>
      <c r="N51" s="10">
        <f t="shared" si="61"/>
        <v>282.20689655172436</v>
      </c>
      <c r="O51" s="11">
        <f t="shared" si="62"/>
        <v>0</v>
      </c>
      <c r="P51" s="12">
        <f t="shared" si="51"/>
        <v>-17.793103448275644</v>
      </c>
      <c r="Q51" s="378">
        <f t="shared" si="66"/>
        <v>0.94068965517241454</v>
      </c>
      <c r="R51" s="548"/>
      <c r="S51" s="24">
        <v>0.54930555555555549</v>
      </c>
      <c r="T51" s="24">
        <v>0.58958333333333324</v>
      </c>
      <c r="U51" s="376">
        <f t="shared" si="64"/>
        <v>59.999999999999943</v>
      </c>
      <c r="V51" s="385">
        <f t="shared" si="63"/>
        <v>57.999999999999957</v>
      </c>
      <c r="W51" s="14"/>
      <c r="X51" s="14"/>
      <c r="Y51" s="536"/>
      <c r="Z51" s="537"/>
      <c r="AA51" s="11">
        <f t="shared" si="2"/>
        <v>-177.93103448275633</v>
      </c>
      <c r="AB51" s="378">
        <f t="shared" si="57"/>
        <v>0.94068965517241454</v>
      </c>
      <c r="AC51" s="548"/>
    </row>
    <row r="52" spans="1:29" ht="15.75" customHeight="1">
      <c r="A52" s="546" t="s">
        <v>1466</v>
      </c>
      <c r="B52" s="26" t="s">
        <v>1460</v>
      </c>
      <c r="C52" s="540"/>
      <c r="D52" s="541"/>
      <c r="E52" s="383"/>
      <c r="F52" s="386"/>
      <c r="G52" s="376"/>
      <c r="H52" s="386"/>
      <c r="I52" s="17">
        <v>10</v>
      </c>
      <c r="J52" s="18">
        <v>3000</v>
      </c>
      <c r="K52" s="9">
        <f>J52/I52</f>
        <v>300</v>
      </c>
      <c r="L52" s="17">
        <v>10</v>
      </c>
      <c r="M52" s="10">
        <f>AVERAGE(M44:M51)</f>
        <v>2795.8386334434222</v>
      </c>
      <c r="N52" s="9">
        <f t="shared" si="61"/>
        <v>279.58386334434221</v>
      </c>
      <c r="O52" s="11">
        <f t="shared" si="62"/>
        <v>0</v>
      </c>
      <c r="P52" s="12">
        <f t="shared" si="51"/>
        <v>-20.416136655657795</v>
      </c>
      <c r="Q52" s="378">
        <f t="shared" si="66"/>
        <v>0.9319462111478074</v>
      </c>
      <c r="R52" s="549"/>
      <c r="S52" s="24"/>
      <c r="T52" s="24"/>
      <c r="U52" s="376"/>
      <c r="V52" s="385"/>
      <c r="W52" s="14"/>
      <c r="X52" s="14"/>
      <c r="Y52" s="536"/>
      <c r="Z52" s="537"/>
      <c r="AA52" s="11">
        <f t="shared" si="2"/>
        <v>-204.16136655657783</v>
      </c>
      <c r="AB52" s="378">
        <f t="shared" si="57"/>
        <v>0.9319462111478074</v>
      </c>
      <c r="AC52" s="549"/>
    </row>
    <row r="53" spans="1:29" ht="15.75" customHeight="1">
      <c r="A53" s="542" t="s">
        <v>1467</v>
      </c>
      <c r="B53" s="26" t="s">
        <v>15</v>
      </c>
      <c r="C53" s="529" t="s">
        <v>20</v>
      </c>
      <c r="D53" s="529"/>
      <c r="E53" s="26">
        <v>46</v>
      </c>
      <c r="F53" s="27">
        <v>3521</v>
      </c>
      <c r="G53" s="376">
        <f t="shared" ref="G53:G57" si="67">E53*F53</f>
        <v>161966</v>
      </c>
      <c r="H53" s="388" t="s">
        <v>52</v>
      </c>
      <c r="I53" s="384">
        <v>17</v>
      </c>
      <c r="J53" s="18">
        <v>2000</v>
      </c>
      <c r="K53" s="9">
        <f t="shared" ref="K53:K57" si="68">J53/I53</f>
        <v>117.64705882352941</v>
      </c>
      <c r="L53" s="384">
        <v>17</v>
      </c>
      <c r="M53" s="10">
        <f t="shared" ref="M53:M57" si="69">F53/V53*60</f>
        <v>1853.1578947368421</v>
      </c>
      <c r="N53" s="10">
        <f>M53/L53</f>
        <v>109.0092879256966</v>
      </c>
      <c r="O53" s="11">
        <f>L53-I53</f>
        <v>0</v>
      </c>
      <c r="P53" s="12">
        <f>N53-K53</f>
        <v>-8.6377708978328087</v>
      </c>
      <c r="Q53" s="378">
        <f>N53/K53</f>
        <v>0.92657894736842117</v>
      </c>
      <c r="R53" s="533">
        <f>Q58</f>
        <v>0.93216191964391437</v>
      </c>
      <c r="S53" s="24">
        <v>0.29166666666666669</v>
      </c>
      <c r="T53" s="24">
        <v>0.37083333333333335</v>
      </c>
      <c r="U53" s="15"/>
      <c r="V53" s="385">
        <f t="shared" ref="V53:V57" si="70">(T53-S53)*24*60</f>
        <v>114</v>
      </c>
      <c r="W53" s="15"/>
      <c r="X53" s="15"/>
      <c r="Y53" s="528"/>
      <c r="Z53" s="528"/>
      <c r="AA53" s="11">
        <f t="shared" si="2"/>
        <v>-146.84210526315792</v>
      </c>
      <c r="AB53" s="378">
        <f t="shared" si="57"/>
        <v>0.92657894736842106</v>
      </c>
      <c r="AC53" s="533">
        <f>AB58</f>
        <v>0.93216191964391448</v>
      </c>
    </row>
    <row r="54" spans="1:29" ht="15.75" customHeight="1">
      <c r="A54" s="542" t="s">
        <v>1467</v>
      </c>
      <c r="B54" s="26" t="s">
        <v>15</v>
      </c>
      <c r="C54" s="529" t="s">
        <v>65</v>
      </c>
      <c r="D54" s="529"/>
      <c r="E54" s="26">
        <v>46</v>
      </c>
      <c r="F54" s="27">
        <v>3729</v>
      </c>
      <c r="G54" s="376">
        <f t="shared" si="67"/>
        <v>171534</v>
      </c>
      <c r="H54" s="388" t="s">
        <v>52</v>
      </c>
      <c r="I54" s="384">
        <v>18</v>
      </c>
      <c r="J54" s="18">
        <v>2000</v>
      </c>
      <c r="K54" s="9">
        <f t="shared" si="68"/>
        <v>111.11111111111111</v>
      </c>
      <c r="L54" s="384">
        <v>18</v>
      </c>
      <c r="M54" s="10">
        <f t="shared" si="69"/>
        <v>1864.5000000000005</v>
      </c>
      <c r="N54" s="10">
        <f t="shared" ref="N54:N57" si="71">M54/L54</f>
        <v>103.58333333333336</v>
      </c>
      <c r="O54" s="11">
        <f t="shared" ref="O54:O57" si="72">L54-I54</f>
        <v>0</v>
      </c>
      <c r="P54" s="12">
        <f t="shared" ref="P54:P57" si="73">N54-K54</f>
        <v>-7.5277777777777573</v>
      </c>
      <c r="Q54" s="378">
        <f t="shared" ref="Q54:Q57" si="74">N54/K54</f>
        <v>0.93225000000000013</v>
      </c>
      <c r="R54" s="533"/>
      <c r="S54" s="24">
        <v>0.37638888888888888</v>
      </c>
      <c r="T54" s="24">
        <v>0.4597222222222222</v>
      </c>
      <c r="U54" s="376">
        <f>IF(S54=TIME(17,0,0),"",(S54-T53)*24*60)</f>
        <v>7.9999999999999716</v>
      </c>
      <c r="V54" s="385">
        <f t="shared" si="70"/>
        <v>119.99999999999997</v>
      </c>
      <c r="W54" s="14"/>
      <c r="X54" s="14"/>
      <c r="Y54" s="528"/>
      <c r="Z54" s="528"/>
      <c r="AA54" s="11">
        <f t="shared" si="2"/>
        <v>-135.49999999999955</v>
      </c>
      <c r="AB54" s="378">
        <f t="shared" si="57"/>
        <v>0.93225000000000025</v>
      </c>
      <c r="AC54" s="533"/>
    </row>
    <row r="55" spans="1:29" ht="15.75" customHeight="1">
      <c r="A55" s="542" t="s">
        <v>1468</v>
      </c>
      <c r="B55" s="26" t="s">
        <v>13</v>
      </c>
      <c r="C55" s="534" t="s">
        <v>59</v>
      </c>
      <c r="D55" s="535"/>
      <c r="E55" s="26">
        <v>55.56</v>
      </c>
      <c r="F55" s="27">
        <v>2423</v>
      </c>
      <c r="G55" s="376">
        <f t="shared" si="67"/>
        <v>134621.88</v>
      </c>
      <c r="H55" s="388" t="s">
        <v>52</v>
      </c>
      <c r="I55" s="384">
        <v>17</v>
      </c>
      <c r="J55" s="18">
        <v>2000</v>
      </c>
      <c r="K55" s="9">
        <f t="shared" si="68"/>
        <v>117.64705882352941</v>
      </c>
      <c r="L55" s="384">
        <v>17</v>
      </c>
      <c r="M55" s="10">
        <f t="shared" si="69"/>
        <v>1863.8461538461529</v>
      </c>
      <c r="N55" s="10">
        <f t="shared" si="71"/>
        <v>109.6380090497737</v>
      </c>
      <c r="O55" s="11">
        <f t="shared" si="72"/>
        <v>0</v>
      </c>
      <c r="P55" s="12">
        <f t="shared" si="73"/>
        <v>-8.0090497737557058</v>
      </c>
      <c r="Q55" s="378">
        <f t="shared" si="74"/>
        <v>0.93192307692307652</v>
      </c>
      <c r="R55" s="533"/>
      <c r="S55" s="24">
        <v>0.70833333333333337</v>
      </c>
      <c r="T55" s="24">
        <v>0.76250000000000007</v>
      </c>
      <c r="U55" s="376" t="str">
        <f t="shared" ref="U55:U57" si="75">IF(S55=TIME(17,0,0),"",(S55-T54)*24*60)</f>
        <v/>
      </c>
      <c r="V55" s="385">
        <f t="shared" si="70"/>
        <v>78.000000000000043</v>
      </c>
      <c r="W55" s="14"/>
      <c r="X55" s="14"/>
      <c r="Y55" s="381"/>
      <c r="Z55" s="382"/>
      <c r="AA55" s="11">
        <f t="shared" si="2"/>
        <v>-136.1538461538471</v>
      </c>
      <c r="AB55" s="378">
        <f t="shared" si="57"/>
        <v>0.93192307692307641</v>
      </c>
      <c r="AC55" s="533"/>
    </row>
    <row r="56" spans="1:29" ht="15.75" customHeight="1">
      <c r="A56" s="542" t="s">
        <v>1468</v>
      </c>
      <c r="B56" s="26" t="s">
        <v>13</v>
      </c>
      <c r="C56" s="379" t="s">
        <v>58</v>
      </c>
      <c r="D56" s="380"/>
      <c r="E56" s="26">
        <v>55.32</v>
      </c>
      <c r="F56" s="27">
        <v>1693</v>
      </c>
      <c r="G56" s="376">
        <f t="shared" si="67"/>
        <v>93656.76</v>
      </c>
      <c r="H56" s="388" t="s">
        <v>52</v>
      </c>
      <c r="I56" s="384">
        <v>15</v>
      </c>
      <c r="J56" s="18">
        <v>2000</v>
      </c>
      <c r="K56" s="9">
        <f t="shared" si="68"/>
        <v>133.33333333333334</v>
      </c>
      <c r="L56" s="384">
        <v>15</v>
      </c>
      <c r="M56" s="10">
        <f t="shared" si="69"/>
        <v>1881.1111111111122</v>
      </c>
      <c r="N56" s="10">
        <f t="shared" si="71"/>
        <v>125.40740740740748</v>
      </c>
      <c r="O56" s="11">
        <f t="shared" si="72"/>
        <v>0</v>
      </c>
      <c r="P56" s="12">
        <f t="shared" si="73"/>
        <v>-7.925925925925867</v>
      </c>
      <c r="Q56" s="378">
        <f t="shared" si="74"/>
        <v>0.94055555555555603</v>
      </c>
      <c r="R56" s="533"/>
      <c r="S56" s="24">
        <v>0.76597222222222228</v>
      </c>
      <c r="T56" s="24">
        <v>0.80347222222222225</v>
      </c>
      <c r="U56" s="376">
        <f t="shared" si="75"/>
        <v>4.9999999999999822</v>
      </c>
      <c r="V56" s="385">
        <f t="shared" si="70"/>
        <v>53.999999999999972</v>
      </c>
      <c r="W56" s="14"/>
      <c r="X56" s="14"/>
      <c r="Y56" s="381"/>
      <c r="Z56" s="382"/>
      <c r="AA56" s="11">
        <f t="shared" si="2"/>
        <v>-118.88888888888778</v>
      </c>
      <c r="AB56" s="378">
        <f t="shared" si="57"/>
        <v>0.94055555555555614</v>
      </c>
      <c r="AC56" s="533"/>
    </row>
    <row r="57" spans="1:29" ht="15.75" customHeight="1">
      <c r="A57" s="542" t="s">
        <v>1468</v>
      </c>
      <c r="B57" s="26" t="s">
        <v>13</v>
      </c>
      <c r="C57" s="379" t="s">
        <v>60</v>
      </c>
      <c r="D57" s="380"/>
      <c r="E57" s="26">
        <v>57.73</v>
      </c>
      <c r="F57" s="27">
        <v>1509</v>
      </c>
      <c r="G57" s="376">
        <f t="shared" si="67"/>
        <v>87114.569999999992</v>
      </c>
      <c r="H57" s="388" t="s">
        <v>52</v>
      </c>
      <c r="I57" s="384">
        <v>16</v>
      </c>
      <c r="J57" s="18">
        <v>1500</v>
      </c>
      <c r="K57" s="9">
        <f t="shared" si="68"/>
        <v>93.75</v>
      </c>
      <c r="L57" s="384">
        <v>16</v>
      </c>
      <c r="M57" s="10">
        <f t="shared" si="69"/>
        <v>1392.9230769230783</v>
      </c>
      <c r="N57" s="10">
        <f t="shared" si="71"/>
        <v>87.057692307692392</v>
      </c>
      <c r="O57" s="11">
        <f t="shared" si="72"/>
        <v>0</v>
      </c>
      <c r="P57" s="12">
        <f t="shared" si="73"/>
        <v>-6.6923076923076081</v>
      </c>
      <c r="Q57" s="378">
        <f t="shared" si="74"/>
        <v>0.92861538461538551</v>
      </c>
      <c r="R57" s="533"/>
      <c r="S57" s="24">
        <v>0.80833333333333335</v>
      </c>
      <c r="T57" s="24">
        <v>0.85347222222222219</v>
      </c>
      <c r="U57" s="376">
        <f t="shared" si="75"/>
        <v>6.9999999999999751</v>
      </c>
      <c r="V57" s="385">
        <f t="shared" si="70"/>
        <v>64.999999999999929</v>
      </c>
      <c r="W57" s="14"/>
      <c r="X57" s="14"/>
      <c r="Y57" s="381"/>
      <c r="Z57" s="382"/>
      <c r="AA57" s="11">
        <f t="shared" si="2"/>
        <v>-107.07692307692173</v>
      </c>
      <c r="AB57" s="378">
        <f t="shared" si="57"/>
        <v>0.92861538461538551</v>
      </c>
      <c r="AC57" s="533"/>
    </row>
    <row r="58" spans="1:29">
      <c r="A58" s="543" t="s">
        <v>1468</v>
      </c>
      <c r="B58" s="26" t="s">
        <v>1469</v>
      </c>
      <c r="C58" s="530"/>
      <c r="D58" s="530"/>
      <c r="E58" s="377"/>
      <c r="F58" s="16"/>
      <c r="G58" s="9"/>
      <c r="H58" s="386"/>
      <c r="I58" s="17">
        <v>16.600000000000001</v>
      </c>
      <c r="J58" s="18">
        <v>1900</v>
      </c>
      <c r="K58" s="9">
        <f>J58/I58</f>
        <v>114.4578313253012</v>
      </c>
      <c r="L58" s="17">
        <v>16.600000000000001</v>
      </c>
      <c r="M58" s="10">
        <f>AVERAGE(M53:M57)</f>
        <v>1771.1076473234375</v>
      </c>
      <c r="N58" s="9">
        <f>M58/L58</f>
        <v>106.69323176647212</v>
      </c>
      <c r="O58" s="11">
        <f>L58-I58</f>
        <v>0</v>
      </c>
      <c r="P58" s="12">
        <f>N58-K58</f>
        <v>-7.7645995588290759</v>
      </c>
      <c r="Q58" s="378">
        <f>N58/K58</f>
        <v>0.93216191964391437</v>
      </c>
      <c r="R58" s="533"/>
      <c r="S58" s="25"/>
      <c r="T58" s="24"/>
      <c r="U58" s="9"/>
      <c r="V58" s="385"/>
      <c r="W58" s="9"/>
      <c r="X58" s="9"/>
      <c r="Y58" s="528"/>
      <c r="Z58" s="528"/>
      <c r="AA58" s="11">
        <f t="shared" si="2"/>
        <v>-128.8923526765625</v>
      </c>
      <c r="AB58" s="378">
        <f t="shared" si="57"/>
        <v>0.93216191964391448</v>
      </c>
      <c r="AC58" s="533"/>
    </row>
    <row r="59" spans="1:29" ht="15.75" customHeight="1">
      <c r="A59" s="538" t="s">
        <v>1470</v>
      </c>
      <c r="B59" s="386" t="s">
        <v>1547</v>
      </c>
      <c r="C59" s="529" t="s">
        <v>1084</v>
      </c>
      <c r="D59" s="529"/>
      <c r="E59" s="26">
        <v>84.51</v>
      </c>
      <c r="F59" s="27">
        <v>5550</v>
      </c>
      <c r="G59" s="376">
        <f t="shared" ref="G59:G65" si="76">E59*F59</f>
        <v>469030.5</v>
      </c>
      <c r="H59" s="388" t="s">
        <v>52</v>
      </c>
      <c r="I59" s="384">
        <v>17</v>
      </c>
      <c r="J59" s="18">
        <v>2400</v>
      </c>
      <c r="K59" s="9">
        <f t="shared" ref="K59:K65" si="77">J59/I59</f>
        <v>141.1764705882353</v>
      </c>
      <c r="L59" s="17">
        <v>17</v>
      </c>
      <c r="M59" s="10">
        <f t="shared" ref="M59:M65" si="78">F59/V59*60</f>
        <v>2219.9999999999995</v>
      </c>
      <c r="N59" s="9">
        <f>M59/L59</f>
        <v>130.58823529411762</v>
      </c>
      <c r="O59" s="11">
        <f t="shared" ref="O59:O65" si="79">L59-I59</f>
        <v>0</v>
      </c>
      <c r="P59" s="12">
        <f t="shared" ref="P59:P65" si="80">N59-K59</f>
        <v>-10.58823529411768</v>
      </c>
      <c r="Q59" s="378">
        <f>N59/K59</f>
        <v>0.92499999999999982</v>
      </c>
      <c r="R59" s="533">
        <f>Q66</f>
        <v>0.93502168732342705</v>
      </c>
      <c r="S59" s="24">
        <v>0.125</v>
      </c>
      <c r="T59" s="24">
        <v>0.22916666666666669</v>
      </c>
      <c r="U59" s="376"/>
      <c r="V59" s="385">
        <f t="shared" ref="V59:V65" si="81">(T59-S59)*24*60</f>
        <v>150.00000000000003</v>
      </c>
      <c r="W59" s="15"/>
      <c r="X59" s="15"/>
      <c r="Y59" s="528"/>
      <c r="Z59" s="528"/>
      <c r="AA59" s="11">
        <f t="shared" si="2"/>
        <v>-180.00000000000045</v>
      </c>
      <c r="AB59" s="378">
        <f t="shared" si="57"/>
        <v>0.92499999999999982</v>
      </c>
      <c r="AC59" s="533">
        <f>AB66</f>
        <v>0.93502168732342705</v>
      </c>
    </row>
    <row r="60" spans="1:29" ht="15.75" customHeight="1">
      <c r="A60" s="538" t="s">
        <v>1470</v>
      </c>
      <c r="B60" s="386" t="s">
        <v>32</v>
      </c>
      <c r="C60" s="529" t="s">
        <v>35</v>
      </c>
      <c r="D60" s="529"/>
      <c r="E60" s="26">
        <v>26.78</v>
      </c>
      <c r="F60" s="27">
        <v>2527</v>
      </c>
      <c r="G60" s="376">
        <f t="shared" si="76"/>
        <v>67673.06</v>
      </c>
      <c r="H60" s="388" t="s">
        <v>52</v>
      </c>
      <c r="I60" s="384">
        <v>10</v>
      </c>
      <c r="J60" s="18">
        <v>3000</v>
      </c>
      <c r="K60" s="9">
        <f t="shared" si="77"/>
        <v>300</v>
      </c>
      <c r="L60" s="17">
        <v>10</v>
      </c>
      <c r="M60" s="10">
        <f t="shared" si="78"/>
        <v>2807.7777777777774</v>
      </c>
      <c r="N60" s="9">
        <f t="shared" ref="N60:N65" si="82">M60/L60</f>
        <v>280.77777777777771</v>
      </c>
      <c r="O60" s="11">
        <f t="shared" si="79"/>
        <v>0</v>
      </c>
      <c r="P60" s="12">
        <f t="shared" si="80"/>
        <v>-19.222222222222285</v>
      </c>
      <c r="Q60" s="378">
        <f t="shared" ref="Q60:Q65" si="83">N60/K60</f>
        <v>0.93592592592592572</v>
      </c>
      <c r="R60" s="533"/>
      <c r="S60" s="24">
        <v>0.23402777777777781</v>
      </c>
      <c r="T60" s="24">
        <v>0.27152777777777781</v>
      </c>
      <c r="U60" s="376">
        <f>(S60-T59)*24*60</f>
        <v>7.0000000000000151</v>
      </c>
      <c r="V60" s="385">
        <f t="shared" si="81"/>
        <v>54.000000000000007</v>
      </c>
      <c r="W60" s="376"/>
      <c r="X60" s="376"/>
      <c r="Y60" s="528"/>
      <c r="Z60" s="528"/>
      <c r="AA60" s="11">
        <f t="shared" si="2"/>
        <v>-192.22222222222263</v>
      </c>
      <c r="AB60" s="378">
        <f t="shared" si="57"/>
        <v>0.93592592592592583</v>
      </c>
      <c r="AC60" s="533"/>
    </row>
    <row r="61" spans="1:29" ht="15.75" customHeight="1">
      <c r="A61" s="538" t="s">
        <v>1470</v>
      </c>
      <c r="B61" s="386" t="s">
        <v>32</v>
      </c>
      <c r="C61" s="529" t="s">
        <v>39</v>
      </c>
      <c r="D61" s="529"/>
      <c r="E61" s="26">
        <v>35.369999999999997</v>
      </c>
      <c r="F61" s="27">
        <v>1636</v>
      </c>
      <c r="G61" s="376">
        <f t="shared" si="76"/>
        <v>57865.319999999992</v>
      </c>
      <c r="H61" s="388" t="s">
        <v>52</v>
      </c>
      <c r="I61" s="384">
        <v>10</v>
      </c>
      <c r="J61" s="18">
        <v>3000</v>
      </c>
      <c r="K61" s="9">
        <f t="shared" si="77"/>
        <v>300</v>
      </c>
      <c r="L61" s="17">
        <v>10</v>
      </c>
      <c r="M61" s="10">
        <f t="shared" si="78"/>
        <v>2804.5714285714257</v>
      </c>
      <c r="N61" s="9">
        <f t="shared" si="82"/>
        <v>280.45714285714257</v>
      </c>
      <c r="O61" s="11">
        <f t="shared" si="79"/>
        <v>0</v>
      </c>
      <c r="P61" s="12">
        <f t="shared" si="80"/>
        <v>-19.542857142857429</v>
      </c>
      <c r="Q61" s="378">
        <f t="shared" si="83"/>
        <v>0.93485714285714194</v>
      </c>
      <c r="R61" s="533"/>
      <c r="S61" s="24">
        <v>0.27708333333333335</v>
      </c>
      <c r="T61" s="24">
        <v>0.30138888888888893</v>
      </c>
      <c r="U61" s="376">
        <f t="shared" ref="U61:U65" si="84">(S61-T60)*24*60</f>
        <v>7.9999999999999716</v>
      </c>
      <c r="V61" s="385">
        <f t="shared" si="81"/>
        <v>35.000000000000036</v>
      </c>
      <c r="W61" s="376"/>
      <c r="X61" s="376"/>
      <c r="Y61" s="528"/>
      <c r="Z61" s="528"/>
      <c r="AA61" s="11">
        <f t="shared" si="2"/>
        <v>-195.42857142857429</v>
      </c>
      <c r="AB61" s="378">
        <f t="shared" si="57"/>
        <v>0.93485714285714194</v>
      </c>
      <c r="AC61" s="533"/>
    </row>
    <row r="62" spans="1:29" ht="15.75" customHeight="1">
      <c r="A62" s="538" t="s">
        <v>1470</v>
      </c>
      <c r="B62" s="386" t="s">
        <v>32</v>
      </c>
      <c r="C62" s="529" t="s">
        <v>38</v>
      </c>
      <c r="D62" s="529"/>
      <c r="E62" s="26">
        <v>34.35</v>
      </c>
      <c r="F62" s="27">
        <v>1461</v>
      </c>
      <c r="G62" s="376">
        <f t="shared" si="76"/>
        <v>50185.35</v>
      </c>
      <c r="H62" s="388" t="s">
        <v>52</v>
      </c>
      <c r="I62" s="384">
        <v>10</v>
      </c>
      <c r="J62" s="18">
        <v>3000</v>
      </c>
      <c r="K62" s="9">
        <f t="shared" si="77"/>
        <v>300</v>
      </c>
      <c r="L62" s="17">
        <v>10</v>
      </c>
      <c r="M62" s="10">
        <f t="shared" si="78"/>
        <v>2827.7419354838739</v>
      </c>
      <c r="N62" s="9">
        <f t="shared" si="82"/>
        <v>282.77419354838742</v>
      </c>
      <c r="O62" s="11">
        <f t="shared" si="79"/>
        <v>0</v>
      </c>
      <c r="P62" s="12">
        <f t="shared" si="80"/>
        <v>-17.225806451612584</v>
      </c>
      <c r="Q62" s="378">
        <f t="shared" si="83"/>
        <v>0.94258064516129136</v>
      </c>
      <c r="R62" s="533"/>
      <c r="S62" s="24">
        <v>0.30486111111111114</v>
      </c>
      <c r="T62" s="24">
        <v>0.3263888888888889</v>
      </c>
      <c r="U62" s="376">
        <f t="shared" si="84"/>
        <v>4.9999999999999822</v>
      </c>
      <c r="V62" s="385">
        <f t="shared" si="81"/>
        <v>30.999999999999972</v>
      </c>
      <c r="W62" s="376"/>
      <c r="X62" s="376"/>
      <c r="Y62" s="528"/>
      <c r="Z62" s="528"/>
      <c r="AA62" s="11">
        <f t="shared" si="2"/>
        <v>-172.25806451612607</v>
      </c>
      <c r="AB62" s="378">
        <f t="shared" si="57"/>
        <v>0.94258064516129136</v>
      </c>
      <c r="AC62" s="533"/>
    </row>
    <row r="63" spans="1:29">
      <c r="A63" s="539" t="s">
        <v>1470</v>
      </c>
      <c r="B63" s="386" t="s">
        <v>15</v>
      </c>
      <c r="C63" s="529" t="s">
        <v>36</v>
      </c>
      <c r="D63" s="529"/>
      <c r="E63" s="26">
        <v>26.97</v>
      </c>
      <c r="F63" s="27">
        <v>3550</v>
      </c>
      <c r="G63" s="376">
        <f t="shared" si="76"/>
        <v>95743.5</v>
      </c>
      <c r="H63" s="388" t="s">
        <v>52</v>
      </c>
      <c r="I63" s="384">
        <v>8</v>
      </c>
      <c r="J63" s="18">
        <v>1500</v>
      </c>
      <c r="K63" s="9">
        <f t="shared" si="77"/>
        <v>187.5</v>
      </c>
      <c r="L63" s="17">
        <v>8</v>
      </c>
      <c r="M63" s="10">
        <f t="shared" si="78"/>
        <v>1392.1568627450979</v>
      </c>
      <c r="N63" s="9">
        <f t="shared" si="82"/>
        <v>174.01960784313724</v>
      </c>
      <c r="O63" s="11">
        <f t="shared" si="79"/>
        <v>0</v>
      </c>
      <c r="P63" s="12">
        <f t="shared" si="80"/>
        <v>-13.480392156862763</v>
      </c>
      <c r="Q63" s="378">
        <f t="shared" si="83"/>
        <v>0.92810457516339862</v>
      </c>
      <c r="R63" s="533"/>
      <c r="S63" s="24">
        <v>0.33194444444444443</v>
      </c>
      <c r="T63" s="24">
        <v>0.43819444444444444</v>
      </c>
      <c r="U63" s="376">
        <f t="shared" si="84"/>
        <v>7.9999999999999716</v>
      </c>
      <c r="V63" s="385">
        <f t="shared" si="81"/>
        <v>153.00000000000003</v>
      </c>
      <c r="W63" s="14"/>
      <c r="X63" s="14"/>
      <c r="Y63" s="528"/>
      <c r="Z63" s="528"/>
      <c r="AA63" s="11">
        <f t="shared" si="2"/>
        <v>-107.8431372549021</v>
      </c>
      <c r="AB63" s="378">
        <f t="shared" si="57"/>
        <v>0.92810457516339862</v>
      </c>
      <c r="AC63" s="533"/>
    </row>
    <row r="64" spans="1:29" ht="15" customHeight="1">
      <c r="A64" s="539" t="s">
        <v>1470</v>
      </c>
      <c r="B64" s="386" t="s">
        <v>32</v>
      </c>
      <c r="C64" s="534" t="s">
        <v>37</v>
      </c>
      <c r="D64" s="535"/>
      <c r="E64" s="26">
        <v>35.119999999999997</v>
      </c>
      <c r="F64" s="27">
        <v>1229</v>
      </c>
      <c r="G64" s="376">
        <f t="shared" si="76"/>
        <v>43162.479999999996</v>
      </c>
      <c r="H64" s="388" t="s">
        <v>52</v>
      </c>
      <c r="I64" s="384">
        <v>13</v>
      </c>
      <c r="J64" s="18">
        <v>2000</v>
      </c>
      <c r="K64" s="9">
        <f t="shared" si="77"/>
        <v>153.84615384615384</v>
      </c>
      <c r="L64" s="17">
        <v>13</v>
      </c>
      <c r="M64" s="10">
        <f t="shared" si="78"/>
        <v>1890.7692307692298</v>
      </c>
      <c r="N64" s="9">
        <f t="shared" si="82"/>
        <v>145.44378698224844</v>
      </c>
      <c r="O64" s="11">
        <f t="shared" si="79"/>
        <v>0</v>
      </c>
      <c r="P64" s="12">
        <f t="shared" si="80"/>
        <v>-8.4023668639053994</v>
      </c>
      <c r="Q64" s="378">
        <f t="shared" si="83"/>
        <v>0.94538461538461493</v>
      </c>
      <c r="R64" s="533"/>
      <c r="S64" s="24">
        <v>0.44374999999999998</v>
      </c>
      <c r="T64" s="24">
        <v>0.47083333333333333</v>
      </c>
      <c r="U64" s="376">
        <f t="shared" si="84"/>
        <v>7.9999999999999716</v>
      </c>
      <c r="V64" s="385">
        <f t="shared" si="81"/>
        <v>39.000000000000021</v>
      </c>
      <c r="W64" s="376"/>
      <c r="X64" s="376"/>
      <c r="Y64" s="536"/>
      <c r="Z64" s="537"/>
      <c r="AA64" s="11">
        <f t="shared" si="2"/>
        <v>-109.23076923077019</v>
      </c>
      <c r="AB64" s="378">
        <f t="shared" si="57"/>
        <v>0.94538461538461493</v>
      </c>
      <c r="AC64" s="533"/>
    </row>
    <row r="65" spans="1:29">
      <c r="A65" s="539" t="s">
        <v>1470</v>
      </c>
      <c r="B65" s="386" t="s">
        <v>32</v>
      </c>
      <c r="C65" s="379" t="s">
        <v>84</v>
      </c>
      <c r="D65" s="380"/>
      <c r="E65" s="26">
        <v>35.869999999999997</v>
      </c>
      <c r="F65" s="27">
        <v>2887</v>
      </c>
      <c r="G65" s="376">
        <f t="shared" si="76"/>
        <v>103556.68999999999</v>
      </c>
      <c r="H65" s="388" t="s">
        <v>52</v>
      </c>
      <c r="I65" s="384">
        <v>10</v>
      </c>
      <c r="J65" s="18">
        <v>3000</v>
      </c>
      <c r="K65" s="9">
        <f t="shared" si="77"/>
        <v>300</v>
      </c>
      <c r="L65" s="17">
        <v>10</v>
      </c>
      <c r="M65" s="10">
        <f t="shared" si="78"/>
        <v>2793.8709677419379</v>
      </c>
      <c r="N65" s="9">
        <f t="shared" si="82"/>
        <v>279.38709677419376</v>
      </c>
      <c r="O65" s="11">
        <f t="shared" si="79"/>
        <v>0</v>
      </c>
      <c r="P65" s="12">
        <f t="shared" si="80"/>
        <v>-20.612903225806235</v>
      </c>
      <c r="Q65" s="378">
        <f t="shared" si="83"/>
        <v>0.93129032258064592</v>
      </c>
      <c r="R65" s="533"/>
      <c r="S65" s="24">
        <v>0.47430555555555554</v>
      </c>
      <c r="T65" s="24">
        <v>0.51736111111111105</v>
      </c>
      <c r="U65" s="376">
        <f t="shared" si="84"/>
        <v>4.9999999999999822</v>
      </c>
      <c r="V65" s="385">
        <f t="shared" si="81"/>
        <v>61.999999999999943</v>
      </c>
      <c r="W65" s="14"/>
      <c r="X65" s="14"/>
      <c r="Y65" s="381"/>
      <c r="Z65" s="382"/>
      <c r="AA65" s="11">
        <f t="shared" si="2"/>
        <v>-206.12903225806213</v>
      </c>
      <c r="AB65" s="378">
        <f t="shared" si="57"/>
        <v>0.93129032258064592</v>
      </c>
      <c r="AC65" s="533"/>
    </row>
    <row r="66" spans="1:29">
      <c r="A66" s="539" t="s">
        <v>1470</v>
      </c>
      <c r="B66" s="26" t="s">
        <v>1469</v>
      </c>
      <c r="C66" s="530"/>
      <c r="D66" s="530"/>
      <c r="E66" s="377"/>
      <c r="F66" s="16"/>
      <c r="G66" s="9"/>
      <c r="H66" s="386"/>
      <c r="I66" s="17">
        <v>11.142857142857142</v>
      </c>
      <c r="J66" s="18">
        <v>2557.1428571428573</v>
      </c>
      <c r="K66" s="9">
        <f>J66/I66</f>
        <v>229.4871794871795</v>
      </c>
      <c r="L66" s="17">
        <v>11.142857142857142</v>
      </c>
      <c r="M66" s="10">
        <f>AVERAGE(M59:M65)</f>
        <v>2390.9840290127636</v>
      </c>
      <c r="N66" s="9">
        <f>M66/L66</f>
        <v>214.57548978319673</v>
      </c>
      <c r="O66" s="11">
        <f>L66-I66</f>
        <v>0</v>
      </c>
      <c r="P66" s="12">
        <f>N66-K66</f>
        <v>-14.911689703982773</v>
      </c>
      <c r="Q66" s="378">
        <f>N66/K66</f>
        <v>0.93502168732342705</v>
      </c>
      <c r="R66" s="533"/>
      <c r="S66" s="24"/>
      <c r="T66" s="24"/>
      <c r="U66" s="9"/>
      <c r="V66" s="385"/>
      <c r="W66" s="9"/>
      <c r="X66" s="9"/>
      <c r="Y66" s="528"/>
      <c r="Z66" s="528"/>
      <c r="AA66" s="11">
        <f t="shared" si="2"/>
        <v>-166.15882813009375</v>
      </c>
      <c r="AB66" s="378">
        <f t="shared" si="57"/>
        <v>0.93502168732342705</v>
      </c>
      <c r="AC66" s="533"/>
    </row>
    <row r="67" spans="1:29" ht="15.75" customHeight="1">
      <c r="A67" s="531" t="s">
        <v>1471</v>
      </c>
      <c r="B67" s="386" t="s">
        <v>24</v>
      </c>
      <c r="C67" s="529" t="s">
        <v>67</v>
      </c>
      <c r="D67" s="529"/>
      <c r="E67" s="26">
        <v>32.03</v>
      </c>
      <c r="F67" s="386">
        <v>988</v>
      </c>
      <c r="G67" s="376">
        <f t="shared" ref="G67:G74" si="85">E67*F67</f>
        <v>31645.64</v>
      </c>
      <c r="H67" s="388" t="s">
        <v>52</v>
      </c>
      <c r="I67" s="384">
        <v>19</v>
      </c>
      <c r="J67" s="18">
        <v>2400</v>
      </c>
      <c r="K67" s="9">
        <f t="shared" ref="K67:K69" si="86">J67/I67</f>
        <v>126.31578947368421</v>
      </c>
      <c r="L67" s="17">
        <v>19</v>
      </c>
      <c r="M67" s="10">
        <f>F67/V67*60</f>
        <v>2280.0000000000014</v>
      </c>
      <c r="N67" s="9">
        <f t="shared" ref="N67:N74" si="87">M67/L67</f>
        <v>120.00000000000007</v>
      </c>
      <c r="O67" s="11">
        <f t="shared" ref="O67:O74" si="88">L67-I67</f>
        <v>0</v>
      </c>
      <c r="P67" s="12">
        <f t="shared" ref="P67:P74" si="89">N67-K67</f>
        <v>-6.3157894736841342</v>
      </c>
      <c r="Q67" s="378">
        <f>N67/K67</f>
        <v>0.95000000000000062</v>
      </c>
      <c r="R67" s="533">
        <f>Q75</f>
        <v>0.93357166976938599</v>
      </c>
      <c r="S67" s="24">
        <v>0.125</v>
      </c>
      <c r="T67" s="24">
        <v>0.14305555555555555</v>
      </c>
      <c r="U67" s="15"/>
      <c r="V67" s="385">
        <f t="shared" ref="V67:V74" si="90">(T67-S67)*24*60</f>
        <v>25.999999999999986</v>
      </c>
      <c r="W67" s="14">
        <f>T67</f>
        <v>0.14305555555555555</v>
      </c>
      <c r="X67" s="14">
        <f>S68</f>
        <v>0.16388888888888889</v>
      </c>
      <c r="Y67" s="528"/>
      <c r="Z67" s="528"/>
      <c r="AA67" s="11">
        <f t="shared" si="2"/>
        <v>-119.99999999999864</v>
      </c>
      <c r="AB67" s="378">
        <f>M67/J67</f>
        <v>0.95000000000000062</v>
      </c>
      <c r="AC67" s="533">
        <f>AB75</f>
        <v>0.93357166976938588</v>
      </c>
    </row>
    <row r="68" spans="1:29" ht="15.75" customHeight="1">
      <c r="A68" s="531" t="s">
        <v>1471</v>
      </c>
      <c r="B68" s="386" t="s">
        <v>24</v>
      </c>
      <c r="C68" s="529" t="s">
        <v>51</v>
      </c>
      <c r="D68" s="529"/>
      <c r="E68" s="26">
        <v>20.2</v>
      </c>
      <c r="F68" s="386">
        <v>3110</v>
      </c>
      <c r="G68" s="376">
        <f t="shared" si="85"/>
        <v>62822</v>
      </c>
      <c r="H68" s="388" t="s">
        <v>52</v>
      </c>
      <c r="I68" s="384">
        <v>19</v>
      </c>
      <c r="J68" s="18">
        <v>2400</v>
      </c>
      <c r="K68" s="9">
        <f t="shared" si="86"/>
        <v>126.31578947368421</v>
      </c>
      <c r="L68" s="17">
        <v>19</v>
      </c>
      <c r="M68" s="10">
        <f t="shared" ref="M68:M74" si="91">F68/V68*60</f>
        <v>2248.1927710843379</v>
      </c>
      <c r="N68" s="9">
        <f t="shared" si="87"/>
        <v>118.32593532022831</v>
      </c>
      <c r="O68" s="11">
        <f t="shared" si="88"/>
        <v>0</v>
      </c>
      <c r="P68" s="12">
        <f t="shared" si="89"/>
        <v>-7.9898541534558944</v>
      </c>
      <c r="Q68" s="378">
        <f t="shared" ref="Q68:Q75" si="92">N68/K68</f>
        <v>0.93674698795180755</v>
      </c>
      <c r="R68" s="533"/>
      <c r="S68" s="24">
        <v>0.16388888888888889</v>
      </c>
      <c r="T68" s="24">
        <v>0.22152777777777777</v>
      </c>
      <c r="U68" s="376">
        <f>(S68-T67)*24*60</f>
        <v>30.000000000000014</v>
      </c>
      <c r="V68" s="385">
        <f t="shared" si="90"/>
        <v>82.999999999999986</v>
      </c>
      <c r="W68" s="14"/>
      <c r="X68" s="14"/>
      <c r="Y68" s="528"/>
      <c r="Z68" s="528"/>
      <c r="AA68" s="11">
        <f t="shared" si="2"/>
        <v>-151.80722891566211</v>
      </c>
      <c r="AB68" s="378">
        <f t="shared" ref="AB68:AB75" si="93">M68/J68</f>
        <v>0.93674698795180744</v>
      </c>
      <c r="AC68" s="533"/>
    </row>
    <row r="69" spans="1:29" ht="15.75" customHeight="1">
      <c r="A69" s="531" t="s">
        <v>1471</v>
      </c>
      <c r="B69" s="386" t="s">
        <v>24</v>
      </c>
      <c r="C69" s="529" t="s">
        <v>41</v>
      </c>
      <c r="D69" s="529"/>
      <c r="E69" s="26">
        <v>19.02</v>
      </c>
      <c r="F69" s="386">
        <v>4200</v>
      </c>
      <c r="G69" s="376">
        <f t="shared" si="85"/>
        <v>79884</v>
      </c>
      <c r="H69" s="388">
        <v>2</v>
      </c>
      <c r="I69" s="384">
        <v>15</v>
      </c>
      <c r="J69" s="18">
        <v>2400</v>
      </c>
      <c r="K69" s="9">
        <f t="shared" si="86"/>
        <v>160</v>
      </c>
      <c r="L69" s="17">
        <v>15</v>
      </c>
      <c r="M69" s="10">
        <f t="shared" si="91"/>
        <v>2230.0884955752203</v>
      </c>
      <c r="N69" s="9">
        <f t="shared" si="87"/>
        <v>148.67256637168137</v>
      </c>
      <c r="O69" s="11">
        <f t="shared" si="88"/>
        <v>0</v>
      </c>
      <c r="P69" s="12">
        <f t="shared" si="89"/>
        <v>-11.32743362831863</v>
      </c>
      <c r="Q69" s="378">
        <f t="shared" si="92"/>
        <v>0.92920353982300852</v>
      </c>
      <c r="R69" s="533"/>
      <c r="S69" s="24">
        <v>0.22569444444444445</v>
      </c>
      <c r="T69" s="24">
        <v>0.3041666666666667</v>
      </c>
      <c r="U69" s="376">
        <f t="shared" ref="U69:U74" si="94">(S69-T68)*24*60</f>
        <v>6.0000000000000187</v>
      </c>
      <c r="V69" s="385">
        <f t="shared" si="90"/>
        <v>113.00000000000004</v>
      </c>
      <c r="W69" s="14"/>
      <c r="X69" s="14"/>
      <c r="Y69" s="528"/>
      <c r="Z69" s="528"/>
      <c r="AA69" s="11">
        <f t="shared" ref="AA69:AA75" si="95">M69-J69</f>
        <v>-169.91150442477965</v>
      </c>
      <c r="AB69" s="378">
        <f t="shared" si="93"/>
        <v>0.92920353982300852</v>
      </c>
      <c r="AC69" s="533"/>
    </row>
    <row r="70" spans="1:29" ht="15.75" customHeight="1">
      <c r="A70" s="531" t="s">
        <v>1471</v>
      </c>
      <c r="B70" s="386" t="s">
        <v>24</v>
      </c>
      <c r="C70" s="529" t="s">
        <v>42</v>
      </c>
      <c r="D70" s="529"/>
      <c r="E70" s="26">
        <v>25</v>
      </c>
      <c r="F70" s="386">
        <v>4295</v>
      </c>
      <c r="G70" s="376">
        <f t="shared" si="85"/>
        <v>107375</v>
      </c>
      <c r="H70" s="388" t="s">
        <v>52</v>
      </c>
      <c r="I70" s="384">
        <v>15</v>
      </c>
      <c r="J70" s="18">
        <v>2400</v>
      </c>
      <c r="K70" s="9">
        <f>J70/I70</f>
        <v>160</v>
      </c>
      <c r="L70" s="17">
        <v>15</v>
      </c>
      <c r="M70" s="10">
        <f t="shared" si="91"/>
        <v>2240.8695652173915</v>
      </c>
      <c r="N70" s="9">
        <f t="shared" si="87"/>
        <v>149.39130434782609</v>
      </c>
      <c r="O70" s="11">
        <f t="shared" si="88"/>
        <v>0</v>
      </c>
      <c r="P70" s="12">
        <f t="shared" si="89"/>
        <v>-10.608695652173907</v>
      </c>
      <c r="Q70" s="378">
        <f t="shared" si="92"/>
        <v>0.93369565217391304</v>
      </c>
      <c r="R70" s="533"/>
      <c r="S70" s="24">
        <v>0.30833333333333335</v>
      </c>
      <c r="T70" s="24">
        <v>0.38819444444444445</v>
      </c>
      <c r="U70" s="376">
        <f t="shared" si="94"/>
        <v>5.9999999999999787</v>
      </c>
      <c r="V70" s="385">
        <f t="shared" si="90"/>
        <v>114.99999999999999</v>
      </c>
      <c r="W70" s="14"/>
      <c r="X70" s="14"/>
      <c r="Y70" s="528"/>
      <c r="Z70" s="528"/>
      <c r="AA70" s="11">
        <f t="shared" si="95"/>
        <v>-159.13043478260852</v>
      </c>
      <c r="AB70" s="378">
        <f t="shared" si="93"/>
        <v>0.93369565217391315</v>
      </c>
      <c r="AC70" s="533"/>
    </row>
    <row r="71" spans="1:29" ht="15.75" customHeight="1">
      <c r="A71" s="531" t="s">
        <v>1471</v>
      </c>
      <c r="B71" s="386" t="s">
        <v>24</v>
      </c>
      <c r="C71" s="529" t="s">
        <v>77</v>
      </c>
      <c r="D71" s="529"/>
      <c r="E71" s="26">
        <v>28.51</v>
      </c>
      <c r="F71" s="386">
        <v>3933</v>
      </c>
      <c r="G71" s="376">
        <f t="shared" si="85"/>
        <v>112129.83</v>
      </c>
      <c r="H71" s="388" t="s">
        <v>52</v>
      </c>
      <c r="I71" s="384">
        <v>19</v>
      </c>
      <c r="J71" s="18">
        <v>2400</v>
      </c>
      <c r="K71" s="9">
        <f t="shared" ref="K71:K75" si="96">J71/I71</f>
        <v>126.31578947368421</v>
      </c>
      <c r="L71" s="17">
        <v>19</v>
      </c>
      <c r="M71" s="10">
        <f t="shared" si="91"/>
        <v>2226.2264150943392</v>
      </c>
      <c r="N71" s="9">
        <f t="shared" si="87"/>
        <v>117.1698113207547</v>
      </c>
      <c r="O71" s="11">
        <f t="shared" si="88"/>
        <v>0</v>
      </c>
      <c r="P71" s="12">
        <f t="shared" si="89"/>
        <v>-9.1459781529295014</v>
      </c>
      <c r="Q71" s="378">
        <f t="shared" si="92"/>
        <v>0.92759433962264148</v>
      </c>
      <c r="R71" s="533"/>
      <c r="S71" s="24">
        <v>0.39166666666666666</v>
      </c>
      <c r="T71" s="24">
        <v>0.46527777777777779</v>
      </c>
      <c r="U71" s="376">
        <f t="shared" si="94"/>
        <v>4.9999999999999822</v>
      </c>
      <c r="V71" s="385">
        <f t="shared" si="90"/>
        <v>106.00000000000003</v>
      </c>
      <c r="W71" s="14"/>
      <c r="X71" s="14"/>
      <c r="Y71" s="528"/>
      <c r="Z71" s="528"/>
      <c r="AA71" s="11">
        <f t="shared" si="95"/>
        <v>-173.77358490566075</v>
      </c>
      <c r="AB71" s="378">
        <f t="shared" si="93"/>
        <v>0.92759433962264137</v>
      </c>
      <c r="AC71" s="533"/>
    </row>
    <row r="72" spans="1:29" ht="15.75" customHeight="1">
      <c r="A72" s="531" t="s">
        <v>1471</v>
      </c>
      <c r="B72" s="386" t="s">
        <v>24</v>
      </c>
      <c r="C72" s="529" t="s">
        <v>25</v>
      </c>
      <c r="D72" s="529"/>
      <c r="E72" s="26">
        <v>20.52</v>
      </c>
      <c r="F72" s="386">
        <v>2500</v>
      </c>
      <c r="G72" s="376">
        <f t="shared" si="85"/>
        <v>51300</v>
      </c>
      <c r="H72" s="388">
        <v>2</v>
      </c>
      <c r="I72" s="384">
        <v>18</v>
      </c>
      <c r="J72" s="18">
        <v>2400</v>
      </c>
      <c r="K72" s="9">
        <f t="shared" si="96"/>
        <v>133.33333333333334</v>
      </c>
      <c r="L72" s="17">
        <v>18</v>
      </c>
      <c r="M72" s="10">
        <f t="shared" si="91"/>
        <v>2238.8059701492507</v>
      </c>
      <c r="N72" s="9">
        <f t="shared" si="87"/>
        <v>124.37810945273615</v>
      </c>
      <c r="O72" s="11">
        <f t="shared" si="88"/>
        <v>0</v>
      </c>
      <c r="P72" s="12">
        <f t="shared" si="89"/>
        <v>-8.9552238805971882</v>
      </c>
      <c r="Q72" s="378">
        <f t="shared" si="92"/>
        <v>0.93283582089552108</v>
      </c>
      <c r="R72" s="533"/>
      <c r="S72" s="24">
        <v>0.47083333333333333</v>
      </c>
      <c r="T72" s="24">
        <v>0.51736111111111116</v>
      </c>
      <c r="U72" s="376">
        <f t="shared" si="94"/>
        <v>7.9999999999999716</v>
      </c>
      <c r="V72" s="385">
        <f t="shared" si="90"/>
        <v>67.000000000000085</v>
      </c>
      <c r="W72" s="14">
        <f>T72</f>
        <v>0.51736111111111116</v>
      </c>
      <c r="X72" s="14">
        <f>S73</f>
        <v>0.55763888888888891</v>
      </c>
      <c r="Y72" s="528"/>
      <c r="Z72" s="528"/>
      <c r="AA72" s="11">
        <f t="shared" si="95"/>
        <v>-161.1940298507493</v>
      </c>
      <c r="AB72" s="378">
        <f t="shared" si="93"/>
        <v>0.93283582089552108</v>
      </c>
      <c r="AC72" s="533"/>
    </row>
    <row r="73" spans="1:29" ht="15.75" customHeight="1">
      <c r="A73" s="531" t="s">
        <v>1471</v>
      </c>
      <c r="B73" s="386" t="s">
        <v>24</v>
      </c>
      <c r="C73" s="534" t="s">
        <v>41</v>
      </c>
      <c r="D73" s="535"/>
      <c r="E73" s="26">
        <v>19.02</v>
      </c>
      <c r="F73" s="386">
        <v>6943</v>
      </c>
      <c r="G73" s="376">
        <f t="shared" si="85"/>
        <v>132055.85999999999</v>
      </c>
      <c r="H73" s="388" t="s">
        <v>52</v>
      </c>
      <c r="I73" s="384">
        <v>15</v>
      </c>
      <c r="J73" s="18">
        <v>2400</v>
      </c>
      <c r="K73" s="9">
        <f t="shared" si="96"/>
        <v>160</v>
      </c>
      <c r="L73" s="17">
        <v>15</v>
      </c>
      <c r="M73" s="10">
        <f t="shared" si="91"/>
        <v>2227.7005347593586</v>
      </c>
      <c r="N73" s="9">
        <f t="shared" si="87"/>
        <v>148.51336898395724</v>
      </c>
      <c r="O73" s="11">
        <f t="shared" si="88"/>
        <v>0</v>
      </c>
      <c r="P73" s="12">
        <f t="shared" si="89"/>
        <v>-11.486631016042764</v>
      </c>
      <c r="Q73" s="378">
        <f t="shared" si="92"/>
        <v>0.92820855614973274</v>
      </c>
      <c r="R73" s="533"/>
      <c r="S73" s="24">
        <v>0.55763888888888891</v>
      </c>
      <c r="T73" s="24">
        <v>0.6875</v>
      </c>
      <c r="U73" s="376">
        <f t="shared" si="94"/>
        <v>57.999999999999957</v>
      </c>
      <c r="V73" s="385">
        <f t="shared" si="90"/>
        <v>186.99999999999997</v>
      </c>
      <c r="W73" s="14"/>
      <c r="X73" s="14"/>
      <c r="Y73" s="536"/>
      <c r="Z73" s="537"/>
      <c r="AA73" s="11">
        <f t="shared" si="95"/>
        <v>-172.29946524064144</v>
      </c>
      <c r="AB73" s="378">
        <f t="shared" si="93"/>
        <v>0.92820855614973274</v>
      </c>
      <c r="AC73" s="533"/>
    </row>
    <row r="74" spans="1:29" ht="15.75" customHeight="1">
      <c r="A74" s="531" t="s">
        <v>1471</v>
      </c>
      <c r="B74" s="386" t="s">
        <v>24</v>
      </c>
      <c r="C74" s="534" t="s">
        <v>25</v>
      </c>
      <c r="D74" s="535"/>
      <c r="E74" s="26">
        <v>20.52</v>
      </c>
      <c r="F74" s="386">
        <v>1935</v>
      </c>
      <c r="G74" s="376">
        <f t="shared" si="85"/>
        <v>39706.199999999997</v>
      </c>
      <c r="H74" s="388" t="s">
        <v>52</v>
      </c>
      <c r="I74" s="384">
        <v>18</v>
      </c>
      <c r="J74" s="18">
        <v>2400</v>
      </c>
      <c r="K74" s="9">
        <f t="shared" si="96"/>
        <v>133.33333333333334</v>
      </c>
      <c r="L74" s="17">
        <v>18</v>
      </c>
      <c r="M74" s="10">
        <f t="shared" si="91"/>
        <v>2232.692307692309</v>
      </c>
      <c r="N74" s="9">
        <f t="shared" si="87"/>
        <v>124.0384615384616</v>
      </c>
      <c r="O74" s="11">
        <f t="shared" si="88"/>
        <v>0</v>
      </c>
      <c r="P74" s="12">
        <f t="shared" si="89"/>
        <v>-9.2948717948717388</v>
      </c>
      <c r="Q74" s="378">
        <f t="shared" si="92"/>
        <v>0.93028846153846201</v>
      </c>
      <c r="R74" s="533"/>
      <c r="S74" s="24">
        <v>0.69166666666666665</v>
      </c>
      <c r="T74" s="24">
        <v>0.72777777777777775</v>
      </c>
      <c r="U74" s="376">
        <f t="shared" si="94"/>
        <v>5.9999999999999787</v>
      </c>
      <c r="V74" s="385">
        <f t="shared" si="90"/>
        <v>51.999999999999972</v>
      </c>
      <c r="W74" s="14"/>
      <c r="X74" s="14"/>
      <c r="Y74" s="536"/>
      <c r="Z74" s="537"/>
      <c r="AA74" s="11">
        <f t="shared" si="95"/>
        <v>-167.30769230769101</v>
      </c>
      <c r="AB74" s="378">
        <f t="shared" si="93"/>
        <v>0.93028846153846212</v>
      </c>
      <c r="AC74" s="533"/>
    </row>
    <row r="75" spans="1:29" ht="16.5" customHeight="1">
      <c r="A75" s="532" t="s">
        <v>1471</v>
      </c>
      <c r="B75" s="26" t="s">
        <v>1469</v>
      </c>
      <c r="C75" s="530"/>
      <c r="D75" s="530"/>
      <c r="E75" s="377"/>
      <c r="F75" s="16"/>
      <c r="G75" s="9"/>
      <c r="H75" s="386"/>
      <c r="I75" s="17">
        <v>17.25</v>
      </c>
      <c r="J75" s="18">
        <v>2400</v>
      </c>
      <c r="K75" s="9">
        <f t="shared" si="96"/>
        <v>139.13043478260869</v>
      </c>
      <c r="L75" s="17">
        <v>17.25</v>
      </c>
      <c r="M75" s="10">
        <f>AVERAGE(M67:M74)</f>
        <v>2240.5720074465262</v>
      </c>
      <c r="N75" s="9">
        <f>M75/L75</f>
        <v>129.88823231574065</v>
      </c>
      <c r="O75" s="11">
        <f>L75-I75</f>
        <v>0</v>
      </c>
      <c r="P75" s="12">
        <f>N75-K75</f>
        <v>-9.2422024668680365</v>
      </c>
      <c r="Q75" s="378">
        <f t="shared" si="92"/>
        <v>0.93357166976938599</v>
      </c>
      <c r="R75" s="533"/>
      <c r="S75" s="24"/>
      <c r="T75" s="24"/>
      <c r="U75" s="9"/>
      <c r="V75" s="385"/>
      <c r="W75" s="9"/>
      <c r="X75" s="9"/>
      <c r="Y75" s="528"/>
      <c r="Z75" s="528"/>
      <c r="AA75" s="11">
        <f t="shared" si="95"/>
        <v>-159.42799255347381</v>
      </c>
      <c r="AB75" s="378">
        <f t="shared" si="93"/>
        <v>0.93357166976938588</v>
      </c>
      <c r="AC75" s="533"/>
    </row>
    <row r="76" spans="1:29">
      <c r="D76" s="19"/>
      <c r="E76" s="19"/>
    </row>
  </sheetData>
  <mergeCells count="196">
    <mergeCell ref="A59:A66"/>
    <mergeCell ref="C59:D59"/>
    <mergeCell ref="R59:R66"/>
    <mergeCell ref="Y59:Z59"/>
    <mergeCell ref="A67:A75"/>
    <mergeCell ref="C67:D67"/>
    <mergeCell ref="R67:R75"/>
    <mergeCell ref="Y67:Z67"/>
    <mergeCell ref="AC67:AC75"/>
    <mergeCell ref="C68:D68"/>
    <mergeCell ref="Y68:Z68"/>
    <mergeCell ref="C69:D69"/>
    <mergeCell ref="Y69:Z69"/>
    <mergeCell ref="C70:D70"/>
    <mergeCell ref="C74:D74"/>
    <mergeCell ref="Y74:Z74"/>
    <mergeCell ref="C75:D75"/>
    <mergeCell ref="Y75:Z75"/>
    <mergeCell ref="Y70:Z70"/>
    <mergeCell ref="C71:D71"/>
    <mergeCell ref="Y71:Z71"/>
    <mergeCell ref="C72:D72"/>
    <mergeCell ref="Y72:Z72"/>
    <mergeCell ref="C73:D73"/>
    <mergeCell ref="Y73:Z73"/>
    <mergeCell ref="AC59:AC66"/>
    <mergeCell ref="C60:D60"/>
    <mergeCell ref="Y60:Z60"/>
    <mergeCell ref="C61:D61"/>
    <mergeCell ref="Y61:Z61"/>
    <mergeCell ref="C62:D62"/>
    <mergeCell ref="AC53:AC58"/>
    <mergeCell ref="C54:D54"/>
    <mergeCell ref="Y54:Z54"/>
    <mergeCell ref="C55:D55"/>
    <mergeCell ref="C58:D58"/>
    <mergeCell ref="Y58:Z58"/>
    <mergeCell ref="Y62:Z62"/>
    <mergeCell ref="C63:D63"/>
    <mergeCell ref="Y63:Z63"/>
    <mergeCell ref="C64:D64"/>
    <mergeCell ref="Y64:Z64"/>
    <mergeCell ref="C66:D66"/>
    <mergeCell ref="Y66:Z66"/>
    <mergeCell ref="A53:A58"/>
    <mergeCell ref="C53:D53"/>
    <mergeCell ref="R53:R58"/>
    <mergeCell ref="Y53:Z53"/>
    <mergeCell ref="AC44:AC52"/>
    <mergeCell ref="C45:D45"/>
    <mergeCell ref="Y45:Z45"/>
    <mergeCell ref="C46:D46"/>
    <mergeCell ref="Y46:Z46"/>
    <mergeCell ref="C47:D47"/>
    <mergeCell ref="Y47:Z47"/>
    <mergeCell ref="C48:D48"/>
    <mergeCell ref="Y48:Z48"/>
    <mergeCell ref="C49:D49"/>
    <mergeCell ref="A44:A52"/>
    <mergeCell ref="C44:D44"/>
    <mergeCell ref="R44:R52"/>
    <mergeCell ref="Y44:Z44"/>
    <mergeCell ref="Y49:Z49"/>
    <mergeCell ref="C50:D50"/>
    <mergeCell ref="Y50:Z50"/>
    <mergeCell ref="C51:D51"/>
    <mergeCell ref="Y51:Z51"/>
    <mergeCell ref="C52:D52"/>
    <mergeCell ref="Y52:Z52"/>
    <mergeCell ref="AC26:AC33"/>
    <mergeCell ref="C27:D27"/>
    <mergeCell ref="Y27:Z27"/>
    <mergeCell ref="C28:D28"/>
    <mergeCell ref="Y28:Z28"/>
    <mergeCell ref="C29:D29"/>
    <mergeCell ref="Y29:Z29"/>
    <mergeCell ref="C30:D30"/>
    <mergeCell ref="Y30:Z30"/>
    <mergeCell ref="C31:D31"/>
    <mergeCell ref="A34:A43"/>
    <mergeCell ref="C34:D34"/>
    <mergeCell ref="R34:R43"/>
    <mergeCell ref="Y34:Z34"/>
    <mergeCell ref="AC34:AC43"/>
    <mergeCell ref="C35:D35"/>
    <mergeCell ref="Y35:Z35"/>
    <mergeCell ref="C36:D36"/>
    <mergeCell ref="Y36:Z36"/>
    <mergeCell ref="C40:D40"/>
    <mergeCell ref="Y40:Z40"/>
    <mergeCell ref="C41:D41"/>
    <mergeCell ref="Y41:Z41"/>
    <mergeCell ref="C42:D42"/>
    <mergeCell ref="Y42:Z42"/>
    <mergeCell ref="C37:D37"/>
    <mergeCell ref="Y37:Z37"/>
    <mergeCell ref="C38:D38"/>
    <mergeCell ref="Y38:Z38"/>
    <mergeCell ref="C39:D39"/>
    <mergeCell ref="Y39:Z39"/>
    <mergeCell ref="C43:D43"/>
    <mergeCell ref="Y43:Z43"/>
    <mergeCell ref="R19:R25"/>
    <mergeCell ref="Y19:Z19"/>
    <mergeCell ref="C25:D25"/>
    <mergeCell ref="Y25:Z25"/>
    <mergeCell ref="A26:A33"/>
    <mergeCell ref="C26:D26"/>
    <mergeCell ref="R26:R33"/>
    <mergeCell ref="Y26:Z26"/>
    <mergeCell ref="Y31:Z31"/>
    <mergeCell ref="C32:D32"/>
    <mergeCell ref="Y32:Z32"/>
    <mergeCell ref="C33:D33"/>
    <mergeCell ref="Y33:Z33"/>
    <mergeCell ref="AC19:AC25"/>
    <mergeCell ref="C20:D20"/>
    <mergeCell ref="Y20:Z20"/>
    <mergeCell ref="C21:D21"/>
    <mergeCell ref="Y21:Z21"/>
    <mergeCell ref="A15:A18"/>
    <mergeCell ref="C15:D15"/>
    <mergeCell ref="R15:R18"/>
    <mergeCell ref="Y15:Z15"/>
    <mergeCell ref="AC15:AC18"/>
    <mergeCell ref="C16:D16"/>
    <mergeCell ref="Y16:Z16"/>
    <mergeCell ref="C17:D17"/>
    <mergeCell ref="Y17:Z17"/>
    <mergeCell ref="C18:D18"/>
    <mergeCell ref="C22:D22"/>
    <mergeCell ref="Y22:Z22"/>
    <mergeCell ref="C23:D23"/>
    <mergeCell ref="Y23:Z23"/>
    <mergeCell ref="C24:D24"/>
    <mergeCell ref="Y24:Z24"/>
    <mergeCell ref="Y18:Z18"/>
    <mergeCell ref="A19:A25"/>
    <mergeCell ref="C19:D19"/>
    <mergeCell ref="AC9:AC14"/>
    <mergeCell ref="C10:D10"/>
    <mergeCell ref="Y10:Z10"/>
    <mergeCell ref="C11:D11"/>
    <mergeCell ref="Y11:Z11"/>
    <mergeCell ref="C12:D12"/>
    <mergeCell ref="Y12:Z12"/>
    <mergeCell ref="C13:D13"/>
    <mergeCell ref="Y13:Z13"/>
    <mergeCell ref="C14:D14"/>
    <mergeCell ref="C8:D8"/>
    <mergeCell ref="Y8:Z8"/>
    <mergeCell ref="A9:A14"/>
    <mergeCell ref="C9:D9"/>
    <mergeCell ref="R9:R14"/>
    <mergeCell ref="Y9:Z9"/>
    <mergeCell ref="Y14:Z14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62:O72 O75 O5:O9 O14:O16 O52:O59 O18:O49">
    <cfRule type="cellIs" dxfId="1371" priority="55" operator="greaterThan">
      <formula>0</formula>
    </cfRule>
  </conditionalFormatting>
  <conditionalFormatting sqref="P5:P7 P62:P65 AA62:AA65 P67:P72 P26:P32 P59 P9 P14:P16 P19:P24 P53:P57 P34:P49 AA5:AA59 AA67:AA75">
    <cfRule type="cellIs" dxfId="1370" priority="59" operator="lessThan">
      <formula>0</formula>
    </cfRule>
  </conditionalFormatting>
  <conditionalFormatting sqref="AB62:AB65 Q62:Q72 Q75 Q5:Q9 Q14:Q16 Q52:Q59 Q18:Q49 AB5:AB59 AB67:AB75">
    <cfRule type="cellIs" dxfId="1369" priority="56" operator="greaterThan">
      <formula>1</formula>
    </cfRule>
    <cfRule type="cellIs" dxfId="1368" priority="57" operator="lessThan">
      <formula>0.8</formula>
    </cfRule>
  </conditionalFormatting>
  <conditionalFormatting sqref="AC15:AC16 R15:R16 AC62 R62:R72 R18:R41 AC18:AC41 R75 AC5:AC9 R5:R9 R43:R49 AC43:AC49 AC52:AC59 R52:R59">
    <cfRule type="cellIs" dxfId="1367" priority="61" operator="lessThan">
      <formula>0.8</formula>
    </cfRule>
  </conditionalFormatting>
  <conditionalFormatting sqref="AC44">
    <cfRule type="cellIs" dxfId="1366" priority="63" operator="lessThan">
      <formula>0.8</formula>
    </cfRule>
  </conditionalFormatting>
  <conditionalFormatting sqref="AC19:AC24">
    <cfRule type="cellIs" dxfId="1365" priority="60" operator="lessThan">
      <formula>0.8</formula>
    </cfRule>
  </conditionalFormatting>
  <conditionalFormatting sqref="AC26">
    <cfRule type="cellIs" dxfId="1364" priority="62" operator="lessThan">
      <formula>0.8</formula>
    </cfRule>
  </conditionalFormatting>
  <conditionalFormatting sqref="AC34:AC41">
    <cfRule type="cellIs" dxfId="1363" priority="58" operator="lessThan">
      <formula>0.8</formula>
    </cfRule>
  </conditionalFormatting>
  <conditionalFormatting sqref="AA66">
    <cfRule type="cellIs" dxfId="1362" priority="54" operator="lessThan">
      <formula>0</formula>
    </cfRule>
  </conditionalFormatting>
  <conditionalFormatting sqref="AB66">
    <cfRule type="cellIs" dxfId="1361" priority="52" operator="greaterThan">
      <formula>1</formula>
    </cfRule>
    <cfRule type="cellIs" dxfId="1360" priority="53" operator="lessThan">
      <formula>0.8</formula>
    </cfRule>
  </conditionalFormatting>
  <conditionalFormatting sqref="O17">
    <cfRule type="cellIs" dxfId="1359" priority="47" operator="greaterThan">
      <formula>0</formula>
    </cfRule>
  </conditionalFormatting>
  <conditionalFormatting sqref="P17">
    <cfRule type="cellIs" dxfId="1358" priority="50" operator="lessThan">
      <formula>0</formula>
    </cfRule>
  </conditionalFormatting>
  <conditionalFormatting sqref="Q17">
    <cfRule type="cellIs" dxfId="1357" priority="48" operator="greaterThan">
      <formula>1</formula>
    </cfRule>
    <cfRule type="cellIs" dxfId="1356" priority="49" operator="lessThan">
      <formula>0.8</formula>
    </cfRule>
  </conditionalFormatting>
  <conditionalFormatting sqref="R17 AC17">
    <cfRule type="cellIs" dxfId="1355" priority="51" operator="lessThan">
      <formula>0.8</formula>
    </cfRule>
  </conditionalFormatting>
  <conditionalFormatting sqref="O10:O13">
    <cfRule type="cellIs" dxfId="1354" priority="43" operator="greaterThan">
      <formula>0</formula>
    </cfRule>
  </conditionalFormatting>
  <conditionalFormatting sqref="P10:P13">
    <cfRule type="cellIs" dxfId="1353" priority="46" operator="lessThan">
      <formula>0</formula>
    </cfRule>
  </conditionalFormatting>
  <conditionalFormatting sqref="Q10:Q13">
    <cfRule type="cellIs" dxfId="1352" priority="44" operator="greaterThan">
      <formula>1</formula>
    </cfRule>
    <cfRule type="cellIs" dxfId="1351" priority="45" operator="lessThan">
      <formula>0.8</formula>
    </cfRule>
  </conditionalFormatting>
  <conditionalFormatting sqref="R42 AC42">
    <cfRule type="cellIs" dxfId="1350" priority="42" operator="lessThan">
      <formula>0.8</formula>
    </cfRule>
  </conditionalFormatting>
  <conditionalFormatting sqref="AC42">
    <cfRule type="cellIs" dxfId="1349" priority="41" operator="lessThan">
      <formula>0.8</formula>
    </cfRule>
  </conditionalFormatting>
  <conditionalFormatting sqref="O61">
    <cfRule type="cellIs" dxfId="1348" priority="36" operator="greaterThan">
      <formula>0</formula>
    </cfRule>
  </conditionalFormatting>
  <conditionalFormatting sqref="P61 AA61">
    <cfRule type="cellIs" dxfId="1347" priority="39" operator="lessThan">
      <formula>0</formula>
    </cfRule>
  </conditionalFormatting>
  <conditionalFormatting sqref="Q61 AB61">
    <cfRule type="cellIs" dxfId="1346" priority="37" operator="greaterThan">
      <formula>1</formula>
    </cfRule>
    <cfRule type="cellIs" dxfId="1345" priority="38" operator="lessThan">
      <formula>0.8</formula>
    </cfRule>
  </conditionalFormatting>
  <conditionalFormatting sqref="R61 AC61">
    <cfRule type="cellIs" dxfId="1344" priority="40" operator="lessThan">
      <formula>0.8</formula>
    </cfRule>
  </conditionalFormatting>
  <conditionalFormatting sqref="O73">
    <cfRule type="cellIs" dxfId="1343" priority="31" operator="greaterThan">
      <formula>0</formula>
    </cfRule>
  </conditionalFormatting>
  <conditionalFormatting sqref="P73">
    <cfRule type="cellIs" dxfId="1342" priority="34" operator="lessThan">
      <formula>0</formula>
    </cfRule>
  </conditionalFormatting>
  <conditionalFormatting sqref="Q73">
    <cfRule type="cellIs" dxfId="1341" priority="32" operator="greaterThan">
      <formula>1</formula>
    </cfRule>
    <cfRule type="cellIs" dxfId="1340" priority="33" operator="lessThan">
      <formula>0.8</formula>
    </cfRule>
  </conditionalFormatting>
  <conditionalFormatting sqref="R73">
    <cfRule type="cellIs" dxfId="1339" priority="35" operator="lessThan">
      <formula>0.8</formula>
    </cfRule>
  </conditionalFormatting>
  <conditionalFormatting sqref="O50">
    <cfRule type="cellIs" dxfId="1338" priority="25" operator="greaterThan">
      <formula>0</formula>
    </cfRule>
  </conditionalFormatting>
  <conditionalFormatting sqref="P50">
    <cfRule type="cellIs" dxfId="1337" priority="29" operator="lessThan">
      <formula>0</formula>
    </cfRule>
  </conditionalFormatting>
  <conditionalFormatting sqref="Q50">
    <cfRule type="cellIs" dxfId="1336" priority="26" operator="greaterThan">
      <formula>1</formula>
    </cfRule>
    <cfRule type="cellIs" dxfId="1335" priority="27" operator="lessThan">
      <formula>0.8</formula>
    </cfRule>
  </conditionalFormatting>
  <conditionalFormatting sqref="R50 AC50">
    <cfRule type="cellIs" dxfId="1334" priority="30" operator="lessThan">
      <formula>0.8</formula>
    </cfRule>
  </conditionalFormatting>
  <conditionalFormatting sqref="AC50">
    <cfRule type="cellIs" dxfId="1333" priority="28" operator="lessThan">
      <formula>0.8</formula>
    </cfRule>
  </conditionalFormatting>
  <conditionalFormatting sqref="O51">
    <cfRule type="cellIs" dxfId="1332" priority="19" operator="greaterThan">
      <formula>0</formula>
    </cfRule>
  </conditionalFormatting>
  <conditionalFormatting sqref="P51">
    <cfRule type="cellIs" dxfId="1331" priority="23" operator="lessThan">
      <formula>0</formula>
    </cfRule>
  </conditionalFormatting>
  <conditionalFormatting sqref="Q51">
    <cfRule type="cellIs" dxfId="1330" priority="20" operator="greaterThan">
      <formula>1</formula>
    </cfRule>
    <cfRule type="cellIs" dxfId="1329" priority="21" operator="lessThan">
      <formula>0.8</formula>
    </cfRule>
  </conditionalFormatting>
  <conditionalFormatting sqref="R51 AC51">
    <cfRule type="cellIs" dxfId="1328" priority="24" operator="lessThan">
      <formula>0.8</formula>
    </cfRule>
  </conditionalFormatting>
  <conditionalFormatting sqref="AC51">
    <cfRule type="cellIs" dxfId="1327" priority="22" operator="lessThan">
      <formula>0.8</formula>
    </cfRule>
  </conditionalFormatting>
  <conditionalFormatting sqref="O60">
    <cfRule type="cellIs" dxfId="1326" priority="14" operator="greaterThan">
      <formula>0</formula>
    </cfRule>
  </conditionalFormatting>
  <conditionalFormatting sqref="P60 AA60">
    <cfRule type="cellIs" dxfId="1325" priority="17" operator="lessThan">
      <formula>0</formula>
    </cfRule>
  </conditionalFormatting>
  <conditionalFormatting sqref="Q60 AB60">
    <cfRule type="cellIs" dxfId="1324" priority="15" operator="greaterThan">
      <formula>1</formula>
    </cfRule>
    <cfRule type="cellIs" dxfId="1323" priority="16" operator="lessThan">
      <formula>0.8</formula>
    </cfRule>
  </conditionalFormatting>
  <conditionalFormatting sqref="R60 AC60">
    <cfRule type="cellIs" dxfId="1322" priority="18" operator="lessThan">
      <formula>0.8</formula>
    </cfRule>
  </conditionalFormatting>
  <conditionalFormatting sqref="P8">
    <cfRule type="cellIs" dxfId="1321" priority="13" operator="lessThan">
      <formula>0</formula>
    </cfRule>
  </conditionalFormatting>
  <conditionalFormatting sqref="P18">
    <cfRule type="cellIs" dxfId="1320" priority="12" operator="lessThan">
      <formula>0</formula>
    </cfRule>
  </conditionalFormatting>
  <conditionalFormatting sqref="P25">
    <cfRule type="cellIs" dxfId="1319" priority="11" operator="lessThan">
      <formula>0</formula>
    </cfRule>
  </conditionalFormatting>
  <conditionalFormatting sqref="P33">
    <cfRule type="cellIs" dxfId="1318" priority="10" operator="lessThan">
      <formula>0</formula>
    </cfRule>
  </conditionalFormatting>
  <conditionalFormatting sqref="P52">
    <cfRule type="cellIs" dxfId="1317" priority="9" operator="lessThan">
      <formula>0</formula>
    </cfRule>
  </conditionalFormatting>
  <conditionalFormatting sqref="P58">
    <cfRule type="cellIs" dxfId="1316" priority="8" operator="lessThan">
      <formula>0</formula>
    </cfRule>
  </conditionalFormatting>
  <conditionalFormatting sqref="P66">
    <cfRule type="cellIs" dxfId="1315" priority="7" operator="lessThan">
      <formula>0</formula>
    </cfRule>
  </conditionalFormatting>
  <conditionalFormatting sqref="P75">
    <cfRule type="cellIs" dxfId="1314" priority="6" operator="lessThan">
      <formula>0</formula>
    </cfRule>
  </conditionalFormatting>
  <conditionalFormatting sqref="O74">
    <cfRule type="cellIs" dxfId="1313" priority="1" operator="greaterThan">
      <formula>0</formula>
    </cfRule>
  </conditionalFormatting>
  <conditionalFormatting sqref="P74">
    <cfRule type="cellIs" dxfId="1312" priority="4" operator="lessThan">
      <formula>0</formula>
    </cfRule>
  </conditionalFormatting>
  <conditionalFormatting sqref="Q74">
    <cfRule type="cellIs" dxfId="1311" priority="2" operator="greaterThan">
      <formula>1</formula>
    </cfRule>
    <cfRule type="cellIs" dxfId="1310" priority="3" operator="lessThan">
      <formula>0.8</formula>
    </cfRule>
  </conditionalFormatting>
  <conditionalFormatting sqref="R74">
    <cfRule type="cellIs" dxfId="1309" priority="5" operator="lessThan">
      <formula>0.8</formula>
    </cfRule>
  </conditionalFormatting>
  <dataValidations count="1">
    <dataValidation type="list" allowBlank="1" showInputMessage="1" showErrorMessage="1" sqref="Z8 Z63:Z65 Y5:Z7 Y8:Y65 Z10:Z59 Y66:Z75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"/>
  <dimension ref="B1:Q28"/>
  <sheetViews>
    <sheetView zoomScale="80" zoomScaleNormal="80" workbookViewId="0">
      <selection activeCell="C3" sqref="C3:D3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521" t="s">
        <v>172</v>
      </c>
      <c r="C1" s="521"/>
      <c r="D1" s="521"/>
      <c r="E1" s="521"/>
      <c r="F1" s="521"/>
      <c r="G1" s="521"/>
      <c r="H1" s="521"/>
      <c r="I1" s="521"/>
      <c r="J1" s="521"/>
      <c r="K1" s="28"/>
      <c r="L1" s="28"/>
      <c r="M1" s="28"/>
      <c r="N1" s="28"/>
      <c r="O1" s="28"/>
      <c r="P1" s="28"/>
    </row>
    <row r="2" spans="2:17" ht="27.75" customHeight="1">
      <c r="B2" s="522"/>
      <c r="C2" s="522"/>
      <c r="D2" s="522"/>
      <c r="E2" s="522"/>
      <c r="F2" s="522"/>
      <c r="G2" s="522"/>
      <c r="H2" s="522"/>
      <c r="I2" s="522"/>
      <c r="J2" s="522"/>
      <c r="K2" s="30"/>
      <c r="L2" s="324"/>
      <c r="M2" s="30"/>
      <c r="N2" s="28"/>
      <c r="O2" s="28"/>
      <c r="P2" s="28"/>
    </row>
    <row r="3" spans="2:17" ht="46.5" customHeight="1">
      <c r="B3" s="360" t="s">
        <v>173</v>
      </c>
      <c r="C3" s="523" t="str">
        <f>TEXT('0823 4度C'!A2,"yyyy.mm.ddaaaa")</f>
        <v>2025.08.23星期六</v>
      </c>
      <c r="D3" s="523"/>
      <c r="E3" s="360" t="s">
        <v>1327</v>
      </c>
      <c r="F3" s="524">
        <f>'0823 4度C'!D1</f>
        <v>140531</v>
      </c>
      <c r="G3" s="524"/>
      <c r="H3" s="360" t="s">
        <v>1328</v>
      </c>
      <c r="I3" s="525">
        <f>'0823 4度C'!F1</f>
        <v>5147138.6600000011</v>
      </c>
      <c r="J3" s="525"/>
      <c r="K3" s="31"/>
      <c r="L3" s="325"/>
      <c r="M3" s="33"/>
      <c r="N3" s="33"/>
    </row>
    <row r="4" spans="2:17" ht="28.5" customHeight="1">
      <c r="B4" s="516" t="s">
        <v>1329</v>
      </c>
      <c r="C4" s="516" t="s">
        <v>105</v>
      </c>
      <c r="D4" s="516"/>
      <c r="E4" s="526" t="s">
        <v>106</v>
      </c>
      <c r="F4" s="526"/>
      <c r="G4" s="526" t="s">
        <v>107</v>
      </c>
      <c r="H4" s="526"/>
      <c r="I4" s="527" t="s">
        <v>1330</v>
      </c>
      <c r="J4" s="527"/>
      <c r="L4" s="326"/>
      <c r="M4" s="33"/>
      <c r="N4" s="33"/>
    </row>
    <row r="5" spans="2:17" ht="28.5" customHeight="1">
      <c r="B5" s="516"/>
      <c r="C5" s="516" t="s">
        <v>1331</v>
      </c>
      <c r="D5" s="516"/>
      <c r="E5" s="516" t="s">
        <v>125</v>
      </c>
      <c r="F5" s="516"/>
      <c r="G5" s="517" t="s">
        <v>1332</v>
      </c>
      <c r="H5" s="517"/>
      <c r="I5" s="518" t="s">
        <v>111</v>
      </c>
      <c r="J5" s="518"/>
      <c r="K5" s="33"/>
      <c r="L5" s="326"/>
      <c r="M5" s="33"/>
      <c r="N5" s="33"/>
    </row>
    <row r="6" spans="2:17" ht="28.5" customHeight="1">
      <c r="B6" s="516"/>
      <c r="C6" s="516" t="s">
        <v>43</v>
      </c>
      <c r="D6" s="516"/>
      <c r="E6" s="519">
        <f>AVERAGE(D13:M13)</f>
        <v>145.79390661615201</v>
      </c>
      <c r="F6" s="516">
        <f>AVERAGE(D27:O27,D13:J13)</f>
        <v>150.4479206865964</v>
      </c>
      <c r="G6" s="520">
        <f>AVERAGE(D13:J13)</f>
        <v>150.4479206865964</v>
      </c>
      <c r="H6" s="520"/>
      <c r="I6" s="520">
        <f>AVERAGE(K13:M13)</f>
        <v>134.93454045178183</v>
      </c>
      <c r="J6" s="520"/>
      <c r="K6" s="33"/>
      <c r="L6" s="326"/>
      <c r="M6" s="33"/>
      <c r="N6" s="33"/>
    </row>
    <row r="7" spans="2:17" ht="28.5" customHeight="1">
      <c r="B7" s="516"/>
      <c r="C7" s="510" t="s">
        <v>44</v>
      </c>
      <c r="D7" s="510"/>
      <c r="E7" s="511">
        <f>AVERAGE(D14:M14)</f>
        <v>136.48213561454239</v>
      </c>
      <c r="F7" s="512">
        <f>AVERAGE(D28:O28,D14:J14)</f>
        <v>140.93078279500398</v>
      </c>
      <c r="G7" s="513">
        <f>AVERAGE(D14:J14)</f>
        <v>140.93078279500398</v>
      </c>
      <c r="H7" s="513"/>
      <c r="I7" s="513">
        <f>AVERAGE(K14:M14)</f>
        <v>126.10195886013203</v>
      </c>
      <c r="J7" s="513"/>
      <c r="K7" s="33"/>
      <c r="L7" s="326"/>
      <c r="M7" s="33"/>
      <c r="N7" s="33"/>
    </row>
    <row r="8" spans="2:17" ht="28.5" customHeight="1">
      <c r="B8" s="516"/>
      <c r="C8" s="510" t="s">
        <v>45</v>
      </c>
      <c r="D8" s="510"/>
      <c r="E8" s="514">
        <f>AVERAGE(D15:M15)</f>
        <v>0.93521847177604589</v>
      </c>
      <c r="F8" s="510">
        <f>AVERAGE(D15:J15,D29:O29)</f>
        <v>0.93552428948907662</v>
      </c>
      <c r="G8" s="515">
        <f>AVERAGE(D15:J15)</f>
        <v>0.93552428948907662</v>
      </c>
      <c r="H8" s="515"/>
      <c r="I8" s="515">
        <f>AVERAGE(K15:M15)</f>
        <v>0.93450489711230678</v>
      </c>
      <c r="J8" s="515"/>
      <c r="K8" s="34" t="s">
        <v>1333</v>
      </c>
      <c r="L8" s="326"/>
      <c r="M8" s="33"/>
      <c r="N8" s="33"/>
    </row>
    <row r="9" spans="2:17" ht="28.5" customHeight="1" thickBot="1">
      <c r="H9" s="36"/>
      <c r="I9" s="291"/>
      <c r="L9" s="291"/>
      <c r="N9" s="33"/>
      <c r="O9" s="33"/>
      <c r="P9" s="33"/>
      <c r="Q9" s="33"/>
    </row>
    <row r="10" spans="2:17" ht="30" customHeight="1">
      <c r="B10" s="501" t="s">
        <v>1334</v>
      </c>
      <c r="C10" s="502"/>
      <c r="D10" s="503" t="s">
        <v>1335</v>
      </c>
      <c r="E10" s="504"/>
      <c r="F10" s="504"/>
      <c r="G10" s="504"/>
      <c r="H10" s="504"/>
      <c r="I10" s="504"/>
      <c r="J10" s="505"/>
      <c r="K10" s="506" t="s">
        <v>1336</v>
      </c>
      <c r="L10" s="504"/>
      <c r="M10" s="507"/>
      <c r="P10" s="37"/>
      <c r="Q10" s="37"/>
    </row>
    <row r="11" spans="2:17" ht="17.25" customHeight="1">
      <c r="B11" s="493" t="s">
        <v>1337</v>
      </c>
      <c r="C11" s="494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292">
        <v>6</v>
      </c>
      <c r="J11" s="40">
        <v>7</v>
      </c>
      <c r="K11" s="38">
        <v>1</v>
      </c>
      <c r="L11" s="292">
        <v>2</v>
      </c>
      <c r="M11" s="40">
        <v>3</v>
      </c>
      <c r="P11" s="37"/>
      <c r="Q11" s="37"/>
    </row>
    <row r="12" spans="2:17" ht="34.15" customHeight="1">
      <c r="B12" s="493"/>
      <c r="C12" s="494"/>
      <c r="D12" s="41" t="s">
        <v>345</v>
      </c>
      <c r="E12" s="42" t="s">
        <v>346</v>
      </c>
      <c r="F12" s="42" t="s">
        <v>347</v>
      </c>
      <c r="G12" s="42" t="s">
        <v>348</v>
      </c>
      <c r="H12" s="42" t="s">
        <v>349</v>
      </c>
      <c r="I12" s="293" t="s">
        <v>350</v>
      </c>
      <c r="J12" s="43" t="s">
        <v>351</v>
      </c>
      <c r="K12" s="41" t="s">
        <v>352</v>
      </c>
      <c r="L12" s="293" t="s">
        <v>353</v>
      </c>
      <c r="M12" s="43" t="s">
        <v>354</v>
      </c>
    </row>
    <row r="13" spans="2:17" ht="40.15" customHeight="1">
      <c r="B13" s="508" t="s">
        <v>1338</v>
      </c>
      <c r="C13" s="44" t="s">
        <v>1339</v>
      </c>
      <c r="D13" s="45">
        <f>SUMIFS('0823 4度C'!$K:$K,'0823 4度C'!$A:$A,"新豐6線",'0823 4度C'!$B:$B,"平均")</f>
        <v>117.64705882352941</v>
      </c>
      <c r="E13" s="46">
        <f>SUMIFS('0823 4度C'!$K:$K,'0823 4度C'!$A:$A,"新豐2線",'0823 4度C'!$B:$B,"平均")</f>
        <v>81.818181818181827</v>
      </c>
      <c r="F13" s="47">
        <f>SUMIFS('0823 4度C'!$K:$K,'0823 4度C'!$A:$A,"新豐5線",'0823 4度C'!$B:$B,"平均")</f>
        <v>93.220338983050837</v>
      </c>
      <c r="G13" s="47">
        <f>SUMIFS('0823 4度C'!$K:$K,'0823 4度C'!$A:$A,"新豐7線",'0823 4度C'!$B:$B,"平均")</f>
        <v>116.50485436893203</v>
      </c>
      <c r="H13" s="47">
        <f>SUMIFS('0823 4度C'!$K:$K,'0823 4度C'!$A:$A,"新豐3線",'0823 4度C'!$B:$B,"平均")</f>
        <v>300</v>
      </c>
      <c r="I13" s="294">
        <f>SUMIFS('0823 4度C'!$K:$K,'0823 4度C'!$A:$A,"新豐1線",'0823 4度C'!$B:$B,"平均")</f>
        <v>114.4578313253012</v>
      </c>
      <c r="J13" s="48">
        <f>SUMIFS('0823 4度C'!$K:$K,'0823 4度C'!$A:$A,"新豐10線",'0823 4度C'!$B:$B,"平均")</f>
        <v>229.4871794871795</v>
      </c>
      <c r="K13" s="49">
        <f>SUMIFS('0823 4度C'!$K:$K,'0823 4度C'!$A:$A,"新豐8線",'0823 4度C'!$B:$B,"平均")</f>
        <v>137.93103448275863</v>
      </c>
      <c r="L13" s="301">
        <f>SUMIFS('0823 4度C'!$K:$K,'0823 4度C'!$A:$A,"新豐9線",'0823 4度C'!$B:$B,"平均")</f>
        <v>129.72972972972974</v>
      </c>
      <c r="M13" s="48">
        <f>SUMIFS('0823 4度C'!$K:$K,'0823 4度C'!$A:$A,"新豐4線",'0823 4度C'!$B:$B,"平均")</f>
        <v>137.14285714285714</v>
      </c>
    </row>
    <row r="14" spans="2:17" ht="39.6" customHeight="1">
      <c r="B14" s="508"/>
      <c r="C14" s="51" t="s">
        <v>1340</v>
      </c>
      <c r="D14" s="52">
        <f>SUMIFS('0823 4度C'!$N:$N,'0823 4度C'!$A:$A,"新豐6線",'0823 4度C'!$B:$B,"平均")</f>
        <v>110.5635098614226</v>
      </c>
      <c r="E14" s="53">
        <f>SUMIFS('0823 4度C'!$N:$N,'0823 4度C'!$A:$A,"新豐2線",'0823 4度C'!$B:$B,"平均")</f>
        <v>76.05861679981119</v>
      </c>
      <c r="F14" s="53">
        <f>SUMIFS('0823 4度C'!$N:$N,'0823 4度C'!$A:$A,"新豐5線",'0823 4度C'!$B:$B,"平均")</f>
        <v>86.776727745937734</v>
      </c>
      <c r="G14" s="53">
        <f>SUMIFS('0823 4度C'!$N:$N,'0823 4度C'!$A:$A,"新豐7線",'0823 4度C'!$B:$B,"平均")</f>
        <v>109.44589596687196</v>
      </c>
      <c r="H14" s="53">
        <f>SUMIFS('0823 4度C'!$N:$N,'0823 4度C'!$A:$A,"新豐3線",'0823 4度C'!$B:$B,"平均")</f>
        <v>280.98808564161482</v>
      </c>
      <c r="I14" s="295">
        <f>SUMIFS('0823 4度C'!$N:$N,'0823 4度C'!$A:$A,"新豐1線",'0823 4度C'!$B:$B,"平均")</f>
        <v>106.46827818561665</v>
      </c>
      <c r="J14" s="54">
        <f>SUMIFS('0823 4度C'!$N:$N,'0823 4度C'!$A:$A,"新豐10線",'0823 4度C'!$B:$B,"平均")</f>
        <v>216.21436536375288</v>
      </c>
      <c r="K14" s="55">
        <f>SUMIFS('0823 4度C'!$N:$N,'0823 4度C'!$A:$A,"新豐8線",'0823 4度C'!$B:$B,"平均")</f>
        <v>128.61714647778547</v>
      </c>
      <c r="L14" s="302">
        <f>SUMIFS('0823 4度C'!$N:$N,'0823 4度C'!$A:$A,"新豐9線",'0823 4度C'!$B:$B,"平均")</f>
        <v>120.94413369945606</v>
      </c>
      <c r="M14" s="54">
        <f>SUMIFS('0823 4度C'!$N:$N,'0823 4度C'!$A:$A,"新豐4線",'0823 4度C'!$B:$B,"平均")</f>
        <v>128.74459640315459</v>
      </c>
    </row>
    <row r="15" spans="2:17" ht="40.15" customHeight="1">
      <c r="B15" s="508"/>
      <c r="C15" s="57" t="s">
        <v>1341</v>
      </c>
      <c r="D15" s="58">
        <f t="shared" ref="D15:M15" si="0">D14/D13</f>
        <v>0.93978983382209214</v>
      </c>
      <c r="E15" s="59">
        <f t="shared" si="0"/>
        <v>0.92960531644213662</v>
      </c>
      <c r="F15" s="59">
        <f t="shared" si="0"/>
        <v>0.93087762491096848</v>
      </c>
      <c r="G15" s="59">
        <f t="shared" si="0"/>
        <v>0.93941060704898438</v>
      </c>
      <c r="H15" s="59">
        <f t="shared" si="0"/>
        <v>0.93662695213871605</v>
      </c>
      <c r="I15" s="296">
        <f t="shared" si="0"/>
        <v>0.93019653572696659</v>
      </c>
      <c r="J15" s="60">
        <f t="shared" si="0"/>
        <v>0.94216315633367165</v>
      </c>
      <c r="K15" s="58">
        <f t="shared" si="0"/>
        <v>0.93247431196394459</v>
      </c>
      <c r="L15" s="296">
        <f t="shared" si="0"/>
        <v>0.93227769726664034</v>
      </c>
      <c r="M15" s="60">
        <f t="shared" si="0"/>
        <v>0.93876268210633562</v>
      </c>
    </row>
    <row r="16" spans="2:17" ht="17.25" customHeight="1">
      <c r="B16" s="509" t="s">
        <v>198</v>
      </c>
      <c r="C16" s="359" t="s">
        <v>235</v>
      </c>
      <c r="D16" s="61">
        <f>VLOOKUP("新豐6線",'0823 4度C'!$A:$T,19,0)</f>
        <v>0.70833333333333337</v>
      </c>
      <c r="E16" s="24">
        <f>VLOOKUP("新豐2線",'0823 4度C'!$A:$T,19,0)</f>
        <v>0.125</v>
      </c>
      <c r="F16" s="24">
        <f>VLOOKUP("新豐5線",'0823 4度C'!$A:$T,19,0)</f>
        <v>0.25</v>
      </c>
      <c r="G16" s="24">
        <f>VLOOKUP("新豐7線",'0823 4度C'!$A:$T,19,0)</f>
        <v>0.20833333333333334</v>
      </c>
      <c r="H16" s="24">
        <f>VLOOKUP("新豐3線",'0823 4度C'!$A:$T,19,0)</f>
        <v>0.125</v>
      </c>
      <c r="I16" s="297">
        <f>VLOOKUP("新豐1線",'0823 4度C'!$A:$T,19,0)</f>
        <v>0.29166666666666669</v>
      </c>
      <c r="J16" s="62">
        <f>VLOOKUP("新豐10線",'0823 4度C'!$A:$T,19,0)</f>
        <v>0.125</v>
      </c>
      <c r="K16" s="63">
        <f>VLOOKUP("新豐8線",'0823 4度C'!$A:$T,19,0)</f>
        <v>0.125</v>
      </c>
      <c r="L16" s="303">
        <f>VLOOKUP("新豐9線",'0823 4度C'!$A:$T,19,0)</f>
        <v>8.3333333333333329E-2</v>
      </c>
      <c r="M16" s="65">
        <f>VLOOKUP("新豐4線",'0823 4度C'!$A:$T,19,0)</f>
        <v>0.125</v>
      </c>
    </row>
    <row r="17" spans="2:13" ht="17.25" customHeight="1">
      <c r="B17" s="493"/>
      <c r="C17" s="359" t="s">
        <v>144</v>
      </c>
      <c r="D17" s="63">
        <f>LOOKUP(2,1/(('0823 4度C'!$A:$A="新豐6線")*('0823 4度C'!$T:$T&lt;&gt;"")),'0823 4度C'!$T:$T)</f>
        <v>0.82847222222222217</v>
      </c>
      <c r="E17" s="24">
        <f>LOOKUP(2,1/(('0823 4度C'!$A:$A="新豐2線")*('0823 4度C'!$T:$T&lt;&gt;"")),'0823 4度C'!$T:$T)</f>
        <v>0.51805555555555549</v>
      </c>
      <c r="F17" s="24">
        <f>LOOKUP(2,1/(('0823 4度C'!$A:$A="新豐5線")*('0823 4度C'!$T:$T&lt;&gt;"")),'0823 4度C'!$T:$T)</f>
        <v>0.83263888888888893</v>
      </c>
      <c r="G17" s="24">
        <f>LOOKUP(2,1/(('0823 4度C'!$A:$A="新豐7線")*('0823 4度C'!$T:$T&lt;&gt;"")),'0823 4度C'!$T:$T)</f>
        <v>0.80486111111111114</v>
      </c>
      <c r="H17" s="24">
        <f>LOOKUP(2,1/(('0823 4度C'!$A:$A="新豐3線")*('0823 4度C'!$T:$T&lt;&gt;"")),'0823 4度C'!$T:$T)</f>
        <v>0.45486111111111105</v>
      </c>
      <c r="I17" s="297">
        <f>LOOKUP(2,1/(('0823 4度C'!$A:$A="新豐1線")*('0823 4度C'!$T:$T&lt;&gt;"")),'0823 4度C'!$T:$T)</f>
        <v>0.84513888888888888</v>
      </c>
      <c r="J17" s="62">
        <f>LOOKUP(2,1/(('0823 4度C'!$A:$A="新豐10線")*('0823 4度C'!$T:$T&lt;&gt;"")),'0823 4度C'!$T:$T)</f>
        <v>0.4805555555555554</v>
      </c>
      <c r="K17" s="61">
        <f>LOOKUP(2,1/(('0823 4度C'!$A:$A="新豐8線")*('0823 4度C'!$T:$T&lt;&gt;"")),'0823 4度C'!$T:$T)</f>
        <v>0.47638888888888886</v>
      </c>
      <c r="L17" s="297">
        <f>LOOKUP(2,1/(('0823 4度C'!$A:$A="新豐9線")*('0823 4度C'!$T:$T&lt;&gt;"")),'0823 4度C'!$T:$T)</f>
        <v>0.5215277777777777</v>
      </c>
      <c r="M17" s="62">
        <f>LOOKUP(2,1/(('0823 4度C'!$A:$A="新豐4線")*('0823 4度C'!$T:$T&lt;&gt;"")),'0823 4度C'!$T:$T)</f>
        <v>0.51388888888888884</v>
      </c>
    </row>
    <row r="18" spans="2:13" ht="17.25" customHeight="1">
      <c r="B18" s="493" t="s">
        <v>91</v>
      </c>
      <c r="C18" s="494"/>
      <c r="D18" s="66">
        <f>SUMIFS('0823 4度C'!$I:$I,'0823 4度C'!$A:$A,"新豐6線",'0823 4度C'!$B:$B,"平均")</f>
        <v>17</v>
      </c>
      <c r="E18" s="67">
        <f>SUMIFS('0823 4度C'!$I:$I,'0823 4度C'!$A:$A,"新豐2線",'0823 4度C'!$B:$B,"平均")</f>
        <v>18.333333333333332</v>
      </c>
      <c r="F18" s="67">
        <f>SUMIFS('0823 4度C'!$I:$I,'0823 4度C'!$A:$A,"新豐5線",'0823 4度C'!$B:$B,"平均")</f>
        <v>19.666666666666668</v>
      </c>
      <c r="G18" s="67">
        <f>SUMIFS('0823 4度C'!$I:$I,'0823 4度C'!$A:$A,"新豐7線",'0823 4度C'!$B:$B,"平均")</f>
        <v>17.166666666666668</v>
      </c>
      <c r="H18" s="67">
        <f>SUMIFS('0823 4度C'!$I:$I,'0823 4度C'!$A:$A,"新豐3線",'0823 4度C'!$B:$B,"平均")</f>
        <v>10</v>
      </c>
      <c r="I18" s="298">
        <f>SUMIFS('0823 4度C'!$I:$I,'0823 4度C'!$A:$A,"新豐1線",'0823 4度C'!$B:$B,"平均")</f>
        <v>16.600000000000001</v>
      </c>
      <c r="J18" s="68">
        <f>SUMIFS('0823 4度C'!$I:$I,'0823 4度C'!$A:$A,"新豐10線",'0823 4度C'!$B:$B,"平均")</f>
        <v>11.142857142857142</v>
      </c>
      <c r="K18" s="66">
        <f>SUMIFS('0823 4度C'!$I:$I,'0823 4度C'!$A:$A,"新豐8線",'0823 4度C'!$B:$B,"平均")</f>
        <v>17.399999999999999</v>
      </c>
      <c r="L18" s="298">
        <f>SUMIFS('0823 4度C'!$I:$I,'0823 4度C'!$A:$A,"新豐9線",'0823 4度C'!$B:$B,"平均")</f>
        <v>18.5</v>
      </c>
      <c r="M18" s="68">
        <f>SUMIFS('0823 4度C'!$I:$I,'0823 4度C'!$A:$A,"新豐4線",'0823 4度C'!$B:$B,"平均")</f>
        <v>17.5</v>
      </c>
    </row>
    <row r="19" spans="2:13" ht="17.25" customHeight="1">
      <c r="B19" s="495" t="s">
        <v>92</v>
      </c>
      <c r="C19" s="496"/>
      <c r="D19" s="69" t="s">
        <v>46</v>
      </c>
      <c r="E19" s="70" t="s">
        <v>47</v>
      </c>
      <c r="F19" s="70" t="s">
        <v>93</v>
      </c>
      <c r="G19" s="70" t="s">
        <v>93</v>
      </c>
      <c r="H19" s="70" t="s">
        <v>48</v>
      </c>
      <c r="I19" s="299" t="s">
        <v>46</v>
      </c>
      <c r="J19" s="71" t="s">
        <v>48</v>
      </c>
      <c r="K19" s="69" t="s">
        <v>72</v>
      </c>
      <c r="L19" s="299" t="s">
        <v>72</v>
      </c>
      <c r="M19" s="71" t="s">
        <v>72</v>
      </c>
    </row>
    <row r="20" spans="2:13" ht="17.25" customHeight="1">
      <c r="B20" s="495" t="s">
        <v>1342</v>
      </c>
      <c r="C20" s="496"/>
      <c r="D20" s="69"/>
      <c r="E20" s="70"/>
      <c r="F20" s="70" t="s">
        <v>202</v>
      </c>
      <c r="G20" s="70" t="s">
        <v>46</v>
      </c>
      <c r="H20" s="70"/>
      <c r="I20" s="299"/>
      <c r="J20" s="71"/>
      <c r="K20" s="69"/>
      <c r="L20" s="299"/>
      <c r="M20" s="71"/>
    </row>
    <row r="21" spans="2:13" ht="17.25" customHeight="1" thickBot="1">
      <c r="B21" s="497" t="s">
        <v>94</v>
      </c>
      <c r="C21" s="498"/>
      <c r="D21" s="72"/>
      <c r="E21" s="73" t="s">
        <v>204</v>
      </c>
      <c r="F21" s="499" t="s">
        <v>205</v>
      </c>
      <c r="G21" s="500"/>
      <c r="H21" s="73" t="s">
        <v>1343</v>
      </c>
      <c r="I21" s="300" t="s">
        <v>152</v>
      </c>
      <c r="J21" s="74" t="s">
        <v>206</v>
      </c>
      <c r="K21" s="75"/>
      <c r="L21" s="300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1308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">
    <pageSetUpPr fitToPage="1"/>
  </sheetPr>
  <dimension ref="A1:AC66"/>
  <sheetViews>
    <sheetView zoomScale="80" zoomScaleNormal="80" workbookViewId="0">
      <pane ySplit="4" topLeftCell="A43" activePane="bottomLeft" state="frozen"/>
      <selection activeCell="C31" sqref="C31:D31"/>
      <selection pane="bottomLeft" activeCell="C51" sqref="C51:D51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1344</v>
      </c>
      <c r="B1" s="1"/>
      <c r="C1" s="2" t="s">
        <v>1345</v>
      </c>
      <c r="D1" s="3">
        <f>SUM(F5:F65)</f>
        <v>140531</v>
      </c>
      <c r="E1" s="365" t="s">
        <v>1346</v>
      </c>
      <c r="F1" s="1">
        <f>SUM(G5:G65)</f>
        <v>5147138.6600000011</v>
      </c>
      <c r="G1" s="1" t="s">
        <v>1347</v>
      </c>
      <c r="H1" s="4">
        <f>L8+L12+L44+L50+L16+L58+L29+L36+L23+L65</f>
        <v>163.3095238095238</v>
      </c>
      <c r="I1" s="572" t="s">
        <v>1348</v>
      </c>
      <c r="J1" s="572"/>
      <c r="K1" s="572"/>
      <c r="L1" s="572" t="s">
        <v>1349</v>
      </c>
      <c r="M1" s="572"/>
      <c r="N1" s="572"/>
      <c r="O1" s="572" t="s">
        <v>1350</v>
      </c>
      <c r="P1" s="572"/>
      <c r="Q1" s="572"/>
      <c r="R1" s="572"/>
      <c r="S1" s="572" t="s">
        <v>1351</v>
      </c>
      <c r="T1" s="572"/>
      <c r="U1" s="572"/>
      <c r="V1" s="572"/>
      <c r="W1" s="572"/>
      <c r="X1" s="572"/>
      <c r="Y1" s="572" t="s">
        <v>1352</v>
      </c>
      <c r="Z1" s="572"/>
      <c r="AA1" s="572" t="s">
        <v>1353</v>
      </c>
      <c r="AB1" s="573"/>
      <c r="AC1" s="573"/>
    </row>
    <row r="2" spans="1:29" ht="26.25" customHeight="1">
      <c r="A2" s="22">
        <v>45892</v>
      </c>
      <c r="B2" s="23" t="s">
        <v>213</v>
      </c>
      <c r="C2" s="2" t="s">
        <v>1354</v>
      </c>
      <c r="D2" s="6">
        <f>AVERAGE(N8,N12,N44,N50,N16,N58,N23,N29,N36,N65)</f>
        <v>136.48213561454239</v>
      </c>
      <c r="E2" s="7" t="s">
        <v>0</v>
      </c>
      <c r="F2" s="8">
        <f>F1/D1</f>
        <v>36.62635760081406</v>
      </c>
      <c r="G2" s="1" t="s">
        <v>1355</v>
      </c>
      <c r="H2" s="364">
        <f>COUNT(H5:H65)</f>
        <v>0</v>
      </c>
      <c r="I2" s="572"/>
      <c r="J2" s="572"/>
      <c r="K2" s="572"/>
      <c r="L2" s="572"/>
      <c r="M2" s="572"/>
      <c r="N2" s="572"/>
      <c r="O2" s="572"/>
      <c r="P2" s="572"/>
      <c r="Q2" s="572"/>
      <c r="R2" s="572"/>
      <c r="S2" s="572"/>
      <c r="T2" s="572"/>
      <c r="U2" s="572"/>
      <c r="V2" s="572"/>
      <c r="W2" s="572"/>
      <c r="X2" s="572"/>
      <c r="Y2" s="572"/>
      <c r="Z2" s="572"/>
      <c r="AA2" s="573"/>
      <c r="AB2" s="573"/>
      <c r="AC2" s="573"/>
    </row>
    <row r="3" spans="1:29" ht="23.25" customHeight="1">
      <c r="A3" s="528" t="s">
        <v>1356</v>
      </c>
      <c r="B3" s="528" t="s">
        <v>1357</v>
      </c>
      <c r="C3" s="528" t="s">
        <v>1358</v>
      </c>
      <c r="D3" s="528"/>
      <c r="E3" s="570" t="s">
        <v>1359</v>
      </c>
      <c r="F3" s="528" t="s">
        <v>1360</v>
      </c>
      <c r="G3" s="570" t="s">
        <v>1361</v>
      </c>
      <c r="H3" s="563" t="s">
        <v>1362</v>
      </c>
      <c r="I3" s="561" t="s">
        <v>1363</v>
      </c>
      <c r="J3" s="566" t="s">
        <v>1364</v>
      </c>
      <c r="K3" s="568" t="s">
        <v>1354</v>
      </c>
      <c r="L3" s="561" t="s">
        <v>1363</v>
      </c>
      <c r="M3" s="566" t="s">
        <v>1364</v>
      </c>
      <c r="N3" s="568" t="s">
        <v>1354</v>
      </c>
      <c r="O3" s="561" t="s">
        <v>1363</v>
      </c>
      <c r="P3" s="568" t="s">
        <v>1354</v>
      </c>
      <c r="Q3" s="567" t="s">
        <v>1365</v>
      </c>
      <c r="R3" s="542" t="s">
        <v>1366</v>
      </c>
      <c r="S3" s="569" t="s">
        <v>1</v>
      </c>
      <c r="T3" s="569"/>
      <c r="U3" s="563" t="s">
        <v>2</v>
      </c>
      <c r="V3" s="563" t="s">
        <v>1367</v>
      </c>
      <c r="W3" s="528" t="s">
        <v>1368</v>
      </c>
      <c r="X3" s="528"/>
      <c r="Y3" s="564" t="s">
        <v>1369</v>
      </c>
      <c r="Z3" s="565"/>
      <c r="AA3" s="566" t="s">
        <v>1364</v>
      </c>
      <c r="AB3" s="567" t="s">
        <v>1365</v>
      </c>
      <c r="AC3" s="542" t="s">
        <v>1366</v>
      </c>
    </row>
    <row r="4" spans="1:29">
      <c r="A4" s="528"/>
      <c r="B4" s="528"/>
      <c r="C4" s="528"/>
      <c r="D4" s="528"/>
      <c r="E4" s="571"/>
      <c r="F4" s="528"/>
      <c r="G4" s="571"/>
      <c r="H4" s="563"/>
      <c r="I4" s="561"/>
      <c r="J4" s="566"/>
      <c r="K4" s="568"/>
      <c r="L4" s="561"/>
      <c r="M4" s="566"/>
      <c r="N4" s="568"/>
      <c r="O4" s="561"/>
      <c r="P4" s="568"/>
      <c r="Q4" s="567"/>
      <c r="R4" s="542"/>
      <c r="S4" s="361" t="s">
        <v>3</v>
      </c>
      <c r="T4" s="361" t="s">
        <v>4</v>
      </c>
      <c r="U4" s="563"/>
      <c r="V4" s="563"/>
      <c r="W4" s="365" t="s">
        <v>1370</v>
      </c>
      <c r="X4" s="365" t="s">
        <v>1371</v>
      </c>
      <c r="Y4" s="565"/>
      <c r="Z4" s="565"/>
      <c r="AA4" s="566"/>
      <c r="AB4" s="567"/>
      <c r="AC4" s="542"/>
    </row>
    <row r="5" spans="1:29">
      <c r="A5" s="560" t="s">
        <v>1372</v>
      </c>
      <c r="B5" s="26" t="s">
        <v>13</v>
      </c>
      <c r="C5" s="562" t="s">
        <v>53</v>
      </c>
      <c r="D5" s="562"/>
      <c r="E5" s="26">
        <v>46.93</v>
      </c>
      <c r="F5" s="361">
        <v>989</v>
      </c>
      <c r="G5" s="365">
        <f>E5*F5</f>
        <v>46413.77</v>
      </c>
      <c r="H5" s="362" t="s">
        <v>52</v>
      </c>
      <c r="I5" s="363">
        <v>17</v>
      </c>
      <c r="J5" s="18">
        <v>2000</v>
      </c>
      <c r="K5" s="9">
        <f>J5/I5</f>
        <v>117.64705882352941</v>
      </c>
      <c r="L5" s="363">
        <v>17</v>
      </c>
      <c r="M5" s="10">
        <f>F5/V5*60</f>
        <v>1914.1935483870936</v>
      </c>
      <c r="N5" s="9">
        <f>M5/L5</f>
        <v>112.59962049335844</v>
      </c>
      <c r="O5" s="11">
        <f t="shared" ref="O5:O7" si="0">L5-I5</f>
        <v>0</v>
      </c>
      <c r="P5" s="12">
        <f t="shared" ref="P5:P7" si="1">N5-K5</f>
        <v>-5.0474383301709622</v>
      </c>
      <c r="Q5" s="367">
        <f>N5/K5</f>
        <v>0.95709677419354677</v>
      </c>
      <c r="R5" s="533">
        <f>Q8</f>
        <v>0.93978983382209214</v>
      </c>
      <c r="S5" s="24">
        <v>0.70833333333333337</v>
      </c>
      <c r="T5" s="24">
        <v>0.72986111111111118</v>
      </c>
      <c r="U5" s="365"/>
      <c r="V5" s="366">
        <f>(T5-S5)*24*60</f>
        <v>31.00000000000005</v>
      </c>
      <c r="W5" s="14"/>
      <c r="X5" s="13"/>
      <c r="Y5" s="528"/>
      <c r="Z5" s="528"/>
      <c r="AA5" s="11">
        <f t="shared" ref="AA5:AA65" si="2">M5-J5</f>
        <v>-85.806451612906358</v>
      </c>
      <c r="AB5" s="367">
        <f t="shared" ref="AB5:AB7" si="3">M5/J5</f>
        <v>0.95709677419354677</v>
      </c>
      <c r="AC5" s="533">
        <f>AB8</f>
        <v>0.93978983382209202</v>
      </c>
    </row>
    <row r="6" spans="1:29">
      <c r="A6" s="561" t="s">
        <v>1373</v>
      </c>
      <c r="B6" s="26" t="s">
        <v>13</v>
      </c>
      <c r="C6" s="562" t="s">
        <v>55</v>
      </c>
      <c r="D6" s="562"/>
      <c r="E6" s="26">
        <v>50.49</v>
      </c>
      <c r="F6" s="361">
        <v>2051</v>
      </c>
      <c r="G6" s="365">
        <f t="shared" ref="G6:G7" si="4">E6*F6</f>
        <v>103554.99</v>
      </c>
      <c r="H6" s="362" t="s">
        <v>52</v>
      </c>
      <c r="I6" s="363">
        <v>16</v>
      </c>
      <c r="J6" s="18">
        <v>2000</v>
      </c>
      <c r="K6" s="9">
        <f t="shared" ref="K6:K7" si="5">J6/I6</f>
        <v>125</v>
      </c>
      <c r="L6" s="363">
        <v>16</v>
      </c>
      <c r="M6" s="10">
        <f>F6/V6*60</f>
        <v>1864.5454545454566</v>
      </c>
      <c r="N6" s="9">
        <f t="shared" ref="N6:N7" si="6">M6/L6</f>
        <v>116.53409090909103</v>
      </c>
      <c r="O6" s="11">
        <f t="shared" si="0"/>
        <v>0</v>
      </c>
      <c r="P6" s="12">
        <f t="shared" si="1"/>
        <v>-8.4659090909089656</v>
      </c>
      <c r="Q6" s="367">
        <f t="shared" ref="Q6:Q7" si="7">N6/K6</f>
        <v>0.93227272727272825</v>
      </c>
      <c r="R6" s="533"/>
      <c r="S6" s="24">
        <v>0.73541666666666672</v>
      </c>
      <c r="T6" s="24">
        <v>0.78125</v>
      </c>
      <c r="U6" s="365">
        <f>(S6-T5)*24*60</f>
        <v>7.9999999999999716</v>
      </c>
      <c r="V6" s="366">
        <f>(T6-S6)*24*60</f>
        <v>65.999999999999929</v>
      </c>
      <c r="W6" s="14"/>
      <c r="X6" s="14"/>
      <c r="Y6" s="528"/>
      <c r="Z6" s="528"/>
      <c r="AA6" s="11">
        <f t="shared" si="2"/>
        <v>-135.45454545454345</v>
      </c>
      <c r="AB6" s="367">
        <f t="shared" si="3"/>
        <v>0.93227272727272825</v>
      </c>
      <c r="AC6" s="533"/>
    </row>
    <row r="7" spans="1:29">
      <c r="A7" s="561" t="s">
        <v>1373</v>
      </c>
      <c r="B7" s="26" t="s">
        <v>13</v>
      </c>
      <c r="C7" s="558" t="s">
        <v>76</v>
      </c>
      <c r="D7" s="559"/>
      <c r="E7" s="26">
        <v>50.67</v>
      </c>
      <c r="F7" s="361">
        <v>1953</v>
      </c>
      <c r="G7" s="365">
        <f t="shared" si="4"/>
        <v>98958.510000000009</v>
      </c>
      <c r="H7" s="362" t="s">
        <v>52</v>
      </c>
      <c r="I7" s="363">
        <v>18</v>
      </c>
      <c r="J7" s="18">
        <v>2000</v>
      </c>
      <c r="K7" s="9">
        <f t="shared" si="5"/>
        <v>111.11111111111111</v>
      </c>
      <c r="L7" s="363">
        <v>18</v>
      </c>
      <c r="M7" s="10">
        <f t="shared" ref="M7" si="8">F7/V7*60</f>
        <v>1860.0000000000018</v>
      </c>
      <c r="N7" s="9">
        <f t="shared" si="6"/>
        <v>103.33333333333343</v>
      </c>
      <c r="O7" s="11">
        <f t="shared" si="0"/>
        <v>0</v>
      </c>
      <c r="P7" s="12">
        <f t="shared" si="1"/>
        <v>-7.7777777777776862</v>
      </c>
      <c r="Q7" s="367">
        <f t="shared" si="7"/>
        <v>0.93000000000000083</v>
      </c>
      <c r="R7" s="533"/>
      <c r="S7" s="24">
        <v>0.78472222222222221</v>
      </c>
      <c r="T7" s="24">
        <v>0.82847222222222217</v>
      </c>
      <c r="U7" s="365">
        <f t="shared" ref="U7" si="9">(S7-T6)*24*60</f>
        <v>4.9999999999999822</v>
      </c>
      <c r="V7" s="366">
        <f t="shared" ref="V7" si="10">(T7-S7)*24*60</f>
        <v>62.999999999999936</v>
      </c>
      <c r="W7" s="14"/>
      <c r="X7" s="14"/>
      <c r="Y7" s="536"/>
      <c r="Z7" s="537"/>
      <c r="AA7" s="11">
        <f t="shared" si="2"/>
        <v>-139.99999999999818</v>
      </c>
      <c r="AB7" s="367">
        <f t="shared" si="3"/>
        <v>0.93000000000000094</v>
      </c>
      <c r="AC7" s="533"/>
    </row>
    <row r="8" spans="1:29">
      <c r="A8" s="561" t="s">
        <v>1373</v>
      </c>
      <c r="B8" s="26" t="s">
        <v>1374</v>
      </c>
      <c r="C8" s="530"/>
      <c r="D8" s="530"/>
      <c r="E8" s="370"/>
      <c r="F8" s="16"/>
      <c r="G8" s="9"/>
      <c r="H8" s="361"/>
      <c r="I8" s="17">
        <v>17</v>
      </c>
      <c r="J8" s="18">
        <v>2000</v>
      </c>
      <c r="K8" s="9">
        <f>J8/I8</f>
        <v>117.64705882352941</v>
      </c>
      <c r="L8" s="17">
        <v>17</v>
      </c>
      <c r="M8" s="10">
        <f>AVERAGE(M5:M7)</f>
        <v>1879.5796676441842</v>
      </c>
      <c r="N8" s="9">
        <f>M8/L8</f>
        <v>110.5635098614226</v>
      </c>
      <c r="O8" s="11">
        <f>L8-I8</f>
        <v>0</v>
      </c>
      <c r="P8" s="12">
        <f>N8-K8</f>
        <v>-7.0835489621068035</v>
      </c>
      <c r="Q8" s="367">
        <f>N8/K8</f>
        <v>0.93978983382209214</v>
      </c>
      <c r="R8" s="533"/>
      <c r="S8" s="24"/>
      <c r="T8" s="24"/>
      <c r="U8" s="365"/>
      <c r="V8" s="366"/>
      <c r="W8" s="9"/>
      <c r="X8" s="9"/>
      <c r="Y8" s="528"/>
      <c r="Z8" s="528"/>
      <c r="AA8" s="11">
        <f t="shared" si="2"/>
        <v>-120.42033235581584</v>
      </c>
      <c r="AB8" s="367">
        <f>M8/J8</f>
        <v>0.93978983382209202</v>
      </c>
      <c r="AC8" s="533"/>
    </row>
    <row r="9" spans="1:29" ht="15.75" customHeight="1">
      <c r="A9" s="531" t="s">
        <v>369</v>
      </c>
      <c r="B9" s="26" t="s">
        <v>15</v>
      </c>
      <c r="C9" s="558" t="s">
        <v>16</v>
      </c>
      <c r="D9" s="559"/>
      <c r="E9" s="26">
        <v>39.619999999999997</v>
      </c>
      <c r="F9" s="361">
        <v>3855</v>
      </c>
      <c r="G9" s="365">
        <f t="shared" ref="G9:G11" si="11">E9*F9</f>
        <v>152735.09999999998</v>
      </c>
      <c r="H9" s="362" t="s">
        <v>52</v>
      </c>
      <c r="I9" s="363">
        <v>19</v>
      </c>
      <c r="J9" s="18">
        <v>1500</v>
      </c>
      <c r="K9" s="9">
        <f t="shared" ref="K9:K11" si="12">J9/I9</f>
        <v>78.94736842105263</v>
      </c>
      <c r="L9" s="363">
        <v>19</v>
      </c>
      <c r="M9" s="10">
        <f t="shared" ref="M9:M11" si="13">F9/V9*60</f>
        <v>1393.373493975904</v>
      </c>
      <c r="N9" s="9">
        <f t="shared" ref="N9:N11" si="14">M9/L9</f>
        <v>73.335447051363374</v>
      </c>
      <c r="O9" s="11">
        <f t="shared" ref="O9:O11" si="15">L9-I9</f>
        <v>0</v>
      </c>
      <c r="P9" s="12">
        <f>N9-K9</f>
        <v>-5.6119213696892558</v>
      </c>
      <c r="Q9" s="367">
        <f>N9/K9</f>
        <v>0.92891566265060277</v>
      </c>
      <c r="R9" s="533">
        <f>Q12</f>
        <v>0.92960531644213662</v>
      </c>
      <c r="S9" s="24">
        <v>0.125</v>
      </c>
      <c r="T9" s="24">
        <v>0.24027777777777776</v>
      </c>
      <c r="U9" s="365"/>
      <c r="V9" s="366">
        <f t="shared" ref="V9:V11" si="16">(T9-S9)*24*60</f>
        <v>165.99999999999997</v>
      </c>
      <c r="W9" s="14">
        <f>T9</f>
        <v>0.24027777777777776</v>
      </c>
      <c r="X9" s="14">
        <f>S10</f>
        <v>0.2583333333333333</v>
      </c>
      <c r="Y9" s="528"/>
      <c r="Z9" s="528"/>
      <c r="AA9" s="11">
        <f t="shared" si="2"/>
        <v>-106.62650602409599</v>
      </c>
      <c r="AB9" s="367">
        <f>M9/J9</f>
        <v>0.92891566265060266</v>
      </c>
      <c r="AC9" s="533">
        <f>AB12</f>
        <v>0.92960531644213673</v>
      </c>
    </row>
    <row r="10" spans="1:29" ht="15.75" customHeight="1">
      <c r="A10" s="531" t="s">
        <v>369</v>
      </c>
      <c r="B10" s="26" t="s">
        <v>15</v>
      </c>
      <c r="C10" s="558" t="s">
        <v>17</v>
      </c>
      <c r="D10" s="559"/>
      <c r="E10" s="26">
        <v>39.799999999999997</v>
      </c>
      <c r="F10" s="361">
        <v>5242</v>
      </c>
      <c r="G10" s="365">
        <f t="shared" si="11"/>
        <v>208631.59999999998</v>
      </c>
      <c r="H10" s="362" t="s">
        <v>52</v>
      </c>
      <c r="I10" s="363">
        <v>17</v>
      </c>
      <c r="J10" s="18">
        <v>1500</v>
      </c>
      <c r="K10" s="9">
        <f t="shared" si="12"/>
        <v>88.235294117647058</v>
      </c>
      <c r="L10" s="363">
        <v>17</v>
      </c>
      <c r="M10" s="10">
        <f t="shared" si="13"/>
        <v>1391.6814159292037</v>
      </c>
      <c r="N10" s="9">
        <f t="shared" si="14"/>
        <v>81.863612701717869</v>
      </c>
      <c r="O10" s="11">
        <f t="shared" si="15"/>
        <v>0</v>
      </c>
      <c r="P10" s="12">
        <f t="shared" ref="P10:P11" si="17">N10-K10</f>
        <v>-6.3716814159291886</v>
      </c>
      <c r="Q10" s="367">
        <f t="shared" ref="Q10:Q11" si="18">N10/K10</f>
        <v>0.92778761061946924</v>
      </c>
      <c r="R10" s="533"/>
      <c r="S10" s="24">
        <v>0.2583333333333333</v>
      </c>
      <c r="T10" s="24">
        <v>0.41527777777777775</v>
      </c>
      <c r="U10" s="365">
        <f>(S10-T9)*24*60</f>
        <v>25.999999999999986</v>
      </c>
      <c r="V10" s="366">
        <f t="shared" si="16"/>
        <v>226</v>
      </c>
      <c r="W10" s="14"/>
      <c r="X10" s="14"/>
      <c r="Y10" s="528"/>
      <c r="Z10" s="528"/>
      <c r="AA10" s="11">
        <f t="shared" si="2"/>
        <v>-108.31858407079631</v>
      </c>
      <c r="AB10" s="367">
        <f t="shared" ref="AB10:AB23" si="19">M10/J10</f>
        <v>0.92778761061946913</v>
      </c>
      <c r="AC10" s="533"/>
    </row>
    <row r="11" spans="1:29" ht="15.75" customHeight="1">
      <c r="A11" s="531" t="s">
        <v>369</v>
      </c>
      <c r="B11" s="26" t="s">
        <v>15</v>
      </c>
      <c r="C11" s="558" t="s">
        <v>80</v>
      </c>
      <c r="D11" s="559"/>
      <c r="E11" s="26">
        <v>39.29</v>
      </c>
      <c r="F11" s="361">
        <v>3309</v>
      </c>
      <c r="G11" s="365">
        <f t="shared" si="11"/>
        <v>130010.61</v>
      </c>
      <c r="H11" s="362" t="s">
        <v>52</v>
      </c>
      <c r="I11" s="363">
        <v>19</v>
      </c>
      <c r="J11" s="18">
        <v>1500</v>
      </c>
      <c r="K11" s="9">
        <f t="shared" si="12"/>
        <v>78.94736842105263</v>
      </c>
      <c r="L11" s="363">
        <v>19</v>
      </c>
      <c r="M11" s="10">
        <f t="shared" si="13"/>
        <v>1398.1690140845074</v>
      </c>
      <c r="N11" s="9">
        <f t="shared" si="14"/>
        <v>73.587842846553016</v>
      </c>
      <c r="O11" s="11">
        <f t="shared" si="15"/>
        <v>0</v>
      </c>
      <c r="P11" s="12">
        <f t="shared" si="17"/>
        <v>-5.3595255744996138</v>
      </c>
      <c r="Q11" s="367">
        <f t="shared" si="18"/>
        <v>0.93211267605633819</v>
      </c>
      <c r="R11" s="533"/>
      <c r="S11" s="24">
        <v>0.4194444444444444</v>
      </c>
      <c r="T11" s="24">
        <v>0.51805555555555549</v>
      </c>
      <c r="U11" s="365">
        <f t="shared" ref="U11" si="20">(S11-T10)*24*60</f>
        <v>5.9999999999999787</v>
      </c>
      <c r="V11" s="366">
        <f t="shared" si="16"/>
        <v>141.99999999999997</v>
      </c>
      <c r="W11" s="14"/>
      <c r="X11" s="14"/>
      <c r="Y11" s="528"/>
      <c r="Z11" s="528"/>
      <c r="AA11" s="11">
        <f t="shared" si="2"/>
        <v>-101.83098591549265</v>
      </c>
      <c r="AB11" s="367">
        <f t="shared" si="19"/>
        <v>0.93211267605633819</v>
      </c>
      <c r="AC11" s="533"/>
    </row>
    <row r="12" spans="1:29" ht="16.5" customHeight="1">
      <c r="A12" s="531" t="s">
        <v>369</v>
      </c>
      <c r="B12" s="26" t="s">
        <v>82</v>
      </c>
      <c r="C12" s="530"/>
      <c r="D12" s="530"/>
      <c r="E12" s="370"/>
      <c r="F12" s="18"/>
      <c r="G12" s="10"/>
      <c r="H12" s="361"/>
      <c r="I12" s="17">
        <v>18.333333333333332</v>
      </c>
      <c r="J12" s="18">
        <v>1500</v>
      </c>
      <c r="K12" s="9">
        <f>J12/I12</f>
        <v>81.818181818181827</v>
      </c>
      <c r="L12" s="17">
        <v>18.333333333333332</v>
      </c>
      <c r="M12" s="10">
        <f>AVERAGE(M9:M11)</f>
        <v>1394.4079746632051</v>
      </c>
      <c r="N12" s="9">
        <f>M12/L12</f>
        <v>76.05861679981119</v>
      </c>
      <c r="O12" s="11">
        <f>L12-I12</f>
        <v>0</v>
      </c>
      <c r="P12" s="12">
        <f>N12-K12</f>
        <v>-5.7595650183706368</v>
      </c>
      <c r="Q12" s="367">
        <f>N12/K12</f>
        <v>0.92960531644213662</v>
      </c>
      <c r="R12" s="533"/>
      <c r="S12" s="24"/>
      <c r="T12" s="24"/>
      <c r="U12" s="9"/>
      <c r="V12" s="366"/>
      <c r="W12" s="9"/>
      <c r="X12" s="9"/>
      <c r="Y12" s="528"/>
      <c r="Z12" s="528"/>
      <c r="AA12" s="11">
        <f t="shared" si="2"/>
        <v>-105.5920253367949</v>
      </c>
      <c r="AB12" s="367">
        <f t="shared" si="19"/>
        <v>0.92960531644213673</v>
      </c>
      <c r="AC12" s="533"/>
    </row>
    <row r="13" spans="1:29" ht="16.5" customHeight="1">
      <c r="A13" s="556" t="s">
        <v>1375</v>
      </c>
      <c r="B13" s="361" t="s">
        <v>21</v>
      </c>
      <c r="C13" s="552" t="s">
        <v>19</v>
      </c>
      <c r="D13" s="552"/>
      <c r="E13" s="26">
        <v>41</v>
      </c>
      <c r="F13" s="361">
        <v>1693</v>
      </c>
      <c r="G13" s="365">
        <f t="shared" ref="G13:G15" si="21">E13*F13</f>
        <v>69413</v>
      </c>
      <c r="H13" s="362" t="s">
        <v>52</v>
      </c>
      <c r="I13" s="363">
        <v>26</v>
      </c>
      <c r="J13" s="18">
        <v>1500</v>
      </c>
      <c r="K13" s="9">
        <f>J13/I13</f>
        <v>57.692307692307693</v>
      </c>
      <c r="L13" s="363">
        <v>26</v>
      </c>
      <c r="M13" s="10">
        <f>F13/V13*60</f>
        <v>1391.5068493150688</v>
      </c>
      <c r="N13" s="9">
        <f t="shared" ref="N13:N22" si="22">M13/L13</f>
        <v>53.519494204425726</v>
      </c>
      <c r="O13" s="11">
        <f t="shared" ref="O13" si="23">L13-I13</f>
        <v>0</v>
      </c>
      <c r="P13" s="12">
        <f t="shared" ref="P13" si="24">N13-K13</f>
        <v>-4.1728134878819674</v>
      </c>
      <c r="Q13" s="367">
        <f>N13/K13</f>
        <v>0.9276712328767126</v>
      </c>
      <c r="R13" s="533">
        <f>Q16</f>
        <v>0.93087762491096848</v>
      </c>
      <c r="S13" s="24">
        <v>0.25</v>
      </c>
      <c r="T13" s="24">
        <v>0.30069444444444443</v>
      </c>
      <c r="U13" s="365"/>
      <c r="V13" s="366">
        <f>(T13-S13)*24*60</f>
        <v>72.999999999999986</v>
      </c>
      <c r="W13" s="15"/>
      <c r="X13" s="15"/>
      <c r="Y13" s="528"/>
      <c r="Z13" s="528"/>
      <c r="AA13" s="11">
        <f t="shared" si="2"/>
        <v>-108.49315068493115</v>
      </c>
      <c r="AB13" s="367">
        <f t="shared" si="19"/>
        <v>0.9276712328767126</v>
      </c>
      <c r="AC13" s="533">
        <f>AB16</f>
        <v>0.93087762491096859</v>
      </c>
    </row>
    <row r="14" spans="1:29" ht="16.5" customHeight="1">
      <c r="A14" s="557" t="s">
        <v>1376</v>
      </c>
      <c r="B14" s="361" t="s">
        <v>13</v>
      </c>
      <c r="C14" s="552" t="s">
        <v>57</v>
      </c>
      <c r="D14" s="552"/>
      <c r="E14" s="26">
        <v>50.98</v>
      </c>
      <c r="F14" s="361">
        <v>2546</v>
      </c>
      <c r="G14" s="365">
        <f t="shared" si="21"/>
        <v>129795.07999999999</v>
      </c>
      <c r="H14" s="362" t="s">
        <v>52</v>
      </c>
      <c r="I14" s="363">
        <v>17</v>
      </c>
      <c r="J14" s="18">
        <v>2000</v>
      </c>
      <c r="K14" s="9">
        <f>J14/I14</f>
        <v>117.64705882352941</v>
      </c>
      <c r="L14" s="363">
        <v>17</v>
      </c>
      <c r="M14" s="10">
        <f>F14/V14*60</f>
        <v>1862.9268292682918</v>
      </c>
      <c r="N14" s="9">
        <f t="shared" si="22"/>
        <v>109.58393113342893</v>
      </c>
      <c r="O14" s="11">
        <f>L14-I14</f>
        <v>0</v>
      </c>
      <c r="P14" s="12">
        <f>N14-K14</f>
        <v>-8.0631276901004725</v>
      </c>
      <c r="Q14" s="367">
        <f>N14/K14</f>
        <v>0.93146341463414595</v>
      </c>
      <c r="R14" s="533"/>
      <c r="S14" s="24">
        <v>0.70833333333333337</v>
      </c>
      <c r="T14" s="24">
        <v>0.76527777777777783</v>
      </c>
      <c r="U14" s="365" t="str">
        <f>IF(S14=TIME(17,0,0),"",(S14-T13)*24*60)</f>
        <v/>
      </c>
      <c r="V14" s="366">
        <f>(T14-S14)*24*60</f>
        <v>82.000000000000028</v>
      </c>
      <c r="W14" s="14"/>
      <c r="X14" s="14"/>
      <c r="Y14" s="528"/>
      <c r="Z14" s="528"/>
      <c r="AA14" s="11">
        <f t="shared" si="2"/>
        <v>-137.07317073170816</v>
      </c>
      <c r="AB14" s="367">
        <f t="shared" si="19"/>
        <v>0.93146341463414595</v>
      </c>
      <c r="AC14" s="533"/>
    </row>
    <row r="15" spans="1:29" ht="16.5" customHeight="1">
      <c r="A15" s="557" t="s">
        <v>1375</v>
      </c>
      <c r="B15" s="361" t="s">
        <v>13</v>
      </c>
      <c r="C15" s="552" t="s">
        <v>54</v>
      </c>
      <c r="D15" s="552"/>
      <c r="E15" s="26">
        <v>50.92</v>
      </c>
      <c r="F15" s="361">
        <v>2767</v>
      </c>
      <c r="G15" s="365">
        <f t="shared" si="21"/>
        <v>140895.64000000001</v>
      </c>
      <c r="H15" s="362" t="s">
        <v>52</v>
      </c>
      <c r="I15" s="363">
        <v>16</v>
      </c>
      <c r="J15" s="18">
        <v>2000</v>
      </c>
      <c r="K15" s="9">
        <f t="shared" ref="K15" si="25">J15/I15</f>
        <v>125</v>
      </c>
      <c r="L15" s="363">
        <v>16</v>
      </c>
      <c r="M15" s="10">
        <f t="shared" ref="M15" si="26">F15/V15*60</f>
        <v>1865.3932584269662</v>
      </c>
      <c r="N15" s="9">
        <f t="shared" si="22"/>
        <v>116.58707865168539</v>
      </c>
      <c r="O15" s="11">
        <f t="shared" ref="O15" si="27">L15-I15</f>
        <v>0</v>
      </c>
      <c r="P15" s="12">
        <f t="shared" ref="P15" si="28">N15-K15</f>
        <v>-8.4129213483146117</v>
      </c>
      <c r="Q15" s="367">
        <f t="shared" ref="Q15:Q22" si="29">N15/K15</f>
        <v>0.93269662921348306</v>
      </c>
      <c r="R15" s="533"/>
      <c r="S15" s="24">
        <v>0.77083333333333337</v>
      </c>
      <c r="T15" s="24">
        <v>0.83263888888888893</v>
      </c>
      <c r="U15" s="365">
        <f t="shared" ref="U15" si="30">IF(S15=TIME(17,0,0),"",(S15-T14)*24*60)</f>
        <v>7.9999999999999716</v>
      </c>
      <c r="V15" s="366">
        <f t="shared" ref="V15" si="31">(T15-S15)*24*60</f>
        <v>89</v>
      </c>
      <c r="W15" s="14"/>
      <c r="X15" s="14"/>
      <c r="Y15" s="528"/>
      <c r="Z15" s="528"/>
      <c r="AA15" s="11">
        <f t="shared" si="2"/>
        <v>-134.60674157303379</v>
      </c>
      <c r="AB15" s="367">
        <f t="shared" si="19"/>
        <v>0.93269662921348306</v>
      </c>
      <c r="AC15" s="533"/>
    </row>
    <row r="16" spans="1:29" ht="16.5" customHeight="1">
      <c r="A16" s="557" t="s">
        <v>1375</v>
      </c>
      <c r="B16" s="26" t="s">
        <v>1377</v>
      </c>
      <c r="C16" s="530"/>
      <c r="D16" s="530"/>
      <c r="E16" s="370"/>
      <c r="F16" s="16"/>
      <c r="G16" s="9"/>
      <c r="H16" s="361"/>
      <c r="I16" s="17">
        <v>19.666666666666668</v>
      </c>
      <c r="J16" s="18">
        <v>1833.3333333333333</v>
      </c>
      <c r="K16" s="9">
        <f>J16/I16</f>
        <v>93.220338983050837</v>
      </c>
      <c r="L16" s="17">
        <v>19.666666666666668</v>
      </c>
      <c r="M16" s="10">
        <f>AVERAGE(M13:M15)</f>
        <v>1706.6089790034423</v>
      </c>
      <c r="N16" s="9">
        <f t="shared" si="22"/>
        <v>86.776727745937734</v>
      </c>
      <c r="O16" s="11">
        <f>L16-I16</f>
        <v>0</v>
      </c>
      <c r="P16" s="12">
        <f>N16-K16</f>
        <v>-6.4436112371131031</v>
      </c>
      <c r="Q16" s="367">
        <f t="shared" si="29"/>
        <v>0.93087762491096848</v>
      </c>
      <c r="R16" s="533"/>
      <c r="S16" s="24"/>
      <c r="T16" s="24"/>
      <c r="U16" s="365"/>
      <c r="V16" s="366"/>
      <c r="W16" s="9"/>
      <c r="X16" s="9"/>
      <c r="Y16" s="528"/>
      <c r="Z16" s="528"/>
      <c r="AA16" s="11">
        <f t="shared" si="2"/>
        <v>-126.72435432989096</v>
      </c>
      <c r="AB16" s="367">
        <f t="shared" si="19"/>
        <v>0.93087762491096859</v>
      </c>
      <c r="AC16" s="533"/>
    </row>
    <row r="17" spans="1:29" ht="15.75" customHeight="1">
      <c r="A17" s="554" t="s">
        <v>1378</v>
      </c>
      <c r="B17" s="26" t="s">
        <v>21</v>
      </c>
      <c r="C17" s="552" t="s">
        <v>22</v>
      </c>
      <c r="D17" s="552"/>
      <c r="E17" s="26">
        <v>43.14</v>
      </c>
      <c r="F17" s="361">
        <v>1183</v>
      </c>
      <c r="G17" s="365">
        <f t="shared" ref="G17:G22" si="32">E17*F17</f>
        <v>51034.62</v>
      </c>
      <c r="H17" s="362" t="s">
        <v>52</v>
      </c>
      <c r="I17" s="363">
        <v>17</v>
      </c>
      <c r="J17" s="18">
        <v>2000</v>
      </c>
      <c r="K17" s="9">
        <f t="shared" ref="K17:K23" si="33">J17/I17</f>
        <v>117.64705882352941</v>
      </c>
      <c r="L17" s="363">
        <v>17</v>
      </c>
      <c r="M17" s="10">
        <f t="shared" ref="M17:M22" si="34">F17/V17*60</f>
        <v>1867.8947368421059</v>
      </c>
      <c r="N17" s="9">
        <f t="shared" si="22"/>
        <v>109.87616099071211</v>
      </c>
      <c r="O17" s="11">
        <f t="shared" ref="O17:O22" si="35">L17-I17</f>
        <v>0</v>
      </c>
      <c r="P17" s="12">
        <f t="shared" ref="P17:P22" si="36">N17-K17</f>
        <v>-7.7708978328172975</v>
      </c>
      <c r="Q17" s="367">
        <f t="shared" si="29"/>
        <v>0.93394736842105297</v>
      </c>
      <c r="R17" s="533">
        <f>Q23</f>
        <v>0.93941060704898438</v>
      </c>
      <c r="S17" s="24">
        <v>0.20833333333333334</v>
      </c>
      <c r="T17" s="24">
        <v>0.23472222222222222</v>
      </c>
      <c r="U17" s="365"/>
      <c r="V17" s="366">
        <f>(T17-S17)*24*60</f>
        <v>37.999999999999986</v>
      </c>
      <c r="W17" s="15"/>
      <c r="X17" s="15"/>
      <c r="Y17" s="528"/>
      <c r="Z17" s="528"/>
      <c r="AA17" s="11">
        <f t="shared" si="2"/>
        <v>-132.10526315789411</v>
      </c>
      <c r="AB17" s="367">
        <f t="shared" si="19"/>
        <v>0.93394736842105297</v>
      </c>
      <c r="AC17" s="533">
        <f>AB23</f>
        <v>0.93941060704898438</v>
      </c>
    </row>
    <row r="18" spans="1:29" ht="15.75" customHeight="1">
      <c r="A18" s="555" t="s">
        <v>1378</v>
      </c>
      <c r="B18" s="26" t="s">
        <v>13</v>
      </c>
      <c r="C18" s="552" t="s">
        <v>23</v>
      </c>
      <c r="D18" s="552"/>
      <c r="E18" s="26">
        <v>57.73</v>
      </c>
      <c r="F18" s="361">
        <v>2018</v>
      </c>
      <c r="G18" s="365">
        <f t="shared" si="32"/>
        <v>116499.14</v>
      </c>
      <c r="H18" s="362" t="s">
        <v>52</v>
      </c>
      <c r="I18" s="363">
        <v>16</v>
      </c>
      <c r="J18" s="18">
        <v>2000</v>
      </c>
      <c r="K18" s="9">
        <f t="shared" si="33"/>
        <v>125</v>
      </c>
      <c r="L18" s="363">
        <v>16</v>
      </c>
      <c r="M18" s="10">
        <f t="shared" si="34"/>
        <v>1862.7692307692316</v>
      </c>
      <c r="N18" s="9">
        <f t="shared" si="22"/>
        <v>116.42307692307698</v>
      </c>
      <c r="O18" s="11">
        <f t="shared" si="35"/>
        <v>0</v>
      </c>
      <c r="P18" s="12">
        <f t="shared" si="36"/>
        <v>-8.5769230769230234</v>
      </c>
      <c r="Q18" s="367">
        <f t="shared" si="29"/>
        <v>0.93138461538461581</v>
      </c>
      <c r="R18" s="533"/>
      <c r="S18" s="24">
        <v>0.2388888888888889</v>
      </c>
      <c r="T18" s="24">
        <v>0.28402777777777777</v>
      </c>
      <c r="U18" s="365">
        <f>IF(S18=TIME(17,0,0),"",(S18-T17)*24*60)</f>
        <v>6.0000000000000187</v>
      </c>
      <c r="V18" s="366">
        <f t="shared" ref="V18:V22" si="37">(T18-S18)*24*60</f>
        <v>64.999999999999972</v>
      </c>
      <c r="W18" s="14"/>
      <c r="X18" s="365"/>
      <c r="Y18" s="528"/>
      <c r="Z18" s="528"/>
      <c r="AA18" s="11">
        <f t="shared" si="2"/>
        <v>-137.23076923076837</v>
      </c>
      <c r="AB18" s="367">
        <f t="shared" si="19"/>
        <v>0.93138461538461581</v>
      </c>
      <c r="AC18" s="533"/>
    </row>
    <row r="19" spans="1:29" ht="15.75" customHeight="1">
      <c r="A19" s="555" t="s">
        <v>1378</v>
      </c>
      <c r="B19" s="26" t="s">
        <v>13</v>
      </c>
      <c r="C19" s="552" t="s">
        <v>14</v>
      </c>
      <c r="D19" s="552"/>
      <c r="E19" s="26">
        <v>53.68</v>
      </c>
      <c r="F19" s="361">
        <v>1442</v>
      </c>
      <c r="G19" s="365">
        <f t="shared" si="32"/>
        <v>77406.559999999998</v>
      </c>
      <c r="H19" s="362" t="s">
        <v>52</v>
      </c>
      <c r="I19" s="363">
        <v>17</v>
      </c>
      <c r="J19" s="18">
        <v>2000</v>
      </c>
      <c r="K19" s="9">
        <f t="shared" si="33"/>
        <v>117.64705882352941</v>
      </c>
      <c r="L19" s="363">
        <v>17</v>
      </c>
      <c r="M19" s="10">
        <f t="shared" si="34"/>
        <v>1880.8695652173915</v>
      </c>
      <c r="N19" s="9">
        <f t="shared" si="22"/>
        <v>110.63938618925832</v>
      </c>
      <c r="O19" s="11">
        <f t="shared" si="35"/>
        <v>0</v>
      </c>
      <c r="P19" s="12">
        <f t="shared" si="36"/>
        <v>-7.0076726342710884</v>
      </c>
      <c r="Q19" s="367">
        <f t="shared" si="29"/>
        <v>0.94043478260869573</v>
      </c>
      <c r="R19" s="533"/>
      <c r="S19" s="24">
        <v>0.28819444444444442</v>
      </c>
      <c r="T19" s="24">
        <v>0.32013888888888886</v>
      </c>
      <c r="U19" s="365">
        <f t="shared" ref="U19:U22" si="38">IF(S19=TIME(17,0,0),"",(S19-T18)*24*60)</f>
        <v>5.9999999999999787</v>
      </c>
      <c r="V19" s="366">
        <f t="shared" si="37"/>
        <v>46</v>
      </c>
      <c r="W19" s="14"/>
      <c r="X19" s="365"/>
      <c r="Y19" s="528"/>
      <c r="Z19" s="528"/>
      <c r="AA19" s="11">
        <f t="shared" si="2"/>
        <v>-119.13043478260852</v>
      </c>
      <c r="AB19" s="367">
        <f t="shared" si="19"/>
        <v>0.94043478260869573</v>
      </c>
      <c r="AC19" s="533"/>
    </row>
    <row r="20" spans="1:29" ht="15.75" customHeight="1">
      <c r="A20" s="555" t="s">
        <v>1378</v>
      </c>
      <c r="B20" s="26" t="s">
        <v>13</v>
      </c>
      <c r="C20" s="552" t="s">
        <v>81</v>
      </c>
      <c r="D20" s="552"/>
      <c r="E20" s="26">
        <v>58.17</v>
      </c>
      <c r="F20" s="361">
        <v>1722</v>
      </c>
      <c r="G20" s="365">
        <f t="shared" si="32"/>
        <v>100168.74</v>
      </c>
      <c r="H20" s="362" t="s">
        <v>52</v>
      </c>
      <c r="I20" s="363">
        <v>18</v>
      </c>
      <c r="J20" s="18">
        <v>2000</v>
      </c>
      <c r="K20" s="9">
        <f t="shared" si="33"/>
        <v>111.11111111111111</v>
      </c>
      <c r="L20" s="363">
        <v>18</v>
      </c>
      <c r="M20" s="10">
        <f t="shared" si="34"/>
        <v>1878.5454545454559</v>
      </c>
      <c r="N20" s="9">
        <f t="shared" si="22"/>
        <v>104.36363636363643</v>
      </c>
      <c r="O20" s="11">
        <f t="shared" si="35"/>
        <v>0</v>
      </c>
      <c r="P20" s="12">
        <f t="shared" si="36"/>
        <v>-6.7474747474746835</v>
      </c>
      <c r="Q20" s="367">
        <f t="shared" si="29"/>
        <v>0.93927272727272781</v>
      </c>
      <c r="R20" s="533"/>
      <c r="S20" s="24">
        <v>0.32361111111111107</v>
      </c>
      <c r="T20" s="24">
        <v>0.36180555555555549</v>
      </c>
      <c r="U20" s="365">
        <f t="shared" si="38"/>
        <v>4.9999999999999822</v>
      </c>
      <c r="V20" s="366">
        <f t="shared" si="37"/>
        <v>54.999999999999964</v>
      </c>
      <c r="W20" s="14"/>
      <c r="X20" s="365"/>
      <c r="Y20" s="528"/>
      <c r="Z20" s="528"/>
      <c r="AA20" s="11">
        <f t="shared" si="2"/>
        <v>-121.45454545454413</v>
      </c>
      <c r="AB20" s="367">
        <f t="shared" si="19"/>
        <v>0.93927272727272793</v>
      </c>
      <c r="AC20" s="533"/>
    </row>
    <row r="21" spans="1:29" ht="15.75" customHeight="1">
      <c r="A21" s="555" t="s">
        <v>1378</v>
      </c>
      <c r="B21" s="26" t="s">
        <v>13</v>
      </c>
      <c r="C21" s="552" t="s">
        <v>85</v>
      </c>
      <c r="D21" s="552"/>
      <c r="E21" s="26">
        <v>54.09</v>
      </c>
      <c r="F21" s="361">
        <v>3526</v>
      </c>
      <c r="G21" s="365">
        <f t="shared" si="32"/>
        <v>190721.34000000003</v>
      </c>
      <c r="H21" s="362" t="s">
        <v>52</v>
      </c>
      <c r="I21" s="363">
        <v>20</v>
      </c>
      <c r="J21" s="18">
        <v>2000</v>
      </c>
      <c r="K21" s="9">
        <f t="shared" si="33"/>
        <v>100</v>
      </c>
      <c r="L21" s="363">
        <v>20</v>
      </c>
      <c r="M21" s="10">
        <f t="shared" si="34"/>
        <v>1855.7894736842093</v>
      </c>
      <c r="N21" s="9">
        <f t="shared" si="22"/>
        <v>92.789473684210463</v>
      </c>
      <c r="O21" s="11">
        <f t="shared" si="35"/>
        <v>0</v>
      </c>
      <c r="P21" s="12">
        <f t="shared" si="36"/>
        <v>-7.2105263157895365</v>
      </c>
      <c r="Q21" s="367">
        <f t="shared" si="29"/>
        <v>0.92789473684210466</v>
      </c>
      <c r="R21" s="533"/>
      <c r="S21" s="24">
        <v>0.70833333333333337</v>
      </c>
      <c r="T21" s="24">
        <v>0.78750000000000009</v>
      </c>
      <c r="U21" s="365" t="str">
        <f t="shared" si="38"/>
        <v/>
      </c>
      <c r="V21" s="366">
        <f t="shared" si="37"/>
        <v>114.00000000000007</v>
      </c>
      <c r="W21" s="14"/>
      <c r="X21" s="365"/>
      <c r="Y21" s="528"/>
      <c r="Z21" s="528"/>
      <c r="AA21" s="11">
        <f t="shared" si="2"/>
        <v>-144.21052631579073</v>
      </c>
      <c r="AB21" s="367">
        <f t="shared" si="19"/>
        <v>0.92789473684210466</v>
      </c>
      <c r="AC21" s="533"/>
    </row>
    <row r="22" spans="1:29" ht="15.75" customHeight="1">
      <c r="A22" s="555" t="s">
        <v>1378</v>
      </c>
      <c r="B22" s="26" t="s">
        <v>13</v>
      </c>
      <c r="C22" s="552" t="s">
        <v>56</v>
      </c>
      <c r="D22" s="552"/>
      <c r="E22" s="26">
        <v>53.27</v>
      </c>
      <c r="F22" s="361">
        <v>546</v>
      </c>
      <c r="G22" s="365">
        <f t="shared" si="32"/>
        <v>29085.420000000002</v>
      </c>
      <c r="H22" s="362" t="s">
        <v>52</v>
      </c>
      <c r="I22" s="363">
        <v>15</v>
      </c>
      <c r="J22" s="18">
        <v>2000</v>
      </c>
      <c r="K22" s="9">
        <f t="shared" si="33"/>
        <v>133.33333333333334</v>
      </c>
      <c r="L22" s="363">
        <v>15</v>
      </c>
      <c r="M22" s="10">
        <f t="shared" si="34"/>
        <v>1927.0588235294185</v>
      </c>
      <c r="N22" s="9">
        <f t="shared" si="22"/>
        <v>128.47058823529457</v>
      </c>
      <c r="O22" s="11">
        <f t="shared" si="35"/>
        <v>0</v>
      </c>
      <c r="P22" s="12">
        <f t="shared" si="36"/>
        <v>-4.8627450980387721</v>
      </c>
      <c r="Q22" s="367">
        <f t="shared" si="29"/>
        <v>0.96352941176470919</v>
      </c>
      <c r="R22" s="533"/>
      <c r="S22" s="24">
        <v>0.79305555555555562</v>
      </c>
      <c r="T22" s="24">
        <v>0.80486111111111114</v>
      </c>
      <c r="U22" s="365">
        <f t="shared" si="38"/>
        <v>7.9999999999999716</v>
      </c>
      <c r="V22" s="366">
        <f t="shared" si="37"/>
        <v>16.99999999999994</v>
      </c>
      <c r="W22" s="14"/>
      <c r="X22" s="15"/>
      <c r="Y22" s="528"/>
      <c r="Z22" s="528"/>
      <c r="AA22" s="11">
        <f t="shared" si="2"/>
        <v>-72.941176470581468</v>
      </c>
      <c r="AB22" s="367">
        <f t="shared" si="19"/>
        <v>0.9635294117647093</v>
      </c>
      <c r="AC22" s="533"/>
    </row>
    <row r="23" spans="1:29" ht="15.75" customHeight="1">
      <c r="A23" s="555" t="s">
        <v>1378</v>
      </c>
      <c r="B23" s="26" t="s">
        <v>1377</v>
      </c>
      <c r="C23" s="530"/>
      <c r="D23" s="530"/>
      <c r="E23" s="370"/>
      <c r="F23" s="361"/>
      <c r="G23" s="365"/>
      <c r="H23" s="361"/>
      <c r="I23" s="17">
        <v>17.166666666666668</v>
      </c>
      <c r="J23" s="18">
        <v>2000</v>
      </c>
      <c r="K23" s="9">
        <f t="shared" si="33"/>
        <v>116.50485436893203</v>
      </c>
      <c r="L23" s="17">
        <v>17.166666666666668</v>
      </c>
      <c r="M23" s="10">
        <f>AVERAGE(M17:M22)</f>
        <v>1878.8212140979688</v>
      </c>
      <c r="N23" s="9">
        <f>M23/L23</f>
        <v>109.44589596687196</v>
      </c>
      <c r="O23" s="11">
        <f>L23-I23</f>
        <v>0</v>
      </c>
      <c r="P23" s="12">
        <f>N23-K23</f>
        <v>-7.0589584020600711</v>
      </c>
      <c r="Q23" s="367">
        <f>N23/K23</f>
        <v>0.93941060704898438</v>
      </c>
      <c r="R23" s="533"/>
      <c r="S23" s="24"/>
      <c r="T23" s="24"/>
      <c r="U23" s="9"/>
      <c r="V23" s="366"/>
      <c r="W23" s="9"/>
      <c r="X23" s="9"/>
      <c r="Y23" s="528"/>
      <c r="Z23" s="528"/>
      <c r="AA23" s="11">
        <f t="shared" si="2"/>
        <v>-121.17878590203122</v>
      </c>
      <c r="AB23" s="367">
        <f t="shared" si="19"/>
        <v>0.93941060704898438</v>
      </c>
      <c r="AC23" s="533"/>
    </row>
    <row r="24" spans="1:29" ht="15.75" customHeight="1">
      <c r="A24" s="553" t="s">
        <v>1379</v>
      </c>
      <c r="B24" s="26" t="s">
        <v>24</v>
      </c>
      <c r="C24" s="552" t="s">
        <v>26</v>
      </c>
      <c r="D24" s="552"/>
      <c r="E24" s="26">
        <v>26.2</v>
      </c>
      <c r="F24" s="361">
        <v>2629</v>
      </c>
      <c r="G24" s="365">
        <f t="shared" ref="G24:G28" si="39">E24*F24</f>
        <v>68879.8</v>
      </c>
      <c r="H24" s="362" t="s">
        <v>52</v>
      </c>
      <c r="I24" s="363">
        <v>20</v>
      </c>
      <c r="J24" s="18">
        <v>2400</v>
      </c>
      <c r="K24" s="9">
        <f>J24/I24</f>
        <v>120</v>
      </c>
      <c r="L24" s="363">
        <v>20</v>
      </c>
      <c r="M24" s="10">
        <f t="shared" ref="M24:M28" si="40">F24/V24*60</f>
        <v>2221.6901408450708</v>
      </c>
      <c r="N24" s="9">
        <f t="shared" ref="N24:N28" si="41">M24/L24</f>
        <v>111.08450704225353</v>
      </c>
      <c r="O24" s="11">
        <f t="shared" ref="O24:O28" si="42">L24-I24</f>
        <v>0</v>
      </c>
      <c r="P24" s="12">
        <f t="shared" ref="P24:P28" si="43">N24-K24</f>
        <v>-8.9154929577464657</v>
      </c>
      <c r="Q24" s="367">
        <f t="shared" ref="Q24:Q28" si="44">N24/K24</f>
        <v>0.92570422535211283</v>
      </c>
      <c r="R24" s="533">
        <f>Q29</f>
        <v>0.93247431196394459</v>
      </c>
      <c r="S24" s="24">
        <v>0.125</v>
      </c>
      <c r="T24" s="24">
        <v>0.17430555555555555</v>
      </c>
      <c r="U24" s="365"/>
      <c r="V24" s="366">
        <f t="shared" ref="V24:V28" si="45">(T24-S24)*24*60</f>
        <v>70.999999999999986</v>
      </c>
      <c r="W24" s="14">
        <f>T24</f>
        <v>0.17430555555555555</v>
      </c>
      <c r="X24" s="14">
        <f>S25</f>
        <v>0.19375000000000001</v>
      </c>
      <c r="Y24" s="528"/>
      <c r="Z24" s="528"/>
      <c r="AA24" s="11">
        <f t="shared" si="2"/>
        <v>-178.3098591549292</v>
      </c>
      <c r="AB24" s="367">
        <f>M24/J24</f>
        <v>0.92570422535211283</v>
      </c>
      <c r="AC24" s="533">
        <f>AB29</f>
        <v>0.93247431196394459</v>
      </c>
    </row>
    <row r="25" spans="1:29" ht="15.75" customHeight="1">
      <c r="A25" s="553" t="s">
        <v>377</v>
      </c>
      <c r="B25" s="26" t="s">
        <v>24</v>
      </c>
      <c r="C25" s="552" t="s">
        <v>79</v>
      </c>
      <c r="D25" s="552"/>
      <c r="E25" s="26">
        <v>31.29</v>
      </c>
      <c r="F25" s="361">
        <v>6168</v>
      </c>
      <c r="G25" s="365">
        <f t="shared" si="39"/>
        <v>192996.72</v>
      </c>
      <c r="H25" s="362" t="s">
        <v>52</v>
      </c>
      <c r="I25" s="363">
        <v>16</v>
      </c>
      <c r="J25" s="18">
        <v>2400</v>
      </c>
      <c r="K25" s="9">
        <f t="shared" ref="K25:K29" si="46">J25/I25</f>
        <v>150</v>
      </c>
      <c r="L25" s="363">
        <v>16</v>
      </c>
      <c r="M25" s="10">
        <f t="shared" si="40"/>
        <v>2229.397590361446</v>
      </c>
      <c r="N25" s="9">
        <f t="shared" si="41"/>
        <v>139.33734939759037</v>
      </c>
      <c r="O25" s="11">
        <f t="shared" si="42"/>
        <v>0</v>
      </c>
      <c r="P25" s="12">
        <f t="shared" si="43"/>
        <v>-10.662650602409627</v>
      </c>
      <c r="Q25" s="367">
        <f t="shared" si="44"/>
        <v>0.92891566265060244</v>
      </c>
      <c r="R25" s="533"/>
      <c r="S25" s="24">
        <v>0.19375000000000001</v>
      </c>
      <c r="T25" s="24">
        <v>0.30902777777777779</v>
      </c>
      <c r="U25" s="365">
        <f>(S25-T24)*24*60</f>
        <v>28.000000000000021</v>
      </c>
      <c r="V25" s="366">
        <f t="shared" si="45"/>
        <v>166</v>
      </c>
      <c r="W25" s="14"/>
      <c r="X25" s="14"/>
      <c r="Y25" s="528"/>
      <c r="Z25" s="528"/>
      <c r="AA25" s="11">
        <f t="shared" si="2"/>
        <v>-170.60240963855404</v>
      </c>
      <c r="AB25" s="367">
        <f t="shared" ref="AB25:AB28" si="47">M25/J25</f>
        <v>0.92891566265060244</v>
      </c>
      <c r="AC25" s="533"/>
    </row>
    <row r="26" spans="1:29" ht="15.75" customHeight="1">
      <c r="A26" s="553" t="s">
        <v>377</v>
      </c>
      <c r="B26" s="26" t="s">
        <v>24</v>
      </c>
      <c r="C26" s="552" t="s">
        <v>68</v>
      </c>
      <c r="D26" s="552"/>
      <c r="E26" s="26">
        <v>24.25</v>
      </c>
      <c r="F26" s="361">
        <v>3256</v>
      </c>
      <c r="G26" s="365">
        <f t="shared" si="39"/>
        <v>78958</v>
      </c>
      <c r="H26" s="362" t="s">
        <v>52</v>
      </c>
      <c r="I26" s="363">
        <v>18</v>
      </c>
      <c r="J26" s="18">
        <v>2400</v>
      </c>
      <c r="K26" s="9">
        <f t="shared" si="46"/>
        <v>133.33333333333334</v>
      </c>
      <c r="L26" s="363">
        <v>18</v>
      </c>
      <c r="M26" s="10">
        <f t="shared" si="40"/>
        <v>2245.5172413793098</v>
      </c>
      <c r="N26" s="9">
        <f t="shared" si="41"/>
        <v>124.7509578544061</v>
      </c>
      <c r="O26" s="11">
        <f t="shared" si="42"/>
        <v>0</v>
      </c>
      <c r="P26" s="12">
        <f t="shared" si="43"/>
        <v>-8.5823754789272471</v>
      </c>
      <c r="Q26" s="367">
        <f t="shared" si="44"/>
        <v>0.9356321839080457</v>
      </c>
      <c r="R26" s="533"/>
      <c r="S26" s="24">
        <v>0.31388888888888888</v>
      </c>
      <c r="T26" s="24">
        <v>0.37430555555555556</v>
      </c>
      <c r="U26" s="365">
        <f t="shared" ref="U26:U28" si="48">(S26-T25)*24*60</f>
        <v>6.9999999999999751</v>
      </c>
      <c r="V26" s="366">
        <f t="shared" si="45"/>
        <v>87.000000000000014</v>
      </c>
      <c r="W26" s="14"/>
      <c r="X26" s="14"/>
      <c r="Y26" s="528"/>
      <c r="Z26" s="528"/>
      <c r="AA26" s="11">
        <f t="shared" si="2"/>
        <v>-154.48275862069022</v>
      </c>
      <c r="AB26" s="367">
        <f t="shared" si="47"/>
        <v>0.9356321839080457</v>
      </c>
      <c r="AC26" s="533"/>
    </row>
    <row r="27" spans="1:29" ht="15.75" customHeight="1">
      <c r="A27" s="553" t="s">
        <v>377</v>
      </c>
      <c r="B27" s="26" t="s">
        <v>24</v>
      </c>
      <c r="C27" s="552" t="s">
        <v>328</v>
      </c>
      <c r="D27" s="552"/>
      <c r="E27" s="26">
        <v>25.98</v>
      </c>
      <c r="F27" s="361">
        <v>3540</v>
      </c>
      <c r="G27" s="365">
        <f t="shared" si="39"/>
        <v>91969.2</v>
      </c>
      <c r="H27" s="362" t="s">
        <v>52</v>
      </c>
      <c r="I27" s="363">
        <v>17</v>
      </c>
      <c r="J27" s="18">
        <v>2400</v>
      </c>
      <c r="K27" s="9">
        <f t="shared" si="46"/>
        <v>141.1764705882353</v>
      </c>
      <c r="L27" s="363">
        <v>17</v>
      </c>
      <c r="M27" s="10">
        <f t="shared" si="40"/>
        <v>2235.7894736842109</v>
      </c>
      <c r="N27" s="9">
        <f t="shared" si="41"/>
        <v>131.51702786377712</v>
      </c>
      <c r="O27" s="11">
        <f t="shared" si="42"/>
        <v>0</v>
      </c>
      <c r="P27" s="12">
        <f t="shared" si="43"/>
        <v>-9.659442724458188</v>
      </c>
      <c r="Q27" s="367">
        <f t="shared" si="44"/>
        <v>0.93157894736842117</v>
      </c>
      <c r="R27" s="533"/>
      <c r="S27" s="24">
        <v>0.37916666666666665</v>
      </c>
      <c r="T27" s="24">
        <v>0.44513888888888886</v>
      </c>
      <c r="U27" s="365">
        <f t="shared" si="48"/>
        <v>6.9999999999999751</v>
      </c>
      <c r="V27" s="366">
        <f t="shared" si="45"/>
        <v>94.999999999999986</v>
      </c>
      <c r="W27" s="14"/>
      <c r="X27" s="14"/>
      <c r="Y27" s="528"/>
      <c r="Z27" s="528"/>
      <c r="AA27" s="11">
        <f t="shared" si="2"/>
        <v>-164.21052631578914</v>
      </c>
      <c r="AB27" s="367">
        <f t="shared" si="47"/>
        <v>0.93157894736842117</v>
      </c>
      <c r="AC27" s="533"/>
    </row>
    <row r="28" spans="1:29" ht="15.75" customHeight="1">
      <c r="A28" s="553" t="s">
        <v>377</v>
      </c>
      <c r="B28" s="26" t="s">
        <v>24</v>
      </c>
      <c r="C28" s="552" t="s">
        <v>62</v>
      </c>
      <c r="D28" s="552"/>
      <c r="E28" s="26">
        <v>22.35</v>
      </c>
      <c r="F28" s="361">
        <v>1392</v>
      </c>
      <c r="G28" s="365">
        <f t="shared" si="39"/>
        <v>31111.200000000001</v>
      </c>
      <c r="H28" s="362" t="s">
        <v>52</v>
      </c>
      <c r="I28" s="363">
        <v>16</v>
      </c>
      <c r="J28" s="18">
        <v>2400</v>
      </c>
      <c r="K28" s="9">
        <f t="shared" si="46"/>
        <v>150</v>
      </c>
      <c r="L28" s="363">
        <v>16</v>
      </c>
      <c r="M28" s="10">
        <f t="shared" si="40"/>
        <v>2257.2972972972957</v>
      </c>
      <c r="N28" s="9">
        <f t="shared" si="41"/>
        <v>141.08108108108098</v>
      </c>
      <c r="O28" s="11">
        <f t="shared" si="42"/>
        <v>0</v>
      </c>
      <c r="P28" s="12">
        <f t="shared" si="43"/>
        <v>-8.9189189189190188</v>
      </c>
      <c r="Q28" s="367">
        <f t="shared" si="44"/>
        <v>0.94054054054053993</v>
      </c>
      <c r="R28" s="533"/>
      <c r="S28" s="24">
        <v>0.4506944444444444</v>
      </c>
      <c r="T28" s="24">
        <v>0.47638888888888886</v>
      </c>
      <c r="U28" s="365">
        <f t="shared" si="48"/>
        <v>7.9999999999999716</v>
      </c>
      <c r="V28" s="366">
        <f t="shared" si="45"/>
        <v>37.000000000000028</v>
      </c>
      <c r="W28" s="14"/>
      <c r="X28" s="14"/>
      <c r="Y28" s="528"/>
      <c r="Z28" s="528"/>
      <c r="AA28" s="11">
        <f t="shared" si="2"/>
        <v>-142.7027027027043</v>
      </c>
      <c r="AB28" s="367">
        <f t="shared" si="47"/>
        <v>0.94054054054053993</v>
      </c>
      <c r="AC28" s="533"/>
    </row>
    <row r="29" spans="1:29" ht="15.75" customHeight="1">
      <c r="A29" s="553" t="s">
        <v>377</v>
      </c>
      <c r="B29" s="26" t="s">
        <v>1380</v>
      </c>
      <c r="C29" s="530"/>
      <c r="D29" s="530"/>
      <c r="E29" s="370"/>
      <c r="F29" s="361"/>
      <c r="G29" s="365"/>
      <c r="H29" s="361"/>
      <c r="I29" s="17">
        <v>17.399999999999999</v>
      </c>
      <c r="J29" s="18">
        <v>2400</v>
      </c>
      <c r="K29" s="9">
        <f t="shared" si="46"/>
        <v>137.93103448275863</v>
      </c>
      <c r="L29" s="17">
        <v>17.399999999999999</v>
      </c>
      <c r="M29" s="10">
        <f>AVERAGE(M24:M28)</f>
        <v>2237.9383487134669</v>
      </c>
      <c r="N29" s="9">
        <f>M29/L29</f>
        <v>128.61714647778547</v>
      </c>
      <c r="O29" s="11">
        <f>L29-I29</f>
        <v>0</v>
      </c>
      <c r="P29" s="12">
        <f>N29-K29</f>
        <v>-9.3138880049731654</v>
      </c>
      <c r="Q29" s="367">
        <f>N29/K29</f>
        <v>0.93247431196394459</v>
      </c>
      <c r="R29" s="533"/>
      <c r="S29" s="24"/>
      <c r="T29" s="24"/>
      <c r="U29" s="365"/>
      <c r="V29" s="366"/>
      <c r="W29" s="365"/>
      <c r="X29" s="365"/>
      <c r="Y29" s="528"/>
      <c r="Z29" s="528"/>
      <c r="AA29" s="11">
        <f t="shared" si="2"/>
        <v>-162.06165128653311</v>
      </c>
      <c r="AB29" s="367">
        <f>M29/J29</f>
        <v>0.93247431196394459</v>
      </c>
      <c r="AC29" s="533"/>
    </row>
    <row r="30" spans="1:29" ht="15.75" customHeight="1">
      <c r="A30" s="550" t="s">
        <v>379</v>
      </c>
      <c r="B30" s="26" t="s">
        <v>24</v>
      </c>
      <c r="C30" s="529" t="s">
        <v>28</v>
      </c>
      <c r="D30" s="529"/>
      <c r="E30" s="26">
        <v>26.2</v>
      </c>
      <c r="F30" s="361">
        <v>4263</v>
      </c>
      <c r="G30" s="365">
        <f t="shared" ref="G30:G35" si="49">E30*F30</f>
        <v>111690.59999999999</v>
      </c>
      <c r="H30" s="362" t="s">
        <v>52</v>
      </c>
      <c r="I30" s="363">
        <v>18</v>
      </c>
      <c r="J30" s="18">
        <v>2400</v>
      </c>
      <c r="K30" s="9">
        <f>J30/I30</f>
        <v>133.33333333333334</v>
      </c>
      <c r="L30" s="363">
        <v>18</v>
      </c>
      <c r="M30" s="10">
        <f>F30/V30*60</f>
        <v>2224.173913043478</v>
      </c>
      <c r="N30" s="9">
        <f>M30/L30</f>
        <v>123.56521739130433</v>
      </c>
      <c r="O30" s="11">
        <f t="shared" ref="O30:O35" si="50">L30-I30</f>
        <v>0</v>
      </c>
      <c r="P30" s="12">
        <f t="shared" ref="P30:P44" si="51">N30-K30</f>
        <v>-9.7681159420290129</v>
      </c>
      <c r="Q30" s="367">
        <f t="shared" ref="Q30:Q40" si="52">N30/K30</f>
        <v>0.9267391304347824</v>
      </c>
      <c r="R30" s="533">
        <f>Q36</f>
        <v>0.93227769726664034</v>
      </c>
      <c r="S30" s="24">
        <v>8.3333333333333329E-2</v>
      </c>
      <c r="T30" s="24">
        <v>0.16319444444444445</v>
      </c>
      <c r="U30" s="365"/>
      <c r="V30" s="366">
        <f t="shared" ref="V30:V35" si="53">(T30-S30)*24*60</f>
        <v>115.00000000000001</v>
      </c>
      <c r="W30" s="15">
        <f>T30</f>
        <v>0.16319444444444445</v>
      </c>
      <c r="X30" s="15">
        <f>S31</f>
        <v>0.18263888888888888</v>
      </c>
      <c r="Y30" s="528"/>
      <c r="Z30" s="528"/>
      <c r="AA30" s="11">
        <f t="shared" si="2"/>
        <v>-175.82608695652198</v>
      </c>
      <c r="AB30" s="367">
        <f>M30/J30</f>
        <v>0.92673913043478251</v>
      </c>
      <c r="AC30" s="533">
        <f>AB36</f>
        <v>0.93227769726664045</v>
      </c>
    </row>
    <row r="31" spans="1:29" ht="15.75" customHeight="1">
      <c r="A31" s="550" t="s">
        <v>1381</v>
      </c>
      <c r="B31" s="26" t="s">
        <v>24</v>
      </c>
      <c r="C31" s="529" t="s">
        <v>30</v>
      </c>
      <c r="D31" s="529"/>
      <c r="E31" s="26">
        <v>24.45</v>
      </c>
      <c r="F31" s="361">
        <v>1481</v>
      </c>
      <c r="G31" s="365">
        <f t="shared" si="49"/>
        <v>36210.449999999997</v>
      </c>
      <c r="H31" s="362" t="s">
        <v>52</v>
      </c>
      <c r="I31" s="363">
        <v>20</v>
      </c>
      <c r="J31" s="18">
        <v>2400</v>
      </c>
      <c r="K31" s="9">
        <f t="shared" ref="K31:K43" si="54">J31/I31</f>
        <v>120</v>
      </c>
      <c r="L31" s="363">
        <v>20</v>
      </c>
      <c r="M31" s="10">
        <f t="shared" ref="M31:M35" si="55">F31/V31*60</f>
        <v>2278.4615384615395</v>
      </c>
      <c r="N31" s="9">
        <f t="shared" ref="N31:N35" si="56">M31/L31</f>
        <v>113.92307692307698</v>
      </c>
      <c r="O31" s="11">
        <f t="shared" si="50"/>
        <v>0</v>
      </c>
      <c r="P31" s="12">
        <f t="shared" si="51"/>
        <v>-6.0769230769230234</v>
      </c>
      <c r="Q31" s="367">
        <f t="shared" si="52"/>
        <v>0.94935897435897476</v>
      </c>
      <c r="R31" s="533"/>
      <c r="S31" s="24">
        <v>0.18263888888888888</v>
      </c>
      <c r="T31" s="24">
        <v>0.2097222222222222</v>
      </c>
      <c r="U31" s="365">
        <f>(S31-T30)*24*60</f>
        <v>27.999999999999979</v>
      </c>
      <c r="V31" s="366">
        <f t="shared" si="53"/>
        <v>38.999999999999979</v>
      </c>
      <c r="W31" s="365"/>
      <c r="X31" s="365"/>
      <c r="Y31" s="528"/>
      <c r="Z31" s="528"/>
      <c r="AA31" s="11">
        <f t="shared" si="2"/>
        <v>-121.53846153846052</v>
      </c>
      <c r="AB31" s="367">
        <f t="shared" ref="AB31:AB58" si="57">M31/J31</f>
        <v>0.94935897435897476</v>
      </c>
      <c r="AC31" s="533"/>
    </row>
    <row r="32" spans="1:29">
      <c r="A32" s="551" t="s">
        <v>379</v>
      </c>
      <c r="B32" s="26" t="s">
        <v>24</v>
      </c>
      <c r="C32" s="529" t="s">
        <v>29</v>
      </c>
      <c r="D32" s="529"/>
      <c r="E32" s="26">
        <v>26.39</v>
      </c>
      <c r="F32" s="361">
        <v>4010</v>
      </c>
      <c r="G32" s="365">
        <f t="shared" si="49"/>
        <v>105823.90000000001</v>
      </c>
      <c r="H32" s="362" t="s">
        <v>52</v>
      </c>
      <c r="I32" s="363">
        <v>19</v>
      </c>
      <c r="J32" s="18">
        <v>2400</v>
      </c>
      <c r="K32" s="9">
        <f t="shared" si="54"/>
        <v>126.31578947368421</v>
      </c>
      <c r="L32" s="363">
        <v>19</v>
      </c>
      <c r="M32" s="10">
        <f t="shared" si="55"/>
        <v>2227.7777777777783</v>
      </c>
      <c r="N32" s="9">
        <f t="shared" si="56"/>
        <v>117.25146198830411</v>
      </c>
      <c r="O32" s="11">
        <f t="shared" si="50"/>
        <v>0</v>
      </c>
      <c r="P32" s="12">
        <f t="shared" si="51"/>
        <v>-9.0643274853800904</v>
      </c>
      <c r="Q32" s="367">
        <f t="shared" si="52"/>
        <v>0.92824074074074092</v>
      </c>
      <c r="R32" s="533"/>
      <c r="S32" s="24">
        <v>0.21527777777777776</v>
      </c>
      <c r="T32" s="24">
        <v>0.29027777777777775</v>
      </c>
      <c r="U32" s="365">
        <f t="shared" ref="U32:U35" si="58">(S32-T31)*24*60</f>
        <v>8.0000000000000107</v>
      </c>
      <c r="V32" s="366">
        <f t="shared" si="53"/>
        <v>107.99999999999997</v>
      </c>
      <c r="W32" s="365"/>
      <c r="X32" s="365"/>
      <c r="Y32" s="528"/>
      <c r="Z32" s="528"/>
      <c r="AA32" s="11">
        <f t="shared" si="2"/>
        <v>-172.22222222222172</v>
      </c>
      <c r="AB32" s="367">
        <f t="shared" si="57"/>
        <v>0.92824074074074092</v>
      </c>
      <c r="AC32" s="533"/>
    </row>
    <row r="33" spans="1:29">
      <c r="A33" s="551" t="s">
        <v>379</v>
      </c>
      <c r="B33" s="26" t="s">
        <v>24</v>
      </c>
      <c r="C33" s="529" t="s">
        <v>27</v>
      </c>
      <c r="D33" s="529"/>
      <c r="E33" s="26">
        <v>20.52</v>
      </c>
      <c r="F33" s="361">
        <v>2388</v>
      </c>
      <c r="G33" s="365">
        <f t="shared" si="49"/>
        <v>49001.760000000002</v>
      </c>
      <c r="H33" s="362" t="s">
        <v>52</v>
      </c>
      <c r="I33" s="363">
        <v>18</v>
      </c>
      <c r="J33" s="18">
        <v>2400</v>
      </c>
      <c r="K33" s="9">
        <f t="shared" si="54"/>
        <v>133.33333333333334</v>
      </c>
      <c r="L33" s="363">
        <v>18</v>
      </c>
      <c r="M33" s="10">
        <f t="shared" si="55"/>
        <v>2238.7499999999995</v>
      </c>
      <c r="N33" s="9">
        <f t="shared" si="56"/>
        <v>124.37499999999997</v>
      </c>
      <c r="O33" s="11">
        <f t="shared" si="50"/>
        <v>0</v>
      </c>
      <c r="P33" s="12">
        <f t="shared" si="51"/>
        <v>-8.9583333333333712</v>
      </c>
      <c r="Q33" s="367">
        <f t="shared" si="52"/>
        <v>0.93281249999999971</v>
      </c>
      <c r="R33" s="533"/>
      <c r="S33" s="24">
        <v>0.29374999999999996</v>
      </c>
      <c r="T33" s="24">
        <v>0.33819444444444441</v>
      </c>
      <c r="U33" s="365">
        <f t="shared" si="58"/>
        <v>4.9999999999999822</v>
      </c>
      <c r="V33" s="366">
        <f t="shared" si="53"/>
        <v>64.000000000000014</v>
      </c>
      <c r="W33" s="14"/>
      <c r="X33" s="14"/>
      <c r="Y33" s="528"/>
      <c r="Z33" s="528"/>
      <c r="AA33" s="11">
        <f t="shared" si="2"/>
        <v>-161.25000000000045</v>
      </c>
      <c r="AB33" s="367">
        <f t="shared" si="57"/>
        <v>0.93281249999999982</v>
      </c>
      <c r="AC33" s="533"/>
    </row>
    <row r="34" spans="1:29">
      <c r="A34" s="551" t="s">
        <v>379</v>
      </c>
      <c r="B34" s="26" t="s">
        <v>24</v>
      </c>
      <c r="C34" s="529" t="s">
        <v>50</v>
      </c>
      <c r="D34" s="529"/>
      <c r="E34" s="26">
        <v>26.2</v>
      </c>
      <c r="F34" s="361">
        <v>3187</v>
      </c>
      <c r="G34" s="365">
        <f t="shared" si="49"/>
        <v>83499.399999999994</v>
      </c>
      <c r="H34" s="362" t="s">
        <v>52</v>
      </c>
      <c r="I34" s="363">
        <v>19</v>
      </c>
      <c r="J34" s="18">
        <v>2400</v>
      </c>
      <c r="K34" s="9">
        <f t="shared" si="54"/>
        <v>126.31578947368421</v>
      </c>
      <c r="L34" s="363">
        <v>19</v>
      </c>
      <c r="M34" s="10">
        <f t="shared" si="55"/>
        <v>2223.4883720930229</v>
      </c>
      <c r="N34" s="9">
        <f t="shared" si="56"/>
        <v>117.02570379436963</v>
      </c>
      <c r="O34" s="11">
        <f t="shared" si="50"/>
        <v>0</v>
      </c>
      <c r="P34" s="12">
        <f t="shared" si="51"/>
        <v>-9.2900856793145721</v>
      </c>
      <c r="Q34" s="367">
        <f t="shared" si="52"/>
        <v>0.92645348837209296</v>
      </c>
      <c r="R34" s="533"/>
      <c r="S34" s="24">
        <v>0.3430555555555555</v>
      </c>
      <c r="T34" s="24">
        <v>0.40277777777777773</v>
      </c>
      <c r="U34" s="365">
        <f t="shared" si="58"/>
        <v>6.9999999999999751</v>
      </c>
      <c r="V34" s="366">
        <f t="shared" si="53"/>
        <v>86.000000000000014</v>
      </c>
      <c r="W34" s="14"/>
      <c r="X34" s="14"/>
      <c r="Y34" s="528"/>
      <c r="Z34" s="528"/>
      <c r="AA34" s="11">
        <f t="shared" si="2"/>
        <v>-176.51162790697708</v>
      </c>
      <c r="AB34" s="367">
        <f t="shared" si="57"/>
        <v>0.92645348837209285</v>
      </c>
      <c r="AC34" s="533"/>
    </row>
    <row r="35" spans="1:29" ht="16.5" customHeight="1">
      <c r="A35" s="551" t="s">
        <v>379</v>
      </c>
      <c r="B35" s="26" t="s">
        <v>24</v>
      </c>
      <c r="C35" s="529" t="s">
        <v>1079</v>
      </c>
      <c r="D35" s="529"/>
      <c r="E35" s="26">
        <v>25.98</v>
      </c>
      <c r="F35" s="361">
        <v>6064</v>
      </c>
      <c r="G35" s="365">
        <f t="shared" si="49"/>
        <v>157542.72</v>
      </c>
      <c r="H35" s="362" t="s">
        <v>52</v>
      </c>
      <c r="I35" s="363">
        <v>17</v>
      </c>
      <c r="J35" s="18">
        <v>2400</v>
      </c>
      <c r="K35" s="9">
        <f t="shared" si="54"/>
        <v>141.1764705882353</v>
      </c>
      <c r="L35" s="363">
        <v>17</v>
      </c>
      <c r="M35" s="10">
        <f t="shared" si="55"/>
        <v>2232.1472392638038</v>
      </c>
      <c r="N35" s="9">
        <f t="shared" si="56"/>
        <v>131.30277878022375</v>
      </c>
      <c r="O35" s="11">
        <f t="shared" si="50"/>
        <v>0</v>
      </c>
      <c r="P35" s="12">
        <f t="shared" si="51"/>
        <v>-9.8736918080115572</v>
      </c>
      <c r="Q35" s="367">
        <f t="shared" si="52"/>
        <v>0.93006134969325149</v>
      </c>
      <c r="R35" s="533"/>
      <c r="S35" s="24">
        <v>0.40833333333333327</v>
      </c>
      <c r="T35" s="24">
        <v>0.5215277777777777</v>
      </c>
      <c r="U35" s="365">
        <f t="shared" si="58"/>
        <v>7.9999999999999716</v>
      </c>
      <c r="V35" s="366">
        <f t="shared" si="53"/>
        <v>162.99999999999997</v>
      </c>
      <c r="W35" s="14"/>
      <c r="X35" s="14"/>
      <c r="Y35" s="528"/>
      <c r="Z35" s="528"/>
      <c r="AA35" s="11">
        <f t="shared" si="2"/>
        <v>-167.85276073619616</v>
      </c>
      <c r="AB35" s="367">
        <f t="shared" si="57"/>
        <v>0.9300613496932516</v>
      </c>
      <c r="AC35" s="533"/>
    </row>
    <row r="36" spans="1:29">
      <c r="A36" s="551" t="s">
        <v>379</v>
      </c>
      <c r="B36" s="16" t="s">
        <v>82</v>
      </c>
      <c r="C36" s="530"/>
      <c r="D36" s="530"/>
      <c r="E36" s="370"/>
      <c r="F36" s="16"/>
      <c r="G36" s="9"/>
      <c r="H36" s="361"/>
      <c r="I36" s="17">
        <v>18.5</v>
      </c>
      <c r="J36" s="18">
        <v>2400</v>
      </c>
      <c r="K36" s="9">
        <f t="shared" si="54"/>
        <v>129.72972972972974</v>
      </c>
      <c r="L36" s="17">
        <v>18.5</v>
      </c>
      <c r="M36" s="10">
        <f>AVERAGE(M30:M35)</f>
        <v>2237.4664734399371</v>
      </c>
      <c r="N36" s="9">
        <f>M36/L36</f>
        <v>120.94413369945606</v>
      </c>
      <c r="O36" s="11">
        <f>L36-I36</f>
        <v>0</v>
      </c>
      <c r="P36" s="12">
        <f t="shared" si="51"/>
        <v>-8.7855960302736804</v>
      </c>
      <c r="Q36" s="367">
        <f t="shared" si="52"/>
        <v>0.93227769726664034</v>
      </c>
      <c r="R36" s="533"/>
      <c r="S36" s="24"/>
      <c r="T36" s="24"/>
      <c r="U36" s="9"/>
      <c r="V36" s="366"/>
      <c r="W36" s="9"/>
      <c r="X36" s="9"/>
      <c r="Y36" s="528"/>
      <c r="Z36" s="528"/>
      <c r="AA36" s="11">
        <f t="shared" si="2"/>
        <v>-162.53352656006291</v>
      </c>
      <c r="AB36" s="367">
        <f t="shared" si="57"/>
        <v>0.93227769726664045</v>
      </c>
      <c r="AC36" s="533"/>
    </row>
    <row r="37" spans="1:29" ht="15.75" customHeight="1">
      <c r="A37" s="544" t="s">
        <v>381</v>
      </c>
      <c r="B37" s="26" t="s">
        <v>32</v>
      </c>
      <c r="C37" s="534" t="s">
        <v>33</v>
      </c>
      <c r="D37" s="535"/>
      <c r="E37" s="26">
        <v>27.17</v>
      </c>
      <c r="F37" s="361">
        <v>4593</v>
      </c>
      <c r="G37" s="365">
        <f t="shared" ref="G37:G43" si="59">E37*F37</f>
        <v>124791.81000000001</v>
      </c>
      <c r="H37" s="362" t="s">
        <v>52</v>
      </c>
      <c r="I37" s="363">
        <v>10</v>
      </c>
      <c r="J37" s="18">
        <v>3000</v>
      </c>
      <c r="K37" s="9">
        <f t="shared" si="54"/>
        <v>300</v>
      </c>
      <c r="L37" s="363">
        <v>10</v>
      </c>
      <c r="M37" s="10">
        <f t="shared" ref="M37:M38" si="60">F37/V37*60</f>
        <v>2783.6363636363644</v>
      </c>
      <c r="N37" s="10">
        <f t="shared" ref="N37:N44" si="61">M37/L37</f>
        <v>278.36363636363643</v>
      </c>
      <c r="O37" s="11">
        <f t="shared" ref="O37:O44" si="62">L37-I37</f>
        <v>0</v>
      </c>
      <c r="P37" s="12">
        <f t="shared" si="51"/>
        <v>-21.636363636363569</v>
      </c>
      <c r="Q37" s="367">
        <f t="shared" si="52"/>
        <v>0.92787878787878808</v>
      </c>
      <c r="R37" s="547">
        <f>Q44</f>
        <v>0.93662695213871605</v>
      </c>
      <c r="S37" s="24">
        <v>0.125</v>
      </c>
      <c r="T37" s="24">
        <v>0.19374999999999998</v>
      </c>
      <c r="U37" s="15"/>
      <c r="V37" s="366">
        <f t="shared" ref="V37:V43" si="63">(T37-S37)*24*60</f>
        <v>98.999999999999972</v>
      </c>
      <c r="W37" s="365"/>
      <c r="X37" s="365"/>
      <c r="Y37" s="536"/>
      <c r="Z37" s="537"/>
      <c r="AA37" s="11">
        <f t="shared" si="2"/>
        <v>-216.36363636363558</v>
      </c>
      <c r="AB37" s="367">
        <f t="shared" si="57"/>
        <v>0.92787878787878819</v>
      </c>
      <c r="AC37" s="547">
        <f>AB44</f>
        <v>0.93662695213871605</v>
      </c>
    </row>
    <row r="38" spans="1:29" ht="15.75" customHeight="1">
      <c r="A38" s="545" t="s">
        <v>1382</v>
      </c>
      <c r="B38" s="26" t="s">
        <v>32</v>
      </c>
      <c r="C38" s="534" t="s">
        <v>34</v>
      </c>
      <c r="D38" s="535"/>
      <c r="E38" s="26">
        <v>21.13</v>
      </c>
      <c r="F38" s="361">
        <v>3670</v>
      </c>
      <c r="G38" s="365">
        <f t="shared" si="59"/>
        <v>77547.099999999991</v>
      </c>
      <c r="H38" s="362" t="s">
        <v>52</v>
      </c>
      <c r="I38" s="363">
        <v>10</v>
      </c>
      <c r="J38" s="18">
        <v>3000</v>
      </c>
      <c r="K38" s="9">
        <f t="shared" si="54"/>
        <v>300</v>
      </c>
      <c r="L38" s="363">
        <v>10</v>
      </c>
      <c r="M38" s="10">
        <f t="shared" si="60"/>
        <v>2787.341772151899</v>
      </c>
      <c r="N38" s="10">
        <f t="shared" si="61"/>
        <v>278.7341772151899</v>
      </c>
      <c r="O38" s="11">
        <f t="shared" si="62"/>
        <v>0</v>
      </c>
      <c r="P38" s="12">
        <f t="shared" si="51"/>
        <v>-21.265822784810098</v>
      </c>
      <c r="Q38" s="367">
        <f t="shared" si="52"/>
        <v>0.92911392405063298</v>
      </c>
      <c r="R38" s="548"/>
      <c r="S38" s="24">
        <v>0.19791666666666666</v>
      </c>
      <c r="T38" s="24">
        <v>0.25277777777777777</v>
      </c>
      <c r="U38" s="365">
        <f>(S38-T37)*24*60</f>
        <v>6.0000000000000187</v>
      </c>
      <c r="V38" s="366">
        <f t="shared" si="63"/>
        <v>79</v>
      </c>
      <c r="W38" s="14"/>
      <c r="X38" s="14"/>
      <c r="Y38" s="536"/>
      <c r="Z38" s="537"/>
      <c r="AA38" s="11">
        <f t="shared" si="2"/>
        <v>-212.65822784810098</v>
      </c>
      <c r="AB38" s="367">
        <f t="shared" si="57"/>
        <v>0.92911392405063298</v>
      </c>
      <c r="AC38" s="548"/>
    </row>
    <row r="39" spans="1:29" ht="15.75" customHeight="1">
      <c r="A39" s="545" t="s">
        <v>1383</v>
      </c>
      <c r="B39" s="26" t="s">
        <v>32</v>
      </c>
      <c r="C39" s="534" t="s">
        <v>40</v>
      </c>
      <c r="D39" s="535"/>
      <c r="E39" s="26">
        <v>35.119999999999997</v>
      </c>
      <c r="F39" s="361">
        <v>3426</v>
      </c>
      <c r="G39" s="365">
        <f t="shared" si="59"/>
        <v>120321.12</v>
      </c>
      <c r="H39" s="362" t="s">
        <v>52</v>
      </c>
      <c r="I39" s="363">
        <v>10</v>
      </c>
      <c r="J39" s="18">
        <v>3000</v>
      </c>
      <c r="K39" s="9">
        <f t="shared" si="54"/>
        <v>300</v>
      </c>
      <c r="L39" s="363">
        <v>10</v>
      </c>
      <c r="M39" s="10">
        <f>F39/V39*60</f>
        <v>2815.8904109589048</v>
      </c>
      <c r="N39" s="10">
        <f t="shared" si="61"/>
        <v>281.58904109589048</v>
      </c>
      <c r="O39" s="11">
        <f t="shared" si="62"/>
        <v>0</v>
      </c>
      <c r="P39" s="12">
        <f t="shared" si="51"/>
        <v>-18.410958904109521</v>
      </c>
      <c r="Q39" s="367">
        <f t="shared" si="52"/>
        <v>0.9386301369863016</v>
      </c>
      <c r="R39" s="548"/>
      <c r="S39" s="24">
        <v>0.25624999999999998</v>
      </c>
      <c r="T39" s="24">
        <v>0.30694444444444441</v>
      </c>
      <c r="U39" s="365">
        <f t="shared" ref="U39:U43" si="64">(S39-T38)*24*60</f>
        <v>4.9999999999999822</v>
      </c>
      <c r="V39" s="366">
        <f t="shared" si="63"/>
        <v>72.999999999999986</v>
      </c>
      <c r="W39" s="14"/>
      <c r="X39" s="14"/>
      <c r="Y39" s="536"/>
      <c r="Z39" s="537"/>
      <c r="AA39" s="11">
        <f t="shared" si="2"/>
        <v>-184.10958904109521</v>
      </c>
      <c r="AB39" s="367">
        <f t="shared" si="57"/>
        <v>0.9386301369863016</v>
      </c>
      <c r="AC39" s="548"/>
    </row>
    <row r="40" spans="1:29" ht="15.75" customHeight="1">
      <c r="A40" s="545" t="s">
        <v>1384</v>
      </c>
      <c r="B40" s="26" t="s">
        <v>32</v>
      </c>
      <c r="C40" s="534" t="s">
        <v>61</v>
      </c>
      <c r="D40" s="535"/>
      <c r="E40" s="26">
        <v>40.18</v>
      </c>
      <c r="F40" s="361">
        <v>1670</v>
      </c>
      <c r="G40" s="365">
        <f t="shared" si="59"/>
        <v>67100.600000000006</v>
      </c>
      <c r="H40" s="362" t="s">
        <v>52</v>
      </c>
      <c r="I40" s="363">
        <v>10</v>
      </c>
      <c r="J40" s="18">
        <v>3000</v>
      </c>
      <c r="K40" s="9">
        <f t="shared" si="54"/>
        <v>300</v>
      </c>
      <c r="L40" s="363">
        <v>10</v>
      </c>
      <c r="M40" s="10">
        <f t="shared" ref="M40:M43" si="65">F40/V40*60</f>
        <v>2783.3333333333312</v>
      </c>
      <c r="N40" s="10">
        <f t="shared" si="61"/>
        <v>278.33333333333314</v>
      </c>
      <c r="O40" s="11">
        <f t="shared" si="62"/>
        <v>0</v>
      </c>
      <c r="P40" s="12">
        <f t="shared" si="51"/>
        <v>-21.666666666666856</v>
      </c>
      <c r="Q40" s="367">
        <f t="shared" si="52"/>
        <v>0.92777777777777715</v>
      </c>
      <c r="R40" s="548"/>
      <c r="S40" s="24">
        <v>0.31111111111111106</v>
      </c>
      <c r="T40" s="24">
        <v>0.33611111111111108</v>
      </c>
      <c r="U40" s="365">
        <f t="shared" si="64"/>
        <v>5.9999999999999787</v>
      </c>
      <c r="V40" s="366">
        <f t="shared" si="63"/>
        <v>36.000000000000028</v>
      </c>
      <c r="W40" s="14"/>
      <c r="X40" s="14"/>
      <c r="Y40" s="536"/>
      <c r="Z40" s="537"/>
      <c r="AA40" s="11">
        <f t="shared" si="2"/>
        <v>-216.66666666666879</v>
      </c>
      <c r="AB40" s="367">
        <f t="shared" si="57"/>
        <v>0.92777777777777704</v>
      </c>
      <c r="AC40" s="548"/>
    </row>
    <row r="41" spans="1:29" ht="15.75" customHeight="1">
      <c r="A41" s="545" t="s">
        <v>381</v>
      </c>
      <c r="B41" s="26" t="s">
        <v>32</v>
      </c>
      <c r="C41" s="534" t="s">
        <v>64</v>
      </c>
      <c r="D41" s="535"/>
      <c r="E41" s="26">
        <v>28.5</v>
      </c>
      <c r="F41" s="361">
        <v>923</v>
      </c>
      <c r="G41" s="365">
        <f t="shared" si="59"/>
        <v>26305.5</v>
      </c>
      <c r="H41" s="362" t="s">
        <v>52</v>
      </c>
      <c r="I41" s="363">
        <v>10</v>
      </c>
      <c r="J41" s="18">
        <v>3000</v>
      </c>
      <c r="K41" s="9">
        <f t="shared" si="54"/>
        <v>300</v>
      </c>
      <c r="L41" s="363">
        <v>10</v>
      </c>
      <c r="M41" s="10">
        <f t="shared" si="65"/>
        <v>2914.7368421052611</v>
      </c>
      <c r="N41" s="10">
        <f t="shared" si="61"/>
        <v>291.47368421052613</v>
      </c>
      <c r="O41" s="11">
        <f t="shared" si="62"/>
        <v>0</v>
      </c>
      <c r="P41" s="12">
        <f t="shared" si="51"/>
        <v>-8.5263157894738697</v>
      </c>
      <c r="Q41" s="367">
        <f>N41/K41</f>
        <v>0.97157894736842043</v>
      </c>
      <c r="R41" s="548"/>
      <c r="S41" s="24">
        <v>0.34097222222222218</v>
      </c>
      <c r="T41" s="24">
        <v>0.35416666666666663</v>
      </c>
      <c r="U41" s="365">
        <f t="shared" si="64"/>
        <v>6.9999999999999751</v>
      </c>
      <c r="V41" s="366">
        <f t="shared" si="63"/>
        <v>19.000000000000014</v>
      </c>
      <c r="W41" s="14"/>
      <c r="X41" s="14"/>
      <c r="Y41" s="536"/>
      <c r="Z41" s="537"/>
      <c r="AA41" s="11">
        <f t="shared" si="2"/>
        <v>-85.263157894738924</v>
      </c>
      <c r="AB41" s="367">
        <f t="shared" si="57"/>
        <v>0.97157894736842032</v>
      </c>
      <c r="AC41" s="548"/>
    </row>
    <row r="42" spans="1:29" ht="15.75" customHeight="1">
      <c r="A42" s="545" t="s">
        <v>381</v>
      </c>
      <c r="B42" s="26" t="s">
        <v>32</v>
      </c>
      <c r="C42" s="534" t="s">
        <v>78</v>
      </c>
      <c r="D42" s="535"/>
      <c r="E42" s="26">
        <v>35.869999999999997</v>
      </c>
      <c r="F42" s="361">
        <v>2571</v>
      </c>
      <c r="G42" s="365">
        <f t="shared" si="59"/>
        <v>92221.76999999999</v>
      </c>
      <c r="H42" s="362" t="s">
        <v>52</v>
      </c>
      <c r="I42" s="363">
        <v>10</v>
      </c>
      <c r="J42" s="18">
        <v>3000</v>
      </c>
      <c r="K42" s="9">
        <f t="shared" si="54"/>
        <v>300</v>
      </c>
      <c r="L42" s="363">
        <v>10</v>
      </c>
      <c r="M42" s="10">
        <f t="shared" si="65"/>
        <v>2804.7272727272748</v>
      </c>
      <c r="N42" s="10">
        <f t="shared" si="61"/>
        <v>280.47272727272747</v>
      </c>
      <c r="O42" s="11">
        <f t="shared" si="62"/>
        <v>0</v>
      </c>
      <c r="P42" s="12">
        <f t="shared" si="51"/>
        <v>-19.527272727272532</v>
      </c>
      <c r="Q42" s="367">
        <f t="shared" ref="Q42:Q44" si="66">N42/K42</f>
        <v>0.93490909090909158</v>
      </c>
      <c r="R42" s="548"/>
      <c r="S42" s="24">
        <v>0.35763888888888884</v>
      </c>
      <c r="T42" s="24">
        <v>0.39583333333333326</v>
      </c>
      <c r="U42" s="365">
        <f t="shared" si="64"/>
        <v>4.9999999999999822</v>
      </c>
      <c r="V42" s="366">
        <f t="shared" si="63"/>
        <v>54.999999999999964</v>
      </c>
      <c r="W42" s="14"/>
      <c r="X42" s="14"/>
      <c r="Y42" s="536"/>
      <c r="Z42" s="537"/>
      <c r="AA42" s="11">
        <f t="shared" si="2"/>
        <v>-195.27272727272521</v>
      </c>
      <c r="AB42" s="367">
        <f t="shared" si="57"/>
        <v>0.93490909090909158</v>
      </c>
      <c r="AC42" s="548"/>
    </row>
    <row r="43" spans="1:29" ht="15.75" customHeight="1">
      <c r="A43" s="545" t="s">
        <v>381</v>
      </c>
      <c r="B43" s="26" t="s">
        <v>32</v>
      </c>
      <c r="C43" s="534" t="s">
        <v>1081</v>
      </c>
      <c r="D43" s="535"/>
      <c r="E43" s="26">
        <v>36.14</v>
      </c>
      <c r="F43" s="361">
        <v>3706</v>
      </c>
      <c r="G43" s="365">
        <f t="shared" si="59"/>
        <v>133934.84</v>
      </c>
      <c r="H43" s="362" t="s">
        <v>52</v>
      </c>
      <c r="I43" s="363">
        <v>10</v>
      </c>
      <c r="J43" s="18">
        <v>3000</v>
      </c>
      <c r="K43" s="9">
        <f t="shared" si="54"/>
        <v>300</v>
      </c>
      <c r="L43" s="363">
        <v>10</v>
      </c>
      <c r="M43" s="10">
        <f t="shared" si="65"/>
        <v>2779.4999999999991</v>
      </c>
      <c r="N43" s="10">
        <f t="shared" si="61"/>
        <v>277.94999999999993</v>
      </c>
      <c r="O43" s="11">
        <f t="shared" si="62"/>
        <v>0</v>
      </c>
      <c r="P43" s="12">
        <f t="shared" si="51"/>
        <v>-22.050000000000068</v>
      </c>
      <c r="Q43" s="367">
        <f t="shared" si="66"/>
        <v>0.92649999999999977</v>
      </c>
      <c r="R43" s="548"/>
      <c r="S43" s="24">
        <v>0.39930555555555547</v>
      </c>
      <c r="T43" s="24">
        <v>0.45486111111111105</v>
      </c>
      <c r="U43" s="365">
        <f t="shared" si="64"/>
        <v>4.9999999999999822</v>
      </c>
      <c r="V43" s="366">
        <f t="shared" si="63"/>
        <v>80.000000000000028</v>
      </c>
      <c r="W43" s="14"/>
      <c r="X43" s="14"/>
      <c r="Y43" s="536"/>
      <c r="Z43" s="537"/>
      <c r="AA43" s="11">
        <f t="shared" si="2"/>
        <v>-220.50000000000091</v>
      </c>
      <c r="AB43" s="367">
        <f t="shared" si="57"/>
        <v>0.92649999999999966</v>
      </c>
      <c r="AC43" s="548"/>
    </row>
    <row r="44" spans="1:29" ht="15.75" customHeight="1">
      <c r="A44" s="546" t="s">
        <v>381</v>
      </c>
      <c r="B44" s="26" t="s">
        <v>1385</v>
      </c>
      <c r="C44" s="540"/>
      <c r="D44" s="541"/>
      <c r="E44" s="373"/>
      <c r="F44" s="361"/>
      <c r="G44" s="365"/>
      <c r="H44" s="361"/>
      <c r="I44" s="17">
        <v>10</v>
      </c>
      <c r="J44" s="18">
        <v>3000</v>
      </c>
      <c r="K44" s="9">
        <f>J44/I44</f>
        <v>300</v>
      </c>
      <c r="L44" s="17">
        <v>10</v>
      </c>
      <c r="M44" s="10">
        <f>AVERAGE(M37:M43)</f>
        <v>2809.8808564161482</v>
      </c>
      <c r="N44" s="9">
        <f t="shared" si="61"/>
        <v>280.98808564161482</v>
      </c>
      <c r="O44" s="11">
        <f t="shared" si="62"/>
        <v>0</v>
      </c>
      <c r="P44" s="12">
        <f t="shared" si="51"/>
        <v>-19.011914358385184</v>
      </c>
      <c r="Q44" s="367">
        <f t="shared" si="66"/>
        <v>0.93662695213871605</v>
      </c>
      <c r="R44" s="549"/>
      <c r="S44" s="24"/>
      <c r="T44" s="24"/>
      <c r="U44" s="365"/>
      <c r="V44" s="366"/>
      <c r="W44" s="14"/>
      <c r="X44" s="14"/>
      <c r="Y44" s="536"/>
      <c r="Z44" s="537"/>
      <c r="AA44" s="11">
        <f t="shared" si="2"/>
        <v>-190.11914358385184</v>
      </c>
      <c r="AB44" s="367">
        <f t="shared" si="57"/>
        <v>0.93662695213871605</v>
      </c>
      <c r="AC44" s="549"/>
    </row>
    <row r="45" spans="1:29" ht="15.75" customHeight="1">
      <c r="A45" s="542" t="s">
        <v>383</v>
      </c>
      <c r="B45" s="26" t="s">
        <v>15</v>
      </c>
      <c r="C45" s="529" t="s">
        <v>20</v>
      </c>
      <c r="D45" s="529"/>
      <c r="E45" s="26">
        <v>46</v>
      </c>
      <c r="F45" s="27">
        <v>2567</v>
      </c>
      <c r="G45" s="365">
        <f t="shared" ref="G45:G49" si="67">E45*F45</f>
        <v>118082</v>
      </c>
      <c r="H45" s="362" t="s">
        <v>52</v>
      </c>
      <c r="I45" s="363">
        <v>17</v>
      </c>
      <c r="J45" s="18">
        <v>2000</v>
      </c>
      <c r="K45" s="9">
        <f t="shared" ref="K45:K49" si="68">J45/I45</f>
        <v>117.64705882352941</v>
      </c>
      <c r="L45" s="363">
        <v>17</v>
      </c>
      <c r="M45" s="10">
        <f t="shared" ref="M45:M49" si="69">F45/V45*60</f>
        <v>1855.662650602409</v>
      </c>
      <c r="N45" s="10">
        <f>M45/L45</f>
        <v>109.15662650602405</v>
      </c>
      <c r="O45" s="11">
        <f>L45-I45</f>
        <v>0</v>
      </c>
      <c r="P45" s="12">
        <f>N45-K45</f>
        <v>-8.490432317505352</v>
      </c>
      <c r="Q45" s="367">
        <f>N45/K45</f>
        <v>0.92783132530120449</v>
      </c>
      <c r="R45" s="533">
        <f>Q50</f>
        <v>0.93019653572696659</v>
      </c>
      <c r="S45" s="24">
        <v>0.29166666666666669</v>
      </c>
      <c r="T45" s="24">
        <v>0.34930555555555559</v>
      </c>
      <c r="U45" s="15"/>
      <c r="V45" s="366">
        <f t="shared" ref="V45:V49" si="70">(T45-S45)*24*60</f>
        <v>83.000000000000028</v>
      </c>
      <c r="W45" s="15"/>
      <c r="X45" s="15"/>
      <c r="Y45" s="528"/>
      <c r="Z45" s="528"/>
      <c r="AA45" s="11">
        <f t="shared" si="2"/>
        <v>-144.33734939759097</v>
      </c>
      <c r="AB45" s="367">
        <f t="shared" si="57"/>
        <v>0.92783132530120449</v>
      </c>
      <c r="AC45" s="533">
        <f>AB50</f>
        <v>0.9301965357269667</v>
      </c>
    </row>
    <row r="46" spans="1:29" ht="15.75" customHeight="1">
      <c r="A46" s="542" t="s">
        <v>383</v>
      </c>
      <c r="B46" s="26" t="s">
        <v>15</v>
      </c>
      <c r="C46" s="529" t="s">
        <v>65</v>
      </c>
      <c r="D46" s="529"/>
      <c r="E46" s="26">
        <v>46</v>
      </c>
      <c r="F46" s="27">
        <v>2919</v>
      </c>
      <c r="G46" s="365">
        <f t="shared" si="67"/>
        <v>134274</v>
      </c>
      <c r="H46" s="362" t="s">
        <v>52</v>
      </c>
      <c r="I46" s="363">
        <v>18</v>
      </c>
      <c r="J46" s="18">
        <v>2000</v>
      </c>
      <c r="K46" s="9">
        <f t="shared" si="68"/>
        <v>111.11111111111111</v>
      </c>
      <c r="L46" s="363">
        <v>18</v>
      </c>
      <c r="M46" s="10">
        <f t="shared" si="69"/>
        <v>1863.1914893617025</v>
      </c>
      <c r="N46" s="10">
        <f t="shared" ref="N46:N49" si="71">M46/L46</f>
        <v>103.51063829787236</v>
      </c>
      <c r="O46" s="11">
        <f t="shared" ref="O46:O49" si="72">L46-I46</f>
        <v>0</v>
      </c>
      <c r="P46" s="12">
        <f t="shared" ref="P46:P49" si="73">N46-K46</f>
        <v>-7.6004728132387527</v>
      </c>
      <c r="Q46" s="367">
        <f t="shared" ref="Q46:Q49" si="74">N46/K46</f>
        <v>0.93159574468085127</v>
      </c>
      <c r="R46" s="533"/>
      <c r="S46" s="24">
        <v>0.35486111111111113</v>
      </c>
      <c r="T46" s="24">
        <v>0.4201388888888889</v>
      </c>
      <c r="U46" s="365">
        <f>IF(S46=TIME(17,0,0),"",(S46-T45)*24*60)</f>
        <v>7.9999999999999716</v>
      </c>
      <c r="V46" s="366">
        <f t="shared" si="70"/>
        <v>93.999999999999986</v>
      </c>
      <c r="W46" s="14"/>
      <c r="X46" s="14"/>
      <c r="Y46" s="528"/>
      <c r="Z46" s="528"/>
      <c r="AA46" s="11">
        <f t="shared" si="2"/>
        <v>-136.80851063829755</v>
      </c>
      <c r="AB46" s="367">
        <f t="shared" si="57"/>
        <v>0.93159574468085127</v>
      </c>
      <c r="AC46" s="533"/>
    </row>
    <row r="47" spans="1:29" ht="15.75" customHeight="1">
      <c r="A47" s="542" t="s">
        <v>1386</v>
      </c>
      <c r="B47" s="26" t="s">
        <v>13</v>
      </c>
      <c r="C47" s="534" t="s">
        <v>59</v>
      </c>
      <c r="D47" s="535"/>
      <c r="E47" s="26">
        <v>55.56</v>
      </c>
      <c r="F47" s="27">
        <v>2188</v>
      </c>
      <c r="G47" s="365">
        <f t="shared" si="67"/>
        <v>121565.28</v>
      </c>
      <c r="H47" s="362" t="s">
        <v>52</v>
      </c>
      <c r="I47" s="363">
        <v>17</v>
      </c>
      <c r="J47" s="18">
        <v>2000</v>
      </c>
      <c r="K47" s="9">
        <f t="shared" si="68"/>
        <v>117.64705882352941</v>
      </c>
      <c r="L47" s="363">
        <v>17</v>
      </c>
      <c r="M47" s="10">
        <f t="shared" si="69"/>
        <v>1875.4285714285695</v>
      </c>
      <c r="N47" s="10">
        <f t="shared" si="71"/>
        <v>110.31932773109233</v>
      </c>
      <c r="O47" s="11">
        <f t="shared" si="72"/>
        <v>0</v>
      </c>
      <c r="P47" s="12">
        <f t="shared" si="73"/>
        <v>-7.3277310924370767</v>
      </c>
      <c r="Q47" s="367">
        <f t="shared" si="74"/>
        <v>0.93771428571428483</v>
      </c>
      <c r="R47" s="533"/>
      <c r="S47" s="24">
        <v>0.70833333333333337</v>
      </c>
      <c r="T47" s="24">
        <v>0.75694444444444453</v>
      </c>
      <c r="U47" s="365" t="str">
        <f t="shared" ref="U47:U49" si="75">IF(S47=TIME(17,0,0),"",(S47-T46)*24*60)</f>
        <v/>
      </c>
      <c r="V47" s="366">
        <f t="shared" si="70"/>
        <v>70.000000000000071</v>
      </c>
      <c r="W47" s="14"/>
      <c r="X47" s="14"/>
      <c r="Y47" s="368"/>
      <c r="Z47" s="369"/>
      <c r="AA47" s="11">
        <f t="shared" si="2"/>
        <v>-124.57142857143049</v>
      </c>
      <c r="AB47" s="367">
        <f t="shared" si="57"/>
        <v>0.93771428571428472</v>
      </c>
      <c r="AC47" s="533"/>
    </row>
    <row r="48" spans="1:29" ht="15.75" customHeight="1">
      <c r="A48" s="542" t="s">
        <v>1386</v>
      </c>
      <c r="B48" s="26" t="s">
        <v>13</v>
      </c>
      <c r="C48" s="371" t="s">
        <v>58</v>
      </c>
      <c r="D48" s="372"/>
      <c r="E48" s="26">
        <v>55.32</v>
      </c>
      <c r="F48" s="27">
        <v>1574</v>
      </c>
      <c r="G48" s="365">
        <f t="shared" si="67"/>
        <v>87073.680000000008</v>
      </c>
      <c r="H48" s="362" t="s">
        <v>52</v>
      </c>
      <c r="I48" s="363">
        <v>15</v>
      </c>
      <c r="J48" s="18">
        <v>2000</v>
      </c>
      <c r="K48" s="9">
        <f t="shared" si="68"/>
        <v>133.33333333333334</v>
      </c>
      <c r="L48" s="363">
        <v>15</v>
      </c>
      <c r="M48" s="10">
        <f t="shared" si="69"/>
        <v>1851.7647058823536</v>
      </c>
      <c r="N48" s="10">
        <f t="shared" si="71"/>
        <v>123.45098039215691</v>
      </c>
      <c r="O48" s="11">
        <f t="shared" si="72"/>
        <v>0</v>
      </c>
      <c r="P48" s="12">
        <f t="shared" si="73"/>
        <v>-9.8823529411764355</v>
      </c>
      <c r="Q48" s="367">
        <f t="shared" si="74"/>
        <v>0.92588235294117671</v>
      </c>
      <c r="R48" s="533"/>
      <c r="S48" s="24">
        <v>0.76180555555555562</v>
      </c>
      <c r="T48" s="24">
        <v>0.79722222222222228</v>
      </c>
      <c r="U48" s="365">
        <f t="shared" si="75"/>
        <v>6.9999999999999751</v>
      </c>
      <c r="V48" s="366">
        <f t="shared" si="70"/>
        <v>50.999999999999979</v>
      </c>
      <c r="W48" s="14"/>
      <c r="X48" s="14"/>
      <c r="Y48" s="368"/>
      <c r="Z48" s="369"/>
      <c r="AA48" s="11">
        <f t="shared" si="2"/>
        <v>-148.23529411764639</v>
      </c>
      <c r="AB48" s="367">
        <f t="shared" si="57"/>
        <v>0.92588235294117682</v>
      </c>
      <c r="AC48" s="533"/>
    </row>
    <row r="49" spans="1:29" ht="15.75" customHeight="1">
      <c r="A49" s="542" t="s">
        <v>383</v>
      </c>
      <c r="B49" s="26" t="s">
        <v>13</v>
      </c>
      <c r="C49" s="371" t="s">
        <v>60</v>
      </c>
      <c r="D49" s="372"/>
      <c r="E49" s="26">
        <v>57.73</v>
      </c>
      <c r="F49" s="27">
        <v>1414</v>
      </c>
      <c r="G49" s="365">
        <f t="shared" si="67"/>
        <v>81630.22</v>
      </c>
      <c r="H49" s="362" t="s">
        <v>52</v>
      </c>
      <c r="I49" s="363">
        <v>16</v>
      </c>
      <c r="J49" s="18">
        <v>1500</v>
      </c>
      <c r="K49" s="9">
        <f t="shared" si="68"/>
        <v>93.75</v>
      </c>
      <c r="L49" s="363">
        <v>16</v>
      </c>
      <c r="M49" s="10">
        <f t="shared" si="69"/>
        <v>1390.8196721311488</v>
      </c>
      <c r="N49" s="10">
        <f t="shared" si="71"/>
        <v>86.926229508196798</v>
      </c>
      <c r="O49" s="11">
        <f t="shared" si="72"/>
        <v>0</v>
      </c>
      <c r="P49" s="12">
        <f t="shared" si="73"/>
        <v>-6.8237704918032023</v>
      </c>
      <c r="Q49" s="367">
        <f t="shared" si="74"/>
        <v>0.92721311475409918</v>
      </c>
      <c r="R49" s="533"/>
      <c r="S49" s="24">
        <v>0.80277777777777781</v>
      </c>
      <c r="T49" s="24">
        <v>0.84513888888888888</v>
      </c>
      <c r="U49" s="365">
        <f t="shared" si="75"/>
        <v>7.9999999999999716</v>
      </c>
      <c r="V49" s="366">
        <f t="shared" si="70"/>
        <v>60.999999999999943</v>
      </c>
      <c r="W49" s="14"/>
      <c r="X49" s="14"/>
      <c r="Y49" s="368"/>
      <c r="Z49" s="369"/>
      <c r="AA49" s="11">
        <f t="shared" si="2"/>
        <v>-109.18032786885124</v>
      </c>
      <c r="AB49" s="367">
        <f t="shared" si="57"/>
        <v>0.92721311475409918</v>
      </c>
      <c r="AC49" s="533"/>
    </row>
    <row r="50" spans="1:29">
      <c r="A50" s="543" t="s">
        <v>1387</v>
      </c>
      <c r="B50" s="26" t="s">
        <v>82</v>
      </c>
      <c r="C50" s="530"/>
      <c r="D50" s="530"/>
      <c r="E50" s="370"/>
      <c r="F50" s="16"/>
      <c r="G50" s="9"/>
      <c r="H50" s="361"/>
      <c r="I50" s="17">
        <v>16.600000000000001</v>
      </c>
      <c r="J50" s="18">
        <v>1900</v>
      </c>
      <c r="K50" s="9">
        <f>J50/I50</f>
        <v>114.4578313253012</v>
      </c>
      <c r="L50" s="17">
        <v>16.600000000000001</v>
      </c>
      <c r="M50" s="10">
        <f>AVERAGE(M45:M49)</f>
        <v>1767.3734178812367</v>
      </c>
      <c r="N50" s="9">
        <f>M50/L50</f>
        <v>106.46827818561665</v>
      </c>
      <c r="O50" s="11">
        <f>L50-I50</f>
        <v>0</v>
      </c>
      <c r="P50" s="12">
        <f>N50-K50</f>
        <v>-7.9895531396845456</v>
      </c>
      <c r="Q50" s="367">
        <f>N50/K50</f>
        <v>0.93019653572696659</v>
      </c>
      <c r="R50" s="533"/>
      <c r="S50" s="25"/>
      <c r="T50" s="24"/>
      <c r="U50" s="9"/>
      <c r="V50" s="366"/>
      <c r="W50" s="9"/>
      <c r="X50" s="9"/>
      <c r="Y50" s="528"/>
      <c r="Z50" s="528"/>
      <c r="AA50" s="11">
        <f t="shared" si="2"/>
        <v>-132.62658211876328</v>
      </c>
      <c r="AB50" s="367">
        <f t="shared" si="57"/>
        <v>0.9301965357269667</v>
      </c>
      <c r="AC50" s="533"/>
    </row>
    <row r="51" spans="1:29" ht="15.75" customHeight="1">
      <c r="A51" s="538" t="s">
        <v>385</v>
      </c>
      <c r="B51" s="361" t="s">
        <v>1547</v>
      </c>
      <c r="C51" s="529" t="s">
        <v>1084</v>
      </c>
      <c r="D51" s="529"/>
      <c r="E51" s="26">
        <v>84.51</v>
      </c>
      <c r="F51" s="27">
        <v>6582</v>
      </c>
      <c r="G51" s="365">
        <f t="shared" ref="G51:G57" si="76">E51*F51</f>
        <v>556244.82000000007</v>
      </c>
      <c r="H51" s="362" t="s">
        <v>52</v>
      </c>
      <c r="I51" s="363">
        <v>17</v>
      </c>
      <c r="J51" s="18">
        <v>2400</v>
      </c>
      <c r="K51" s="9">
        <f t="shared" ref="K51:K57" si="77">J51/I51</f>
        <v>141.1764705882353</v>
      </c>
      <c r="L51" s="17">
        <v>17</v>
      </c>
      <c r="M51" s="10">
        <f t="shared" ref="M51:M57" si="78">F51/V51*60</f>
        <v>2231.1864406779664</v>
      </c>
      <c r="N51" s="9">
        <f>M51/L51</f>
        <v>131.24626121635097</v>
      </c>
      <c r="O51" s="11">
        <f t="shared" ref="O51:O57" si="79">L51-I51</f>
        <v>0</v>
      </c>
      <c r="P51" s="12">
        <f t="shared" ref="P51:P57" si="80">N51-K51</f>
        <v>-9.9302093718843309</v>
      </c>
      <c r="Q51" s="367">
        <f>N51/K51</f>
        <v>0.92966101694915271</v>
      </c>
      <c r="R51" s="533">
        <f>Q58</f>
        <v>0.94216315633367165</v>
      </c>
      <c r="S51" s="24">
        <v>0.125</v>
      </c>
      <c r="T51" s="24">
        <v>0.24791666666666667</v>
      </c>
      <c r="U51" s="365"/>
      <c r="V51" s="366">
        <f t="shared" ref="V51:V57" si="81">(T51-S51)*24*60</f>
        <v>177</v>
      </c>
      <c r="W51" s="15"/>
      <c r="X51" s="15"/>
      <c r="Y51" s="528"/>
      <c r="Z51" s="528"/>
      <c r="AA51" s="11">
        <f t="shared" si="2"/>
        <v>-168.8135593220336</v>
      </c>
      <c r="AB51" s="367">
        <f t="shared" si="57"/>
        <v>0.92966101694915271</v>
      </c>
      <c r="AC51" s="533">
        <f>AB58</f>
        <v>0.94216315633367165</v>
      </c>
    </row>
    <row r="52" spans="1:29" ht="15.75" customHeight="1">
      <c r="A52" s="538" t="s">
        <v>385</v>
      </c>
      <c r="B52" s="361" t="s">
        <v>32</v>
      </c>
      <c r="C52" s="529" t="s">
        <v>35</v>
      </c>
      <c r="D52" s="529"/>
      <c r="E52" s="26">
        <v>26.78</v>
      </c>
      <c r="F52" s="27">
        <v>2036</v>
      </c>
      <c r="G52" s="365">
        <f t="shared" si="76"/>
        <v>54524.08</v>
      </c>
      <c r="H52" s="362" t="s">
        <v>52</v>
      </c>
      <c r="I52" s="363">
        <v>10</v>
      </c>
      <c r="J52" s="18">
        <v>3000</v>
      </c>
      <c r="K52" s="9">
        <f t="shared" si="77"/>
        <v>300</v>
      </c>
      <c r="L52" s="17">
        <v>10</v>
      </c>
      <c r="M52" s="10">
        <f t="shared" si="78"/>
        <v>2840.9302325581389</v>
      </c>
      <c r="N52" s="9">
        <f t="shared" ref="N52:N57" si="82">M52/L52</f>
        <v>284.09302325581388</v>
      </c>
      <c r="O52" s="11">
        <f t="shared" si="79"/>
        <v>0</v>
      </c>
      <c r="P52" s="12">
        <f t="shared" si="80"/>
        <v>-15.906976744186125</v>
      </c>
      <c r="Q52" s="367">
        <f t="shared" ref="Q52:Q57" si="83">N52/K52</f>
        <v>0.94697674418604627</v>
      </c>
      <c r="R52" s="533"/>
      <c r="S52" s="24">
        <v>0.25208333333333333</v>
      </c>
      <c r="T52" s="24">
        <v>0.28194444444444444</v>
      </c>
      <c r="U52" s="365">
        <f>(S52-T51)*24*60</f>
        <v>5.9999999999999787</v>
      </c>
      <c r="V52" s="366">
        <f t="shared" si="81"/>
        <v>43.000000000000007</v>
      </c>
      <c r="W52" s="365"/>
      <c r="X52" s="365"/>
      <c r="Y52" s="528"/>
      <c r="Z52" s="528"/>
      <c r="AA52" s="11">
        <f t="shared" si="2"/>
        <v>-159.06976744186113</v>
      </c>
      <c r="AB52" s="367">
        <f t="shared" si="57"/>
        <v>0.94697674418604627</v>
      </c>
      <c r="AC52" s="533"/>
    </row>
    <row r="53" spans="1:29" ht="15.75" customHeight="1">
      <c r="A53" s="538" t="s">
        <v>1388</v>
      </c>
      <c r="B53" s="361" t="s">
        <v>32</v>
      </c>
      <c r="C53" s="529" t="s">
        <v>39</v>
      </c>
      <c r="D53" s="529"/>
      <c r="E53" s="26">
        <v>35.369999999999997</v>
      </c>
      <c r="F53" s="27">
        <v>1293</v>
      </c>
      <c r="G53" s="365">
        <f t="shared" si="76"/>
        <v>45733.409999999996</v>
      </c>
      <c r="H53" s="362" t="s">
        <v>52</v>
      </c>
      <c r="I53" s="363">
        <v>10</v>
      </c>
      <c r="J53" s="18">
        <v>3000</v>
      </c>
      <c r="K53" s="9">
        <f t="shared" si="77"/>
        <v>300</v>
      </c>
      <c r="L53" s="17">
        <v>10</v>
      </c>
      <c r="M53" s="10">
        <f t="shared" si="78"/>
        <v>2873.3333333333348</v>
      </c>
      <c r="N53" s="9">
        <f t="shared" si="82"/>
        <v>287.33333333333348</v>
      </c>
      <c r="O53" s="11">
        <f t="shared" si="79"/>
        <v>0</v>
      </c>
      <c r="P53" s="12">
        <f t="shared" si="80"/>
        <v>-12.666666666666515</v>
      </c>
      <c r="Q53" s="367">
        <f t="shared" si="83"/>
        <v>0.95777777777777828</v>
      </c>
      <c r="R53" s="533"/>
      <c r="S53" s="24">
        <v>0.28541666666666665</v>
      </c>
      <c r="T53" s="24">
        <v>0.30416666666666664</v>
      </c>
      <c r="U53" s="365">
        <f t="shared" ref="U53:U57" si="84">(S53-T52)*24*60</f>
        <v>4.9999999999999822</v>
      </c>
      <c r="V53" s="366">
        <f t="shared" si="81"/>
        <v>26.999999999999986</v>
      </c>
      <c r="W53" s="365"/>
      <c r="X53" s="365"/>
      <c r="Y53" s="528"/>
      <c r="Z53" s="528"/>
      <c r="AA53" s="11">
        <f t="shared" si="2"/>
        <v>-126.66666666666515</v>
      </c>
      <c r="AB53" s="367">
        <f t="shared" si="57"/>
        <v>0.95777777777777828</v>
      </c>
      <c r="AC53" s="533"/>
    </row>
    <row r="54" spans="1:29" ht="15.75" customHeight="1">
      <c r="A54" s="538" t="s">
        <v>385</v>
      </c>
      <c r="B54" s="361" t="s">
        <v>32</v>
      </c>
      <c r="C54" s="529" t="s">
        <v>38</v>
      </c>
      <c r="D54" s="529"/>
      <c r="E54" s="26">
        <v>34.35</v>
      </c>
      <c r="F54" s="27">
        <v>1188</v>
      </c>
      <c r="G54" s="365">
        <f t="shared" si="76"/>
        <v>40807.800000000003</v>
      </c>
      <c r="H54" s="362" t="s">
        <v>52</v>
      </c>
      <c r="I54" s="363">
        <v>10</v>
      </c>
      <c r="J54" s="18">
        <v>3000</v>
      </c>
      <c r="K54" s="9">
        <f t="shared" si="77"/>
        <v>300</v>
      </c>
      <c r="L54" s="17">
        <v>10</v>
      </c>
      <c r="M54" s="10">
        <f t="shared" si="78"/>
        <v>2851.2000000000007</v>
      </c>
      <c r="N54" s="9">
        <f t="shared" si="82"/>
        <v>285.12000000000006</v>
      </c>
      <c r="O54" s="11">
        <f t="shared" si="79"/>
        <v>0</v>
      </c>
      <c r="P54" s="12">
        <f t="shared" si="80"/>
        <v>-14.879999999999939</v>
      </c>
      <c r="Q54" s="367">
        <f t="shared" si="83"/>
        <v>0.95040000000000024</v>
      </c>
      <c r="R54" s="533"/>
      <c r="S54" s="24">
        <v>0.30902777777777773</v>
      </c>
      <c r="T54" s="24">
        <v>0.32638888888888884</v>
      </c>
      <c r="U54" s="365">
        <f t="shared" si="84"/>
        <v>6.9999999999999751</v>
      </c>
      <c r="V54" s="366">
        <f t="shared" si="81"/>
        <v>24.999999999999993</v>
      </c>
      <c r="W54" s="365"/>
      <c r="X54" s="365"/>
      <c r="Y54" s="528"/>
      <c r="Z54" s="528"/>
      <c r="AA54" s="11">
        <f t="shared" si="2"/>
        <v>-148.79999999999927</v>
      </c>
      <c r="AB54" s="367">
        <f t="shared" si="57"/>
        <v>0.95040000000000024</v>
      </c>
      <c r="AC54" s="533"/>
    </row>
    <row r="55" spans="1:29">
      <c r="A55" s="539" t="s">
        <v>1389</v>
      </c>
      <c r="B55" s="361" t="s">
        <v>15</v>
      </c>
      <c r="C55" s="529" t="s">
        <v>36</v>
      </c>
      <c r="D55" s="529"/>
      <c r="E55" s="26">
        <v>26.97</v>
      </c>
      <c r="F55" s="27">
        <v>2834</v>
      </c>
      <c r="G55" s="365">
        <f t="shared" si="76"/>
        <v>76432.98</v>
      </c>
      <c r="H55" s="362" t="s">
        <v>52</v>
      </c>
      <c r="I55" s="363">
        <v>8</v>
      </c>
      <c r="J55" s="18">
        <v>1500</v>
      </c>
      <c r="K55" s="9">
        <f t="shared" si="77"/>
        <v>187.5</v>
      </c>
      <c r="L55" s="17">
        <v>8</v>
      </c>
      <c r="M55" s="10">
        <f t="shared" si="78"/>
        <v>1393.7704918032789</v>
      </c>
      <c r="N55" s="9">
        <f t="shared" si="82"/>
        <v>174.22131147540986</v>
      </c>
      <c r="O55" s="11">
        <f t="shared" si="79"/>
        <v>0</v>
      </c>
      <c r="P55" s="12">
        <f t="shared" si="80"/>
        <v>-13.278688524590137</v>
      </c>
      <c r="Q55" s="367">
        <f t="shared" si="83"/>
        <v>0.92918032786885263</v>
      </c>
      <c r="R55" s="533"/>
      <c r="S55" s="24">
        <v>0.33124999999999993</v>
      </c>
      <c r="T55" s="24">
        <v>0.41597222222222213</v>
      </c>
      <c r="U55" s="365">
        <f t="shared" si="84"/>
        <v>6.9999999999999751</v>
      </c>
      <c r="V55" s="366">
        <f t="shared" si="81"/>
        <v>121.99999999999997</v>
      </c>
      <c r="W55" s="14"/>
      <c r="X55" s="14"/>
      <c r="Y55" s="528"/>
      <c r="Z55" s="528"/>
      <c r="AA55" s="11">
        <f t="shared" si="2"/>
        <v>-106.2295081967211</v>
      </c>
      <c r="AB55" s="367">
        <f t="shared" si="57"/>
        <v>0.92918032786885263</v>
      </c>
      <c r="AC55" s="533"/>
    </row>
    <row r="56" spans="1:29" ht="15" customHeight="1">
      <c r="A56" s="539" t="s">
        <v>1389</v>
      </c>
      <c r="B56" s="361" t="s">
        <v>32</v>
      </c>
      <c r="C56" s="534" t="s">
        <v>37</v>
      </c>
      <c r="D56" s="535"/>
      <c r="E56" s="26">
        <v>35.119999999999997</v>
      </c>
      <c r="F56" s="27">
        <v>1012</v>
      </c>
      <c r="G56" s="365">
        <f t="shared" si="76"/>
        <v>35541.439999999995</v>
      </c>
      <c r="H56" s="362" t="s">
        <v>52</v>
      </c>
      <c r="I56" s="363">
        <v>13</v>
      </c>
      <c r="J56" s="18">
        <v>2000</v>
      </c>
      <c r="K56" s="9">
        <f t="shared" si="77"/>
        <v>153.84615384615384</v>
      </c>
      <c r="L56" s="17">
        <v>13</v>
      </c>
      <c r="M56" s="10">
        <f t="shared" si="78"/>
        <v>1897.500000000002</v>
      </c>
      <c r="N56" s="9">
        <f t="shared" si="82"/>
        <v>145.96153846153862</v>
      </c>
      <c r="O56" s="11">
        <f t="shared" si="79"/>
        <v>0</v>
      </c>
      <c r="P56" s="12">
        <f t="shared" si="80"/>
        <v>-7.8846153846152163</v>
      </c>
      <c r="Q56" s="367">
        <f t="shared" si="83"/>
        <v>0.94875000000000109</v>
      </c>
      <c r="R56" s="533"/>
      <c r="S56" s="24">
        <v>0.41944444444444434</v>
      </c>
      <c r="T56" s="24">
        <v>0.44166666666666654</v>
      </c>
      <c r="U56" s="365">
        <f t="shared" si="84"/>
        <v>4.9999999999999822</v>
      </c>
      <c r="V56" s="366">
        <f t="shared" si="81"/>
        <v>31.999999999999964</v>
      </c>
      <c r="W56" s="365"/>
      <c r="X56" s="365"/>
      <c r="Y56" s="536"/>
      <c r="Z56" s="537"/>
      <c r="AA56" s="11">
        <f t="shared" si="2"/>
        <v>-102.49999999999795</v>
      </c>
      <c r="AB56" s="367">
        <f t="shared" si="57"/>
        <v>0.94875000000000098</v>
      </c>
      <c r="AC56" s="533"/>
    </row>
    <row r="57" spans="1:29">
      <c r="A57" s="539" t="s">
        <v>385</v>
      </c>
      <c r="B57" s="361" t="s">
        <v>32</v>
      </c>
      <c r="C57" s="371" t="s">
        <v>84</v>
      </c>
      <c r="D57" s="372"/>
      <c r="E57" s="26">
        <v>35.869999999999997</v>
      </c>
      <c r="F57" s="27">
        <v>2314</v>
      </c>
      <c r="G57" s="365">
        <f t="shared" si="76"/>
        <v>83003.179999999993</v>
      </c>
      <c r="H57" s="362" t="s">
        <v>52</v>
      </c>
      <c r="I57" s="363">
        <v>10</v>
      </c>
      <c r="J57" s="18">
        <v>3000</v>
      </c>
      <c r="K57" s="9">
        <f t="shared" si="77"/>
        <v>300</v>
      </c>
      <c r="L57" s="17">
        <v>10</v>
      </c>
      <c r="M57" s="10">
        <f t="shared" si="78"/>
        <v>2776.8000000000011</v>
      </c>
      <c r="N57" s="9">
        <f t="shared" si="82"/>
        <v>277.68000000000012</v>
      </c>
      <c r="O57" s="11">
        <f t="shared" si="79"/>
        <v>0</v>
      </c>
      <c r="P57" s="12">
        <f t="shared" si="80"/>
        <v>-22.319999999999879</v>
      </c>
      <c r="Q57" s="367">
        <f t="shared" si="83"/>
        <v>0.92560000000000042</v>
      </c>
      <c r="R57" s="533"/>
      <c r="S57" s="24">
        <v>0.44583333333333319</v>
      </c>
      <c r="T57" s="24">
        <v>0.4805555555555554</v>
      </c>
      <c r="U57" s="365">
        <f t="shared" si="84"/>
        <v>5.9999999999999787</v>
      </c>
      <c r="V57" s="366">
        <f t="shared" si="81"/>
        <v>49.999999999999986</v>
      </c>
      <c r="W57" s="14"/>
      <c r="X57" s="14"/>
      <c r="Y57" s="368"/>
      <c r="Z57" s="369"/>
      <c r="AA57" s="11">
        <f t="shared" si="2"/>
        <v>-223.19999999999891</v>
      </c>
      <c r="AB57" s="367">
        <f t="shared" si="57"/>
        <v>0.92560000000000031</v>
      </c>
      <c r="AC57" s="533"/>
    </row>
    <row r="58" spans="1:29">
      <c r="A58" s="539" t="s">
        <v>385</v>
      </c>
      <c r="B58" s="26" t="s">
        <v>1390</v>
      </c>
      <c r="C58" s="530"/>
      <c r="D58" s="530"/>
      <c r="E58" s="370"/>
      <c r="F58" s="16"/>
      <c r="G58" s="9"/>
      <c r="H58" s="361"/>
      <c r="I58" s="17">
        <v>11.142857142857142</v>
      </c>
      <c r="J58" s="18">
        <v>2557.1428571428573</v>
      </c>
      <c r="K58" s="9">
        <f>J58/I58</f>
        <v>229.4871794871795</v>
      </c>
      <c r="L58" s="17">
        <v>11.142857142857142</v>
      </c>
      <c r="M58" s="10">
        <f>AVERAGE(M51:M57)</f>
        <v>2409.2457854818176</v>
      </c>
      <c r="N58" s="9">
        <f>M58/L58</f>
        <v>216.21436536375288</v>
      </c>
      <c r="O58" s="11">
        <f>L58-I58</f>
        <v>0</v>
      </c>
      <c r="P58" s="12">
        <f>N58-K58</f>
        <v>-13.272814123426627</v>
      </c>
      <c r="Q58" s="367">
        <f>N58/K58</f>
        <v>0.94216315633367165</v>
      </c>
      <c r="R58" s="533"/>
      <c r="S58" s="24"/>
      <c r="T58" s="24"/>
      <c r="U58" s="9"/>
      <c r="V58" s="366"/>
      <c r="W58" s="9"/>
      <c r="X58" s="9"/>
      <c r="Y58" s="528"/>
      <c r="Z58" s="528"/>
      <c r="AA58" s="11">
        <f t="shared" si="2"/>
        <v>-147.89707166103972</v>
      </c>
      <c r="AB58" s="367">
        <f t="shared" si="57"/>
        <v>0.94216315633367165</v>
      </c>
      <c r="AC58" s="533"/>
    </row>
    <row r="59" spans="1:29" ht="15.75" customHeight="1">
      <c r="A59" s="531" t="s">
        <v>387</v>
      </c>
      <c r="B59" s="361" t="s">
        <v>24</v>
      </c>
      <c r="C59" s="529" t="s">
        <v>67</v>
      </c>
      <c r="D59" s="529"/>
      <c r="E59" s="26">
        <v>32.03</v>
      </c>
      <c r="F59" s="361">
        <v>624</v>
      </c>
      <c r="G59" s="365">
        <f t="shared" ref="G59:G64" si="85">E59*F59</f>
        <v>19986.72</v>
      </c>
      <c r="H59" s="362" t="s">
        <v>52</v>
      </c>
      <c r="I59" s="363">
        <v>19</v>
      </c>
      <c r="J59" s="18">
        <v>2400</v>
      </c>
      <c r="K59" s="9">
        <f t="shared" ref="K59:K61" si="86">J59/I59</f>
        <v>126.31578947368421</v>
      </c>
      <c r="L59" s="17">
        <v>19</v>
      </c>
      <c r="M59" s="10">
        <f>F59/V59*60</f>
        <v>2340.0000000000027</v>
      </c>
      <c r="N59" s="9">
        <f t="shared" ref="N59:N64" si="87">M59/L59</f>
        <v>123.15789473684225</v>
      </c>
      <c r="O59" s="11">
        <f t="shared" ref="O59:O64" si="88">L59-I59</f>
        <v>0</v>
      </c>
      <c r="P59" s="12">
        <f t="shared" ref="P59:P64" si="89">N59-K59</f>
        <v>-3.1578947368419534</v>
      </c>
      <c r="Q59" s="367">
        <f>N59/K59</f>
        <v>0.9750000000000012</v>
      </c>
      <c r="R59" s="533">
        <f>Q65</f>
        <v>0.93876268210633562</v>
      </c>
      <c r="S59" s="24">
        <v>0.125</v>
      </c>
      <c r="T59" s="24">
        <v>0.1361111111111111</v>
      </c>
      <c r="U59" s="15"/>
      <c r="V59" s="366">
        <f t="shared" ref="V59:V64" si="90">(T59-S59)*24*60</f>
        <v>15.999999999999982</v>
      </c>
      <c r="W59" s="14">
        <f>T59</f>
        <v>0.1361111111111111</v>
      </c>
      <c r="X59" s="14">
        <f>S60</f>
        <v>0.15763888888888888</v>
      </c>
      <c r="Y59" s="528"/>
      <c r="Z59" s="528"/>
      <c r="AA59" s="11">
        <f t="shared" si="2"/>
        <v>-59.999999999997272</v>
      </c>
      <c r="AB59" s="367">
        <f>M59/J59</f>
        <v>0.97500000000000109</v>
      </c>
      <c r="AC59" s="533">
        <f>AB65</f>
        <v>0.93876268210633551</v>
      </c>
    </row>
    <row r="60" spans="1:29" ht="15.75" customHeight="1">
      <c r="A60" s="531" t="s">
        <v>1391</v>
      </c>
      <c r="B60" s="361" t="s">
        <v>24</v>
      </c>
      <c r="C60" s="529" t="s">
        <v>51</v>
      </c>
      <c r="D60" s="529"/>
      <c r="E60" s="26">
        <v>20.2</v>
      </c>
      <c r="F60" s="361">
        <v>1905</v>
      </c>
      <c r="G60" s="365">
        <f t="shared" si="85"/>
        <v>38481</v>
      </c>
      <c r="H60" s="362" t="s">
        <v>52</v>
      </c>
      <c r="I60" s="363">
        <v>19</v>
      </c>
      <c r="J60" s="18">
        <v>2400</v>
      </c>
      <c r="K60" s="9">
        <f t="shared" si="86"/>
        <v>126.31578947368421</v>
      </c>
      <c r="L60" s="17">
        <v>19</v>
      </c>
      <c r="M60" s="10">
        <f t="shared" ref="M60:M64" si="91">F60/V60*60</f>
        <v>2241.176470588236</v>
      </c>
      <c r="N60" s="9">
        <f t="shared" si="87"/>
        <v>117.95665634674927</v>
      </c>
      <c r="O60" s="11">
        <f t="shared" si="88"/>
        <v>0</v>
      </c>
      <c r="P60" s="12">
        <f t="shared" si="89"/>
        <v>-8.3591331269349354</v>
      </c>
      <c r="Q60" s="367">
        <f t="shared" ref="Q60:Q65" si="92">N60/K60</f>
        <v>0.93382352941176505</v>
      </c>
      <c r="R60" s="533"/>
      <c r="S60" s="24">
        <v>0.15763888888888888</v>
      </c>
      <c r="T60" s="24">
        <v>0.19305555555555554</v>
      </c>
      <c r="U60" s="365">
        <f>(S60-T59)*24*60</f>
        <v>31.000000000000011</v>
      </c>
      <c r="V60" s="366">
        <f t="shared" si="90"/>
        <v>50.999999999999979</v>
      </c>
      <c r="W60" s="14"/>
      <c r="X60" s="14"/>
      <c r="Y60" s="528"/>
      <c r="Z60" s="528"/>
      <c r="AA60" s="11">
        <f t="shared" si="2"/>
        <v>-158.82352941176396</v>
      </c>
      <c r="AB60" s="367">
        <f t="shared" ref="AB60:AB65" si="93">M60/J60</f>
        <v>0.93382352941176505</v>
      </c>
      <c r="AC60" s="533"/>
    </row>
    <row r="61" spans="1:29" ht="15.75" customHeight="1">
      <c r="A61" s="531" t="s">
        <v>1392</v>
      </c>
      <c r="B61" s="361" t="s">
        <v>24</v>
      </c>
      <c r="C61" s="529" t="s">
        <v>41</v>
      </c>
      <c r="D61" s="529"/>
      <c r="E61" s="26">
        <v>19.02</v>
      </c>
      <c r="F61" s="361">
        <v>7770</v>
      </c>
      <c r="G61" s="365">
        <f t="shared" si="85"/>
        <v>147785.4</v>
      </c>
      <c r="H61" s="362" t="s">
        <v>52</v>
      </c>
      <c r="I61" s="363">
        <v>15</v>
      </c>
      <c r="J61" s="18">
        <v>2400</v>
      </c>
      <c r="K61" s="9">
        <f t="shared" si="86"/>
        <v>160</v>
      </c>
      <c r="L61" s="17">
        <v>15</v>
      </c>
      <c r="M61" s="10">
        <f t="shared" si="91"/>
        <v>2230.622009569378</v>
      </c>
      <c r="N61" s="9">
        <f t="shared" si="87"/>
        <v>148.70813397129186</v>
      </c>
      <c r="O61" s="11">
        <f t="shared" si="88"/>
        <v>0</v>
      </c>
      <c r="P61" s="12">
        <f t="shared" si="89"/>
        <v>-11.291866028708142</v>
      </c>
      <c r="Q61" s="367">
        <f t="shared" si="92"/>
        <v>0.92942583732057416</v>
      </c>
      <c r="R61" s="533"/>
      <c r="S61" s="24">
        <v>0.1986111111111111</v>
      </c>
      <c r="T61" s="24">
        <v>0.34375</v>
      </c>
      <c r="U61" s="365">
        <f t="shared" ref="U61:U64" si="94">(S61-T60)*24*60</f>
        <v>8.0000000000000107</v>
      </c>
      <c r="V61" s="366">
        <f t="shared" si="90"/>
        <v>209</v>
      </c>
      <c r="W61" s="14"/>
      <c r="X61" s="14"/>
      <c r="Y61" s="528"/>
      <c r="Z61" s="528"/>
      <c r="AA61" s="11">
        <f t="shared" si="2"/>
        <v>-169.37799043062205</v>
      </c>
      <c r="AB61" s="367">
        <f t="shared" si="93"/>
        <v>0.92942583732057416</v>
      </c>
      <c r="AC61" s="533"/>
    </row>
    <row r="62" spans="1:29" ht="15.75" customHeight="1">
      <c r="A62" s="531" t="s">
        <v>1393</v>
      </c>
      <c r="B62" s="361" t="s">
        <v>24</v>
      </c>
      <c r="C62" s="529" t="s">
        <v>42</v>
      </c>
      <c r="D62" s="529"/>
      <c r="E62" s="26">
        <v>25</v>
      </c>
      <c r="F62" s="361">
        <v>2846</v>
      </c>
      <c r="G62" s="365">
        <f t="shared" si="85"/>
        <v>71150</v>
      </c>
      <c r="H62" s="362" t="s">
        <v>52</v>
      </c>
      <c r="I62" s="363">
        <v>15</v>
      </c>
      <c r="J62" s="18">
        <v>2400</v>
      </c>
      <c r="K62" s="9">
        <f>J62/I62</f>
        <v>160</v>
      </c>
      <c r="L62" s="17">
        <v>15</v>
      </c>
      <c r="M62" s="10">
        <f t="shared" si="91"/>
        <v>2246.8421052631588</v>
      </c>
      <c r="N62" s="9">
        <f t="shared" si="87"/>
        <v>149.78947368421058</v>
      </c>
      <c r="O62" s="11">
        <f t="shared" si="88"/>
        <v>0</v>
      </c>
      <c r="P62" s="12">
        <f t="shared" si="89"/>
        <v>-10.210526315789423</v>
      </c>
      <c r="Q62" s="367">
        <f t="shared" si="92"/>
        <v>0.93618421052631606</v>
      </c>
      <c r="R62" s="533"/>
      <c r="S62" s="24">
        <v>0.34722222222222221</v>
      </c>
      <c r="T62" s="24">
        <v>0.39999999999999997</v>
      </c>
      <c r="U62" s="365">
        <f t="shared" si="94"/>
        <v>4.9999999999999822</v>
      </c>
      <c r="V62" s="366">
        <f t="shared" si="90"/>
        <v>75.999999999999972</v>
      </c>
      <c r="W62" s="14"/>
      <c r="X62" s="14"/>
      <c r="Y62" s="528"/>
      <c r="Z62" s="528"/>
      <c r="AA62" s="11">
        <f t="shared" si="2"/>
        <v>-153.15789473684117</v>
      </c>
      <c r="AB62" s="367">
        <f t="shared" si="93"/>
        <v>0.93618421052631617</v>
      </c>
      <c r="AC62" s="533"/>
    </row>
    <row r="63" spans="1:29" ht="15.75" customHeight="1">
      <c r="A63" s="531" t="s">
        <v>1393</v>
      </c>
      <c r="B63" s="361" t="s">
        <v>24</v>
      </c>
      <c r="C63" s="529" t="s">
        <v>77</v>
      </c>
      <c r="D63" s="529"/>
      <c r="E63" s="26">
        <v>28.51</v>
      </c>
      <c r="F63" s="361">
        <v>2868</v>
      </c>
      <c r="G63" s="365">
        <f t="shared" si="85"/>
        <v>81766.680000000008</v>
      </c>
      <c r="H63" s="362" t="s">
        <v>52</v>
      </c>
      <c r="I63" s="363">
        <v>19</v>
      </c>
      <c r="J63" s="18">
        <v>2400</v>
      </c>
      <c r="K63" s="9">
        <f t="shared" ref="K63:K65" si="95">J63/I63</f>
        <v>126.31578947368421</v>
      </c>
      <c r="L63" s="17">
        <v>19</v>
      </c>
      <c r="M63" s="10">
        <f t="shared" si="91"/>
        <v>2234.8051948051952</v>
      </c>
      <c r="N63" s="9">
        <f t="shared" si="87"/>
        <v>117.6213260423787</v>
      </c>
      <c r="O63" s="11">
        <f t="shared" si="88"/>
        <v>0</v>
      </c>
      <c r="P63" s="12">
        <f t="shared" si="89"/>
        <v>-8.6944634313055076</v>
      </c>
      <c r="Q63" s="367">
        <f t="shared" si="92"/>
        <v>0.93116883116883142</v>
      </c>
      <c r="R63" s="533"/>
      <c r="S63" s="24">
        <v>0.40416666666666662</v>
      </c>
      <c r="T63" s="24">
        <v>0.45763888888888882</v>
      </c>
      <c r="U63" s="365">
        <f t="shared" si="94"/>
        <v>5.9999999999999787</v>
      </c>
      <c r="V63" s="366">
        <f t="shared" si="90"/>
        <v>76.999999999999972</v>
      </c>
      <c r="W63" s="14"/>
      <c r="X63" s="14"/>
      <c r="Y63" s="528"/>
      <c r="Z63" s="528"/>
      <c r="AA63" s="11">
        <f t="shared" si="2"/>
        <v>-165.19480519480476</v>
      </c>
      <c r="AB63" s="367">
        <f t="shared" si="93"/>
        <v>0.93116883116883131</v>
      </c>
      <c r="AC63" s="533"/>
    </row>
    <row r="64" spans="1:29" ht="15.75" customHeight="1">
      <c r="A64" s="531" t="s">
        <v>1394</v>
      </c>
      <c r="B64" s="361" t="s">
        <v>24</v>
      </c>
      <c r="C64" s="529" t="s">
        <v>25</v>
      </c>
      <c r="D64" s="529"/>
      <c r="E64" s="26">
        <v>20.52</v>
      </c>
      <c r="F64" s="361">
        <v>2818</v>
      </c>
      <c r="G64" s="365">
        <f t="shared" si="85"/>
        <v>57825.36</v>
      </c>
      <c r="H64" s="362" t="s">
        <v>52</v>
      </c>
      <c r="I64" s="363">
        <v>18</v>
      </c>
      <c r="J64" s="18">
        <v>2400</v>
      </c>
      <c r="K64" s="9">
        <f t="shared" si="95"/>
        <v>133.33333333333334</v>
      </c>
      <c r="L64" s="17">
        <v>18</v>
      </c>
      <c r="M64" s="10">
        <f t="shared" si="91"/>
        <v>2224.7368421052615</v>
      </c>
      <c r="N64" s="9">
        <f t="shared" si="87"/>
        <v>123.59649122807008</v>
      </c>
      <c r="O64" s="11">
        <f t="shared" si="88"/>
        <v>0</v>
      </c>
      <c r="P64" s="12">
        <f t="shared" si="89"/>
        <v>-9.7368421052632641</v>
      </c>
      <c r="Q64" s="367">
        <f t="shared" si="92"/>
        <v>0.92697368421052551</v>
      </c>
      <c r="R64" s="533"/>
      <c r="S64" s="24">
        <v>0.46111111111111103</v>
      </c>
      <c r="T64" s="24">
        <v>0.51388888888888884</v>
      </c>
      <c r="U64" s="365">
        <f t="shared" si="94"/>
        <v>4.9999999999999822</v>
      </c>
      <c r="V64" s="366">
        <f t="shared" si="90"/>
        <v>76.000000000000057</v>
      </c>
      <c r="W64" s="14"/>
      <c r="X64" s="14"/>
      <c r="Y64" s="528"/>
      <c r="Z64" s="528"/>
      <c r="AA64" s="11">
        <f t="shared" si="2"/>
        <v>-175.26315789473847</v>
      </c>
      <c r="AB64" s="367">
        <f t="shared" si="93"/>
        <v>0.92697368421052562</v>
      </c>
      <c r="AC64" s="533"/>
    </row>
    <row r="65" spans="1:29" ht="16.5" customHeight="1">
      <c r="A65" s="532" t="s">
        <v>387</v>
      </c>
      <c r="B65" s="26" t="s">
        <v>82</v>
      </c>
      <c r="C65" s="530"/>
      <c r="D65" s="530"/>
      <c r="E65" s="370"/>
      <c r="F65" s="16"/>
      <c r="G65" s="9"/>
      <c r="H65" s="361"/>
      <c r="I65" s="17">
        <v>17.5</v>
      </c>
      <c r="J65" s="18">
        <v>2400</v>
      </c>
      <c r="K65" s="9">
        <f t="shared" si="95"/>
        <v>137.14285714285714</v>
      </c>
      <c r="L65" s="17">
        <v>17.5</v>
      </c>
      <c r="M65" s="10">
        <f>AVERAGE(M59:M64)</f>
        <v>2253.0304370552053</v>
      </c>
      <c r="N65" s="9">
        <f>M65/L65</f>
        <v>128.74459640315459</v>
      </c>
      <c r="O65" s="11">
        <f>L65-I65</f>
        <v>0</v>
      </c>
      <c r="P65" s="12">
        <f>N65-K65</f>
        <v>-8.3982607397025504</v>
      </c>
      <c r="Q65" s="367">
        <f t="shared" si="92"/>
        <v>0.93876268210633562</v>
      </c>
      <c r="R65" s="533"/>
      <c r="S65" s="24"/>
      <c r="T65" s="24"/>
      <c r="U65" s="9"/>
      <c r="V65" s="366"/>
      <c r="W65" s="9"/>
      <c r="X65" s="9"/>
      <c r="Y65" s="528"/>
      <c r="Z65" s="528"/>
      <c r="AA65" s="11">
        <f t="shared" si="2"/>
        <v>-146.96956294479469</v>
      </c>
      <c r="AB65" s="367">
        <f t="shared" si="93"/>
        <v>0.93876268210633551</v>
      </c>
      <c r="AC65" s="533"/>
    </row>
    <row r="66" spans="1:29">
      <c r="D66" s="19"/>
      <c r="E66" s="19"/>
    </row>
  </sheetData>
  <mergeCells count="176">
    <mergeCell ref="Y62:Z62"/>
    <mergeCell ref="C63:D63"/>
    <mergeCell ref="Y63:Z63"/>
    <mergeCell ref="A59:A65"/>
    <mergeCell ref="C59:D59"/>
    <mergeCell ref="R59:R65"/>
    <mergeCell ref="Y59:Z59"/>
    <mergeCell ref="AC59:AC65"/>
    <mergeCell ref="C60:D60"/>
    <mergeCell ref="Y60:Z60"/>
    <mergeCell ref="C61:D61"/>
    <mergeCell ref="Y61:Z61"/>
    <mergeCell ref="C62:D62"/>
    <mergeCell ref="C64:D64"/>
    <mergeCell ref="Y64:Z64"/>
    <mergeCell ref="C65:D65"/>
    <mergeCell ref="Y65:Z65"/>
    <mergeCell ref="A51:A58"/>
    <mergeCell ref="C51:D51"/>
    <mergeCell ref="R51:R58"/>
    <mergeCell ref="Y51:Z51"/>
    <mergeCell ref="AC51:AC58"/>
    <mergeCell ref="C52:D52"/>
    <mergeCell ref="Y52:Z52"/>
    <mergeCell ref="C53:D53"/>
    <mergeCell ref="Y53:Z53"/>
    <mergeCell ref="C54:D54"/>
    <mergeCell ref="Y54:Z54"/>
    <mergeCell ref="C55:D55"/>
    <mergeCell ref="Y55:Z55"/>
    <mergeCell ref="C56:D56"/>
    <mergeCell ref="Y56:Z56"/>
    <mergeCell ref="C58:D58"/>
    <mergeCell ref="Y58:Z58"/>
    <mergeCell ref="AC45:AC50"/>
    <mergeCell ref="C46:D46"/>
    <mergeCell ref="Y46:Z46"/>
    <mergeCell ref="C47:D47"/>
    <mergeCell ref="C50:D50"/>
    <mergeCell ref="Y50:Z50"/>
    <mergeCell ref="C44:D44"/>
    <mergeCell ref="Y44:Z44"/>
    <mergeCell ref="A45:A50"/>
    <mergeCell ref="C45:D45"/>
    <mergeCell ref="R45:R50"/>
    <mergeCell ref="Y45:Z45"/>
    <mergeCell ref="AC37:AC44"/>
    <mergeCell ref="C43:D43"/>
    <mergeCell ref="Y43:Z43"/>
    <mergeCell ref="A37:A44"/>
    <mergeCell ref="C37:D37"/>
    <mergeCell ref="R37:R44"/>
    <mergeCell ref="Y37:Z37"/>
    <mergeCell ref="C38:D38"/>
    <mergeCell ref="Y38:Z38"/>
    <mergeCell ref="C39:D39"/>
    <mergeCell ref="Y39:Z39"/>
    <mergeCell ref="C40:D40"/>
    <mergeCell ref="A30:A36"/>
    <mergeCell ref="C30:D30"/>
    <mergeCell ref="R30:R36"/>
    <mergeCell ref="Y30:Z30"/>
    <mergeCell ref="Y40:Z40"/>
    <mergeCell ref="C41:D41"/>
    <mergeCell ref="Y41:Z41"/>
    <mergeCell ref="C42:D42"/>
    <mergeCell ref="Y42:Z42"/>
    <mergeCell ref="AC30:AC36"/>
    <mergeCell ref="C31:D31"/>
    <mergeCell ref="Y31:Z31"/>
    <mergeCell ref="C32:D32"/>
    <mergeCell ref="Y32:Z32"/>
    <mergeCell ref="C33:D33"/>
    <mergeCell ref="AC24:AC29"/>
    <mergeCell ref="C25:D25"/>
    <mergeCell ref="Y25:Z25"/>
    <mergeCell ref="C26:D26"/>
    <mergeCell ref="Y26:Z26"/>
    <mergeCell ref="C27:D27"/>
    <mergeCell ref="Y27:Z27"/>
    <mergeCell ref="C28:D28"/>
    <mergeCell ref="Y28:Z28"/>
    <mergeCell ref="C29:D29"/>
    <mergeCell ref="Y33:Z33"/>
    <mergeCell ref="C34:D34"/>
    <mergeCell ref="Y34:Z34"/>
    <mergeCell ref="C35:D35"/>
    <mergeCell ref="Y35:Z35"/>
    <mergeCell ref="C36:D36"/>
    <mergeCell ref="Y36:Z36"/>
    <mergeCell ref="A24:A29"/>
    <mergeCell ref="C24:D24"/>
    <mergeCell ref="R24:R29"/>
    <mergeCell ref="Y24:Z24"/>
    <mergeCell ref="Y29:Z29"/>
    <mergeCell ref="C20:D20"/>
    <mergeCell ref="Y20:Z20"/>
    <mergeCell ref="C21:D21"/>
    <mergeCell ref="Y21:Z21"/>
    <mergeCell ref="C22:D22"/>
    <mergeCell ref="Y22:Z22"/>
    <mergeCell ref="AC17:AC23"/>
    <mergeCell ref="C18:D18"/>
    <mergeCell ref="Y18:Z18"/>
    <mergeCell ref="C19:D19"/>
    <mergeCell ref="Y19:Z19"/>
    <mergeCell ref="A13:A16"/>
    <mergeCell ref="C13:D13"/>
    <mergeCell ref="R13:R16"/>
    <mergeCell ref="Y13:Z13"/>
    <mergeCell ref="AC13:AC16"/>
    <mergeCell ref="C14:D14"/>
    <mergeCell ref="Y14:Z14"/>
    <mergeCell ref="C15:D15"/>
    <mergeCell ref="Y15:Z15"/>
    <mergeCell ref="C16:D16"/>
    <mergeCell ref="C23:D23"/>
    <mergeCell ref="Y23:Z23"/>
    <mergeCell ref="Y11:Z11"/>
    <mergeCell ref="C12:D12"/>
    <mergeCell ref="Y12:Z12"/>
    <mergeCell ref="C8:D8"/>
    <mergeCell ref="Y8:Z8"/>
    <mergeCell ref="Y16:Z16"/>
    <mergeCell ref="A17:A23"/>
    <mergeCell ref="C17:D17"/>
    <mergeCell ref="R17:R23"/>
    <mergeCell ref="Y17:Z17"/>
    <mergeCell ref="Y9:Z9"/>
    <mergeCell ref="AC9:AC12"/>
    <mergeCell ref="C10:D10"/>
    <mergeCell ref="Y10:Z10"/>
    <mergeCell ref="A3:A4"/>
    <mergeCell ref="B3:B4"/>
    <mergeCell ref="C3:D4"/>
    <mergeCell ref="E3:E4"/>
    <mergeCell ref="F3:F4"/>
    <mergeCell ref="G3:G4"/>
    <mergeCell ref="A9:A12"/>
    <mergeCell ref="C9:D9"/>
    <mergeCell ref="R9:R12"/>
    <mergeCell ref="C11:D11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I1:K2"/>
    <mergeCell ref="L1:N2"/>
    <mergeCell ref="O1:R2"/>
    <mergeCell ref="S1:X2"/>
    <mergeCell ref="Y1:Z2"/>
    <mergeCell ref="AA1:AC2"/>
    <mergeCell ref="R3:R4"/>
    <mergeCell ref="S3:T3"/>
    <mergeCell ref="H3:H4"/>
    <mergeCell ref="I3:I4"/>
    <mergeCell ref="J3:J4"/>
    <mergeCell ref="K3:K4"/>
    <mergeCell ref="L3:L4"/>
    <mergeCell ref="M3:M4"/>
    <mergeCell ref="V3:V4"/>
    <mergeCell ref="W3:X3"/>
    <mergeCell ref="Y3:Z4"/>
    <mergeCell ref="AA3:AA4"/>
    <mergeCell ref="AB3:AB4"/>
    <mergeCell ref="N3:N4"/>
    <mergeCell ref="O3:O4"/>
    <mergeCell ref="P3:P4"/>
    <mergeCell ref="Q3:Q4"/>
  </mergeCells>
  <phoneticPr fontId="3" type="noConversion"/>
  <conditionalFormatting sqref="O54:O65 O5:O9 O12:O14 O44:O51 O16:O42">
    <cfRule type="cellIs" dxfId="1307" priority="37" operator="greaterThan">
      <formula>0</formula>
    </cfRule>
  </conditionalFormatting>
  <conditionalFormatting sqref="P5:P7 P54:P57 AA54:AA57 P59:P64 P24:P28 P51 P9 P12:P14 P17:P22 P45:P49 P30:P42 AA5:AA51 AA59:AA65">
    <cfRule type="cellIs" dxfId="1306" priority="41" operator="lessThan">
      <formula>0</formula>
    </cfRule>
  </conditionalFormatting>
  <conditionalFormatting sqref="AB54:AB57 Q54:Q65 Q5:Q9 Q12:Q14 Q44:Q51 Q16:Q42 AB5:AB51 AB59:AB65">
    <cfRule type="cellIs" dxfId="1305" priority="38" operator="greaterThan">
      <formula>1</formula>
    </cfRule>
    <cfRule type="cellIs" dxfId="1304" priority="39" operator="lessThan">
      <formula>0.8</formula>
    </cfRule>
  </conditionalFormatting>
  <conditionalFormatting sqref="AC13:AC14 R13:R14 AC54 R54:R65 AC5:AC9 R5:R9 R16:R42 AC16:AC42 AC44:AC51 R44:R51">
    <cfRule type="cellIs" dxfId="1303" priority="43" operator="lessThan">
      <formula>0.8</formula>
    </cfRule>
  </conditionalFormatting>
  <conditionalFormatting sqref="AC37">
    <cfRule type="cellIs" dxfId="1302" priority="45" operator="lessThan">
      <formula>0.8</formula>
    </cfRule>
  </conditionalFormatting>
  <conditionalFormatting sqref="AC17:AC22">
    <cfRule type="cellIs" dxfId="1301" priority="42" operator="lessThan">
      <formula>0.8</formula>
    </cfRule>
  </conditionalFormatting>
  <conditionalFormatting sqref="AC24">
    <cfRule type="cellIs" dxfId="1300" priority="44" operator="lessThan">
      <formula>0.8</formula>
    </cfRule>
  </conditionalFormatting>
  <conditionalFormatting sqref="AC30:AC35">
    <cfRule type="cellIs" dxfId="1299" priority="40" operator="lessThan">
      <formula>0.8</formula>
    </cfRule>
  </conditionalFormatting>
  <conditionalFormatting sqref="AA58">
    <cfRule type="cellIs" dxfId="1298" priority="36" operator="lessThan">
      <formula>0</formula>
    </cfRule>
  </conditionalFormatting>
  <conditionalFormatting sqref="AB58">
    <cfRule type="cellIs" dxfId="1297" priority="34" operator="greaterThan">
      <formula>1</formula>
    </cfRule>
    <cfRule type="cellIs" dxfId="1296" priority="35" operator="lessThan">
      <formula>0.8</formula>
    </cfRule>
  </conditionalFormatting>
  <conditionalFormatting sqref="O15">
    <cfRule type="cellIs" dxfId="1295" priority="29" operator="greaterThan">
      <formula>0</formula>
    </cfRule>
  </conditionalFormatting>
  <conditionalFormatting sqref="P15">
    <cfRule type="cellIs" dxfId="1294" priority="32" operator="lessThan">
      <formula>0</formula>
    </cfRule>
  </conditionalFormatting>
  <conditionalFormatting sqref="Q15">
    <cfRule type="cellIs" dxfId="1293" priority="30" operator="greaterThan">
      <formula>1</formula>
    </cfRule>
    <cfRule type="cellIs" dxfId="1292" priority="31" operator="lessThan">
      <formula>0.8</formula>
    </cfRule>
  </conditionalFormatting>
  <conditionalFormatting sqref="R15 AC15">
    <cfRule type="cellIs" dxfId="1291" priority="33" operator="lessThan">
      <formula>0.8</formula>
    </cfRule>
  </conditionalFormatting>
  <conditionalFormatting sqref="O10:O11">
    <cfRule type="cellIs" dxfId="1290" priority="25" operator="greaterThan">
      <formula>0</formula>
    </cfRule>
  </conditionalFormatting>
  <conditionalFormatting sqref="P10:P11">
    <cfRule type="cellIs" dxfId="1289" priority="28" operator="lessThan">
      <formula>0</formula>
    </cfRule>
  </conditionalFormatting>
  <conditionalFormatting sqref="Q10:Q11">
    <cfRule type="cellIs" dxfId="1288" priority="26" operator="greaterThan">
      <formula>1</formula>
    </cfRule>
    <cfRule type="cellIs" dxfId="1287" priority="27" operator="lessThan">
      <formula>0.8</formula>
    </cfRule>
  </conditionalFormatting>
  <conditionalFormatting sqref="O53">
    <cfRule type="cellIs" dxfId="1286" priority="20" operator="greaterThan">
      <formula>0</formula>
    </cfRule>
  </conditionalFormatting>
  <conditionalFormatting sqref="P53 AA53">
    <cfRule type="cellIs" dxfId="1285" priority="23" operator="lessThan">
      <formula>0</formula>
    </cfRule>
  </conditionalFormatting>
  <conditionalFormatting sqref="Q53 AB53">
    <cfRule type="cellIs" dxfId="1284" priority="21" operator="greaterThan">
      <formula>1</formula>
    </cfRule>
    <cfRule type="cellIs" dxfId="1283" priority="22" operator="lessThan">
      <formula>0.8</formula>
    </cfRule>
  </conditionalFormatting>
  <conditionalFormatting sqref="R53 AC53">
    <cfRule type="cellIs" dxfId="1282" priority="24" operator="lessThan">
      <formula>0.8</formula>
    </cfRule>
  </conditionalFormatting>
  <conditionalFormatting sqref="O43">
    <cfRule type="cellIs" dxfId="1281" priority="14" operator="greaterThan">
      <formula>0</formula>
    </cfRule>
  </conditionalFormatting>
  <conditionalFormatting sqref="P43">
    <cfRule type="cellIs" dxfId="1280" priority="18" operator="lessThan">
      <formula>0</formula>
    </cfRule>
  </conditionalFormatting>
  <conditionalFormatting sqref="Q43">
    <cfRule type="cellIs" dxfId="1279" priority="15" operator="greaterThan">
      <formula>1</formula>
    </cfRule>
    <cfRule type="cellIs" dxfId="1278" priority="16" operator="lessThan">
      <formula>0.8</formula>
    </cfRule>
  </conditionalFormatting>
  <conditionalFormatting sqref="R43 AC43">
    <cfRule type="cellIs" dxfId="1277" priority="19" operator="lessThan">
      <formula>0.8</formula>
    </cfRule>
  </conditionalFormatting>
  <conditionalFormatting sqref="AC43">
    <cfRule type="cellIs" dxfId="1276" priority="17" operator="lessThan">
      <formula>0.8</formula>
    </cfRule>
  </conditionalFormatting>
  <conditionalFormatting sqref="O52">
    <cfRule type="cellIs" dxfId="1275" priority="9" operator="greaterThan">
      <formula>0</formula>
    </cfRule>
  </conditionalFormatting>
  <conditionalFormatting sqref="P52 AA52">
    <cfRule type="cellIs" dxfId="1274" priority="12" operator="lessThan">
      <formula>0</formula>
    </cfRule>
  </conditionalFormatting>
  <conditionalFormatting sqref="Q52 AB52">
    <cfRule type="cellIs" dxfId="1273" priority="10" operator="greaterThan">
      <formula>1</formula>
    </cfRule>
    <cfRule type="cellIs" dxfId="1272" priority="11" operator="lessThan">
      <formula>0.8</formula>
    </cfRule>
  </conditionalFormatting>
  <conditionalFormatting sqref="R52 AC52">
    <cfRule type="cellIs" dxfId="1271" priority="13" operator="lessThan">
      <formula>0.8</formula>
    </cfRule>
  </conditionalFormatting>
  <conditionalFormatting sqref="P8">
    <cfRule type="cellIs" dxfId="1270" priority="8" operator="lessThan">
      <formula>0</formula>
    </cfRule>
  </conditionalFormatting>
  <conditionalFormatting sqref="P16">
    <cfRule type="cellIs" dxfId="1269" priority="7" operator="lessThan">
      <formula>0</formula>
    </cfRule>
  </conditionalFormatting>
  <conditionalFormatting sqref="P23">
    <cfRule type="cellIs" dxfId="1268" priority="6" operator="lessThan">
      <formula>0</formula>
    </cfRule>
  </conditionalFormatting>
  <conditionalFormatting sqref="P29">
    <cfRule type="cellIs" dxfId="1267" priority="5" operator="lessThan">
      <formula>0</formula>
    </cfRule>
  </conditionalFormatting>
  <conditionalFormatting sqref="P44">
    <cfRule type="cellIs" dxfId="1266" priority="4" operator="lessThan">
      <formula>0</formula>
    </cfRule>
  </conditionalFormatting>
  <conditionalFormatting sqref="P50">
    <cfRule type="cellIs" dxfId="1265" priority="3" operator="lessThan">
      <formula>0</formula>
    </cfRule>
  </conditionalFormatting>
  <conditionalFormatting sqref="P58">
    <cfRule type="cellIs" dxfId="1264" priority="2" operator="lessThan">
      <formula>0</formula>
    </cfRule>
  </conditionalFormatting>
  <conditionalFormatting sqref="P65">
    <cfRule type="cellIs" dxfId="1263" priority="1" operator="lessThan">
      <formula>0</formula>
    </cfRule>
  </conditionalFormatting>
  <dataValidations count="1">
    <dataValidation type="list" allowBlank="1" showInputMessage="1" showErrorMessage="1" sqref="Z8 Z55:Z57 Y5:Z7 Y8:Y57 Z10:Z51 Y58:Z65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"/>
  <dimension ref="B1:Q68"/>
  <sheetViews>
    <sheetView zoomScale="80" zoomScaleNormal="80" workbookViewId="0">
      <selection activeCell="C3" sqref="C3:D3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521" t="s">
        <v>1326</v>
      </c>
      <c r="C1" s="521"/>
      <c r="D1" s="521"/>
      <c r="E1" s="521"/>
      <c r="F1" s="521"/>
      <c r="G1" s="521"/>
      <c r="H1" s="521"/>
      <c r="I1" s="521"/>
      <c r="J1" s="521"/>
      <c r="K1" s="28"/>
      <c r="L1" s="28"/>
      <c r="M1" s="28"/>
      <c r="N1" s="28"/>
      <c r="O1" s="28"/>
      <c r="P1" s="28"/>
    </row>
    <row r="2" spans="2:17" ht="27.75" customHeight="1">
      <c r="B2" s="522"/>
      <c r="C2" s="522"/>
      <c r="D2" s="522"/>
      <c r="E2" s="522"/>
      <c r="F2" s="522"/>
      <c r="G2" s="522"/>
      <c r="H2" s="522"/>
      <c r="I2" s="522"/>
      <c r="J2" s="522"/>
      <c r="K2" s="30"/>
      <c r="L2" s="324"/>
      <c r="M2" s="30"/>
      <c r="N2" s="28"/>
      <c r="O2" s="28"/>
      <c r="P2" s="28"/>
    </row>
    <row r="3" spans="2:17" ht="46.5" customHeight="1">
      <c r="B3" s="342" t="s">
        <v>1325</v>
      </c>
      <c r="C3" s="523" t="str">
        <f>TEXT('0822 4度C'!A2,"yyyy.mm.ddaaaa")</f>
        <v>2025.08.22星期五</v>
      </c>
      <c r="D3" s="523"/>
      <c r="E3" s="342" t="s">
        <v>1324</v>
      </c>
      <c r="F3" s="524">
        <f>'0822 4度C'!D1</f>
        <v>134952</v>
      </c>
      <c r="G3" s="524"/>
      <c r="H3" s="342" t="s">
        <v>1323</v>
      </c>
      <c r="I3" s="525">
        <f>'0822 4度C'!F1</f>
        <v>4909450.9800000014</v>
      </c>
      <c r="J3" s="525"/>
      <c r="K3" s="31"/>
      <c r="L3" s="325"/>
      <c r="M3" s="33"/>
      <c r="N3" s="33"/>
    </row>
    <row r="4" spans="2:17" ht="28.5" customHeight="1">
      <c r="B4" s="516" t="s">
        <v>1322</v>
      </c>
      <c r="C4" s="516" t="s">
        <v>1321</v>
      </c>
      <c r="D4" s="516"/>
      <c r="E4" s="526" t="s">
        <v>1320</v>
      </c>
      <c r="F4" s="526"/>
      <c r="G4" s="526" t="s">
        <v>1319</v>
      </c>
      <c r="H4" s="526"/>
      <c r="I4" s="527" t="s">
        <v>1318</v>
      </c>
      <c r="J4" s="527"/>
      <c r="L4" s="326"/>
      <c r="M4" s="33"/>
      <c r="N4" s="33"/>
    </row>
    <row r="5" spans="2:17" ht="28.5" customHeight="1">
      <c r="B5" s="516"/>
      <c r="C5" s="516" t="s">
        <v>1317</v>
      </c>
      <c r="D5" s="516"/>
      <c r="E5" s="516" t="s">
        <v>1316</v>
      </c>
      <c r="F5" s="516"/>
      <c r="G5" s="517" t="s">
        <v>1315</v>
      </c>
      <c r="H5" s="517"/>
      <c r="I5" s="518" t="s">
        <v>1314</v>
      </c>
      <c r="J5" s="518"/>
      <c r="K5" s="33"/>
      <c r="L5" s="326"/>
      <c r="M5" s="33"/>
      <c r="N5" s="33"/>
    </row>
    <row r="6" spans="2:17" ht="28.5" customHeight="1">
      <c r="B6" s="516"/>
      <c r="C6" s="516" t="s">
        <v>43</v>
      </c>
      <c r="D6" s="516"/>
      <c r="E6" s="519">
        <f>AVERAGE(D13:M13)</f>
        <v>145.79390661615201</v>
      </c>
      <c r="F6" s="516">
        <f>AVERAGE(D27:O27,D13:J13)</f>
        <v>150.4479206865964</v>
      </c>
      <c r="G6" s="520">
        <f>AVERAGE(D13:J13)</f>
        <v>150.4479206865964</v>
      </c>
      <c r="H6" s="520"/>
      <c r="I6" s="520">
        <f>AVERAGE(K13:M13)</f>
        <v>134.93454045178183</v>
      </c>
      <c r="J6" s="520"/>
      <c r="K6" s="33"/>
      <c r="L6" s="326"/>
      <c r="M6" s="33"/>
      <c r="N6" s="33"/>
    </row>
    <row r="7" spans="2:17" ht="28.5" customHeight="1">
      <c r="B7" s="516"/>
      <c r="C7" s="510" t="s">
        <v>44</v>
      </c>
      <c r="D7" s="510"/>
      <c r="E7" s="511">
        <f>AVERAGE(D14:M14)</f>
        <v>136.38903086371087</v>
      </c>
      <c r="F7" s="512">
        <f>AVERAGE(D28:O28,D14:J14)</f>
        <v>140.90988373286098</v>
      </c>
      <c r="G7" s="513">
        <f>AVERAGE(D14:J14)</f>
        <v>140.90988373286098</v>
      </c>
      <c r="H7" s="513"/>
      <c r="I7" s="513">
        <f>AVERAGE(K14:M14)</f>
        <v>125.84037416902733</v>
      </c>
      <c r="J7" s="513"/>
      <c r="K7" s="33"/>
      <c r="L7" s="326"/>
      <c r="M7" s="33"/>
      <c r="N7" s="33"/>
    </row>
    <row r="8" spans="2:17" ht="28.5" customHeight="1">
      <c r="B8" s="516"/>
      <c r="C8" s="510" t="s">
        <v>45</v>
      </c>
      <c r="D8" s="510"/>
      <c r="E8" s="514">
        <f>AVERAGE(D15:M15)</f>
        <v>0.93476067540831753</v>
      </c>
      <c r="F8" s="510">
        <f>AVERAGE(D15:J15,D29:O29)</f>
        <v>0.93568021786757127</v>
      </c>
      <c r="G8" s="515">
        <f>AVERAGE(D15:J15)</f>
        <v>0.93568021786757127</v>
      </c>
      <c r="H8" s="515"/>
      <c r="I8" s="515">
        <f>AVERAGE(K15:M15)</f>
        <v>0.93261507633672514</v>
      </c>
      <c r="J8" s="515"/>
      <c r="K8" s="34" t="s">
        <v>1313</v>
      </c>
      <c r="L8" s="326"/>
      <c r="M8" s="33"/>
      <c r="N8" s="33"/>
    </row>
    <row r="9" spans="2:17" ht="28.5" customHeight="1" thickBot="1">
      <c r="H9" s="36"/>
      <c r="I9" s="291"/>
      <c r="L9" s="291"/>
      <c r="N9" s="33"/>
      <c r="O9" s="33"/>
      <c r="P9" s="33"/>
      <c r="Q9" s="33"/>
    </row>
    <row r="10" spans="2:17" ht="30" customHeight="1">
      <c r="B10" s="501" t="s">
        <v>1312</v>
      </c>
      <c r="C10" s="502"/>
      <c r="D10" s="503" t="s">
        <v>1311</v>
      </c>
      <c r="E10" s="504"/>
      <c r="F10" s="504"/>
      <c r="G10" s="504"/>
      <c r="H10" s="504"/>
      <c r="I10" s="504"/>
      <c r="J10" s="505"/>
      <c r="K10" s="506" t="s">
        <v>1310</v>
      </c>
      <c r="L10" s="504"/>
      <c r="M10" s="507"/>
      <c r="P10" s="37"/>
      <c r="Q10" s="37"/>
    </row>
    <row r="11" spans="2:17" ht="17.25" customHeight="1">
      <c r="B11" s="493" t="s">
        <v>1309</v>
      </c>
      <c r="C11" s="494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292">
        <v>6</v>
      </c>
      <c r="J11" s="40">
        <v>7</v>
      </c>
      <c r="K11" s="38">
        <v>1</v>
      </c>
      <c r="L11" s="292">
        <v>2</v>
      </c>
      <c r="M11" s="40">
        <v>3</v>
      </c>
      <c r="P11" s="37"/>
      <c r="Q11" s="37"/>
    </row>
    <row r="12" spans="2:17" ht="34.15" customHeight="1">
      <c r="B12" s="493"/>
      <c r="C12" s="494"/>
      <c r="D12" s="41" t="s">
        <v>345</v>
      </c>
      <c r="E12" s="42" t="s">
        <v>346</v>
      </c>
      <c r="F12" s="42" t="s">
        <v>347</v>
      </c>
      <c r="G12" s="42" t="s">
        <v>348</v>
      </c>
      <c r="H12" s="42" t="s">
        <v>349</v>
      </c>
      <c r="I12" s="293" t="s">
        <v>350</v>
      </c>
      <c r="J12" s="43" t="s">
        <v>351</v>
      </c>
      <c r="K12" s="41" t="s">
        <v>352</v>
      </c>
      <c r="L12" s="293" t="s">
        <v>353</v>
      </c>
      <c r="M12" s="43" t="s">
        <v>354</v>
      </c>
    </row>
    <row r="13" spans="2:17" ht="40.15" customHeight="1">
      <c r="B13" s="508" t="s">
        <v>1308</v>
      </c>
      <c r="C13" s="44" t="s">
        <v>1307</v>
      </c>
      <c r="D13" s="45">
        <f>SUMIFS('0822 4度C'!$K:$K,'0822 4度C'!$A:$A,"新豐6線",'0822 4度C'!$B:$B,"平均")</f>
        <v>117.64705882352941</v>
      </c>
      <c r="E13" s="46">
        <f>SUMIFS('0822 4度C'!$K:$K,'0822 4度C'!$A:$A,"新豐2線",'0822 4度C'!$B:$B,"平均")</f>
        <v>81.818181818181827</v>
      </c>
      <c r="F13" s="47">
        <f>SUMIFS('0822 4度C'!$K:$K,'0822 4度C'!$A:$A,"新豐5線",'0822 4度C'!$B:$B,"平均")</f>
        <v>93.220338983050837</v>
      </c>
      <c r="G13" s="47">
        <f>SUMIFS('0822 4度C'!$K:$K,'0822 4度C'!$A:$A,"新豐7線",'0822 4度C'!$B:$B,"平均")</f>
        <v>116.50485436893203</v>
      </c>
      <c r="H13" s="47">
        <f>SUMIFS('0822 4度C'!$K:$K,'0822 4度C'!$A:$A,"新豐3線",'0822 4度C'!$B:$B,"平均")</f>
        <v>300</v>
      </c>
      <c r="I13" s="294">
        <f>SUMIFS('0822 4度C'!$K:$K,'0822 4度C'!$A:$A,"新豐1線",'0822 4度C'!$B:$B,"平均")</f>
        <v>114.4578313253012</v>
      </c>
      <c r="J13" s="48">
        <f>SUMIFS('0822 4度C'!$K:$K,'0822 4度C'!$A:$A,"新豐10線",'0822 4度C'!$B:$B,"平均")</f>
        <v>229.4871794871795</v>
      </c>
      <c r="K13" s="49">
        <f>SUMIFS('0822 4度C'!$K:$K,'0822 4度C'!$A:$A,"新豐8線",'0822 4度C'!$B:$B,"平均")</f>
        <v>137.93103448275863</v>
      </c>
      <c r="L13" s="301">
        <f>SUMIFS('0822 4度C'!$K:$K,'0822 4度C'!$A:$A,"新豐9線",'0822 4度C'!$B:$B,"平均")</f>
        <v>129.72972972972974</v>
      </c>
      <c r="M13" s="48">
        <f>SUMIFS('0822 4度C'!$K:$K,'0822 4度C'!$A:$A,"新豐4線",'0822 4度C'!$B:$B,"平均")</f>
        <v>137.14285714285714</v>
      </c>
    </row>
    <row r="14" spans="2:17" ht="39.6" customHeight="1">
      <c r="B14" s="508"/>
      <c r="C14" s="51" t="s">
        <v>1306</v>
      </c>
      <c r="D14" s="52">
        <f>SUMIFS('0822 4度C'!$N:$N,'0822 4度C'!$A:$A,"新豐6線",'0822 4度C'!$B:$B,"平均")</f>
        <v>110.32670769851698</v>
      </c>
      <c r="E14" s="53">
        <f>SUMIFS('0822 4度C'!$N:$N,'0822 4度C'!$A:$A,"新豐2線",'0822 4度C'!$B:$B,"平均")</f>
        <v>75.857752839261764</v>
      </c>
      <c r="F14" s="53">
        <f>SUMIFS('0822 4度C'!$N:$N,'0822 4度C'!$A:$A,"新豐5線",'0822 4度C'!$B:$B,"平均")</f>
        <v>86.829908148022753</v>
      </c>
      <c r="G14" s="53">
        <f>SUMIFS('0822 4度C'!$N:$N,'0822 4度C'!$A:$A,"新豐7線",'0822 4度C'!$B:$B,"平均")</f>
        <v>109.77379457112475</v>
      </c>
      <c r="H14" s="53">
        <f>SUMIFS('0822 4度C'!$N:$N,'0822 4度C'!$A:$A,"新豐3線",'0822 4度C'!$B:$B,"平均")</f>
        <v>280.85523475897537</v>
      </c>
      <c r="I14" s="295">
        <f>SUMIFS('0822 4度C'!$N:$N,'0822 4度C'!$A:$A,"新豐1線",'0822 4度C'!$B:$B,"平均")</f>
        <v>107.02298081213743</v>
      </c>
      <c r="J14" s="54">
        <f>SUMIFS('0822 4度C'!$N:$N,'0822 4度C'!$A:$A,"新豐10線",'0822 4度C'!$B:$B,"平均")</f>
        <v>215.70280730198769</v>
      </c>
      <c r="K14" s="55">
        <f>SUMIFS('0822 4度C'!$N:$N,'0822 4度C'!$A:$A,"新豐8線",'0822 4度C'!$B:$B,"平均")</f>
        <v>128.40882040750776</v>
      </c>
      <c r="L14" s="302">
        <f>SUMIFS('0822 4度C'!$N:$N,'0822 4度C'!$A:$A,"新豐9線",'0822 4度C'!$B:$B,"平均")</f>
        <v>121.04978779123788</v>
      </c>
      <c r="M14" s="54">
        <f>SUMIFS('0822 4度C'!$N:$N,'0822 4度C'!$A:$A,"新豐4線",'0822 4度C'!$B:$B,"平均")</f>
        <v>128.06251430833635</v>
      </c>
    </row>
    <row r="15" spans="2:17" ht="40.15" customHeight="1">
      <c r="B15" s="508"/>
      <c r="C15" s="57" t="s">
        <v>1305</v>
      </c>
      <c r="D15" s="58">
        <f t="shared" ref="D15:M15" si="0">D14/D13</f>
        <v>0.93777701543739445</v>
      </c>
      <c r="E15" s="59">
        <f t="shared" si="0"/>
        <v>0.9271503124798659</v>
      </c>
      <c r="F15" s="59">
        <f t="shared" si="0"/>
        <v>0.93144810558788049</v>
      </c>
      <c r="G15" s="59">
        <f t="shared" si="0"/>
        <v>0.94222507006882084</v>
      </c>
      <c r="H15" s="59">
        <f t="shared" si="0"/>
        <v>0.93618411586325123</v>
      </c>
      <c r="I15" s="296">
        <f t="shared" si="0"/>
        <v>0.93504288499025345</v>
      </c>
      <c r="J15" s="60">
        <f t="shared" si="0"/>
        <v>0.93993402064553289</v>
      </c>
      <c r="K15" s="58">
        <f t="shared" si="0"/>
        <v>0.93096394795443116</v>
      </c>
      <c r="L15" s="296">
        <f t="shared" si="0"/>
        <v>0.93309211422412519</v>
      </c>
      <c r="M15" s="60">
        <f t="shared" si="0"/>
        <v>0.93378916683161928</v>
      </c>
    </row>
    <row r="16" spans="2:17" ht="17.25" customHeight="1">
      <c r="B16" s="509" t="s">
        <v>1304</v>
      </c>
      <c r="C16" s="341" t="s">
        <v>1303</v>
      </c>
      <c r="D16" s="61">
        <f>VLOOKUP("新豐6線",'0822 4度C'!$A:$T,19,0)</f>
        <v>0.70833333333333337</v>
      </c>
      <c r="E16" s="24">
        <f>VLOOKUP("新豐2線",'0822 4度C'!$A:$T,19,0)</f>
        <v>0.125</v>
      </c>
      <c r="F16" s="24">
        <f>VLOOKUP("新豐5線",'0822 4度C'!$A:$T,19,0)</f>
        <v>0.25</v>
      </c>
      <c r="G16" s="24">
        <f>VLOOKUP("新豐7線",'0822 4度C'!$A:$T,19,0)</f>
        <v>0.20833333333333334</v>
      </c>
      <c r="H16" s="24">
        <f>VLOOKUP("新豐3線",'0822 4度C'!$A:$T,19,0)</f>
        <v>0.125</v>
      </c>
      <c r="I16" s="297">
        <f>VLOOKUP("新豐1線",'0822 4度C'!$A:$T,19,0)</f>
        <v>0.29166666666666669</v>
      </c>
      <c r="J16" s="62">
        <f>VLOOKUP("新豐10線",'0822 4度C'!$A:$T,19,0)</f>
        <v>0.125</v>
      </c>
      <c r="K16" s="63">
        <f>VLOOKUP("新豐8線",'0822 4度C'!$A:$T,19,0)</f>
        <v>0.125</v>
      </c>
      <c r="L16" s="303">
        <f>VLOOKUP("新豐9線",'0822 4度C'!$A:$T,19,0)</f>
        <v>8.3333333333333329E-2</v>
      </c>
      <c r="M16" s="65">
        <f>VLOOKUP("新豐4線",'0822 4度C'!$A:$T,19,0)</f>
        <v>0.125</v>
      </c>
    </row>
    <row r="17" spans="2:13" ht="17.25" customHeight="1">
      <c r="B17" s="493"/>
      <c r="C17" s="341" t="s">
        <v>1302</v>
      </c>
      <c r="D17" s="63">
        <f>LOOKUP(2,1/(('0822 4度C'!$A:$A="新豐6線")*('0822 4度C'!$T:$T&lt;&gt;"")),'0822 4度C'!$T:$T)</f>
        <v>0.8076388888888888</v>
      </c>
      <c r="E17" s="24">
        <f>LOOKUP(2,1/(('0822 4度C'!$A:$A="新豐2線")*('0822 4度C'!$T:$T&lt;&gt;"")),'0822 4度C'!$T:$T)</f>
        <v>0.51041666666666663</v>
      </c>
      <c r="F17" s="24">
        <f>LOOKUP(2,1/(('0822 4度C'!$A:$A="新豐5線")*('0822 4度C'!$T:$T&lt;&gt;"")),'0822 4度C'!$T:$T)</f>
        <v>0.81805555555555565</v>
      </c>
      <c r="G17" s="24">
        <f>LOOKUP(2,1/(('0822 4度C'!$A:$A="新豐7線")*('0822 4度C'!$T:$T&lt;&gt;"")),'0822 4度C'!$T:$T)</f>
        <v>0.78680555555555554</v>
      </c>
      <c r="H17" s="24">
        <f>LOOKUP(2,1/(('0822 4度C'!$A:$A="新豐3線")*('0822 4度C'!$T:$T&lt;&gt;"")),'0822 4度C'!$T:$T)</f>
        <v>0.44722222222222208</v>
      </c>
      <c r="I17" s="297">
        <f>LOOKUP(2,1/(('0822 4度C'!$A:$A="新豐1線")*('0822 4度C'!$T:$T&lt;&gt;"")),'0822 4度C'!$T:$T)</f>
        <v>0.82430555555555551</v>
      </c>
      <c r="J17" s="62">
        <f>LOOKUP(2,1/(('0822 4度C'!$A:$A="新豐10線")*('0822 4度C'!$T:$T&lt;&gt;"")),'0822 4度C'!$T:$T)</f>
        <v>0.47708333333333319</v>
      </c>
      <c r="K17" s="61">
        <f>LOOKUP(2,1/(('0822 4度C'!$A:$A="新豐8線")*('0822 4度C'!$T:$T&lt;&gt;"")),'0822 4度C'!$T:$T)</f>
        <v>0.47916666666666663</v>
      </c>
      <c r="L17" s="297">
        <f>LOOKUP(2,1/(('0822 4度C'!$A:$A="新豐9線")*('0822 4度C'!$T:$T&lt;&gt;"")),'0822 4度C'!$T:$T)</f>
        <v>0.49999999999999994</v>
      </c>
      <c r="M17" s="62">
        <f>LOOKUP(2,1/(('0822 4度C'!$A:$A="新豐4線")*('0822 4度C'!$T:$T&lt;&gt;"")),'0822 4度C'!$T:$T)</f>
        <v>0.51736111111111116</v>
      </c>
    </row>
    <row r="18" spans="2:13" ht="17.25" customHeight="1">
      <c r="B18" s="493" t="s">
        <v>1301</v>
      </c>
      <c r="C18" s="494"/>
      <c r="D18" s="66">
        <f>SUMIFS('0822 4度C'!$I:$I,'0822 4度C'!$A:$A,"新豐6線",'0822 4度C'!$B:$B,"平均")</f>
        <v>17</v>
      </c>
      <c r="E18" s="67">
        <f>SUMIFS('0822 4度C'!$I:$I,'0822 4度C'!$A:$A,"新豐2線",'0822 4度C'!$B:$B,"平均")</f>
        <v>18.333333333333332</v>
      </c>
      <c r="F18" s="67">
        <f>SUMIFS('0822 4度C'!$I:$I,'0822 4度C'!$A:$A,"新豐5線",'0822 4度C'!$B:$B,"平均")</f>
        <v>19.666666666666668</v>
      </c>
      <c r="G18" s="67">
        <f>SUMIFS('0822 4度C'!$I:$I,'0822 4度C'!$A:$A,"新豐7線",'0822 4度C'!$B:$B,"平均")</f>
        <v>17.166666666666668</v>
      </c>
      <c r="H18" s="67">
        <f>SUMIFS('0822 4度C'!$I:$I,'0822 4度C'!$A:$A,"新豐3線",'0822 4度C'!$B:$B,"平均")</f>
        <v>10</v>
      </c>
      <c r="I18" s="298">
        <f>SUMIFS('0822 4度C'!$I:$I,'0822 4度C'!$A:$A,"新豐1線",'0822 4度C'!$B:$B,"平均")</f>
        <v>16.600000000000001</v>
      </c>
      <c r="J18" s="68">
        <f>SUMIFS('0822 4度C'!$I:$I,'0822 4度C'!$A:$A,"新豐10線",'0822 4度C'!$B:$B,"平均")</f>
        <v>11.142857142857142</v>
      </c>
      <c r="K18" s="66">
        <f>SUMIFS('0822 4度C'!$I:$I,'0822 4度C'!$A:$A,"新豐8線",'0822 4度C'!$B:$B,"平均")</f>
        <v>17.399999999999999</v>
      </c>
      <c r="L18" s="298">
        <f>SUMIFS('0822 4度C'!$I:$I,'0822 4度C'!$A:$A,"新豐9線",'0822 4度C'!$B:$B,"平均")</f>
        <v>18.5</v>
      </c>
      <c r="M18" s="68">
        <f>SUMIFS('0822 4度C'!$I:$I,'0822 4度C'!$A:$A,"新豐4線",'0822 4度C'!$B:$B,"平均")</f>
        <v>17.5</v>
      </c>
    </row>
    <row r="19" spans="2:13" ht="17.25" customHeight="1">
      <c r="B19" s="495" t="s">
        <v>1300</v>
      </c>
      <c r="C19" s="496"/>
      <c r="D19" s="69" t="s">
        <v>46</v>
      </c>
      <c r="E19" s="70" t="s">
        <v>47</v>
      </c>
      <c r="F19" s="70" t="s">
        <v>1299</v>
      </c>
      <c r="G19" s="70" t="s">
        <v>1299</v>
      </c>
      <c r="H19" s="70" t="s">
        <v>48</v>
      </c>
      <c r="I19" s="299" t="s">
        <v>46</v>
      </c>
      <c r="J19" s="71" t="s">
        <v>48</v>
      </c>
      <c r="K19" s="69" t="s">
        <v>1298</v>
      </c>
      <c r="L19" s="299" t="s">
        <v>1298</v>
      </c>
      <c r="M19" s="71" t="s">
        <v>1298</v>
      </c>
    </row>
    <row r="20" spans="2:13" ht="17.25" customHeight="1">
      <c r="B20" s="495" t="s">
        <v>1297</v>
      </c>
      <c r="C20" s="496"/>
      <c r="D20" s="69"/>
      <c r="E20" s="70"/>
      <c r="F20" s="70" t="s">
        <v>1296</v>
      </c>
      <c r="G20" s="70" t="s">
        <v>46</v>
      </c>
      <c r="H20" s="70"/>
      <c r="I20" s="299"/>
      <c r="J20" s="71"/>
      <c r="K20" s="69"/>
      <c r="L20" s="299"/>
      <c r="M20" s="71"/>
    </row>
    <row r="21" spans="2:13" ht="17.25" customHeight="1" thickBot="1">
      <c r="B21" s="497" t="s">
        <v>1295</v>
      </c>
      <c r="C21" s="498"/>
      <c r="D21" s="72"/>
      <c r="E21" s="73" t="s">
        <v>1294</v>
      </c>
      <c r="F21" s="499" t="s">
        <v>1293</v>
      </c>
      <c r="G21" s="500"/>
      <c r="H21" s="73" t="s">
        <v>1291</v>
      </c>
      <c r="I21" s="300" t="s">
        <v>1292</v>
      </c>
      <c r="J21" s="74" t="s">
        <v>1291</v>
      </c>
      <c r="K21" s="75"/>
      <c r="L21" s="300"/>
      <c r="M21" s="74"/>
    </row>
    <row r="22" spans="2:13" ht="17.25" customHeight="1">
      <c r="F22" s="291"/>
      <c r="G22" s="291"/>
      <c r="H22" s="291"/>
      <c r="I22" s="291"/>
      <c r="J22" s="291"/>
      <c r="K22" s="291"/>
      <c r="L22" s="291"/>
    </row>
    <row r="23" spans="2:13" ht="17.25" customHeight="1">
      <c r="F23" s="291"/>
      <c r="G23" s="291"/>
      <c r="H23" s="291"/>
      <c r="I23" s="291"/>
      <c r="J23" s="291"/>
      <c r="K23" s="291"/>
      <c r="L23" s="291"/>
    </row>
    <row r="24" spans="2:13" ht="17.25" customHeight="1">
      <c r="F24" s="291"/>
      <c r="G24" s="291"/>
      <c r="H24" s="291"/>
      <c r="I24" s="291"/>
      <c r="J24" s="291"/>
      <c r="K24" s="291"/>
      <c r="L24" s="291"/>
    </row>
    <row r="25" spans="2:13" ht="37.5" customHeight="1">
      <c r="F25" s="291"/>
      <c r="G25" s="291"/>
      <c r="H25" s="291"/>
      <c r="I25" s="291"/>
      <c r="J25" s="291"/>
      <c r="K25" s="291"/>
      <c r="L25" s="291"/>
    </row>
    <row r="26" spans="2:13" ht="35.25" customHeight="1">
      <c r="F26" s="291"/>
      <c r="G26" s="291"/>
      <c r="H26" s="291"/>
      <c r="I26" s="291"/>
      <c r="J26" s="291"/>
      <c r="K26" s="291"/>
      <c r="L26" s="291"/>
    </row>
    <row r="27" spans="2:13" ht="35.25" customHeight="1">
      <c r="F27" s="291"/>
      <c r="G27" s="291"/>
      <c r="H27" s="291"/>
      <c r="I27" s="291"/>
      <c r="J27" s="291"/>
      <c r="K27" s="291"/>
      <c r="L27" s="291"/>
    </row>
    <row r="28" spans="2:13" ht="39.75" customHeight="1">
      <c r="F28" s="291"/>
      <c r="G28" s="291"/>
      <c r="H28" s="291"/>
      <c r="I28" s="291"/>
      <c r="J28" s="291"/>
      <c r="K28" s="291"/>
      <c r="L28" s="291"/>
    </row>
    <row r="29" spans="2:13">
      <c r="F29" s="291"/>
      <c r="G29" s="291"/>
      <c r="H29" s="291"/>
      <c r="I29" s="291"/>
      <c r="J29" s="291"/>
      <c r="K29" s="291"/>
      <c r="L29" s="291"/>
    </row>
    <row r="30" spans="2:13">
      <c r="F30" s="291"/>
      <c r="G30" s="291"/>
      <c r="H30" s="291"/>
      <c r="I30" s="291"/>
      <c r="J30" s="291"/>
      <c r="K30" s="291"/>
      <c r="L30" s="291"/>
    </row>
    <row r="31" spans="2:13">
      <c r="F31" s="291"/>
      <c r="G31" s="291"/>
      <c r="H31" s="291"/>
      <c r="I31" s="291"/>
      <c r="J31" s="291"/>
      <c r="K31" s="291"/>
      <c r="L31" s="291"/>
    </row>
    <row r="32" spans="2:13">
      <c r="F32" s="291"/>
      <c r="G32" s="291"/>
      <c r="H32" s="291"/>
      <c r="I32" s="291"/>
      <c r="J32" s="291"/>
      <c r="K32" s="291"/>
      <c r="L32" s="291"/>
    </row>
    <row r="33" spans="6:12">
      <c r="F33" s="291"/>
      <c r="G33" s="291"/>
      <c r="H33" s="291"/>
      <c r="I33" s="291"/>
      <c r="J33" s="291"/>
      <c r="K33" s="291"/>
      <c r="L33" s="291"/>
    </row>
    <row r="34" spans="6:12">
      <c r="F34" s="291"/>
      <c r="G34" s="291"/>
      <c r="H34" s="291"/>
      <c r="I34" s="291"/>
      <c r="J34" s="291"/>
      <c r="K34" s="291"/>
      <c r="L34" s="291"/>
    </row>
    <row r="35" spans="6:12">
      <c r="F35" s="291"/>
      <c r="G35" s="291"/>
      <c r="H35" s="291"/>
      <c r="I35" s="291"/>
      <c r="J35" s="291"/>
      <c r="K35" s="291"/>
      <c r="L35" s="291"/>
    </row>
    <row r="36" spans="6:12">
      <c r="F36" s="291"/>
      <c r="G36" s="291"/>
      <c r="H36" s="291"/>
      <c r="I36" s="291"/>
      <c r="J36" s="291"/>
      <c r="K36" s="291"/>
      <c r="L36" s="291"/>
    </row>
    <row r="37" spans="6:12">
      <c r="F37" s="291"/>
      <c r="G37" s="291"/>
      <c r="H37" s="291"/>
      <c r="I37" s="291"/>
      <c r="J37" s="291"/>
      <c r="K37" s="291"/>
      <c r="L37" s="291"/>
    </row>
    <row r="38" spans="6:12">
      <c r="F38" s="291"/>
      <c r="G38" s="291"/>
      <c r="H38" s="291"/>
      <c r="I38" s="291"/>
      <c r="J38" s="291"/>
      <c r="K38" s="291"/>
      <c r="L38" s="291"/>
    </row>
    <row r="39" spans="6:12">
      <c r="F39" s="291"/>
      <c r="G39" s="291"/>
      <c r="H39" s="291"/>
      <c r="I39" s="291"/>
      <c r="J39" s="291"/>
      <c r="K39" s="291"/>
      <c r="L39" s="291"/>
    </row>
    <row r="40" spans="6:12">
      <c r="F40" s="291"/>
      <c r="G40" s="291"/>
      <c r="H40" s="291"/>
      <c r="I40" s="291"/>
      <c r="J40" s="291"/>
      <c r="K40" s="291"/>
      <c r="L40" s="291"/>
    </row>
    <row r="41" spans="6:12">
      <c r="F41" s="291"/>
      <c r="G41" s="291"/>
      <c r="H41" s="291"/>
      <c r="I41" s="291"/>
      <c r="J41" s="291"/>
      <c r="K41" s="291"/>
      <c r="L41" s="291"/>
    </row>
    <row r="42" spans="6:12">
      <c r="F42" s="291"/>
      <c r="G42" s="291"/>
      <c r="H42" s="291"/>
      <c r="I42" s="291"/>
      <c r="J42" s="291"/>
      <c r="K42" s="291"/>
      <c r="L42" s="291"/>
    </row>
    <row r="43" spans="6:12">
      <c r="F43" s="291"/>
      <c r="G43" s="291"/>
      <c r="H43" s="291"/>
      <c r="I43" s="291"/>
      <c r="J43" s="291"/>
      <c r="K43" s="291"/>
      <c r="L43" s="291"/>
    </row>
    <row r="44" spans="6:12">
      <c r="F44" s="291"/>
      <c r="G44" s="291"/>
      <c r="H44" s="291"/>
      <c r="I44" s="291"/>
      <c r="J44" s="291"/>
      <c r="K44" s="291"/>
      <c r="L44" s="291"/>
    </row>
    <row r="45" spans="6:12">
      <c r="F45" s="291"/>
      <c r="G45" s="291"/>
      <c r="H45" s="291"/>
      <c r="I45" s="291"/>
      <c r="J45" s="291"/>
      <c r="K45" s="291"/>
      <c r="L45" s="291"/>
    </row>
    <row r="46" spans="6:12">
      <c r="F46" s="291"/>
      <c r="G46" s="291"/>
      <c r="H46" s="291"/>
      <c r="I46" s="291"/>
      <c r="J46" s="291"/>
      <c r="K46" s="291"/>
      <c r="L46" s="291"/>
    </row>
    <row r="47" spans="6:12">
      <c r="F47" s="291"/>
      <c r="G47" s="291"/>
      <c r="H47" s="291"/>
      <c r="I47" s="291"/>
      <c r="J47" s="291"/>
      <c r="K47" s="291"/>
      <c r="L47" s="291"/>
    </row>
    <row r="48" spans="6:12">
      <c r="F48" s="291"/>
      <c r="G48" s="291"/>
      <c r="H48" s="291"/>
      <c r="I48" s="291"/>
      <c r="J48" s="291"/>
      <c r="K48" s="291"/>
      <c r="L48" s="291"/>
    </row>
    <row r="49" spans="6:12">
      <c r="F49" s="291"/>
      <c r="G49" s="291"/>
      <c r="H49" s="291"/>
      <c r="I49" s="291"/>
      <c r="J49" s="291"/>
      <c r="K49" s="291"/>
      <c r="L49" s="291"/>
    </row>
    <row r="50" spans="6:12">
      <c r="F50" s="291"/>
      <c r="G50" s="291"/>
      <c r="H50" s="291"/>
      <c r="I50" s="291"/>
      <c r="J50" s="291"/>
      <c r="K50" s="291"/>
      <c r="L50" s="291"/>
    </row>
    <row r="51" spans="6:12">
      <c r="F51" s="291"/>
      <c r="G51" s="291"/>
      <c r="H51" s="291"/>
      <c r="I51" s="291"/>
      <c r="J51" s="291"/>
      <c r="K51" s="291"/>
      <c r="L51" s="291"/>
    </row>
    <row r="52" spans="6:12">
      <c r="F52" s="291"/>
      <c r="G52" s="291"/>
      <c r="H52" s="291"/>
      <c r="I52" s="291"/>
      <c r="J52" s="291"/>
      <c r="K52" s="291"/>
      <c r="L52" s="291"/>
    </row>
    <row r="53" spans="6:12">
      <c r="F53" s="291"/>
      <c r="G53" s="291"/>
      <c r="H53" s="291"/>
      <c r="I53" s="291"/>
      <c r="J53" s="291"/>
      <c r="K53" s="291"/>
      <c r="L53" s="291"/>
    </row>
    <row r="54" spans="6:12">
      <c r="F54" s="291"/>
      <c r="G54" s="291"/>
      <c r="H54" s="291"/>
      <c r="I54" s="291"/>
      <c r="J54" s="291"/>
      <c r="K54" s="291"/>
      <c r="L54" s="291"/>
    </row>
    <row r="55" spans="6:12">
      <c r="F55" s="291"/>
      <c r="G55" s="291"/>
      <c r="H55" s="291"/>
      <c r="I55" s="291"/>
      <c r="J55" s="291"/>
      <c r="K55" s="291"/>
      <c r="L55" s="291"/>
    </row>
    <row r="56" spans="6:12">
      <c r="F56" s="291"/>
      <c r="G56" s="291"/>
      <c r="H56" s="291"/>
      <c r="I56" s="291"/>
      <c r="J56" s="291"/>
      <c r="K56" s="291"/>
      <c r="L56" s="291"/>
    </row>
    <row r="57" spans="6:12">
      <c r="F57" s="291"/>
      <c r="G57" s="291"/>
      <c r="H57" s="291"/>
      <c r="I57" s="291"/>
      <c r="J57" s="291"/>
      <c r="K57" s="291"/>
      <c r="L57" s="291"/>
    </row>
    <row r="58" spans="6:12">
      <c r="F58" s="291"/>
      <c r="G58" s="291"/>
      <c r="H58" s="291"/>
      <c r="I58" s="291"/>
      <c r="J58" s="291"/>
      <c r="K58" s="291"/>
      <c r="L58" s="291"/>
    </row>
    <row r="59" spans="6:12">
      <c r="F59" s="291"/>
      <c r="G59" s="291"/>
      <c r="H59" s="291"/>
      <c r="I59" s="291"/>
      <c r="J59" s="291"/>
      <c r="K59" s="291"/>
      <c r="L59" s="291"/>
    </row>
    <row r="60" spans="6:12">
      <c r="F60" s="291"/>
      <c r="G60" s="291"/>
      <c r="H60" s="291"/>
      <c r="I60" s="291"/>
      <c r="J60" s="291"/>
      <c r="K60" s="291"/>
      <c r="L60" s="291"/>
    </row>
    <row r="61" spans="6:12">
      <c r="F61" s="291"/>
      <c r="G61" s="291"/>
      <c r="H61" s="291"/>
      <c r="I61" s="291"/>
      <c r="J61" s="291"/>
      <c r="K61" s="291"/>
      <c r="L61" s="291"/>
    </row>
    <row r="62" spans="6:12">
      <c r="F62" s="291"/>
      <c r="G62" s="291"/>
      <c r="H62" s="291"/>
      <c r="I62" s="291"/>
      <c r="J62" s="291"/>
      <c r="K62" s="291"/>
      <c r="L62" s="291"/>
    </row>
    <row r="63" spans="6:12">
      <c r="F63" s="291"/>
      <c r="G63" s="291"/>
      <c r="H63" s="291"/>
      <c r="I63" s="291"/>
      <c r="J63" s="291"/>
      <c r="K63" s="291"/>
      <c r="L63" s="291"/>
    </row>
    <row r="64" spans="6:12">
      <c r="F64" s="291"/>
      <c r="G64" s="291"/>
      <c r="H64" s="291"/>
      <c r="I64" s="291"/>
      <c r="J64" s="291"/>
      <c r="K64" s="291"/>
      <c r="L64" s="291"/>
    </row>
    <row r="65" spans="6:12">
      <c r="F65" s="291"/>
      <c r="G65" s="291"/>
      <c r="H65" s="291"/>
      <c r="I65" s="291"/>
      <c r="J65" s="291"/>
      <c r="K65" s="291"/>
      <c r="L65" s="291"/>
    </row>
    <row r="66" spans="6:12">
      <c r="F66" s="291"/>
      <c r="G66" s="291"/>
      <c r="H66" s="291"/>
      <c r="I66" s="291"/>
      <c r="J66" s="291"/>
      <c r="K66" s="291"/>
      <c r="L66" s="291"/>
    </row>
    <row r="67" spans="6:12">
      <c r="F67" s="291"/>
      <c r="G67" s="291"/>
      <c r="H67" s="291"/>
      <c r="I67" s="291"/>
      <c r="J67" s="291"/>
      <c r="K67" s="291"/>
      <c r="L67" s="291"/>
    </row>
    <row r="68" spans="6:12">
      <c r="F68" s="291"/>
      <c r="G68" s="291"/>
      <c r="H68" s="291"/>
      <c r="I68" s="291"/>
      <c r="J68" s="291"/>
      <c r="K68" s="291"/>
      <c r="L68" s="291"/>
    </row>
  </sheetData>
  <mergeCells count="36">
    <mergeCell ref="B21:C21"/>
    <mergeCell ref="F21:G21"/>
    <mergeCell ref="D10:J10"/>
    <mergeCell ref="K10:M10"/>
    <mergeCell ref="B11:C12"/>
    <mergeCell ref="B13:B15"/>
    <mergeCell ref="B18:C18"/>
    <mergeCell ref="B19:C19"/>
    <mergeCell ref="B16:B17"/>
    <mergeCell ref="B10:C10"/>
    <mergeCell ref="C8:D8"/>
    <mergeCell ref="E8:F8"/>
    <mergeCell ref="G8:H8"/>
    <mergeCell ref="I8:J8"/>
    <mergeCell ref="B20:C20"/>
    <mergeCell ref="I6:J6"/>
    <mergeCell ref="C7:D7"/>
    <mergeCell ref="E7:F7"/>
    <mergeCell ref="G7:H7"/>
    <mergeCell ref="I7:J7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1262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">
    <pageSetUpPr fitToPage="1"/>
  </sheetPr>
  <dimension ref="A1:AC66"/>
  <sheetViews>
    <sheetView zoomScale="80" zoomScaleNormal="80" workbookViewId="0">
      <pane ySplit="4" topLeftCell="A43" activePane="bottomLeft" state="frozen"/>
      <selection activeCell="E14" sqref="E14"/>
      <selection pane="bottomLeft" activeCell="C53" sqref="C53:D53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20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1290</v>
      </c>
      <c r="B1" s="1"/>
      <c r="C1" s="2" t="s">
        <v>1289</v>
      </c>
      <c r="D1" s="3">
        <f>SUM(F5:F65)</f>
        <v>134952</v>
      </c>
      <c r="E1" s="346" t="s">
        <v>1288</v>
      </c>
      <c r="F1" s="1">
        <f>SUM(G5:G65)</f>
        <v>4909450.9800000014</v>
      </c>
      <c r="G1" s="1" t="s">
        <v>1287</v>
      </c>
      <c r="H1" s="358">
        <v>163.3095238095238</v>
      </c>
      <c r="I1" s="572" t="s">
        <v>1286</v>
      </c>
      <c r="J1" s="572"/>
      <c r="K1" s="572"/>
      <c r="L1" s="572" t="s">
        <v>1285</v>
      </c>
      <c r="M1" s="572"/>
      <c r="N1" s="572"/>
      <c r="O1" s="572" t="s">
        <v>1284</v>
      </c>
      <c r="P1" s="572"/>
      <c r="Q1" s="572"/>
      <c r="R1" s="572"/>
      <c r="S1" s="572" t="s">
        <v>1283</v>
      </c>
      <c r="T1" s="572"/>
      <c r="U1" s="572"/>
      <c r="V1" s="572"/>
      <c r="W1" s="572"/>
      <c r="X1" s="572"/>
      <c r="Y1" s="572" t="s">
        <v>1282</v>
      </c>
      <c r="Z1" s="572"/>
      <c r="AA1" s="572" t="s">
        <v>1281</v>
      </c>
      <c r="AB1" s="573"/>
      <c r="AC1" s="573"/>
    </row>
    <row r="2" spans="1:29" ht="26.25" customHeight="1">
      <c r="A2" s="357">
        <v>45891</v>
      </c>
      <c r="B2" s="356" t="s">
        <v>74</v>
      </c>
      <c r="C2" s="2" t="s">
        <v>1271</v>
      </c>
      <c r="D2" s="6">
        <f>AVERAGE(N8,N12,N44,N50,N16,N58,N23,N29,N36,N65)</f>
        <v>136.38903086371087</v>
      </c>
      <c r="E2" s="7" t="s">
        <v>0</v>
      </c>
      <c r="F2" s="8">
        <f>F1/D1</f>
        <v>36.379238395874097</v>
      </c>
      <c r="G2" s="1" t="s">
        <v>1280</v>
      </c>
      <c r="H2" s="355">
        <v>0</v>
      </c>
      <c r="I2" s="572"/>
      <c r="J2" s="572"/>
      <c r="K2" s="572"/>
      <c r="L2" s="572"/>
      <c r="M2" s="572"/>
      <c r="N2" s="572"/>
      <c r="O2" s="572"/>
      <c r="P2" s="572"/>
      <c r="Q2" s="572"/>
      <c r="R2" s="572"/>
      <c r="S2" s="572"/>
      <c r="T2" s="572"/>
      <c r="U2" s="572"/>
      <c r="V2" s="572"/>
      <c r="W2" s="572"/>
      <c r="X2" s="572"/>
      <c r="Y2" s="572"/>
      <c r="Z2" s="572"/>
      <c r="AA2" s="573"/>
      <c r="AB2" s="573"/>
      <c r="AC2" s="573"/>
    </row>
    <row r="3" spans="1:29" ht="23.25" customHeight="1">
      <c r="A3" s="528" t="s">
        <v>1279</v>
      </c>
      <c r="B3" s="528" t="s">
        <v>1278</v>
      </c>
      <c r="C3" s="528" t="s">
        <v>1277</v>
      </c>
      <c r="D3" s="528"/>
      <c r="E3" s="570" t="s">
        <v>1276</v>
      </c>
      <c r="F3" s="528" t="s">
        <v>1275</v>
      </c>
      <c r="G3" s="570" t="s">
        <v>1274</v>
      </c>
      <c r="H3" s="574" t="s">
        <v>1273</v>
      </c>
      <c r="I3" s="561" t="s">
        <v>1272</v>
      </c>
      <c r="J3" s="566" t="s">
        <v>1261</v>
      </c>
      <c r="K3" s="568" t="s">
        <v>1271</v>
      </c>
      <c r="L3" s="561" t="s">
        <v>1270</v>
      </c>
      <c r="M3" s="566" t="s">
        <v>1269</v>
      </c>
      <c r="N3" s="568" t="s">
        <v>1268</v>
      </c>
      <c r="O3" s="561" t="s">
        <v>1267</v>
      </c>
      <c r="P3" s="568" t="s">
        <v>1266</v>
      </c>
      <c r="Q3" s="567" t="s">
        <v>1265</v>
      </c>
      <c r="R3" s="542" t="s">
        <v>1259</v>
      </c>
      <c r="S3" s="569" t="s">
        <v>1</v>
      </c>
      <c r="T3" s="569"/>
      <c r="U3" s="563" t="s">
        <v>2</v>
      </c>
      <c r="V3" s="563" t="s">
        <v>1264</v>
      </c>
      <c r="W3" s="528" t="s">
        <v>1263</v>
      </c>
      <c r="X3" s="528"/>
      <c r="Y3" s="564" t="s">
        <v>1262</v>
      </c>
      <c r="Z3" s="565"/>
      <c r="AA3" s="566" t="s">
        <v>1261</v>
      </c>
      <c r="AB3" s="567" t="s">
        <v>1260</v>
      </c>
      <c r="AC3" s="542" t="s">
        <v>1259</v>
      </c>
    </row>
    <row r="4" spans="1:29">
      <c r="A4" s="528"/>
      <c r="B4" s="528"/>
      <c r="C4" s="528"/>
      <c r="D4" s="528"/>
      <c r="E4" s="571"/>
      <c r="F4" s="528"/>
      <c r="G4" s="571"/>
      <c r="H4" s="574"/>
      <c r="I4" s="561"/>
      <c r="J4" s="566"/>
      <c r="K4" s="568"/>
      <c r="L4" s="561"/>
      <c r="M4" s="566"/>
      <c r="N4" s="568"/>
      <c r="O4" s="561"/>
      <c r="P4" s="568"/>
      <c r="Q4" s="567"/>
      <c r="R4" s="542"/>
      <c r="S4" s="353" t="s">
        <v>3</v>
      </c>
      <c r="T4" s="353" t="s">
        <v>4</v>
      </c>
      <c r="U4" s="563"/>
      <c r="V4" s="563"/>
      <c r="W4" s="346" t="s">
        <v>1258</v>
      </c>
      <c r="X4" s="346" t="s">
        <v>1257</v>
      </c>
      <c r="Y4" s="565"/>
      <c r="Z4" s="565"/>
      <c r="AA4" s="566"/>
      <c r="AB4" s="567"/>
      <c r="AC4" s="542"/>
    </row>
    <row r="5" spans="1:29">
      <c r="A5" s="560" t="s">
        <v>1256</v>
      </c>
      <c r="B5" s="26" t="s">
        <v>13</v>
      </c>
      <c r="C5" s="562" t="s">
        <v>53</v>
      </c>
      <c r="D5" s="562"/>
      <c r="E5" s="26">
        <v>46.93</v>
      </c>
      <c r="F5" s="353">
        <v>672</v>
      </c>
      <c r="G5" s="346">
        <f>E5*F5</f>
        <v>31536.959999999999</v>
      </c>
      <c r="H5" s="354" t="s">
        <v>52</v>
      </c>
      <c r="I5" s="351">
        <v>17</v>
      </c>
      <c r="J5" s="18">
        <v>2000</v>
      </c>
      <c r="K5" s="9">
        <f t="shared" ref="K5:K36" si="0">J5/I5</f>
        <v>117.64705882352941</v>
      </c>
      <c r="L5" s="351">
        <v>17</v>
      </c>
      <c r="M5" s="10">
        <f>F5/V5*60</f>
        <v>1920.0000000000068</v>
      </c>
      <c r="N5" s="9">
        <f t="shared" ref="N5:N36" si="1">M5/L5</f>
        <v>112.94117647058863</v>
      </c>
      <c r="O5" s="11">
        <f t="shared" ref="O5:O36" si="2">L5-I5</f>
        <v>0</v>
      </c>
      <c r="P5" s="12">
        <f t="shared" ref="P5:P36" si="3">N5-K5</f>
        <v>-4.7058823529407761</v>
      </c>
      <c r="Q5" s="347">
        <f t="shared" ref="Q5:Q36" si="4">N5/K5</f>
        <v>0.96000000000000341</v>
      </c>
      <c r="R5" s="533">
        <f>Q8</f>
        <v>0.93777701543739445</v>
      </c>
      <c r="S5" s="24">
        <v>0.70833333333333337</v>
      </c>
      <c r="T5" s="24">
        <v>0.72291666666666665</v>
      </c>
      <c r="U5" s="346"/>
      <c r="V5" s="352">
        <f>(T5-S5)*24*60</f>
        <v>20.999999999999925</v>
      </c>
      <c r="W5" s="14"/>
      <c r="X5" s="13"/>
      <c r="Y5" s="528"/>
      <c r="Z5" s="528"/>
      <c r="AA5" s="11">
        <f t="shared" ref="AA5:AA36" si="5">M5-J5</f>
        <v>-79.999999999993179</v>
      </c>
      <c r="AB5" s="347">
        <f t="shared" ref="AB5:AB36" si="6">M5/J5</f>
        <v>0.96000000000000341</v>
      </c>
      <c r="AC5" s="533">
        <f>AB8</f>
        <v>0.93777701543739433</v>
      </c>
    </row>
    <row r="6" spans="1:29">
      <c r="A6" s="561" t="s">
        <v>1256</v>
      </c>
      <c r="B6" s="26" t="s">
        <v>13</v>
      </c>
      <c r="C6" s="562" t="s">
        <v>55</v>
      </c>
      <c r="D6" s="562"/>
      <c r="E6" s="26">
        <v>50.49</v>
      </c>
      <c r="F6" s="353">
        <v>1699</v>
      </c>
      <c r="G6" s="346">
        <f>E6*F6</f>
        <v>85782.510000000009</v>
      </c>
      <c r="H6" s="354" t="s">
        <v>52</v>
      </c>
      <c r="I6" s="351">
        <v>16</v>
      </c>
      <c r="J6" s="18">
        <v>2000</v>
      </c>
      <c r="K6" s="9">
        <f t="shared" si="0"/>
        <v>125</v>
      </c>
      <c r="L6" s="351">
        <v>16</v>
      </c>
      <c r="M6" s="10">
        <f>F6/V6*60</f>
        <v>1853.4545454545466</v>
      </c>
      <c r="N6" s="9">
        <f t="shared" si="1"/>
        <v>115.84090909090916</v>
      </c>
      <c r="O6" s="11">
        <f t="shared" si="2"/>
        <v>0</v>
      </c>
      <c r="P6" s="12">
        <f t="shared" si="3"/>
        <v>-9.1590909090908355</v>
      </c>
      <c r="Q6" s="347">
        <f t="shared" si="4"/>
        <v>0.92672727272727329</v>
      </c>
      <c r="R6" s="533"/>
      <c r="S6" s="24">
        <v>0.72777777777777775</v>
      </c>
      <c r="T6" s="24">
        <v>0.76597222222222217</v>
      </c>
      <c r="U6" s="346">
        <f>(S6-T5)*24*60</f>
        <v>6.9999999999999751</v>
      </c>
      <c r="V6" s="352">
        <f>(T6-S6)*24*60</f>
        <v>54.999999999999964</v>
      </c>
      <c r="W6" s="14"/>
      <c r="X6" s="14"/>
      <c r="Y6" s="528"/>
      <c r="Z6" s="528"/>
      <c r="AA6" s="11">
        <f t="shared" si="5"/>
        <v>-146.54545454545337</v>
      </c>
      <c r="AB6" s="347">
        <f t="shared" si="6"/>
        <v>0.92672727272727329</v>
      </c>
      <c r="AC6" s="533"/>
    </row>
    <row r="7" spans="1:29">
      <c r="A7" s="561" t="s">
        <v>1256</v>
      </c>
      <c r="B7" s="26" t="s">
        <v>13</v>
      </c>
      <c r="C7" s="558" t="s">
        <v>76</v>
      </c>
      <c r="D7" s="559"/>
      <c r="E7" s="26">
        <v>50.67</v>
      </c>
      <c r="F7" s="353">
        <v>1637</v>
      </c>
      <c r="G7" s="346">
        <f>E7*F7</f>
        <v>82946.790000000008</v>
      </c>
      <c r="H7" s="354" t="s">
        <v>52</v>
      </c>
      <c r="I7" s="351">
        <v>18</v>
      </c>
      <c r="J7" s="18">
        <v>2000</v>
      </c>
      <c r="K7" s="9">
        <f t="shared" si="0"/>
        <v>111.11111111111111</v>
      </c>
      <c r="L7" s="351">
        <v>18</v>
      </c>
      <c r="M7" s="10">
        <f>F7/V7*60</f>
        <v>1853.2075471698124</v>
      </c>
      <c r="N7" s="9">
        <f t="shared" si="1"/>
        <v>102.95597484276736</v>
      </c>
      <c r="O7" s="11">
        <f t="shared" si="2"/>
        <v>0</v>
      </c>
      <c r="P7" s="12">
        <f t="shared" si="3"/>
        <v>-8.1551362683437532</v>
      </c>
      <c r="Q7" s="347">
        <f t="shared" si="4"/>
        <v>0.9266037735849062</v>
      </c>
      <c r="R7" s="533"/>
      <c r="S7" s="24">
        <v>0.77083333333333326</v>
      </c>
      <c r="T7" s="24">
        <v>0.8076388888888888</v>
      </c>
      <c r="U7" s="346">
        <f>(S7-T6)*24*60</f>
        <v>6.9999999999999751</v>
      </c>
      <c r="V7" s="352">
        <f>(T7-S7)*24*60</f>
        <v>52.999999999999972</v>
      </c>
      <c r="W7" s="14"/>
      <c r="X7" s="14"/>
      <c r="Y7" s="536"/>
      <c r="Z7" s="537"/>
      <c r="AA7" s="11">
        <f t="shared" si="5"/>
        <v>-146.79245283018759</v>
      </c>
      <c r="AB7" s="347">
        <f t="shared" si="6"/>
        <v>0.9266037735849062</v>
      </c>
      <c r="AC7" s="533"/>
    </row>
    <row r="8" spans="1:29">
      <c r="A8" s="561" t="s">
        <v>1256</v>
      </c>
      <c r="B8" s="26" t="s">
        <v>1236</v>
      </c>
      <c r="C8" s="530"/>
      <c r="D8" s="530"/>
      <c r="E8" s="345"/>
      <c r="F8" s="16"/>
      <c r="G8" s="9"/>
      <c r="H8" s="353"/>
      <c r="I8" s="17">
        <v>17</v>
      </c>
      <c r="J8" s="18">
        <v>2000</v>
      </c>
      <c r="K8" s="9">
        <f t="shared" si="0"/>
        <v>117.64705882352941</v>
      </c>
      <c r="L8" s="17">
        <v>17</v>
      </c>
      <c r="M8" s="10">
        <f>AVERAGE(M5:M7)</f>
        <v>1875.5540308747886</v>
      </c>
      <c r="N8" s="9">
        <f t="shared" si="1"/>
        <v>110.32670769851698</v>
      </c>
      <c r="O8" s="11">
        <f t="shared" si="2"/>
        <v>0</v>
      </c>
      <c r="P8" s="12">
        <f t="shared" si="3"/>
        <v>-7.3203511250124222</v>
      </c>
      <c r="Q8" s="347">
        <f t="shared" si="4"/>
        <v>0.93777701543739445</v>
      </c>
      <c r="R8" s="533"/>
      <c r="S8" s="24"/>
      <c r="T8" s="24"/>
      <c r="U8" s="346"/>
      <c r="V8" s="352"/>
      <c r="W8" s="9"/>
      <c r="X8" s="9"/>
      <c r="Y8" s="528"/>
      <c r="Z8" s="528"/>
      <c r="AA8" s="11">
        <f t="shared" si="5"/>
        <v>-124.44596912521138</v>
      </c>
      <c r="AB8" s="347">
        <f t="shared" si="6"/>
        <v>0.93777701543739433</v>
      </c>
      <c r="AC8" s="533"/>
    </row>
    <row r="9" spans="1:29" ht="15.75" customHeight="1">
      <c r="A9" s="531" t="s">
        <v>1255</v>
      </c>
      <c r="B9" s="26" t="s">
        <v>15</v>
      </c>
      <c r="C9" s="558" t="s">
        <v>16</v>
      </c>
      <c r="D9" s="559"/>
      <c r="E9" s="26">
        <v>39.619999999999997</v>
      </c>
      <c r="F9" s="353">
        <v>3840</v>
      </c>
      <c r="G9" s="346">
        <f>E9*F9</f>
        <v>152140.79999999999</v>
      </c>
      <c r="H9" s="354" t="s">
        <v>52</v>
      </c>
      <c r="I9" s="351">
        <v>19</v>
      </c>
      <c r="J9" s="18">
        <v>1500</v>
      </c>
      <c r="K9" s="9">
        <f t="shared" si="0"/>
        <v>78.94736842105263</v>
      </c>
      <c r="L9" s="351">
        <v>19</v>
      </c>
      <c r="M9" s="10">
        <f>F9/V9*60</f>
        <v>1387.9518072289159</v>
      </c>
      <c r="N9" s="9">
        <f t="shared" si="1"/>
        <v>73.050095117311358</v>
      </c>
      <c r="O9" s="11">
        <f t="shared" si="2"/>
        <v>0</v>
      </c>
      <c r="P9" s="12">
        <f t="shared" si="3"/>
        <v>-5.8972733037412723</v>
      </c>
      <c r="Q9" s="347">
        <f t="shared" si="4"/>
        <v>0.92530120481927725</v>
      </c>
      <c r="R9" s="533">
        <f>Q12</f>
        <v>0.9271503124798659</v>
      </c>
      <c r="S9" s="24">
        <v>0.125</v>
      </c>
      <c r="T9" s="24">
        <v>0.24027777777777776</v>
      </c>
      <c r="U9" s="346"/>
      <c r="V9" s="352">
        <f>(T9-S9)*24*60</f>
        <v>165.99999999999997</v>
      </c>
      <c r="W9" s="14">
        <f>T9</f>
        <v>0.24027777777777776</v>
      </c>
      <c r="X9" s="14">
        <f>S10</f>
        <v>0.25902777777777775</v>
      </c>
      <c r="Y9" s="528"/>
      <c r="Z9" s="528"/>
      <c r="AA9" s="11">
        <f t="shared" si="5"/>
        <v>-112.04819277108413</v>
      </c>
      <c r="AB9" s="347">
        <f t="shared" si="6"/>
        <v>0.92530120481927725</v>
      </c>
      <c r="AC9" s="533">
        <f>AB12</f>
        <v>0.92715031247986601</v>
      </c>
    </row>
    <row r="10" spans="1:29" ht="15.75" customHeight="1">
      <c r="A10" s="531" t="s">
        <v>1254</v>
      </c>
      <c r="B10" s="26" t="s">
        <v>15</v>
      </c>
      <c r="C10" s="558" t="s">
        <v>17</v>
      </c>
      <c r="D10" s="559"/>
      <c r="E10" s="26">
        <v>39.799999999999997</v>
      </c>
      <c r="F10" s="353">
        <v>5110</v>
      </c>
      <c r="G10" s="346">
        <f>E10*F10</f>
        <v>203378</v>
      </c>
      <c r="H10" s="354" t="s">
        <v>52</v>
      </c>
      <c r="I10" s="351">
        <v>17</v>
      </c>
      <c r="J10" s="18">
        <v>1500</v>
      </c>
      <c r="K10" s="9">
        <f t="shared" si="0"/>
        <v>88.235294117647058</v>
      </c>
      <c r="L10" s="351">
        <v>17</v>
      </c>
      <c r="M10" s="10">
        <f>F10/V10*60</f>
        <v>1393.6363636363633</v>
      </c>
      <c r="N10" s="9">
        <f t="shared" si="1"/>
        <v>81.978609625668426</v>
      </c>
      <c r="O10" s="11">
        <f t="shared" si="2"/>
        <v>0</v>
      </c>
      <c r="P10" s="12">
        <f t="shared" si="3"/>
        <v>-6.256684491978632</v>
      </c>
      <c r="Q10" s="347">
        <f t="shared" si="4"/>
        <v>0.92909090909090886</v>
      </c>
      <c r="R10" s="533"/>
      <c r="S10" s="24">
        <v>0.25902777777777775</v>
      </c>
      <c r="T10" s="24">
        <v>0.41180555555555554</v>
      </c>
      <c r="U10" s="346">
        <f>(S10-T9)*24*60</f>
        <v>26.999999999999986</v>
      </c>
      <c r="V10" s="352">
        <f>(T10-S10)*24*60</f>
        <v>220.00000000000003</v>
      </c>
      <c r="W10" s="14"/>
      <c r="X10" s="14"/>
      <c r="Y10" s="528"/>
      <c r="Z10" s="528"/>
      <c r="AA10" s="11">
        <f t="shared" si="5"/>
        <v>-106.36363636363672</v>
      </c>
      <c r="AB10" s="347">
        <f t="shared" si="6"/>
        <v>0.92909090909090886</v>
      </c>
      <c r="AC10" s="533"/>
    </row>
    <row r="11" spans="1:29" ht="15.75" customHeight="1">
      <c r="A11" s="531" t="s">
        <v>1254</v>
      </c>
      <c r="B11" s="26" t="s">
        <v>15</v>
      </c>
      <c r="C11" s="558" t="s">
        <v>80</v>
      </c>
      <c r="D11" s="559"/>
      <c r="E11" s="26">
        <v>39.29</v>
      </c>
      <c r="F11" s="353">
        <v>3152</v>
      </c>
      <c r="G11" s="346">
        <f>E11*F11</f>
        <v>123842.08</v>
      </c>
      <c r="H11" s="354" t="s">
        <v>52</v>
      </c>
      <c r="I11" s="351">
        <v>19</v>
      </c>
      <c r="J11" s="18">
        <v>1500</v>
      </c>
      <c r="K11" s="9">
        <f t="shared" si="0"/>
        <v>78.94736842105263</v>
      </c>
      <c r="L11" s="351">
        <v>19</v>
      </c>
      <c r="M11" s="10">
        <f>F11/V11*60</f>
        <v>1390.5882352941176</v>
      </c>
      <c r="N11" s="9">
        <f t="shared" si="1"/>
        <v>73.188854489164086</v>
      </c>
      <c r="O11" s="11">
        <f t="shared" si="2"/>
        <v>0</v>
      </c>
      <c r="P11" s="12">
        <f t="shared" si="3"/>
        <v>-5.7585139318885439</v>
      </c>
      <c r="Q11" s="347">
        <f t="shared" si="4"/>
        <v>0.92705882352941182</v>
      </c>
      <c r="R11" s="533"/>
      <c r="S11" s="24">
        <v>0.41597222222222219</v>
      </c>
      <c r="T11" s="24">
        <v>0.51041666666666663</v>
      </c>
      <c r="U11" s="346">
        <f>(S11-T10)*24*60</f>
        <v>5.9999999999999787</v>
      </c>
      <c r="V11" s="352">
        <f>(T11-S11)*24*60</f>
        <v>136</v>
      </c>
      <c r="W11" s="14"/>
      <c r="X11" s="14"/>
      <c r="Y11" s="528"/>
      <c r="Z11" s="528"/>
      <c r="AA11" s="11">
        <f t="shared" si="5"/>
        <v>-109.41176470588243</v>
      </c>
      <c r="AB11" s="347">
        <f t="shared" si="6"/>
        <v>0.92705882352941171</v>
      </c>
      <c r="AC11" s="533"/>
    </row>
    <row r="12" spans="1:29" ht="16.5" customHeight="1">
      <c r="A12" s="531" t="s">
        <v>1254</v>
      </c>
      <c r="B12" s="26" t="s">
        <v>1236</v>
      </c>
      <c r="C12" s="530"/>
      <c r="D12" s="530"/>
      <c r="E12" s="345"/>
      <c r="F12" s="18"/>
      <c r="G12" s="10"/>
      <c r="H12" s="353"/>
      <c r="I12" s="17">
        <v>18.333333333333332</v>
      </c>
      <c r="J12" s="18">
        <v>1500</v>
      </c>
      <c r="K12" s="9">
        <f t="shared" si="0"/>
        <v>81.818181818181827</v>
      </c>
      <c r="L12" s="17">
        <v>18.333333333333332</v>
      </c>
      <c r="M12" s="10">
        <f>AVERAGE(M9:M11)</f>
        <v>1390.725468719799</v>
      </c>
      <c r="N12" s="9">
        <f t="shared" si="1"/>
        <v>75.857752839261764</v>
      </c>
      <c r="O12" s="11">
        <f t="shared" si="2"/>
        <v>0</v>
      </c>
      <c r="P12" s="12">
        <f t="shared" si="3"/>
        <v>-5.9604289789200635</v>
      </c>
      <c r="Q12" s="347">
        <f t="shared" si="4"/>
        <v>0.9271503124798659</v>
      </c>
      <c r="R12" s="533"/>
      <c r="S12" s="24"/>
      <c r="T12" s="24"/>
      <c r="U12" s="9"/>
      <c r="V12" s="352"/>
      <c r="W12" s="9"/>
      <c r="X12" s="9"/>
      <c r="Y12" s="528"/>
      <c r="Z12" s="528"/>
      <c r="AA12" s="11">
        <f t="shared" si="5"/>
        <v>-109.27453128020102</v>
      </c>
      <c r="AB12" s="347">
        <f t="shared" si="6"/>
        <v>0.92715031247986601</v>
      </c>
      <c r="AC12" s="533"/>
    </row>
    <row r="13" spans="1:29" ht="16.5" customHeight="1">
      <c r="A13" s="556" t="s">
        <v>1253</v>
      </c>
      <c r="B13" s="353" t="s">
        <v>21</v>
      </c>
      <c r="C13" s="552" t="s">
        <v>19</v>
      </c>
      <c r="D13" s="552"/>
      <c r="E13" s="26">
        <v>41</v>
      </c>
      <c r="F13" s="353">
        <v>1660</v>
      </c>
      <c r="G13" s="346">
        <f>E13*F13</f>
        <v>68060</v>
      </c>
      <c r="H13" s="354" t="s">
        <v>52</v>
      </c>
      <c r="I13" s="351">
        <v>26</v>
      </c>
      <c r="J13" s="18">
        <v>1500</v>
      </c>
      <c r="K13" s="9">
        <f t="shared" si="0"/>
        <v>57.692307692307693</v>
      </c>
      <c r="L13" s="351">
        <v>26</v>
      </c>
      <c r="M13" s="10">
        <f>F13/V13*60</f>
        <v>1402.816901408451</v>
      </c>
      <c r="N13" s="9">
        <f t="shared" si="1"/>
        <v>53.954496208017346</v>
      </c>
      <c r="O13" s="11">
        <f t="shared" si="2"/>
        <v>0</v>
      </c>
      <c r="P13" s="12">
        <f t="shared" si="3"/>
        <v>-3.7378114842903472</v>
      </c>
      <c r="Q13" s="347">
        <f t="shared" si="4"/>
        <v>0.935211267605634</v>
      </c>
      <c r="R13" s="533">
        <f>Q16</f>
        <v>0.93144810558788049</v>
      </c>
      <c r="S13" s="24">
        <v>0.25</v>
      </c>
      <c r="T13" s="24">
        <v>0.29930555555555555</v>
      </c>
      <c r="U13" s="346"/>
      <c r="V13" s="352">
        <f>(T13-S13)*24*60</f>
        <v>70.999999999999986</v>
      </c>
      <c r="W13" s="15"/>
      <c r="X13" s="15"/>
      <c r="Y13" s="528"/>
      <c r="Z13" s="528"/>
      <c r="AA13" s="11">
        <f t="shared" si="5"/>
        <v>-97.183098591548969</v>
      </c>
      <c r="AB13" s="347">
        <f t="shared" si="6"/>
        <v>0.935211267605634</v>
      </c>
      <c r="AC13" s="533">
        <f>AB16</f>
        <v>0.93144810558788049</v>
      </c>
    </row>
    <row r="14" spans="1:29" ht="16.5" customHeight="1">
      <c r="A14" s="557" t="s">
        <v>1253</v>
      </c>
      <c r="B14" s="353" t="s">
        <v>13</v>
      </c>
      <c r="C14" s="552" t="s">
        <v>57</v>
      </c>
      <c r="D14" s="552"/>
      <c r="E14" s="26">
        <v>50.98</v>
      </c>
      <c r="F14" s="353">
        <v>2234</v>
      </c>
      <c r="G14" s="346">
        <f>E14*F14</f>
        <v>113889.31999999999</v>
      </c>
      <c r="H14" s="354" t="s">
        <v>52</v>
      </c>
      <c r="I14" s="351">
        <v>17</v>
      </c>
      <c r="J14" s="18">
        <v>2000</v>
      </c>
      <c r="K14" s="9">
        <f t="shared" si="0"/>
        <v>117.64705882352941</v>
      </c>
      <c r="L14" s="351">
        <v>17</v>
      </c>
      <c r="M14" s="10">
        <f>F14/V14*60</f>
        <v>1861.6666666666652</v>
      </c>
      <c r="N14" s="9">
        <f t="shared" si="1"/>
        <v>109.50980392156853</v>
      </c>
      <c r="O14" s="11">
        <f t="shared" si="2"/>
        <v>0</v>
      </c>
      <c r="P14" s="12">
        <f t="shared" si="3"/>
        <v>-8.1372549019608726</v>
      </c>
      <c r="Q14" s="347">
        <f t="shared" si="4"/>
        <v>0.93083333333333262</v>
      </c>
      <c r="R14" s="533"/>
      <c r="S14" s="24">
        <v>0.70833333333333337</v>
      </c>
      <c r="T14" s="24">
        <v>0.75833333333333341</v>
      </c>
      <c r="U14" s="346" t="str">
        <f>IF(S14=TIME(17,0,0),"",(S14-T13)*24*60)</f>
        <v/>
      </c>
      <c r="V14" s="352">
        <f>(T14-S14)*24*60</f>
        <v>72.000000000000057</v>
      </c>
      <c r="W14" s="14"/>
      <c r="X14" s="14"/>
      <c r="Y14" s="528"/>
      <c r="Z14" s="528"/>
      <c r="AA14" s="11">
        <f t="shared" si="5"/>
        <v>-138.33333333333485</v>
      </c>
      <c r="AB14" s="347">
        <f t="shared" si="6"/>
        <v>0.93083333333333262</v>
      </c>
      <c r="AC14" s="533"/>
    </row>
    <row r="15" spans="1:29" ht="16.5" customHeight="1">
      <c r="A15" s="557" t="s">
        <v>1253</v>
      </c>
      <c r="B15" s="353" t="s">
        <v>13</v>
      </c>
      <c r="C15" s="552" t="s">
        <v>54</v>
      </c>
      <c r="D15" s="552"/>
      <c r="E15" s="26">
        <v>50.92</v>
      </c>
      <c r="F15" s="353">
        <v>2447</v>
      </c>
      <c r="G15" s="346">
        <f>E15*F15</f>
        <v>124601.24</v>
      </c>
      <c r="H15" s="354" t="s">
        <v>52</v>
      </c>
      <c r="I15" s="351">
        <v>16</v>
      </c>
      <c r="J15" s="18">
        <v>2000</v>
      </c>
      <c r="K15" s="9">
        <f t="shared" si="0"/>
        <v>125</v>
      </c>
      <c r="L15" s="351">
        <v>16</v>
      </c>
      <c r="M15" s="10">
        <f>F15/V15*60</f>
        <v>1858.4810126582267</v>
      </c>
      <c r="N15" s="9">
        <f t="shared" si="1"/>
        <v>116.15506329113917</v>
      </c>
      <c r="O15" s="11">
        <f t="shared" si="2"/>
        <v>0</v>
      </c>
      <c r="P15" s="12">
        <f t="shared" si="3"/>
        <v>-8.8449367088608284</v>
      </c>
      <c r="Q15" s="347">
        <f t="shared" si="4"/>
        <v>0.92924050632911337</v>
      </c>
      <c r="R15" s="533"/>
      <c r="S15" s="24">
        <v>0.76319444444444451</v>
      </c>
      <c r="T15" s="24">
        <v>0.81805555555555565</v>
      </c>
      <c r="U15" s="346">
        <f>IF(S15=TIME(17,0,0),"",(S15-T14)*24*60)</f>
        <v>6.9999999999999751</v>
      </c>
      <c r="V15" s="352">
        <f>(T15-S15)*24*60</f>
        <v>79.000000000000043</v>
      </c>
      <c r="W15" s="14"/>
      <c r="X15" s="14"/>
      <c r="Y15" s="528"/>
      <c r="Z15" s="528"/>
      <c r="AA15" s="11">
        <f t="shared" si="5"/>
        <v>-141.51898734177325</v>
      </c>
      <c r="AB15" s="347">
        <f t="shared" si="6"/>
        <v>0.92924050632911337</v>
      </c>
      <c r="AC15" s="533"/>
    </row>
    <row r="16" spans="1:29" ht="16.5" customHeight="1">
      <c r="A16" s="557" t="s">
        <v>1253</v>
      </c>
      <c r="B16" s="26" t="s">
        <v>1236</v>
      </c>
      <c r="C16" s="530"/>
      <c r="D16" s="530"/>
      <c r="E16" s="345"/>
      <c r="F16" s="16"/>
      <c r="G16" s="9"/>
      <c r="H16" s="353"/>
      <c r="I16" s="17">
        <v>19.666666666666668</v>
      </c>
      <c r="J16" s="18">
        <v>1833.3333333333333</v>
      </c>
      <c r="K16" s="9">
        <f t="shared" si="0"/>
        <v>93.220338983050837</v>
      </c>
      <c r="L16" s="17">
        <v>19.666666666666668</v>
      </c>
      <c r="M16" s="10">
        <f>AVERAGE(M13:M15)</f>
        <v>1707.6548602444475</v>
      </c>
      <c r="N16" s="9">
        <f t="shared" si="1"/>
        <v>86.829908148022753</v>
      </c>
      <c r="O16" s="11">
        <f t="shared" si="2"/>
        <v>0</v>
      </c>
      <c r="P16" s="12">
        <f t="shared" si="3"/>
        <v>-6.3904308350280843</v>
      </c>
      <c r="Q16" s="347">
        <f t="shared" si="4"/>
        <v>0.93144810558788049</v>
      </c>
      <c r="R16" s="533"/>
      <c r="S16" s="24"/>
      <c r="T16" s="24"/>
      <c r="U16" s="346"/>
      <c r="V16" s="352"/>
      <c r="W16" s="9"/>
      <c r="X16" s="9"/>
      <c r="Y16" s="528"/>
      <c r="Z16" s="528"/>
      <c r="AA16" s="11">
        <f t="shared" si="5"/>
        <v>-125.67847308888577</v>
      </c>
      <c r="AB16" s="347">
        <f t="shared" si="6"/>
        <v>0.93144810558788049</v>
      </c>
      <c r="AC16" s="533"/>
    </row>
    <row r="17" spans="1:29" ht="15.75" customHeight="1">
      <c r="A17" s="554" t="s">
        <v>1252</v>
      </c>
      <c r="B17" s="26" t="s">
        <v>21</v>
      </c>
      <c r="C17" s="552" t="s">
        <v>22</v>
      </c>
      <c r="D17" s="552"/>
      <c r="E17" s="26">
        <v>43.14</v>
      </c>
      <c r="F17" s="353">
        <v>1127</v>
      </c>
      <c r="G17" s="346">
        <f t="shared" ref="G17:G22" si="7">E17*F17</f>
        <v>48618.78</v>
      </c>
      <c r="H17" s="354" t="s">
        <v>52</v>
      </c>
      <c r="I17" s="351">
        <v>17</v>
      </c>
      <c r="J17" s="18">
        <v>2000</v>
      </c>
      <c r="K17" s="9">
        <f t="shared" si="0"/>
        <v>117.64705882352941</v>
      </c>
      <c r="L17" s="351">
        <v>17</v>
      </c>
      <c r="M17" s="10">
        <f t="shared" ref="M17:M22" si="8">F17/V17*60</f>
        <v>1878.3333333333337</v>
      </c>
      <c r="N17" s="9">
        <f t="shared" si="1"/>
        <v>110.4901960784314</v>
      </c>
      <c r="O17" s="11">
        <f t="shared" si="2"/>
        <v>0</v>
      </c>
      <c r="P17" s="12">
        <f t="shared" si="3"/>
        <v>-7.1568627450980102</v>
      </c>
      <c r="Q17" s="347">
        <f t="shared" si="4"/>
        <v>0.93916666666666693</v>
      </c>
      <c r="R17" s="533">
        <f>Q23</f>
        <v>0.94222507006882084</v>
      </c>
      <c r="S17" s="24">
        <v>0.20833333333333334</v>
      </c>
      <c r="T17" s="24">
        <v>0.23333333333333334</v>
      </c>
      <c r="U17" s="346"/>
      <c r="V17" s="352">
        <f t="shared" ref="V17:V22" si="9">(T17-S17)*24*60</f>
        <v>35.999999999999993</v>
      </c>
      <c r="W17" s="15"/>
      <c r="X17" s="15"/>
      <c r="Y17" s="528"/>
      <c r="Z17" s="528"/>
      <c r="AA17" s="11">
        <f t="shared" si="5"/>
        <v>-121.66666666666629</v>
      </c>
      <c r="AB17" s="347">
        <f t="shared" si="6"/>
        <v>0.93916666666666682</v>
      </c>
      <c r="AC17" s="533">
        <f>AB23</f>
        <v>0.94222507006882084</v>
      </c>
    </row>
    <row r="18" spans="1:29" ht="15.75" customHeight="1">
      <c r="A18" s="555" t="s">
        <v>1252</v>
      </c>
      <c r="B18" s="26" t="s">
        <v>13</v>
      </c>
      <c r="C18" s="552" t="s">
        <v>23</v>
      </c>
      <c r="D18" s="552"/>
      <c r="E18" s="26">
        <v>57.73</v>
      </c>
      <c r="F18" s="353">
        <v>1957</v>
      </c>
      <c r="G18" s="346">
        <f t="shared" si="7"/>
        <v>112977.61</v>
      </c>
      <c r="H18" s="354" t="s">
        <v>52</v>
      </c>
      <c r="I18" s="351">
        <v>16</v>
      </c>
      <c r="J18" s="18">
        <v>2000</v>
      </c>
      <c r="K18" s="9">
        <f t="shared" si="0"/>
        <v>125</v>
      </c>
      <c r="L18" s="351">
        <v>16</v>
      </c>
      <c r="M18" s="10">
        <f t="shared" si="8"/>
        <v>1863.8095238095245</v>
      </c>
      <c r="N18" s="9">
        <f t="shared" si="1"/>
        <v>116.48809523809528</v>
      </c>
      <c r="O18" s="11">
        <f t="shared" si="2"/>
        <v>0</v>
      </c>
      <c r="P18" s="12">
        <f t="shared" si="3"/>
        <v>-8.5119047619047166</v>
      </c>
      <c r="Q18" s="347">
        <f t="shared" si="4"/>
        <v>0.93190476190476224</v>
      </c>
      <c r="R18" s="533"/>
      <c r="S18" s="24">
        <v>0.23819444444444446</v>
      </c>
      <c r="T18" s="24">
        <v>0.28194444444444444</v>
      </c>
      <c r="U18" s="346">
        <f>IF(S18=TIME(17,0,0),"",(S18-T17)*24*60)</f>
        <v>7.0000000000000151</v>
      </c>
      <c r="V18" s="352">
        <f t="shared" si="9"/>
        <v>62.999999999999979</v>
      </c>
      <c r="W18" s="14"/>
      <c r="X18" s="346"/>
      <c r="Y18" s="528"/>
      <c r="Z18" s="528"/>
      <c r="AA18" s="11">
        <f t="shared" si="5"/>
        <v>-136.19047619047547</v>
      </c>
      <c r="AB18" s="347">
        <f t="shared" si="6"/>
        <v>0.93190476190476224</v>
      </c>
      <c r="AC18" s="533"/>
    </row>
    <row r="19" spans="1:29" ht="15.75" customHeight="1">
      <c r="A19" s="555" t="s">
        <v>1251</v>
      </c>
      <c r="B19" s="26" t="s">
        <v>13</v>
      </c>
      <c r="C19" s="552" t="s">
        <v>14</v>
      </c>
      <c r="D19" s="552"/>
      <c r="E19" s="26">
        <v>53.68</v>
      </c>
      <c r="F19" s="353">
        <v>1408</v>
      </c>
      <c r="G19" s="346">
        <f t="shared" si="7"/>
        <v>75581.440000000002</v>
      </c>
      <c r="H19" s="354" t="s">
        <v>52</v>
      </c>
      <c r="I19" s="351">
        <v>17</v>
      </c>
      <c r="J19" s="18">
        <v>2000</v>
      </c>
      <c r="K19" s="9">
        <f t="shared" si="0"/>
        <v>117.64705882352941</v>
      </c>
      <c r="L19" s="351">
        <v>17</v>
      </c>
      <c r="M19" s="10">
        <f t="shared" si="8"/>
        <v>1877.3333333333333</v>
      </c>
      <c r="N19" s="9">
        <f t="shared" si="1"/>
        <v>110.4313725490196</v>
      </c>
      <c r="O19" s="11">
        <f t="shared" si="2"/>
        <v>0</v>
      </c>
      <c r="P19" s="12">
        <f t="shared" si="3"/>
        <v>-7.2156862745098067</v>
      </c>
      <c r="Q19" s="347">
        <f t="shared" si="4"/>
        <v>0.93866666666666665</v>
      </c>
      <c r="R19" s="533"/>
      <c r="S19" s="24">
        <v>0.28541666666666665</v>
      </c>
      <c r="T19" s="24">
        <v>0.31666666666666665</v>
      </c>
      <c r="U19" s="346">
        <f>IF(S19=TIME(17,0,0),"",(S19-T18)*24*60)</f>
        <v>4.9999999999999822</v>
      </c>
      <c r="V19" s="352">
        <f t="shared" si="9"/>
        <v>45</v>
      </c>
      <c r="W19" s="14"/>
      <c r="X19" s="346"/>
      <c r="Y19" s="528"/>
      <c r="Z19" s="528"/>
      <c r="AA19" s="11">
        <f t="shared" si="5"/>
        <v>-122.66666666666674</v>
      </c>
      <c r="AB19" s="347">
        <f t="shared" si="6"/>
        <v>0.93866666666666665</v>
      </c>
      <c r="AC19" s="533"/>
    </row>
    <row r="20" spans="1:29" ht="15.75" customHeight="1">
      <c r="A20" s="555" t="s">
        <v>1251</v>
      </c>
      <c r="B20" s="26" t="s">
        <v>13</v>
      </c>
      <c r="C20" s="552" t="s">
        <v>81</v>
      </c>
      <c r="D20" s="552"/>
      <c r="E20" s="26">
        <v>58.17</v>
      </c>
      <c r="F20" s="353">
        <v>1619</v>
      </c>
      <c r="G20" s="346">
        <f t="shared" si="7"/>
        <v>94177.23</v>
      </c>
      <c r="H20" s="354" t="s">
        <v>52</v>
      </c>
      <c r="I20" s="351">
        <v>18</v>
      </c>
      <c r="J20" s="18">
        <v>2000</v>
      </c>
      <c r="K20" s="9">
        <f t="shared" si="0"/>
        <v>111.11111111111111</v>
      </c>
      <c r="L20" s="351">
        <v>18</v>
      </c>
      <c r="M20" s="10">
        <f t="shared" si="8"/>
        <v>1868.076923076924</v>
      </c>
      <c r="N20" s="9">
        <f t="shared" si="1"/>
        <v>103.78205128205133</v>
      </c>
      <c r="O20" s="11">
        <f t="shared" si="2"/>
        <v>0</v>
      </c>
      <c r="P20" s="12">
        <f t="shared" si="3"/>
        <v>-7.329059829059787</v>
      </c>
      <c r="Q20" s="347">
        <f t="shared" si="4"/>
        <v>0.93403846153846193</v>
      </c>
      <c r="R20" s="533"/>
      <c r="S20" s="24">
        <v>0.3208333333333333</v>
      </c>
      <c r="T20" s="24">
        <v>0.3569444444444444</v>
      </c>
      <c r="U20" s="346">
        <f>IF(S20=TIME(17,0,0),"",(S20-T19)*24*60)</f>
        <v>5.9999999999999787</v>
      </c>
      <c r="V20" s="352">
        <f t="shared" si="9"/>
        <v>51.999999999999972</v>
      </c>
      <c r="W20" s="14"/>
      <c r="X20" s="346"/>
      <c r="Y20" s="528"/>
      <c r="Z20" s="528"/>
      <c r="AA20" s="11">
        <f t="shared" si="5"/>
        <v>-131.923076923076</v>
      </c>
      <c r="AB20" s="347">
        <f t="shared" si="6"/>
        <v>0.93403846153846204</v>
      </c>
      <c r="AC20" s="533"/>
    </row>
    <row r="21" spans="1:29" ht="15.75" customHeight="1">
      <c r="A21" s="555" t="s">
        <v>1251</v>
      </c>
      <c r="B21" s="26" t="s">
        <v>13</v>
      </c>
      <c r="C21" s="552" t="s">
        <v>85</v>
      </c>
      <c r="D21" s="552"/>
      <c r="E21" s="26">
        <v>54.09</v>
      </c>
      <c r="F21" s="353">
        <v>2995</v>
      </c>
      <c r="G21" s="346">
        <f t="shared" si="7"/>
        <v>161999.55000000002</v>
      </c>
      <c r="H21" s="354" t="s">
        <v>52</v>
      </c>
      <c r="I21" s="351">
        <v>20</v>
      </c>
      <c r="J21" s="18">
        <v>2000</v>
      </c>
      <c r="K21" s="9">
        <f t="shared" si="0"/>
        <v>100</v>
      </c>
      <c r="L21" s="351">
        <v>20</v>
      </c>
      <c r="M21" s="10">
        <f t="shared" si="8"/>
        <v>1871.8750000000005</v>
      </c>
      <c r="N21" s="9">
        <f t="shared" si="1"/>
        <v>93.593750000000028</v>
      </c>
      <c r="O21" s="11">
        <f t="shared" si="2"/>
        <v>0</v>
      </c>
      <c r="P21" s="12">
        <f t="shared" si="3"/>
        <v>-6.4062499999999716</v>
      </c>
      <c r="Q21" s="347">
        <f t="shared" si="4"/>
        <v>0.93593750000000031</v>
      </c>
      <c r="R21" s="533"/>
      <c r="S21" s="24">
        <v>0.70833333333333337</v>
      </c>
      <c r="T21" s="24">
        <v>0.77500000000000002</v>
      </c>
      <c r="U21" s="346" t="str">
        <f>IF(S21=TIME(17,0,0),"",(S21-T20)*24*60)</f>
        <v/>
      </c>
      <c r="V21" s="352">
        <f t="shared" si="9"/>
        <v>95.999999999999972</v>
      </c>
      <c r="W21" s="14"/>
      <c r="X21" s="346"/>
      <c r="Y21" s="528"/>
      <c r="Z21" s="528"/>
      <c r="AA21" s="11">
        <f t="shared" si="5"/>
        <v>-128.12499999999955</v>
      </c>
      <c r="AB21" s="347">
        <f t="shared" si="6"/>
        <v>0.9359375000000002</v>
      </c>
      <c r="AC21" s="533"/>
    </row>
    <row r="22" spans="1:29" ht="15.75" customHeight="1">
      <c r="A22" s="555" t="s">
        <v>1251</v>
      </c>
      <c r="B22" s="26" t="s">
        <v>13</v>
      </c>
      <c r="C22" s="552" t="s">
        <v>56</v>
      </c>
      <c r="D22" s="552"/>
      <c r="E22" s="26">
        <v>53.27</v>
      </c>
      <c r="F22" s="353">
        <v>357</v>
      </c>
      <c r="G22" s="346">
        <f t="shared" si="7"/>
        <v>19017.39</v>
      </c>
      <c r="H22" s="354" t="s">
        <v>52</v>
      </c>
      <c r="I22" s="351">
        <v>15</v>
      </c>
      <c r="J22" s="18">
        <v>2000</v>
      </c>
      <c r="K22" s="9">
        <f t="shared" si="0"/>
        <v>133.33333333333334</v>
      </c>
      <c r="L22" s="351">
        <v>15</v>
      </c>
      <c r="M22" s="10">
        <f t="shared" si="8"/>
        <v>1947.2727272727341</v>
      </c>
      <c r="N22" s="9">
        <f t="shared" si="1"/>
        <v>129.81818181818227</v>
      </c>
      <c r="O22" s="11">
        <f t="shared" si="2"/>
        <v>0</v>
      </c>
      <c r="P22" s="12">
        <f t="shared" si="3"/>
        <v>-3.515151515151075</v>
      </c>
      <c r="Q22" s="347">
        <f t="shared" si="4"/>
        <v>0.97363636363636696</v>
      </c>
      <c r="R22" s="533"/>
      <c r="S22" s="24">
        <v>0.77916666666666667</v>
      </c>
      <c r="T22" s="24">
        <v>0.78680555555555554</v>
      </c>
      <c r="U22" s="346">
        <f>IF(S22=TIME(17,0,0),"",(S22-T21)*24*60)</f>
        <v>5.9999999999999787</v>
      </c>
      <c r="V22" s="352">
        <f t="shared" si="9"/>
        <v>10.999999999999961</v>
      </c>
      <c r="W22" s="14"/>
      <c r="X22" s="15"/>
      <c r="Y22" s="528"/>
      <c r="Z22" s="528"/>
      <c r="AA22" s="11">
        <f t="shared" si="5"/>
        <v>-52.727272727265927</v>
      </c>
      <c r="AB22" s="347">
        <f t="shared" si="6"/>
        <v>0.97363636363636707</v>
      </c>
      <c r="AC22" s="533"/>
    </row>
    <row r="23" spans="1:29" ht="15.75" customHeight="1">
      <c r="A23" s="555" t="s">
        <v>1251</v>
      </c>
      <c r="B23" s="26" t="s">
        <v>1250</v>
      </c>
      <c r="C23" s="530"/>
      <c r="D23" s="530"/>
      <c r="E23" s="345"/>
      <c r="F23" s="353"/>
      <c r="G23" s="346"/>
      <c r="H23" s="353"/>
      <c r="I23" s="17">
        <v>17.166666666666668</v>
      </c>
      <c r="J23" s="18">
        <v>2000</v>
      </c>
      <c r="K23" s="9">
        <f t="shared" si="0"/>
        <v>116.50485436893203</v>
      </c>
      <c r="L23" s="17">
        <v>17.166666666666668</v>
      </c>
      <c r="M23" s="10">
        <f>AVERAGE(M17:M22)</f>
        <v>1884.4501401376417</v>
      </c>
      <c r="N23" s="9">
        <f t="shared" si="1"/>
        <v>109.77379457112475</v>
      </c>
      <c r="O23" s="11">
        <f t="shared" si="2"/>
        <v>0</v>
      </c>
      <c r="P23" s="12">
        <f t="shared" si="3"/>
        <v>-6.7310597978072764</v>
      </c>
      <c r="Q23" s="347">
        <f t="shared" si="4"/>
        <v>0.94222507006882084</v>
      </c>
      <c r="R23" s="533"/>
      <c r="S23" s="24"/>
      <c r="T23" s="24"/>
      <c r="U23" s="9"/>
      <c r="V23" s="352"/>
      <c r="W23" s="9"/>
      <c r="X23" s="9"/>
      <c r="Y23" s="528"/>
      <c r="Z23" s="528"/>
      <c r="AA23" s="11">
        <f t="shared" si="5"/>
        <v>-115.54985986235829</v>
      </c>
      <c r="AB23" s="347">
        <f t="shared" si="6"/>
        <v>0.94222507006882084</v>
      </c>
      <c r="AC23" s="533"/>
    </row>
    <row r="24" spans="1:29" ht="15.75" customHeight="1">
      <c r="A24" s="553" t="s">
        <v>1249</v>
      </c>
      <c r="B24" s="26" t="s">
        <v>24</v>
      </c>
      <c r="C24" s="552" t="s">
        <v>26</v>
      </c>
      <c r="D24" s="552"/>
      <c r="E24" s="26">
        <v>26.2</v>
      </c>
      <c r="F24" s="353">
        <v>2595</v>
      </c>
      <c r="G24" s="346">
        <f>E24*F24</f>
        <v>67989</v>
      </c>
      <c r="H24" s="354" t="s">
        <v>52</v>
      </c>
      <c r="I24" s="351">
        <v>20</v>
      </c>
      <c r="J24" s="18">
        <v>2400</v>
      </c>
      <c r="K24" s="9">
        <f t="shared" si="0"/>
        <v>120</v>
      </c>
      <c r="L24" s="351">
        <v>20</v>
      </c>
      <c r="M24" s="10">
        <f>F24/V24*60</f>
        <v>2224.2857142857147</v>
      </c>
      <c r="N24" s="9">
        <f t="shared" si="1"/>
        <v>111.21428571428574</v>
      </c>
      <c r="O24" s="11">
        <f t="shared" si="2"/>
        <v>0</v>
      </c>
      <c r="P24" s="12">
        <f t="shared" si="3"/>
        <v>-8.7857142857142634</v>
      </c>
      <c r="Q24" s="347">
        <f t="shared" si="4"/>
        <v>0.92678571428571443</v>
      </c>
      <c r="R24" s="533">
        <f>Q29</f>
        <v>0.93096394795443116</v>
      </c>
      <c r="S24" s="24">
        <v>0.125</v>
      </c>
      <c r="T24" s="24">
        <v>0.1736111111111111</v>
      </c>
      <c r="U24" s="346"/>
      <c r="V24" s="352">
        <f>(T24-S24)*24*60</f>
        <v>69.999999999999986</v>
      </c>
      <c r="W24" s="14">
        <f>T24</f>
        <v>0.1736111111111111</v>
      </c>
      <c r="X24" s="14">
        <f>S25</f>
        <v>0.19305555555555556</v>
      </c>
      <c r="Y24" s="528"/>
      <c r="Z24" s="528"/>
      <c r="AA24" s="11">
        <f t="shared" si="5"/>
        <v>-175.71428571428532</v>
      </c>
      <c r="AB24" s="347">
        <f t="shared" si="6"/>
        <v>0.92678571428571443</v>
      </c>
      <c r="AC24" s="533">
        <f>AB29</f>
        <v>0.93096394795443116</v>
      </c>
    </row>
    <row r="25" spans="1:29" ht="15.75" customHeight="1">
      <c r="A25" s="553" t="s">
        <v>1248</v>
      </c>
      <c r="B25" s="26" t="s">
        <v>24</v>
      </c>
      <c r="C25" s="552" t="s">
        <v>79</v>
      </c>
      <c r="D25" s="552"/>
      <c r="E25" s="26">
        <v>31.29</v>
      </c>
      <c r="F25" s="353">
        <v>6228</v>
      </c>
      <c r="G25" s="346">
        <f>E25*F25</f>
        <v>194874.12</v>
      </c>
      <c r="H25" s="354" t="s">
        <v>52</v>
      </c>
      <c r="I25" s="351">
        <v>16</v>
      </c>
      <c r="J25" s="18">
        <v>2400</v>
      </c>
      <c r="K25" s="9">
        <f t="shared" si="0"/>
        <v>150</v>
      </c>
      <c r="L25" s="351">
        <v>16</v>
      </c>
      <c r="M25" s="10">
        <f>F25/V25*60</f>
        <v>2237.6047904191619</v>
      </c>
      <c r="N25" s="9">
        <f t="shared" si="1"/>
        <v>139.85029940119762</v>
      </c>
      <c r="O25" s="11">
        <f t="shared" si="2"/>
        <v>0</v>
      </c>
      <c r="P25" s="12">
        <f t="shared" si="3"/>
        <v>-10.149700598802383</v>
      </c>
      <c r="Q25" s="347">
        <f t="shared" si="4"/>
        <v>0.93233532934131746</v>
      </c>
      <c r="R25" s="533"/>
      <c r="S25" s="24">
        <v>0.19305555555555556</v>
      </c>
      <c r="T25" s="24">
        <v>0.30902777777777779</v>
      </c>
      <c r="U25" s="346">
        <f>(S25-T24)*24*60</f>
        <v>28.000000000000021</v>
      </c>
      <c r="V25" s="352">
        <f>(T25-S25)*24*60</f>
        <v>167</v>
      </c>
      <c r="W25" s="14"/>
      <c r="X25" s="14"/>
      <c r="Y25" s="528"/>
      <c r="Z25" s="528"/>
      <c r="AA25" s="11">
        <f t="shared" si="5"/>
        <v>-162.39520958083813</v>
      </c>
      <c r="AB25" s="347">
        <f t="shared" si="6"/>
        <v>0.93233532934131746</v>
      </c>
      <c r="AC25" s="533"/>
    </row>
    <row r="26" spans="1:29" ht="15.75" customHeight="1">
      <c r="A26" s="553" t="s">
        <v>1248</v>
      </c>
      <c r="B26" s="26" t="s">
        <v>24</v>
      </c>
      <c r="C26" s="552" t="s">
        <v>68</v>
      </c>
      <c r="D26" s="552"/>
      <c r="E26" s="26">
        <v>24.25</v>
      </c>
      <c r="F26" s="353">
        <v>3289</v>
      </c>
      <c r="G26" s="346">
        <f>E26*F26</f>
        <v>79758.25</v>
      </c>
      <c r="H26" s="354" t="s">
        <v>52</v>
      </c>
      <c r="I26" s="351">
        <v>18</v>
      </c>
      <c r="J26" s="18">
        <v>2400</v>
      </c>
      <c r="K26" s="9">
        <f t="shared" si="0"/>
        <v>133.33333333333334</v>
      </c>
      <c r="L26" s="351">
        <v>18</v>
      </c>
      <c r="M26" s="10">
        <f>F26/V26*60</f>
        <v>2242.5</v>
      </c>
      <c r="N26" s="9">
        <f t="shared" si="1"/>
        <v>124.58333333333333</v>
      </c>
      <c r="O26" s="11">
        <f t="shared" si="2"/>
        <v>0</v>
      </c>
      <c r="P26" s="12">
        <f t="shared" si="3"/>
        <v>-8.7500000000000142</v>
      </c>
      <c r="Q26" s="347">
        <f t="shared" si="4"/>
        <v>0.93437499999999984</v>
      </c>
      <c r="R26" s="533"/>
      <c r="S26" s="24">
        <v>0.31388888888888888</v>
      </c>
      <c r="T26" s="24">
        <v>0.375</v>
      </c>
      <c r="U26" s="346">
        <f>(S26-T25)*24*60</f>
        <v>6.9999999999999751</v>
      </c>
      <c r="V26" s="352">
        <f>(T26-S26)*24*60</f>
        <v>88</v>
      </c>
      <c r="W26" s="14"/>
      <c r="X26" s="14"/>
      <c r="Y26" s="528"/>
      <c r="Z26" s="528"/>
      <c r="AA26" s="11">
        <f t="shared" si="5"/>
        <v>-157.5</v>
      </c>
      <c r="AB26" s="347">
        <f t="shared" si="6"/>
        <v>0.93437499999999996</v>
      </c>
      <c r="AC26" s="533"/>
    </row>
    <row r="27" spans="1:29" ht="15.75" customHeight="1">
      <c r="A27" s="553" t="s">
        <v>1248</v>
      </c>
      <c r="B27" s="26" t="s">
        <v>24</v>
      </c>
      <c r="C27" s="552" t="s">
        <v>328</v>
      </c>
      <c r="D27" s="552"/>
      <c r="E27" s="26">
        <v>25.98</v>
      </c>
      <c r="F27" s="353">
        <v>3635</v>
      </c>
      <c r="G27" s="346">
        <f>E27*F27</f>
        <v>94437.3</v>
      </c>
      <c r="H27" s="354" t="s">
        <v>52</v>
      </c>
      <c r="I27" s="351">
        <v>17</v>
      </c>
      <c r="J27" s="18">
        <v>2400</v>
      </c>
      <c r="K27" s="9">
        <f t="shared" si="0"/>
        <v>141.1764705882353</v>
      </c>
      <c r="L27" s="351">
        <v>17</v>
      </c>
      <c r="M27" s="10">
        <f>F27/V27*60</f>
        <v>2225.5102040816332</v>
      </c>
      <c r="N27" s="9">
        <f t="shared" si="1"/>
        <v>130.91236494597842</v>
      </c>
      <c r="O27" s="11">
        <f t="shared" si="2"/>
        <v>0</v>
      </c>
      <c r="P27" s="12">
        <f t="shared" si="3"/>
        <v>-10.264105642256879</v>
      </c>
      <c r="Q27" s="347">
        <f t="shared" si="4"/>
        <v>0.92729591836734715</v>
      </c>
      <c r="R27" s="533"/>
      <c r="S27" s="24">
        <v>0.38055555555555554</v>
      </c>
      <c r="T27" s="24">
        <v>0.44861111111111107</v>
      </c>
      <c r="U27" s="346">
        <f>(S27-T26)*24*60</f>
        <v>7.9999999999999716</v>
      </c>
      <c r="V27" s="352">
        <f>(T27-S27)*24*60</f>
        <v>97.999999999999972</v>
      </c>
      <c r="W27" s="14"/>
      <c r="X27" s="14"/>
      <c r="Y27" s="528"/>
      <c r="Z27" s="528"/>
      <c r="AA27" s="11">
        <f t="shared" si="5"/>
        <v>-174.48979591836678</v>
      </c>
      <c r="AB27" s="347">
        <f t="shared" si="6"/>
        <v>0.92729591836734715</v>
      </c>
      <c r="AC27" s="533"/>
    </row>
    <row r="28" spans="1:29" ht="15.75" customHeight="1">
      <c r="A28" s="553" t="s">
        <v>1248</v>
      </c>
      <c r="B28" s="26" t="s">
        <v>24</v>
      </c>
      <c r="C28" s="552" t="s">
        <v>62</v>
      </c>
      <c r="D28" s="552"/>
      <c r="E28" s="26">
        <v>22.35</v>
      </c>
      <c r="F28" s="353">
        <v>1345</v>
      </c>
      <c r="G28" s="346">
        <f>E28*F28</f>
        <v>30060.750000000004</v>
      </c>
      <c r="H28" s="354" t="s">
        <v>52</v>
      </c>
      <c r="I28" s="351">
        <v>16</v>
      </c>
      <c r="J28" s="18">
        <v>2400</v>
      </c>
      <c r="K28" s="9">
        <f t="shared" si="0"/>
        <v>150</v>
      </c>
      <c r="L28" s="351">
        <v>16</v>
      </c>
      <c r="M28" s="10">
        <f>F28/V28*60</f>
        <v>2241.6666666666647</v>
      </c>
      <c r="N28" s="9">
        <f t="shared" si="1"/>
        <v>140.10416666666654</v>
      </c>
      <c r="O28" s="11">
        <f t="shared" si="2"/>
        <v>0</v>
      </c>
      <c r="P28" s="12">
        <f t="shared" si="3"/>
        <v>-9.8958333333334565</v>
      </c>
      <c r="Q28" s="347">
        <f t="shared" si="4"/>
        <v>0.9340277777777769</v>
      </c>
      <c r="R28" s="533"/>
      <c r="S28" s="24">
        <v>0.45416666666666661</v>
      </c>
      <c r="T28" s="24">
        <v>0.47916666666666663</v>
      </c>
      <c r="U28" s="346">
        <f>(S28-T27)*24*60</f>
        <v>7.9999999999999716</v>
      </c>
      <c r="V28" s="352">
        <f>(T28-S28)*24*60</f>
        <v>36.000000000000028</v>
      </c>
      <c r="W28" s="14"/>
      <c r="X28" s="14"/>
      <c r="Y28" s="528"/>
      <c r="Z28" s="528"/>
      <c r="AA28" s="11">
        <f t="shared" si="5"/>
        <v>-158.3333333333353</v>
      </c>
      <c r="AB28" s="347">
        <f t="shared" si="6"/>
        <v>0.9340277777777769</v>
      </c>
      <c r="AC28" s="533"/>
    </row>
    <row r="29" spans="1:29" ht="15.75" customHeight="1">
      <c r="A29" s="553" t="s">
        <v>1248</v>
      </c>
      <c r="B29" s="26" t="s">
        <v>1233</v>
      </c>
      <c r="C29" s="530"/>
      <c r="D29" s="530"/>
      <c r="E29" s="345"/>
      <c r="F29" s="353"/>
      <c r="G29" s="346"/>
      <c r="H29" s="353"/>
      <c r="I29" s="17">
        <v>17.399999999999999</v>
      </c>
      <c r="J29" s="18">
        <v>2400</v>
      </c>
      <c r="K29" s="9">
        <f t="shared" si="0"/>
        <v>137.93103448275863</v>
      </c>
      <c r="L29" s="17">
        <v>17.399999999999999</v>
      </c>
      <c r="M29" s="10">
        <f>AVERAGE(M24:M28)</f>
        <v>2234.3134750906347</v>
      </c>
      <c r="N29" s="9">
        <f t="shared" si="1"/>
        <v>128.40882040750776</v>
      </c>
      <c r="O29" s="11">
        <f t="shared" si="2"/>
        <v>0</v>
      </c>
      <c r="P29" s="12">
        <f t="shared" si="3"/>
        <v>-9.5222140752508722</v>
      </c>
      <c r="Q29" s="347">
        <f t="shared" si="4"/>
        <v>0.93096394795443116</v>
      </c>
      <c r="R29" s="533"/>
      <c r="S29" s="24"/>
      <c r="T29" s="24"/>
      <c r="U29" s="346"/>
      <c r="V29" s="352"/>
      <c r="W29" s="346"/>
      <c r="X29" s="346"/>
      <c r="Y29" s="528"/>
      <c r="Z29" s="528"/>
      <c r="AA29" s="11">
        <f t="shared" si="5"/>
        <v>-165.68652490936529</v>
      </c>
      <c r="AB29" s="347">
        <f t="shared" si="6"/>
        <v>0.93096394795443116</v>
      </c>
      <c r="AC29" s="533"/>
    </row>
    <row r="30" spans="1:29" ht="15.75" customHeight="1">
      <c r="A30" s="550" t="s">
        <v>1247</v>
      </c>
      <c r="B30" s="26" t="s">
        <v>24</v>
      </c>
      <c r="C30" s="529" t="s">
        <v>28</v>
      </c>
      <c r="D30" s="529"/>
      <c r="E30" s="26">
        <v>26.2</v>
      </c>
      <c r="F30" s="353">
        <v>4442</v>
      </c>
      <c r="G30" s="346">
        <f t="shared" ref="G30:G35" si="10">E30*F30</f>
        <v>116380.4</v>
      </c>
      <c r="H30" s="354" t="s">
        <v>52</v>
      </c>
      <c r="I30" s="351">
        <v>18</v>
      </c>
      <c r="J30" s="18">
        <v>2400</v>
      </c>
      <c r="K30" s="9">
        <f t="shared" si="0"/>
        <v>133.33333333333334</v>
      </c>
      <c r="L30" s="351">
        <v>18</v>
      </c>
      <c r="M30" s="10">
        <f t="shared" ref="M30:M35" si="11">F30/V30*60</f>
        <v>2239.6638655462184</v>
      </c>
      <c r="N30" s="9">
        <f t="shared" si="1"/>
        <v>124.42577030812325</v>
      </c>
      <c r="O30" s="11">
        <f t="shared" si="2"/>
        <v>0</v>
      </c>
      <c r="P30" s="12">
        <f t="shared" si="3"/>
        <v>-8.907563025210095</v>
      </c>
      <c r="Q30" s="347">
        <f t="shared" si="4"/>
        <v>0.93319327731092427</v>
      </c>
      <c r="R30" s="533">
        <f>Q36</f>
        <v>0.93309211422412519</v>
      </c>
      <c r="S30" s="24">
        <v>8.3333333333333329E-2</v>
      </c>
      <c r="T30" s="24">
        <v>0.16597222222222222</v>
      </c>
      <c r="U30" s="346"/>
      <c r="V30" s="352">
        <f t="shared" ref="V30:V35" si="12">(T30-S30)*24*60</f>
        <v>119</v>
      </c>
      <c r="W30" s="15">
        <f>T30</f>
        <v>0.16597222222222222</v>
      </c>
      <c r="X30" s="15">
        <f>S31</f>
        <v>0.1847222222222222</v>
      </c>
      <c r="Y30" s="528"/>
      <c r="Z30" s="528"/>
      <c r="AA30" s="11">
        <f t="shared" si="5"/>
        <v>-160.3361344537816</v>
      </c>
      <c r="AB30" s="347">
        <f t="shared" si="6"/>
        <v>0.93319327731092439</v>
      </c>
      <c r="AC30" s="533">
        <f>AB36</f>
        <v>0.9330921142241253</v>
      </c>
    </row>
    <row r="31" spans="1:29" ht="15.75" customHeight="1">
      <c r="A31" s="550" t="s">
        <v>1247</v>
      </c>
      <c r="B31" s="26" t="s">
        <v>24</v>
      </c>
      <c r="C31" s="529" t="s">
        <v>30</v>
      </c>
      <c r="D31" s="529"/>
      <c r="E31" s="26">
        <v>24.45</v>
      </c>
      <c r="F31" s="353">
        <v>1653</v>
      </c>
      <c r="G31" s="346">
        <f t="shared" si="10"/>
        <v>40415.85</v>
      </c>
      <c r="H31" s="354" t="s">
        <v>52</v>
      </c>
      <c r="I31" s="351">
        <v>20</v>
      </c>
      <c r="J31" s="18">
        <v>2400</v>
      </c>
      <c r="K31" s="9">
        <f t="shared" si="0"/>
        <v>120</v>
      </c>
      <c r="L31" s="351">
        <v>20</v>
      </c>
      <c r="M31" s="10">
        <f t="shared" si="11"/>
        <v>2254.090909090909</v>
      </c>
      <c r="N31" s="9">
        <f t="shared" si="1"/>
        <v>112.70454545454545</v>
      </c>
      <c r="O31" s="11">
        <f t="shared" si="2"/>
        <v>0</v>
      </c>
      <c r="P31" s="12">
        <f t="shared" si="3"/>
        <v>-7.2954545454545467</v>
      </c>
      <c r="Q31" s="347">
        <f t="shared" si="4"/>
        <v>0.93920454545454546</v>
      </c>
      <c r="R31" s="533"/>
      <c r="S31" s="24">
        <v>0.1847222222222222</v>
      </c>
      <c r="T31" s="24">
        <v>0.21527777777777776</v>
      </c>
      <c r="U31" s="346">
        <f>(S31-T30)*24*60</f>
        <v>26.999999999999986</v>
      </c>
      <c r="V31" s="352">
        <f t="shared" si="12"/>
        <v>44</v>
      </c>
      <c r="W31" s="346"/>
      <c r="X31" s="346"/>
      <c r="Y31" s="528"/>
      <c r="Z31" s="528"/>
      <c r="AA31" s="11">
        <f t="shared" si="5"/>
        <v>-145.90909090909099</v>
      </c>
      <c r="AB31" s="347">
        <f t="shared" si="6"/>
        <v>0.93920454545454546</v>
      </c>
      <c r="AC31" s="533"/>
    </row>
    <row r="32" spans="1:29">
      <c r="A32" s="551" t="s">
        <v>1247</v>
      </c>
      <c r="B32" s="26" t="s">
        <v>24</v>
      </c>
      <c r="C32" s="529" t="s">
        <v>29</v>
      </c>
      <c r="D32" s="529"/>
      <c r="E32" s="26">
        <v>26.39</v>
      </c>
      <c r="F32" s="353">
        <v>4088</v>
      </c>
      <c r="G32" s="346">
        <f t="shared" si="10"/>
        <v>107882.32</v>
      </c>
      <c r="H32" s="354" t="s">
        <v>52</v>
      </c>
      <c r="I32" s="351">
        <v>19</v>
      </c>
      <c r="J32" s="18">
        <v>2400</v>
      </c>
      <c r="K32" s="9">
        <f t="shared" si="0"/>
        <v>126.31578947368421</v>
      </c>
      <c r="L32" s="351">
        <v>19</v>
      </c>
      <c r="M32" s="10">
        <f t="shared" si="11"/>
        <v>2229.8181818181815</v>
      </c>
      <c r="N32" s="9">
        <f t="shared" si="1"/>
        <v>117.35885167464113</v>
      </c>
      <c r="O32" s="11">
        <f t="shared" si="2"/>
        <v>0</v>
      </c>
      <c r="P32" s="12">
        <f t="shared" si="3"/>
        <v>-8.9569377990430752</v>
      </c>
      <c r="Q32" s="347">
        <f t="shared" si="4"/>
        <v>0.92909090909090897</v>
      </c>
      <c r="R32" s="533"/>
      <c r="S32" s="24">
        <v>0.22083333333333333</v>
      </c>
      <c r="T32" s="24">
        <v>0.29722222222222222</v>
      </c>
      <c r="U32" s="346">
        <f>(S32-T31)*24*60</f>
        <v>8.0000000000000107</v>
      </c>
      <c r="V32" s="352">
        <f t="shared" si="12"/>
        <v>110.00000000000001</v>
      </c>
      <c r="W32" s="346"/>
      <c r="X32" s="346"/>
      <c r="Y32" s="528"/>
      <c r="Z32" s="528"/>
      <c r="AA32" s="11">
        <f t="shared" si="5"/>
        <v>-170.18181818181847</v>
      </c>
      <c r="AB32" s="347">
        <f t="shared" si="6"/>
        <v>0.92909090909090897</v>
      </c>
      <c r="AC32" s="533"/>
    </row>
    <row r="33" spans="1:29">
      <c r="A33" s="551" t="s">
        <v>1247</v>
      </c>
      <c r="B33" s="26" t="s">
        <v>24</v>
      </c>
      <c r="C33" s="529" t="s">
        <v>27</v>
      </c>
      <c r="D33" s="529"/>
      <c r="E33" s="26">
        <v>20.52</v>
      </c>
      <c r="F33" s="353">
        <v>2475</v>
      </c>
      <c r="G33" s="346">
        <f t="shared" si="10"/>
        <v>50787</v>
      </c>
      <c r="H33" s="354" t="s">
        <v>52</v>
      </c>
      <c r="I33" s="351">
        <v>18</v>
      </c>
      <c r="J33" s="18">
        <v>2400</v>
      </c>
      <c r="K33" s="9">
        <f t="shared" si="0"/>
        <v>133.33333333333334</v>
      </c>
      <c r="L33" s="351">
        <v>18</v>
      </c>
      <c r="M33" s="10">
        <f t="shared" si="11"/>
        <v>2250</v>
      </c>
      <c r="N33" s="9">
        <f t="shared" si="1"/>
        <v>125</v>
      </c>
      <c r="O33" s="11">
        <f t="shared" si="2"/>
        <v>0</v>
      </c>
      <c r="P33" s="12">
        <f t="shared" si="3"/>
        <v>-8.3333333333333428</v>
      </c>
      <c r="Q33" s="347">
        <f t="shared" si="4"/>
        <v>0.93749999999999989</v>
      </c>
      <c r="R33" s="533"/>
      <c r="S33" s="24">
        <v>0.30208333333333331</v>
      </c>
      <c r="T33" s="24">
        <v>0.34791666666666665</v>
      </c>
      <c r="U33" s="346">
        <f>(S33-T32)*24*60</f>
        <v>6.9999999999999751</v>
      </c>
      <c r="V33" s="352">
        <f t="shared" si="12"/>
        <v>66</v>
      </c>
      <c r="W33" s="14"/>
      <c r="X33" s="14"/>
      <c r="Y33" s="528"/>
      <c r="Z33" s="528"/>
      <c r="AA33" s="11">
        <f t="shared" si="5"/>
        <v>-150</v>
      </c>
      <c r="AB33" s="347">
        <f t="shared" si="6"/>
        <v>0.9375</v>
      </c>
      <c r="AC33" s="533"/>
    </row>
    <row r="34" spans="1:29">
      <c r="A34" s="551" t="s">
        <v>1246</v>
      </c>
      <c r="B34" s="26" t="s">
        <v>24</v>
      </c>
      <c r="C34" s="529" t="s">
        <v>50</v>
      </c>
      <c r="D34" s="529"/>
      <c r="E34" s="26">
        <v>26.2</v>
      </c>
      <c r="F34" s="353">
        <v>3202</v>
      </c>
      <c r="G34" s="346">
        <f t="shared" si="10"/>
        <v>83892.4</v>
      </c>
      <c r="H34" s="354" t="s">
        <v>52</v>
      </c>
      <c r="I34" s="351">
        <v>19</v>
      </c>
      <c r="J34" s="18">
        <v>2400</v>
      </c>
      <c r="K34" s="9">
        <f t="shared" si="0"/>
        <v>126.31578947368421</v>
      </c>
      <c r="L34" s="351">
        <v>19</v>
      </c>
      <c r="M34" s="10">
        <f t="shared" si="11"/>
        <v>2233.953488372093</v>
      </c>
      <c r="N34" s="9">
        <f t="shared" si="1"/>
        <v>117.57649938800489</v>
      </c>
      <c r="O34" s="11">
        <f t="shared" si="2"/>
        <v>0</v>
      </c>
      <c r="P34" s="12">
        <f t="shared" si="3"/>
        <v>-8.7392900856793148</v>
      </c>
      <c r="Q34" s="347">
        <f t="shared" si="4"/>
        <v>0.93081395348837204</v>
      </c>
      <c r="R34" s="533"/>
      <c r="S34" s="24">
        <v>0.3520833333333333</v>
      </c>
      <c r="T34" s="24">
        <v>0.41180555555555554</v>
      </c>
      <c r="U34" s="346">
        <f>(S34-T33)*24*60</f>
        <v>5.9999999999999787</v>
      </c>
      <c r="V34" s="352">
        <f t="shared" si="12"/>
        <v>86.000000000000014</v>
      </c>
      <c r="W34" s="14"/>
      <c r="X34" s="14"/>
      <c r="Y34" s="528"/>
      <c r="Z34" s="528"/>
      <c r="AA34" s="11">
        <f t="shared" si="5"/>
        <v>-166.04651162790697</v>
      </c>
      <c r="AB34" s="347">
        <f t="shared" si="6"/>
        <v>0.93081395348837215</v>
      </c>
      <c r="AC34" s="533"/>
    </row>
    <row r="35" spans="1:29">
      <c r="A35" s="551" t="s">
        <v>1246</v>
      </c>
      <c r="B35" s="26" t="s">
        <v>24</v>
      </c>
      <c r="C35" s="529" t="s">
        <v>1079</v>
      </c>
      <c r="D35" s="529"/>
      <c r="E35" s="26">
        <v>25.98</v>
      </c>
      <c r="F35" s="353">
        <v>4458</v>
      </c>
      <c r="G35" s="346">
        <f t="shared" si="10"/>
        <v>115818.84</v>
      </c>
      <c r="H35" s="354" t="s">
        <v>52</v>
      </c>
      <c r="I35" s="351">
        <v>17</v>
      </c>
      <c r="J35" s="18">
        <v>2400</v>
      </c>
      <c r="K35" s="9">
        <f t="shared" si="0"/>
        <v>141.1764705882353</v>
      </c>
      <c r="L35" s="351">
        <v>17</v>
      </c>
      <c r="M35" s="10">
        <f t="shared" si="11"/>
        <v>2229.0000000000005</v>
      </c>
      <c r="N35" s="9">
        <f t="shared" si="1"/>
        <v>131.11764705882356</v>
      </c>
      <c r="O35" s="11">
        <f t="shared" si="2"/>
        <v>0</v>
      </c>
      <c r="P35" s="12">
        <f t="shared" si="3"/>
        <v>-10.05882352941174</v>
      </c>
      <c r="Q35" s="347">
        <f t="shared" si="4"/>
        <v>0.92875000000000019</v>
      </c>
      <c r="R35" s="533"/>
      <c r="S35" s="24">
        <v>0.41666666666666663</v>
      </c>
      <c r="T35" s="24">
        <v>0.49999999999999994</v>
      </c>
      <c r="U35" s="346">
        <f>(S35-T34)*24*60</f>
        <v>6.9999999999999751</v>
      </c>
      <c r="V35" s="352">
        <f t="shared" si="12"/>
        <v>119.99999999999997</v>
      </c>
      <c r="W35" s="14"/>
      <c r="X35" s="14"/>
      <c r="Y35" s="528"/>
      <c r="Z35" s="528"/>
      <c r="AA35" s="11">
        <f t="shared" si="5"/>
        <v>-170.99999999999955</v>
      </c>
      <c r="AB35" s="347">
        <f t="shared" si="6"/>
        <v>0.92875000000000019</v>
      </c>
      <c r="AC35" s="533"/>
    </row>
    <row r="36" spans="1:29">
      <c r="A36" s="551" t="s">
        <v>1246</v>
      </c>
      <c r="B36" s="16" t="s">
        <v>1236</v>
      </c>
      <c r="C36" s="530"/>
      <c r="D36" s="530"/>
      <c r="E36" s="345"/>
      <c r="F36" s="16"/>
      <c r="G36" s="9"/>
      <c r="H36" s="353"/>
      <c r="I36" s="17">
        <v>18.5</v>
      </c>
      <c r="J36" s="18">
        <v>2400</v>
      </c>
      <c r="K36" s="9">
        <f t="shared" si="0"/>
        <v>129.72972972972974</v>
      </c>
      <c r="L36" s="17">
        <v>18.5</v>
      </c>
      <c r="M36" s="10">
        <f>AVERAGE(M30:M35)</f>
        <v>2239.4210741379006</v>
      </c>
      <c r="N36" s="9">
        <f t="shared" si="1"/>
        <v>121.04978779123788</v>
      </c>
      <c r="O36" s="11">
        <f t="shared" si="2"/>
        <v>0</v>
      </c>
      <c r="P36" s="12">
        <f t="shared" si="3"/>
        <v>-8.679941938491865</v>
      </c>
      <c r="Q36" s="347">
        <f t="shared" si="4"/>
        <v>0.93309211422412519</v>
      </c>
      <c r="R36" s="533"/>
      <c r="S36" s="24"/>
      <c r="T36" s="24"/>
      <c r="U36" s="9"/>
      <c r="V36" s="352"/>
      <c r="W36" s="9"/>
      <c r="X36" s="9"/>
      <c r="Y36" s="528"/>
      <c r="Z36" s="528"/>
      <c r="AA36" s="11">
        <f t="shared" si="5"/>
        <v>-160.57892586209937</v>
      </c>
      <c r="AB36" s="347">
        <f t="shared" si="6"/>
        <v>0.9330921142241253</v>
      </c>
      <c r="AC36" s="533"/>
    </row>
    <row r="37" spans="1:29" ht="15.75" customHeight="1">
      <c r="A37" s="544" t="s">
        <v>1244</v>
      </c>
      <c r="B37" s="26" t="s">
        <v>32</v>
      </c>
      <c r="C37" s="534" t="s">
        <v>33</v>
      </c>
      <c r="D37" s="535"/>
      <c r="E37" s="26">
        <v>27.17</v>
      </c>
      <c r="F37" s="353">
        <v>4455</v>
      </c>
      <c r="G37" s="346">
        <f t="shared" ref="G37:G43" si="13">E37*F37</f>
        <v>121042.35</v>
      </c>
      <c r="H37" s="354" t="s">
        <v>52</v>
      </c>
      <c r="I37" s="351">
        <v>10</v>
      </c>
      <c r="J37" s="18">
        <v>3000</v>
      </c>
      <c r="K37" s="9">
        <f t="shared" ref="K37:K65" si="14">J37/I37</f>
        <v>300</v>
      </c>
      <c r="L37" s="351">
        <v>10</v>
      </c>
      <c r="M37" s="10">
        <f t="shared" ref="M37:M43" si="15">F37/V37*60</f>
        <v>2784.3750000000009</v>
      </c>
      <c r="N37" s="10">
        <f t="shared" ref="N37:N65" si="16">M37/L37</f>
        <v>278.43750000000011</v>
      </c>
      <c r="O37" s="11">
        <f t="shared" ref="O37:O65" si="17">L37-I37</f>
        <v>0</v>
      </c>
      <c r="P37" s="12">
        <f t="shared" ref="P37:P65" si="18">N37-K37</f>
        <v>-21.562499999999886</v>
      </c>
      <c r="Q37" s="347">
        <f t="shared" ref="Q37:Q65" si="19">N37/K37</f>
        <v>0.92812500000000042</v>
      </c>
      <c r="R37" s="547">
        <f>Q44</f>
        <v>0.93618411586325123</v>
      </c>
      <c r="S37" s="24">
        <v>0.125</v>
      </c>
      <c r="T37" s="24">
        <v>0.19166666666666665</v>
      </c>
      <c r="U37" s="15"/>
      <c r="V37" s="352">
        <f t="shared" ref="V37:V43" si="20">(T37-S37)*24*60</f>
        <v>95.999999999999972</v>
      </c>
      <c r="W37" s="346"/>
      <c r="X37" s="346"/>
      <c r="Y37" s="536"/>
      <c r="Z37" s="537"/>
      <c r="AA37" s="11">
        <f t="shared" ref="AA37:AA65" si="21">M37-J37</f>
        <v>-215.62499999999909</v>
      </c>
      <c r="AB37" s="347">
        <f t="shared" ref="AB37:AB65" si="22">M37/J37</f>
        <v>0.92812500000000031</v>
      </c>
      <c r="AC37" s="547">
        <f>AB44</f>
        <v>0.93618411586325134</v>
      </c>
    </row>
    <row r="38" spans="1:29" ht="15.75" customHeight="1">
      <c r="A38" s="545" t="s">
        <v>1244</v>
      </c>
      <c r="B38" s="26" t="s">
        <v>32</v>
      </c>
      <c r="C38" s="534" t="s">
        <v>34</v>
      </c>
      <c r="D38" s="535"/>
      <c r="E38" s="26">
        <v>21.13</v>
      </c>
      <c r="F38" s="353">
        <v>3604</v>
      </c>
      <c r="G38" s="346">
        <f t="shared" si="13"/>
        <v>76152.51999999999</v>
      </c>
      <c r="H38" s="354" t="s">
        <v>52</v>
      </c>
      <c r="I38" s="351">
        <v>10</v>
      </c>
      <c r="J38" s="18">
        <v>3000</v>
      </c>
      <c r="K38" s="9">
        <f t="shared" si="14"/>
        <v>300</v>
      </c>
      <c r="L38" s="351">
        <v>10</v>
      </c>
      <c r="M38" s="10">
        <f t="shared" si="15"/>
        <v>2808.3116883116882</v>
      </c>
      <c r="N38" s="10">
        <f t="shared" si="16"/>
        <v>280.83116883116884</v>
      </c>
      <c r="O38" s="11">
        <f t="shared" si="17"/>
        <v>0</v>
      </c>
      <c r="P38" s="12">
        <f t="shared" si="18"/>
        <v>-19.168831168831161</v>
      </c>
      <c r="Q38" s="347">
        <f t="shared" si="19"/>
        <v>0.9361038961038961</v>
      </c>
      <c r="R38" s="548"/>
      <c r="S38" s="24">
        <v>0.19513888888888886</v>
      </c>
      <c r="T38" s="24">
        <v>0.24861111111111109</v>
      </c>
      <c r="U38" s="346">
        <f t="shared" ref="U38:U43" si="23">(S38-T37)*24*60</f>
        <v>4.9999999999999822</v>
      </c>
      <c r="V38" s="352">
        <f t="shared" si="20"/>
        <v>77</v>
      </c>
      <c r="W38" s="14"/>
      <c r="X38" s="14"/>
      <c r="Y38" s="536"/>
      <c r="Z38" s="537"/>
      <c r="AA38" s="11">
        <f t="shared" si="21"/>
        <v>-191.68831168831184</v>
      </c>
      <c r="AB38" s="347">
        <f t="shared" si="22"/>
        <v>0.9361038961038961</v>
      </c>
      <c r="AC38" s="548"/>
    </row>
    <row r="39" spans="1:29" ht="15.75" customHeight="1">
      <c r="A39" s="545" t="s">
        <v>1244</v>
      </c>
      <c r="B39" s="26" t="s">
        <v>32</v>
      </c>
      <c r="C39" s="534" t="s">
        <v>40</v>
      </c>
      <c r="D39" s="535"/>
      <c r="E39" s="26">
        <v>35.119999999999997</v>
      </c>
      <c r="F39" s="353">
        <v>3477</v>
      </c>
      <c r="G39" s="346">
        <f t="shared" si="13"/>
        <v>122112.23999999999</v>
      </c>
      <c r="H39" s="354" t="s">
        <v>52</v>
      </c>
      <c r="I39" s="351">
        <v>10</v>
      </c>
      <c r="J39" s="18">
        <v>3000</v>
      </c>
      <c r="K39" s="9">
        <f t="shared" si="14"/>
        <v>300</v>
      </c>
      <c r="L39" s="351">
        <v>10</v>
      </c>
      <c r="M39" s="10">
        <f t="shared" si="15"/>
        <v>2781.6000000000013</v>
      </c>
      <c r="N39" s="10">
        <f t="shared" si="16"/>
        <v>278.16000000000014</v>
      </c>
      <c r="O39" s="11">
        <f t="shared" si="17"/>
        <v>0</v>
      </c>
      <c r="P39" s="12">
        <f t="shared" si="18"/>
        <v>-21.839999999999861</v>
      </c>
      <c r="Q39" s="347">
        <f t="shared" si="19"/>
        <v>0.92720000000000047</v>
      </c>
      <c r="R39" s="548"/>
      <c r="S39" s="24">
        <v>0.25277777777777777</v>
      </c>
      <c r="T39" s="24">
        <v>0.30486111111111108</v>
      </c>
      <c r="U39" s="346">
        <f t="shared" si="23"/>
        <v>6.0000000000000187</v>
      </c>
      <c r="V39" s="352">
        <f t="shared" si="20"/>
        <v>74.999999999999972</v>
      </c>
      <c r="W39" s="14"/>
      <c r="X39" s="14"/>
      <c r="Y39" s="536"/>
      <c r="Z39" s="537"/>
      <c r="AA39" s="11">
        <f t="shared" si="21"/>
        <v>-218.39999999999873</v>
      </c>
      <c r="AB39" s="347">
        <f t="shared" si="22"/>
        <v>0.92720000000000047</v>
      </c>
      <c r="AC39" s="548"/>
    </row>
    <row r="40" spans="1:29" ht="15.75" customHeight="1">
      <c r="A40" s="545" t="s">
        <v>1245</v>
      </c>
      <c r="B40" s="26" t="s">
        <v>32</v>
      </c>
      <c r="C40" s="534" t="s">
        <v>61</v>
      </c>
      <c r="D40" s="535"/>
      <c r="E40" s="26">
        <v>40.18</v>
      </c>
      <c r="F40" s="353">
        <v>1556</v>
      </c>
      <c r="G40" s="346">
        <f t="shared" si="13"/>
        <v>62520.08</v>
      </c>
      <c r="H40" s="354" t="s">
        <v>52</v>
      </c>
      <c r="I40" s="351">
        <v>10</v>
      </c>
      <c r="J40" s="18">
        <v>3000</v>
      </c>
      <c r="K40" s="9">
        <f t="shared" si="14"/>
        <v>300</v>
      </c>
      <c r="L40" s="351">
        <v>10</v>
      </c>
      <c r="M40" s="10">
        <f t="shared" si="15"/>
        <v>2829.0909090909122</v>
      </c>
      <c r="N40" s="10">
        <f t="shared" si="16"/>
        <v>282.90909090909122</v>
      </c>
      <c r="O40" s="11">
        <f t="shared" si="17"/>
        <v>0</v>
      </c>
      <c r="P40" s="12">
        <f t="shared" si="18"/>
        <v>-17.090909090908781</v>
      </c>
      <c r="Q40" s="347">
        <f t="shared" si="19"/>
        <v>0.94303030303030411</v>
      </c>
      <c r="R40" s="548"/>
      <c r="S40" s="24">
        <v>0.30902777777777773</v>
      </c>
      <c r="T40" s="24">
        <v>0.33194444444444438</v>
      </c>
      <c r="U40" s="346">
        <f t="shared" si="23"/>
        <v>5.9999999999999787</v>
      </c>
      <c r="V40" s="352">
        <f t="shared" si="20"/>
        <v>32.999999999999964</v>
      </c>
      <c r="W40" s="14"/>
      <c r="X40" s="14"/>
      <c r="Y40" s="536"/>
      <c r="Z40" s="537"/>
      <c r="AA40" s="11">
        <f t="shared" si="21"/>
        <v>-170.90909090908781</v>
      </c>
      <c r="AB40" s="347">
        <f t="shared" si="22"/>
        <v>0.94303030303030411</v>
      </c>
      <c r="AC40" s="548"/>
    </row>
    <row r="41" spans="1:29" ht="15.75" customHeight="1">
      <c r="A41" s="545" t="s">
        <v>1244</v>
      </c>
      <c r="B41" s="26" t="s">
        <v>32</v>
      </c>
      <c r="C41" s="534" t="s">
        <v>64</v>
      </c>
      <c r="D41" s="535"/>
      <c r="E41" s="26">
        <v>28.5</v>
      </c>
      <c r="F41" s="353">
        <v>915</v>
      </c>
      <c r="G41" s="346">
        <f t="shared" si="13"/>
        <v>26077.5</v>
      </c>
      <c r="H41" s="354" t="s">
        <v>52</v>
      </c>
      <c r="I41" s="351">
        <v>10</v>
      </c>
      <c r="J41" s="18">
        <v>3000</v>
      </c>
      <c r="K41" s="9">
        <f t="shared" si="14"/>
        <v>300</v>
      </c>
      <c r="L41" s="351">
        <v>10</v>
      </c>
      <c r="M41" s="10">
        <f t="shared" si="15"/>
        <v>2889.473684210524</v>
      </c>
      <c r="N41" s="10">
        <f t="shared" si="16"/>
        <v>288.94736842105237</v>
      </c>
      <c r="O41" s="11">
        <f t="shared" si="17"/>
        <v>0</v>
      </c>
      <c r="P41" s="12">
        <f t="shared" si="18"/>
        <v>-11.052631578947626</v>
      </c>
      <c r="Q41" s="347">
        <f t="shared" si="19"/>
        <v>0.96315789473684121</v>
      </c>
      <c r="R41" s="548"/>
      <c r="S41" s="24">
        <v>0.33680555555555547</v>
      </c>
      <c r="T41" s="24">
        <v>0.34999999999999992</v>
      </c>
      <c r="U41" s="346">
        <f t="shared" si="23"/>
        <v>6.9999999999999751</v>
      </c>
      <c r="V41" s="352">
        <f t="shared" si="20"/>
        <v>19.000000000000014</v>
      </c>
      <c r="W41" s="14"/>
      <c r="X41" s="14"/>
      <c r="Y41" s="536"/>
      <c r="Z41" s="537"/>
      <c r="AA41" s="11">
        <f t="shared" si="21"/>
        <v>-110.52631578947603</v>
      </c>
      <c r="AB41" s="347">
        <f t="shared" si="22"/>
        <v>0.96315789473684132</v>
      </c>
      <c r="AC41" s="548"/>
    </row>
    <row r="42" spans="1:29" ht="15.75" customHeight="1">
      <c r="A42" s="545" t="s">
        <v>1244</v>
      </c>
      <c r="B42" s="26" t="s">
        <v>32</v>
      </c>
      <c r="C42" s="534" t="s">
        <v>78</v>
      </c>
      <c r="D42" s="535"/>
      <c r="E42" s="26">
        <v>35.869999999999997</v>
      </c>
      <c r="F42" s="353">
        <v>2554</v>
      </c>
      <c r="G42" s="346">
        <f t="shared" si="13"/>
        <v>91611.98</v>
      </c>
      <c r="H42" s="354" t="s">
        <v>52</v>
      </c>
      <c r="I42" s="351">
        <v>10</v>
      </c>
      <c r="J42" s="18">
        <v>3000</v>
      </c>
      <c r="K42" s="9">
        <f t="shared" si="14"/>
        <v>300</v>
      </c>
      <c r="L42" s="351">
        <v>10</v>
      </c>
      <c r="M42" s="10">
        <f t="shared" si="15"/>
        <v>2786.1818181818198</v>
      </c>
      <c r="N42" s="10">
        <f t="shared" si="16"/>
        <v>278.61818181818199</v>
      </c>
      <c r="O42" s="11">
        <f t="shared" si="17"/>
        <v>0</v>
      </c>
      <c r="P42" s="12">
        <f t="shared" si="18"/>
        <v>-21.381818181818005</v>
      </c>
      <c r="Q42" s="347">
        <f t="shared" si="19"/>
        <v>0.92872727272727329</v>
      </c>
      <c r="R42" s="548"/>
      <c r="S42" s="24">
        <v>0.35486111111111102</v>
      </c>
      <c r="T42" s="24">
        <v>0.39305555555555544</v>
      </c>
      <c r="U42" s="346">
        <f t="shared" si="23"/>
        <v>6.9999999999999751</v>
      </c>
      <c r="V42" s="352">
        <f t="shared" si="20"/>
        <v>54.999999999999964</v>
      </c>
      <c r="W42" s="14"/>
      <c r="X42" s="14"/>
      <c r="Y42" s="536"/>
      <c r="Z42" s="537"/>
      <c r="AA42" s="11">
        <f t="shared" si="21"/>
        <v>-213.81818181818016</v>
      </c>
      <c r="AB42" s="347">
        <f t="shared" si="22"/>
        <v>0.92872727272727329</v>
      </c>
      <c r="AC42" s="548"/>
    </row>
    <row r="43" spans="1:29" ht="15.75" customHeight="1">
      <c r="A43" s="545" t="s">
        <v>1244</v>
      </c>
      <c r="B43" s="26" t="s">
        <v>32</v>
      </c>
      <c r="C43" s="534" t="s">
        <v>1081</v>
      </c>
      <c r="D43" s="535"/>
      <c r="E43" s="26">
        <v>36.14</v>
      </c>
      <c r="F43" s="353">
        <v>3337</v>
      </c>
      <c r="G43" s="346">
        <f t="shared" si="13"/>
        <v>120599.18000000001</v>
      </c>
      <c r="H43" s="354" t="s">
        <v>52</v>
      </c>
      <c r="I43" s="351">
        <v>10</v>
      </c>
      <c r="J43" s="18">
        <v>3000</v>
      </c>
      <c r="K43" s="9">
        <f t="shared" si="14"/>
        <v>300</v>
      </c>
      <c r="L43" s="351">
        <v>10</v>
      </c>
      <c r="M43" s="10">
        <f t="shared" si="15"/>
        <v>2780.8333333333339</v>
      </c>
      <c r="N43" s="10">
        <f t="shared" si="16"/>
        <v>278.08333333333337</v>
      </c>
      <c r="O43" s="11">
        <f t="shared" si="17"/>
        <v>0</v>
      </c>
      <c r="P43" s="12">
        <f t="shared" si="18"/>
        <v>-21.916666666666629</v>
      </c>
      <c r="Q43" s="347">
        <f t="shared" si="19"/>
        <v>0.92694444444444457</v>
      </c>
      <c r="R43" s="548"/>
      <c r="S43" s="24">
        <v>0.39722222222222209</v>
      </c>
      <c r="T43" s="24">
        <v>0.44722222222222208</v>
      </c>
      <c r="U43" s="346">
        <f t="shared" si="23"/>
        <v>5.9999999999999787</v>
      </c>
      <c r="V43" s="352">
        <f t="shared" si="20"/>
        <v>71.999999999999986</v>
      </c>
      <c r="W43" s="14"/>
      <c r="X43" s="14"/>
      <c r="Y43" s="536"/>
      <c r="Z43" s="537"/>
      <c r="AA43" s="11">
        <f t="shared" si="21"/>
        <v>-219.16666666666606</v>
      </c>
      <c r="AB43" s="347">
        <f t="shared" si="22"/>
        <v>0.92694444444444468</v>
      </c>
      <c r="AC43" s="548"/>
    </row>
    <row r="44" spans="1:29" ht="15.75" customHeight="1">
      <c r="A44" s="546" t="s">
        <v>1244</v>
      </c>
      <c r="B44" s="26" t="s">
        <v>1236</v>
      </c>
      <c r="C44" s="540"/>
      <c r="D44" s="541"/>
      <c r="E44" s="350"/>
      <c r="F44" s="353"/>
      <c r="G44" s="346"/>
      <c r="H44" s="353"/>
      <c r="I44" s="17">
        <v>10</v>
      </c>
      <c r="J44" s="18">
        <v>3000</v>
      </c>
      <c r="K44" s="9">
        <f t="shared" si="14"/>
        <v>300</v>
      </c>
      <c r="L44" s="17">
        <v>10</v>
      </c>
      <c r="M44" s="10">
        <f>AVERAGE(M37:M43)</f>
        <v>2808.5523475897539</v>
      </c>
      <c r="N44" s="9">
        <f t="shared" si="16"/>
        <v>280.85523475897537</v>
      </c>
      <c r="O44" s="11">
        <f t="shared" si="17"/>
        <v>0</v>
      </c>
      <c r="P44" s="12">
        <f t="shared" si="18"/>
        <v>-19.144765241024629</v>
      </c>
      <c r="Q44" s="347">
        <f t="shared" si="19"/>
        <v>0.93618411586325123</v>
      </c>
      <c r="R44" s="549"/>
      <c r="S44" s="24"/>
      <c r="T44" s="24"/>
      <c r="U44" s="346"/>
      <c r="V44" s="352"/>
      <c r="W44" s="14"/>
      <c r="X44" s="14"/>
      <c r="Y44" s="536"/>
      <c r="Z44" s="537"/>
      <c r="AA44" s="11">
        <f t="shared" si="21"/>
        <v>-191.44765241024606</v>
      </c>
      <c r="AB44" s="347">
        <f t="shared" si="22"/>
        <v>0.93618411586325134</v>
      </c>
      <c r="AC44" s="549"/>
    </row>
    <row r="45" spans="1:29" ht="15.75" customHeight="1">
      <c r="A45" s="542" t="s">
        <v>1243</v>
      </c>
      <c r="B45" s="26" t="s">
        <v>15</v>
      </c>
      <c r="C45" s="529" t="s">
        <v>20</v>
      </c>
      <c r="D45" s="529"/>
      <c r="E45" s="26">
        <v>46</v>
      </c>
      <c r="F45" s="27">
        <v>2515</v>
      </c>
      <c r="G45" s="346">
        <f>E45*F45</f>
        <v>115690</v>
      </c>
      <c r="H45" s="354" t="s">
        <v>52</v>
      </c>
      <c r="I45" s="351">
        <v>17</v>
      </c>
      <c r="J45" s="18">
        <v>2000</v>
      </c>
      <c r="K45" s="9">
        <f t="shared" si="14"/>
        <v>117.64705882352941</v>
      </c>
      <c r="L45" s="351">
        <v>17</v>
      </c>
      <c r="M45" s="10">
        <f>F45/V45*60</f>
        <v>1862.9629629629624</v>
      </c>
      <c r="N45" s="10">
        <f t="shared" si="16"/>
        <v>109.58605664488014</v>
      </c>
      <c r="O45" s="11">
        <f t="shared" si="17"/>
        <v>0</v>
      </c>
      <c r="P45" s="12">
        <f t="shared" si="18"/>
        <v>-8.0610021786492609</v>
      </c>
      <c r="Q45" s="347">
        <f t="shared" si="19"/>
        <v>0.93148148148148124</v>
      </c>
      <c r="R45" s="533">
        <f>Q50</f>
        <v>0.93504288499025345</v>
      </c>
      <c r="S45" s="24">
        <v>0.29166666666666669</v>
      </c>
      <c r="T45" s="24">
        <v>0.34791666666666671</v>
      </c>
      <c r="U45" s="15"/>
      <c r="V45" s="352">
        <f>(T45-S45)*24*60</f>
        <v>81.000000000000028</v>
      </c>
      <c r="W45" s="15"/>
      <c r="X45" s="15"/>
      <c r="Y45" s="528"/>
      <c r="Z45" s="528"/>
      <c r="AA45" s="11">
        <f t="shared" si="21"/>
        <v>-137.03703703703763</v>
      </c>
      <c r="AB45" s="347">
        <f t="shared" si="22"/>
        <v>0.93148148148148113</v>
      </c>
      <c r="AC45" s="533">
        <f>AB50</f>
        <v>0.93504288499025345</v>
      </c>
    </row>
    <row r="46" spans="1:29" ht="15.75" customHeight="1">
      <c r="A46" s="542" t="s">
        <v>1243</v>
      </c>
      <c r="B46" s="26" t="s">
        <v>15</v>
      </c>
      <c r="C46" s="529" t="s">
        <v>65</v>
      </c>
      <c r="D46" s="529"/>
      <c r="E46" s="26">
        <v>46</v>
      </c>
      <c r="F46" s="27">
        <v>2759</v>
      </c>
      <c r="G46" s="346">
        <f>E46*F46</f>
        <v>126914</v>
      </c>
      <c r="H46" s="354" t="s">
        <v>52</v>
      </c>
      <c r="I46" s="351">
        <v>18</v>
      </c>
      <c r="J46" s="18">
        <v>2000</v>
      </c>
      <c r="K46" s="9">
        <f t="shared" si="14"/>
        <v>111.11111111111111</v>
      </c>
      <c r="L46" s="351">
        <v>18</v>
      </c>
      <c r="M46" s="10">
        <f>F46/V46*60</f>
        <v>1860</v>
      </c>
      <c r="N46" s="10">
        <f t="shared" si="16"/>
        <v>103.33333333333333</v>
      </c>
      <c r="O46" s="11">
        <f t="shared" si="17"/>
        <v>0</v>
      </c>
      <c r="P46" s="12">
        <f t="shared" si="18"/>
        <v>-7.7777777777777857</v>
      </c>
      <c r="Q46" s="347">
        <f t="shared" si="19"/>
        <v>0.92999999999999994</v>
      </c>
      <c r="R46" s="533"/>
      <c r="S46" s="24">
        <v>0.35208333333333336</v>
      </c>
      <c r="T46" s="24">
        <v>0.41388888888888892</v>
      </c>
      <c r="U46" s="346">
        <f>IF(S46=TIME(17,0,0),"",(S46-T45)*24*60)</f>
        <v>5.9999999999999787</v>
      </c>
      <c r="V46" s="352">
        <f>(T46-S46)*24*60</f>
        <v>89</v>
      </c>
      <c r="W46" s="14"/>
      <c r="X46" s="14"/>
      <c r="Y46" s="528"/>
      <c r="Z46" s="528"/>
      <c r="AA46" s="11">
        <f t="shared" si="21"/>
        <v>-140</v>
      </c>
      <c r="AB46" s="347">
        <f t="shared" si="22"/>
        <v>0.93</v>
      </c>
      <c r="AC46" s="533"/>
    </row>
    <row r="47" spans="1:29" ht="15.75" customHeight="1">
      <c r="A47" s="542" t="s">
        <v>1243</v>
      </c>
      <c r="B47" s="26" t="s">
        <v>13</v>
      </c>
      <c r="C47" s="534" t="s">
        <v>59</v>
      </c>
      <c r="D47" s="535"/>
      <c r="E47" s="26">
        <v>55.56</v>
      </c>
      <c r="F47" s="27">
        <v>1870</v>
      </c>
      <c r="G47" s="346">
        <f>E47*F47</f>
        <v>103897.2</v>
      </c>
      <c r="H47" s="354" t="s">
        <v>52</v>
      </c>
      <c r="I47" s="351">
        <v>17</v>
      </c>
      <c r="J47" s="18">
        <v>2000</v>
      </c>
      <c r="K47" s="9">
        <f t="shared" si="14"/>
        <v>117.64705882352941</v>
      </c>
      <c r="L47" s="351">
        <v>17</v>
      </c>
      <c r="M47" s="10">
        <f>F47/V47*60</f>
        <v>1870.0000000000018</v>
      </c>
      <c r="N47" s="10">
        <f t="shared" si="16"/>
        <v>110.00000000000011</v>
      </c>
      <c r="O47" s="11">
        <f t="shared" si="17"/>
        <v>0</v>
      </c>
      <c r="P47" s="12">
        <f t="shared" si="18"/>
        <v>-7.6470588235292922</v>
      </c>
      <c r="Q47" s="347">
        <f t="shared" si="19"/>
        <v>0.93500000000000105</v>
      </c>
      <c r="R47" s="533"/>
      <c r="S47" s="24">
        <v>0.70833333333333337</v>
      </c>
      <c r="T47" s="24">
        <v>0.75</v>
      </c>
      <c r="U47" s="346" t="str">
        <f>IF(S47=TIME(17,0,0),"",(S47-T46)*24*60)</f>
        <v/>
      </c>
      <c r="V47" s="352">
        <f>(T47-S47)*24*60</f>
        <v>59.999999999999943</v>
      </c>
      <c r="W47" s="14"/>
      <c r="X47" s="14"/>
      <c r="Y47" s="343"/>
      <c r="Z47" s="344"/>
      <c r="AA47" s="11">
        <f t="shared" si="21"/>
        <v>-129.99999999999818</v>
      </c>
      <c r="AB47" s="347">
        <f t="shared" si="22"/>
        <v>0.93500000000000094</v>
      </c>
      <c r="AC47" s="533"/>
    </row>
    <row r="48" spans="1:29" ht="15.75" customHeight="1">
      <c r="A48" s="542" t="s">
        <v>1243</v>
      </c>
      <c r="B48" s="26" t="s">
        <v>13</v>
      </c>
      <c r="C48" s="348" t="s">
        <v>58</v>
      </c>
      <c r="D48" s="349"/>
      <c r="E48" s="26">
        <v>55.32</v>
      </c>
      <c r="F48" s="27">
        <v>1257</v>
      </c>
      <c r="G48" s="346">
        <f>E48*F48</f>
        <v>69537.240000000005</v>
      </c>
      <c r="H48" s="354" t="s">
        <v>52</v>
      </c>
      <c r="I48" s="351">
        <v>15</v>
      </c>
      <c r="J48" s="18">
        <v>2000</v>
      </c>
      <c r="K48" s="9">
        <f t="shared" si="14"/>
        <v>133.33333333333334</v>
      </c>
      <c r="L48" s="351">
        <v>15</v>
      </c>
      <c r="M48" s="10">
        <f>F48/V48*60</f>
        <v>1885.4999999999993</v>
      </c>
      <c r="N48" s="10">
        <f t="shared" si="16"/>
        <v>125.69999999999996</v>
      </c>
      <c r="O48" s="11">
        <f t="shared" si="17"/>
        <v>0</v>
      </c>
      <c r="P48" s="12">
        <f t="shared" si="18"/>
        <v>-7.6333333333333826</v>
      </c>
      <c r="Q48" s="347">
        <f t="shared" si="19"/>
        <v>0.94274999999999964</v>
      </c>
      <c r="R48" s="533"/>
      <c r="S48" s="24">
        <v>0.75555555555555554</v>
      </c>
      <c r="T48" s="24">
        <v>0.78333333333333333</v>
      </c>
      <c r="U48" s="346">
        <f>IF(S48=TIME(17,0,0),"",(S48-T47)*24*60)</f>
        <v>7.9999999999999716</v>
      </c>
      <c r="V48" s="352">
        <f>(T48-S48)*24*60</f>
        <v>40.000000000000014</v>
      </c>
      <c r="W48" s="14"/>
      <c r="X48" s="14"/>
      <c r="Y48" s="343"/>
      <c r="Z48" s="344"/>
      <c r="AA48" s="11">
        <f t="shared" si="21"/>
        <v>-114.50000000000068</v>
      </c>
      <c r="AB48" s="347">
        <f t="shared" si="22"/>
        <v>0.94274999999999964</v>
      </c>
      <c r="AC48" s="533"/>
    </row>
    <row r="49" spans="1:29" ht="15.75" customHeight="1">
      <c r="A49" s="542" t="s">
        <v>1242</v>
      </c>
      <c r="B49" s="26" t="s">
        <v>13</v>
      </c>
      <c r="C49" s="348" t="s">
        <v>60</v>
      </c>
      <c r="D49" s="349"/>
      <c r="E49" s="26">
        <v>57.73</v>
      </c>
      <c r="F49" s="27">
        <v>1264</v>
      </c>
      <c r="G49" s="346">
        <f>E49*F49</f>
        <v>72970.720000000001</v>
      </c>
      <c r="H49" s="354" t="s">
        <v>52</v>
      </c>
      <c r="I49" s="351">
        <v>16</v>
      </c>
      <c r="J49" s="18">
        <v>1500</v>
      </c>
      <c r="K49" s="9">
        <f t="shared" si="14"/>
        <v>93.75</v>
      </c>
      <c r="L49" s="351">
        <v>16</v>
      </c>
      <c r="M49" s="10">
        <f>F49/V49*60</f>
        <v>1404.4444444444453</v>
      </c>
      <c r="N49" s="10">
        <f t="shared" si="16"/>
        <v>87.777777777777828</v>
      </c>
      <c r="O49" s="11">
        <f t="shared" si="17"/>
        <v>0</v>
      </c>
      <c r="P49" s="12">
        <f t="shared" si="18"/>
        <v>-5.9722222222221717</v>
      </c>
      <c r="Q49" s="347">
        <f t="shared" si="19"/>
        <v>0.93629629629629685</v>
      </c>
      <c r="R49" s="533"/>
      <c r="S49" s="24">
        <v>0.78680555555555554</v>
      </c>
      <c r="T49" s="24">
        <v>0.82430555555555551</v>
      </c>
      <c r="U49" s="346">
        <f>IF(S49=TIME(17,0,0),"",(S49-T48)*24*60)</f>
        <v>4.9999999999999822</v>
      </c>
      <c r="V49" s="352">
        <f>(T49-S49)*24*60</f>
        <v>53.999999999999972</v>
      </c>
      <c r="W49" s="14"/>
      <c r="X49" s="14"/>
      <c r="Y49" s="343"/>
      <c r="Z49" s="344"/>
      <c r="AA49" s="11">
        <f t="shared" si="21"/>
        <v>-95.555555555554747</v>
      </c>
      <c r="AB49" s="347">
        <f t="shared" si="22"/>
        <v>0.93629629629629685</v>
      </c>
      <c r="AC49" s="533"/>
    </row>
    <row r="50" spans="1:29">
      <c r="A50" s="543" t="s">
        <v>1241</v>
      </c>
      <c r="B50" s="26" t="s">
        <v>1240</v>
      </c>
      <c r="C50" s="530"/>
      <c r="D50" s="530"/>
      <c r="E50" s="345"/>
      <c r="F50" s="16"/>
      <c r="G50" s="9"/>
      <c r="H50" s="353"/>
      <c r="I50" s="17">
        <v>16.600000000000001</v>
      </c>
      <c r="J50" s="18">
        <v>1900</v>
      </c>
      <c r="K50" s="9">
        <f t="shared" si="14"/>
        <v>114.4578313253012</v>
      </c>
      <c r="L50" s="17">
        <v>16.600000000000001</v>
      </c>
      <c r="M50" s="10">
        <f>AVERAGE(M45:M49)</f>
        <v>1776.5814814814817</v>
      </c>
      <c r="N50" s="9">
        <f t="shared" si="16"/>
        <v>107.02298081213743</v>
      </c>
      <c r="O50" s="11">
        <f t="shared" si="17"/>
        <v>0</v>
      </c>
      <c r="P50" s="12">
        <f t="shared" si="18"/>
        <v>-7.4348505131637665</v>
      </c>
      <c r="Q50" s="347">
        <f t="shared" si="19"/>
        <v>0.93504288499025345</v>
      </c>
      <c r="R50" s="533"/>
      <c r="S50" s="25"/>
      <c r="T50" s="24"/>
      <c r="U50" s="9"/>
      <c r="V50" s="352"/>
      <c r="W50" s="9"/>
      <c r="X50" s="9"/>
      <c r="Y50" s="528"/>
      <c r="Z50" s="528"/>
      <c r="AA50" s="11">
        <f t="shared" si="21"/>
        <v>-123.41851851851834</v>
      </c>
      <c r="AB50" s="347">
        <f t="shared" si="22"/>
        <v>0.93504288499025345</v>
      </c>
      <c r="AC50" s="533"/>
    </row>
    <row r="51" spans="1:29" ht="15.75" customHeight="1">
      <c r="A51" s="538" t="s">
        <v>1239</v>
      </c>
      <c r="B51" s="353" t="s">
        <v>1548</v>
      </c>
      <c r="C51" s="529" t="s">
        <v>1084</v>
      </c>
      <c r="D51" s="529"/>
      <c r="E51" s="26">
        <v>84.51</v>
      </c>
      <c r="F51" s="27">
        <v>6805</v>
      </c>
      <c r="G51" s="346">
        <f t="shared" ref="G51:G57" si="24">E51*F51</f>
        <v>575090.55000000005</v>
      </c>
      <c r="H51" s="354" t="s">
        <v>52</v>
      </c>
      <c r="I51" s="351">
        <v>17</v>
      </c>
      <c r="J51" s="18">
        <v>2400</v>
      </c>
      <c r="K51" s="9">
        <f t="shared" si="14"/>
        <v>141.1764705882353</v>
      </c>
      <c r="L51" s="17">
        <v>17</v>
      </c>
      <c r="M51" s="10">
        <f t="shared" ref="M51:M57" si="25">F51/V51*60</f>
        <v>2231.1475409836066</v>
      </c>
      <c r="N51" s="9">
        <f t="shared" si="16"/>
        <v>131.24397299903569</v>
      </c>
      <c r="O51" s="11">
        <f t="shared" si="17"/>
        <v>0</v>
      </c>
      <c r="P51" s="12">
        <f t="shared" si="18"/>
        <v>-9.9324975891996132</v>
      </c>
      <c r="Q51" s="347">
        <f t="shared" si="19"/>
        <v>0.92964480874316946</v>
      </c>
      <c r="R51" s="533">
        <f>Q58</f>
        <v>0.93993402064553289</v>
      </c>
      <c r="S51" s="24">
        <v>0.125</v>
      </c>
      <c r="T51" s="24">
        <v>0.25208333333333333</v>
      </c>
      <c r="U51" s="346"/>
      <c r="V51" s="352">
        <f t="shared" ref="V51:V57" si="26">(T51-S51)*24*60</f>
        <v>183</v>
      </c>
      <c r="W51" s="15"/>
      <c r="X51" s="15"/>
      <c r="Y51" s="528"/>
      <c r="Z51" s="528"/>
      <c r="AA51" s="11">
        <f t="shared" si="21"/>
        <v>-168.85245901639337</v>
      </c>
      <c r="AB51" s="347">
        <f t="shared" si="22"/>
        <v>0.92964480874316946</v>
      </c>
      <c r="AC51" s="533">
        <f>AB58</f>
        <v>0.93993402064553278</v>
      </c>
    </row>
    <row r="52" spans="1:29" ht="15.75" customHeight="1">
      <c r="A52" s="538" t="s">
        <v>1237</v>
      </c>
      <c r="B52" s="353" t="s">
        <v>32</v>
      </c>
      <c r="C52" s="529" t="s">
        <v>35</v>
      </c>
      <c r="D52" s="529"/>
      <c r="E52" s="26">
        <v>26.78</v>
      </c>
      <c r="F52" s="27">
        <v>1973</v>
      </c>
      <c r="G52" s="346">
        <f t="shared" si="24"/>
        <v>52836.94</v>
      </c>
      <c r="H52" s="354" t="s">
        <v>52</v>
      </c>
      <c r="I52" s="351">
        <v>10</v>
      </c>
      <c r="J52" s="18">
        <v>3000</v>
      </c>
      <c r="K52" s="9">
        <f t="shared" si="14"/>
        <v>300</v>
      </c>
      <c r="L52" s="17">
        <v>10</v>
      </c>
      <c r="M52" s="10">
        <f t="shared" si="25"/>
        <v>2818.5714285714275</v>
      </c>
      <c r="N52" s="9">
        <f t="shared" si="16"/>
        <v>281.85714285714278</v>
      </c>
      <c r="O52" s="11">
        <f t="shared" si="17"/>
        <v>0</v>
      </c>
      <c r="P52" s="12">
        <f t="shared" si="18"/>
        <v>-18.142857142857224</v>
      </c>
      <c r="Q52" s="347">
        <f t="shared" si="19"/>
        <v>0.93952380952380921</v>
      </c>
      <c r="R52" s="533"/>
      <c r="S52" s="24">
        <v>0.25555555555555554</v>
      </c>
      <c r="T52" s="24">
        <v>0.28472222222222221</v>
      </c>
      <c r="U52" s="346">
        <f t="shared" ref="U52:U57" si="27">(S52-T51)*24*60</f>
        <v>4.9999999999999822</v>
      </c>
      <c r="V52" s="352">
        <f t="shared" si="26"/>
        <v>42.000000000000014</v>
      </c>
      <c r="W52" s="346"/>
      <c r="X52" s="346"/>
      <c r="Y52" s="528"/>
      <c r="Z52" s="528"/>
      <c r="AA52" s="11">
        <f t="shared" si="21"/>
        <v>-181.42857142857247</v>
      </c>
      <c r="AB52" s="347">
        <f t="shared" si="22"/>
        <v>0.93952380952380921</v>
      </c>
      <c r="AC52" s="533"/>
    </row>
    <row r="53" spans="1:29" ht="15.75" customHeight="1">
      <c r="A53" s="538" t="s">
        <v>1237</v>
      </c>
      <c r="B53" s="353" t="s">
        <v>32</v>
      </c>
      <c r="C53" s="529" t="s">
        <v>39</v>
      </c>
      <c r="D53" s="529"/>
      <c r="E53" s="26">
        <v>35.369999999999997</v>
      </c>
      <c r="F53" s="27">
        <v>1193</v>
      </c>
      <c r="G53" s="346">
        <f t="shared" si="24"/>
        <v>42196.409999999996</v>
      </c>
      <c r="H53" s="354" t="s">
        <v>52</v>
      </c>
      <c r="I53" s="351">
        <v>10</v>
      </c>
      <c r="J53" s="18">
        <v>3000</v>
      </c>
      <c r="K53" s="9">
        <f t="shared" si="14"/>
        <v>300</v>
      </c>
      <c r="L53" s="17">
        <v>10</v>
      </c>
      <c r="M53" s="10">
        <f t="shared" si="25"/>
        <v>2863.2000000000007</v>
      </c>
      <c r="N53" s="9">
        <f t="shared" si="16"/>
        <v>286.32000000000005</v>
      </c>
      <c r="O53" s="11">
        <f t="shared" si="17"/>
        <v>0</v>
      </c>
      <c r="P53" s="12">
        <f t="shared" si="18"/>
        <v>-13.67999999999995</v>
      </c>
      <c r="Q53" s="347">
        <f t="shared" si="19"/>
        <v>0.95440000000000014</v>
      </c>
      <c r="R53" s="533"/>
      <c r="S53" s="24">
        <v>0.28819444444444442</v>
      </c>
      <c r="T53" s="24">
        <v>0.30555555555555552</v>
      </c>
      <c r="U53" s="346">
        <f t="shared" si="27"/>
        <v>4.9999999999999822</v>
      </c>
      <c r="V53" s="352">
        <f t="shared" si="26"/>
        <v>24.999999999999993</v>
      </c>
      <c r="W53" s="346"/>
      <c r="X53" s="346"/>
      <c r="Y53" s="528"/>
      <c r="Z53" s="528"/>
      <c r="AA53" s="11">
        <f t="shared" si="21"/>
        <v>-136.79999999999927</v>
      </c>
      <c r="AB53" s="347">
        <f t="shared" si="22"/>
        <v>0.95440000000000025</v>
      </c>
      <c r="AC53" s="533"/>
    </row>
    <row r="54" spans="1:29" ht="15.75" customHeight="1">
      <c r="A54" s="538" t="s">
        <v>1237</v>
      </c>
      <c r="B54" s="353" t="s">
        <v>32</v>
      </c>
      <c r="C54" s="529" t="s">
        <v>38</v>
      </c>
      <c r="D54" s="529"/>
      <c r="E54" s="26">
        <v>34.35</v>
      </c>
      <c r="F54" s="27">
        <v>1161</v>
      </c>
      <c r="G54" s="346">
        <f t="shared" si="24"/>
        <v>39880.35</v>
      </c>
      <c r="H54" s="354" t="s">
        <v>52</v>
      </c>
      <c r="I54" s="351">
        <v>10</v>
      </c>
      <c r="J54" s="18">
        <v>3000</v>
      </c>
      <c r="K54" s="9">
        <f t="shared" si="14"/>
        <v>300</v>
      </c>
      <c r="L54" s="17">
        <v>10</v>
      </c>
      <c r="M54" s="10">
        <f t="shared" si="25"/>
        <v>2786.4000000000005</v>
      </c>
      <c r="N54" s="9">
        <f t="shared" si="16"/>
        <v>278.64000000000004</v>
      </c>
      <c r="O54" s="11">
        <f t="shared" si="17"/>
        <v>0</v>
      </c>
      <c r="P54" s="12">
        <f t="shared" si="18"/>
        <v>-21.359999999999957</v>
      </c>
      <c r="Q54" s="347">
        <f t="shared" si="19"/>
        <v>0.92880000000000018</v>
      </c>
      <c r="R54" s="533"/>
      <c r="S54" s="24">
        <v>0.31041666666666662</v>
      </c>
      <c r="T54" s="24">
        <v>0.32777777777777772</v>
      </c>
      <c r="U54" s="346">
        <f t="shared" si="27"/>
        <v>6.9999999999999751</v>
      </c>
      <c r="V54" s="352">
        <f t="shared" si="26"/>
        <v>24.999999999999993</v>
      </c>
      <c r="W54" s="346"/>
      <c r="X54" s="346"/>
      <c r="Y54" s="528"/>
      <c r="Z54" s="528"/>
      <c r="AA54" s="11">
        <f t="shared" si="21"/>
        <v>-213.59999999999945</v>
      </c>
      <c r="AB54" s="347">
        <f t="shared" si="22"/>
        <v>0.92880000000000018</v>
      </c>
      <c r="AC54" s="533"/>
    </row>
    <row r="55" spans="1:29">
      <c r="A55" s="539" t="s">
        <v>1237</v>
      </c>
      <c r="B55" s="353" t="s">
        <v>15</v>
      </c>
      <c r="C55" s="529" t="s">
        <v>36</v>
      </c>
      <c r="D55" s="529"/>
      <c r="E55" s="26">
        <v>26.97</v>
      </c>
      <c r="F55" s="27">
        <v>2788</v>
      </c>
      <c r="G55" s="346">
        <f t="shared" si="24"/>
        <v>75192.36</v>
      </c>
      <c r="H55" s="354" t="s">
        <v>52</v>
      </c>
      <c r="I55" s="351">
        <v>8</v>
      </c>
      <c r="J55" s="18">
        <v>1500</v>
      </c>
      <c r="K55" s="9">
        <f t="shared" si="14"/>
        <v>187.5</v>
      </c>
      <c r="L55" s="17">
        <v>8</v>
      </c>
      <c r="M55" s="10">
        <f t="shared" si="25"/>
        <v>1394.0000000000002</v>
      </c>
      <c r="N55" s="9">
        <f t="shared" si="16"/>
        <v>174.25000000000003</v>
      </c>
      <c r="O55" s="11">
        <f t="shared" si="17"/>
        <v>0</v>
      </c>
      <c r="P55" s="12">
        <f t="shared" si="18"/>
        <v>-13.249999999999972</v>
      </c>
      <c r="Q55" s="347">
        <f t="shared" si="19"/>
        <v>0.92933333333333346</v>
      </c>
      <c r="R55" s="533"/>
      <c r="S55" s="24">
        <v>0.33194444444444438</v>
      </c>
      <c r="T55" s="24">
        <v>0.41527777777777769</v>
      </c>
      <c r="U55" s="346">
        <f t="shared" si="27"/>
        <v>5.9999999999999787</v>
      </c>
      <c r="V55" s="352">
        <f t="shared" si="26"/>
        <v>119.99999999999997</v>
      </c>
      <c r="W55" s="14"/>
      <c r="X55" s="14"/>
      <c r="Y55" s="528"/>
      <c r="Z55" s="528"/>
      <c r="AA55" s="11">
        <f t="shared" si="21"/>
        <v>-105.99999999999977</v>
      </c>
      <c r="AB55" s="347">
        <f t="shared" si="22"/>
        <v>0.92933333333333346</v>
      </c>
      <c r="AC55" s="533"/>
    </row>
    <row r="56" spans="1:29" ht="15" customHeight="1">
      <c r="A56" s="539" t="s">
        <v>1237</v>
      </c>
      <c r="B56" s="353" t="s">
        <v>32</v>
      </c>
      <c r="C56" s="534" t="s">
        <v>37</v>
      </c>
      <c r="D56" s="535"/>
      <c r="E56" s="26">
        <v>35.119999999999997</v>
      </c>
      <c r="F56" s="27">
        <v>952</v>
      </c>
      <c r="G56" s="346">
        <f t="shared" si="24"/>
        <v>33434.239999999998</v>
      </c>
      <c r="H56" s="354" t="s">
        <v>52</v>
      </c>
      <c r="I56" s="351">
        <v>13</v>
      </c>
      <c r="J56" s="18">
        <v>2000</v>
      </c>
      <c r="K56" s="9">
        <f t="shared" si="14"/>
        <v>153.84615384615384</v>
      </c>
      <c r="L56" s="17">
        <v>13</v>
      </c>
      <c r="M56" s="10">
        <f t="shared" si="25"/>
        <v>1904.0000000000018</v>
      </c>
      <c r="N56" s="9">
        <f t="shared" si="16"/>
        <v>146.46153846153859</v>
      </c>
      <c r="O56" s="11">
        <f t="shared" si="17"/>
        <v>0</v>
      </c>
      <c r="P56" s="12">
        <f t="shared" si="18"/>
        <v>-7.3846153846152447</v>
      </c>
      <c r="Q56" s="347">
        <f t="shared" si="19"/>
        <v>0.95200000000000096</v>
      </c>
      <c r="R56" s="533"/>
      <c r="S56" s="24">
        <v>0.41944444444444434</v>
      </c>
      <c r="T56" s="24">
        <v>0.44027777777777766</v>
      </c>
      <c r="U56" s="346">
        <f t="shared" si="27"/>
        <v>5.9999999999999787</v>
      </c>
      <c r="V56" s="352">
        <f t="shared" si="26"/>
        <v>29.999999999999972</v>
      </c>
      <c r="W56" s="346"/>
      <c r="X56" s="346"/>
      <c r="Y56" s="536"/>
      <c r="Z56" s="537"/>
      <c r="AA56" s="11">
        <f t="shared" si="21"/>
        <v>-95.999999999998181</v>
      </c>
      <c r="AB56" s="347">
        <f t="shared" si="22"/>
        <v>0.95200000000000096</v>
      </c>
      <c r="AC56" s="533"/>
    </row>
    <row r="57" spans="1:29">
      <c r="A57" s="539" t="s">
        <v>1238</v>
      </c>
      <c r="B57" s="353" t="s">
        <v>32</v>
      </c>
      <c r="C57" s="348" t="s">
        <v>84</v>
      </c>
      <c r="D57" s="349"/>
      <c r="E57" s="26">
        <v>35.869999999999997</v>
      </c>
      <c r="F57" s="27">
        <v>2262</v>
      </c>
      <c r="G57" s="346">
        <f t="shared" si="24"/>
        <v>81137.939999999988</v>
      </c>
      <c r="H57" s="354" t="s">
        <v>52</v>
      </c>
      <c r="I57" s="351">
        <v>10</v>
      </c>
      <c r="J57" s="18">
        <v>3000</v>
      </c>
      <c r="K57" s="9">
        <f t="shared" si="14"/>
        <v>300</v>
      </c>
      <c r="L57" s="17">
        <v>10</v>
      </c>
      <c r="M57" s="10">
        <f t="shared" si="25"/>
        <v>2827.5000000000009</v>
      </c>
      <c r="N57" s="9">
        <f t="shared" si="16"/>
        <v>282.75000000000011</v>
      </c>
      <c r="O57" s="11">
        <f t="shared" si="17"/>
        <v>0</v>
      </c>
      <c r="P57" s="12">
        <f t="shared" si="18"/>
        <v>-17.249999999999886</v>
      </c>
      <c r="Q57" s="347">
        <f t="shared" si="19"/>
        <v>0.94250000000000034</v>
      </c>
      <c r="R57" s="533"/>
      <c r="S57" s="24">
        <v>0.44374999999999987</v>
      </c>
      <c r="T57" s="24">
        <v>0.47708333333333319</v>
      </c>
      <c r="U57" s="346">
        <f t="shared" si="27"/>
        <v>4.9999999999999822</v>
      </c>
      <c r="V57" s="352">
        <f t="shared" si="26"/>
        <v>47.999999999999986</v>
      </c>
      <c r="W57" s="14"/>
      <c r="X57" s="14"/>
      <c r="Y57" s="343"/>
      <c r="Z57" s="344"/>
      <c r="AA57" s="11">
        <f t="shared" si="21"/>
        <v>-172.49999999999909</v>
      </c>
      <c r="AB57" s="347">
        <f t="shared" si="22"/>
        <v>0.94250000000000034</v>
      </c>
      <c r="AC57" s="533"/>
    </row>
    <row r="58" spans="1:29">
      <c r="A58" s="539" t="s">
        <v>1237</v>
      </c>
      <c r="B58" s="26" t="s">
        <v>1236</v>
      </c>
      <c r="C58" s="530"/>
      <c r="D58" s="530"/>
      <c r="E58" s="345"/>
      <c r="F58" s="16"/>
      <c r="G58" s="9"/>
      <c r="H58" s="353"/>
      <c r="I58" s="17">
        <v>11.142857142857142</v>
      </c>
      <c r="J58" s="18">
        <v>2557.1428571428573</v>
      </c>
      <c r="K58" s="9">
        <f t="shared" si="14"/>
        <v>229.4871794871795</v>
      </c>
      <c r="L58" s="17">
        <v>11.142857142857142</v>
      </c>
      <c r="M58" s="10">
        <f>AVERAGE(M51:M57)</f>
        <v>2403.5455670792912</v>
      </c>
      <c r="N58" s="9">
        <f t="shared" si="16"/>
        <v>215.70280730198769</v>
      </c>
      <c r="O58" s="11">
        <f t="shared" si="17"/>
        <v>0</v>
      </c>
      <c r="P58" s="12">
        <f t="shared" si="18"/>
        <v>-13.784372185191813</v>
      </c>
      <c r="Q58" s="347">
        <f t="shared" si="19"/>
        <v>0.93993402064553289</v>
      </c>
      <c r="R58" s="533"/>
      <c r="S58" s="24"/>
      <c r="T58" s="24"/>
      <c r="U58" s="9"/>
      <c r="V58" s="352"/>
      <c r="W58" s="9"/>
      <c r="X58" s="9"/>
      <c r="Y58" s="528"/>
      <c r="Z58" s="528"/>
      <c r="AA58" s="11">
        <f t="shared" si="21"/>
        <v>-153.59729006356611</v>
      </c>
      <c r="AB58" s="347">
        <f t="shared" si="22"/>
        <v>0.93993402064553278</v>
      </c>
      <c r="AC58" s="533"/>
    </row>
    <row r="59" spans="1:29" ht="15.75" customHeight="1">
      <c r="A59" s="531" t="s">
        <v>387</v>
      </c>
      <c r="B59" s="353" t="s">
        <v>24</v>
      </c>
      <c r="C59" s="529" t="s">
        <v>67</v>
      </c>
      <c r="D59" s="529"/>
      <c r="E59" s="26">
        <v>32.03</v>
      </c>
      <c r="F59" s="353">
        <v>686</v>
      </c>
      <c r="G59" s="346">
        <f t="shared" ref="G59:G64" si="28">E59*F59</f>
        <v>21972.58</v>
      </c>
      <c r="H59" s="354" t="s">
        <v>52</v>
      </c>
      <c r="I59" s="351">
        <v>19</v>
      </c>
      <c r="J59" s="18">
        <v>2400</v>
      </c>
      <c r="K59" s="9">
        <f t="shared" si="14"/>
        <v>126.31578947368421</v>
      </c>
      <c r="L59" s="17">
        <v>19</v>
      </c>
      <c r="M59" s="10">
        <f t="shared" ref="M59:M64" si="29">F59/V59*60</f>
        <v>2286.6666666666647</v>
      </c>
      <c r="N59" s="9">
        <f t="shared" si="16"/>
        <v>120.35087719298235</v>
      </c>
      <c r="O59" s="11">
        <f t="shared" si="17"/>
        <v>0</v>
      </c>
      <c r="P59" s="12">
        <f t="shared" si="18"/>
        <v>-5.9649122807018529</v>
      </c>
      <c r="Q59" s="347">
        <f t="shared" si="19"/>
        <v>0.95277777777777695</v>
      </c>
      <c r="R59" s="533">
        <f>Q65</f>
        <v>0.93378916683161928</v>
      </c>
      <c r="S59" s="24">
        <v>0.125</v>
      </c>
      <c r="T59" s="24">
        <v>0.13750000000000001</v>
      </c>
      <c r="U59" s="15"/>
      <c r="V59" s="352">
        <f t="shared" ref="V59:V64" si="30">(T59-S59)*24*60</f>
        <v>18.000000000000014</v>
      </c>
      <c r="W59" s="14">
        <f>T59</f>
        <v>0.13750000000000001</v>
      </c>
      <c r="X59" s="14">
        <f>S60</f>
        <v>0.15625000000000003</v>
      </c>
      <c r="Y59" s="528"/>
      <c r="Z59" s="528"/>
      <c r="AA59" s="11">
        <f t="shared" si="21"/>
        <v>-113.3333333333353</v>
      </c>
      <c r="AB59" s="347">
        <f t="shared" si="22"/>
        <v>0.95277777777777695</v>
      </c>
      <c r="AC59" s="533">
        <f>AB65</f>
        <v>0.93378916683161928</v>
      </c>
    </row>
    <row r="60" spans="1:29" ht="15.75" customHeight="1">
      <c r="A60" s="531" t="s">
        <v>1235</v>
      </c>
      <c r="B60" s="353" t="s">
        <v>24</v>
      </c>
      <c r="C60" s="529" t="s">
        <v>51</v>
      </c>
      <c r="D60" s="529"/>
      <c r="E60" s="26">
        <v>20.2</v>
      </c>
      <c r="F60" s="353">
        <v>1984</v>
      </c>
      <c r="G60" s="346">
        <f t="shared" si="28"/>
        <v>40076.799999999996</v>
      </c>
      <c r="H60" s="354" t="s">
        <v>52</v>
      </c>
      <c r="I60" s="351">
        <v>19</v>
      </c>
      <c r="J60" s="18">
        <v>2400</v>
      </c>
      <c r="K60" s="9">
        <f t="shared" si="14"/>
        <v>126.31578947368421</v>
      </c>
      <c r="L60" s="17">
        <v>19</v>
      </c>
      <c r="M60" s="10">
        <f t="shared" si="29"/>
        <v>2246.0377358490559</v>
      </c>
      <c r="N60" s="9">
        <f t="shared" si="16"/>
        <v>118.2125124131082</v>
      </c>
      <c r="O60" s="11">
        <f t="shared" si="17"/>
        <v>0</v>
      </c>
      <c r="P60" s="12">
        <f t="shared" si="18"/>
        <v>-8.1032770605760049</v>
      </c>
      <c r="Q60" s="347">
        <f t="shared" si="19"/>
        <v>0.93584905660377327</v>
      </c>
      <c r="R60" s="533"/>
      <c r="S60" s="24">
        <v>0.15625000000000003</v>
      </c>
      <c r="T60" s="24">
        <v>0.19305555555555559</v>
      </c>
      <c r="U60" s="346">
        <f>(S60-T59)*24*60</f>
        <v>27.000000000000025</v>
      </c>
      <c r="V60" s="352">
        <f t="shared" si="30"/>
        <v>53.000000000000014</v>
      </c>
      <c r="W60" s="14"/>
      <c r="X60" s="14"/>
      <c r="Y60" s="528"/>
      <c r="Z60" s="528"/>
      <c r="AA60" s="11">
        <f t="shared" si="21"/>
        <v>-153.96226415094407</v>
      </c>
      <c r="AB60" s="347">
        <f t="shared" si="22"/>
        <v>0.93584905660377327</v>
      </c>
      <c r="AC60" s="533"/>
    </row>
    <row r="61" spans="1:29" ht="15.75" customHeight="1">
      <c r="A61" s="531" t="s">
        <v>1235</v>
      </c>
      <c r="B61" s="353" t="s">
        <v>24</v>
      </c>
      <c r="C61" s="529" t="s">
        <v>41</v>
      </c>
      <c r="D61" s="529"/>
      <c r="E61" s="26">
        <v>19.02</v>
      </c>
      <c r="F61" s="353">
        <v>7789</v>
      </c>
      <c r="G61" s="346">
        <f t="shared" si="28"/>
        <v>148146.78</v>
      </c>
      <c r="H61" s="354" t="s">
        <v>52</v>
      </c>
      <c r="I61" s="351">
        <v>15</v>
      </c>
      <c r="J61" s="18">
        <v>2400</v>
      </c>
      <c r="K61" s="9">
        <f t="shared" si="14"/>
        <v>160</v>
      </c>
      <c r="L61" s="17">
        <v>15</v>
      </c>
      <c r="M61" s="10">
        <f t="shared" si="29"/>
        <v>2225.4285714285711</v>
      </c>
      <c r="N61" s="9">
        <f t="shared" si="16"/>
        <v>148.36190476190475</v>
      </c>
      <c r="O61" s="11">
        <f t="shared" si="17"/>
        <v>0</v>
      </c>
      <c r="P61" s="12">
        <f t="shared" si="18"/>
        <v>-11.638095238095246</v>
      </c>
      <c r="Q61" s="347">
        <f t="shared" si="19"/>
        <v>0.92726190476190473</v>
      </c>
      <c r="R61" s="533"/>
      <c r="S61" s="24">
        <v>0.19861111111111115</v>
      </c>
      <c r="T61" s="24">
        <v>0.3444444444444445</v>
      </c>
      <c r="U61" s="346">
        <f>(S61-T60)*24*60</f>
        <v>8.0000000000000107</v>
      </c>
      <c r="V61" s="352">
        <f t="shared" si="30"/>
        <v>210</v>
      </c>
      <c r="W61" s="14"/>
      <c r="X61" s="14"/>
      <c r="Y61" s="528"/>
      <c r="Z61" s="528"/>
      <c r="AA61" s="11">
        <f t="shared" si="21"/>
        <v>-174.5714285714289</v>
      </c>
      <c r="AB61" s="347">
        <f t="shared" si="22"/>
        <v>0.92726190476190462</v>
      </c>
      <c r="AC61" s="533"/>
    </row>
    <row r="62" spans="1:29" ht="15.75" customHeight="1">
      <c r="A62" s="531" t="s">
        <v>1235</v>
      </c>
      <c r="B62" s="353" t="s">
        <v>24</v>
      </c>
      <c r="C62" s="529" t="s">
        <v>42</v>
      </c>
      <c r="D62" s="529"/>
      <c r="E62" s="26">
        <v>25</v>
      </c>
      <c r="F62" s="353">
        <v>2863</v>
      </c>
      <c r="G62" s="346">
        <f t="shared" si="28"/>
        <v>71575</v>
      </c>
      <c r="H62" s="354" t="s">
        <v>52</v>
      </c>
      <c r="I62" s="351">
        <v>15</v>
      </c>
      <c r="J62" s="18">
        <v>2400</v>
      </c>
      <c r="K62" s="9">
        <f t="shared" si="14"/>
        <v>160</v>
      </c>
      <c r="L62" s="17">
        <v>15</v>
      </c>
      <c r="M62" s="10">
        <f t="shared" si="29"/>
        <v>2230.9090909090914</v>
      </c>
      <c r="N62" s="9">
        <f t="shared" si="16"/>
        <v>148.72727272727278</v>
      </c>
      <c r="O62" s="11">
        <f t="shared" si="17"/>
        <v>0</v>
      </c>
      <c r="P62" s="12">
        <f t="shared" si="18"/>
        <v>-11.272727272727224</v>
      </c>
      <c r="Q62" s="347">
        <f t="shared" si="19"/>
        <v>0.9295454545454549</v>
      </c>
      <c r="R62" s="533"/>
      <c r="S62" s="24">
        <v>0.35000000000000003</v>
      </c>
      <c r="T62" s="24">
        <v>0.40347222222222223</v>
      </c>
      <c r="U62" s="346">
        <f>(S62-T61)*24*60</f>
        <v>7.9999999999999716</v>
      </c>
      <c r="V62" s="352">
        <f t="shared" si="30"/>
        <v>76.999999999999972</v>
      </c>
      <c r="W62" s="14"/>
      <c r="X62" s="14"/>
      <c r="Y62" s="528"/>
      <c r="Z62" s="528"/>
      <c r="AA62" s="11">
        <f t="shared" si="21"/>
        <v>-169.09090909090855</v>
      </c>
      <c r="AB62" s="347">
        <f t="shared" si="22"/>
        <v>0.92954545454545479</v>
      </c>
      <c r="AC62" s="533"/>
    </row>
    <row r="63" spans="1:29" ht="15.75" customHeight="1">
      <c r="A63" s="531" t="s">
        <v>1235</v>
      </c>
      <c r="B63" s="353" t="s">
        <v>24</v>
      </c>
      <c r="C63" s="529" t="s">
        <v>77</v>
      </c>
      <c r="D63" s="529"/>
      <c r="E63" s="26">
        <v>28.51</v>
      </c>
      <c r="F63" s="353">
        <v>2859</v>
      </c>
      <c r="G63" s="346">
        <f t="shared" si="28"/>
        <v>81510.090000000011</v>
      </c>
      <c r="H63" s="354" t="s">
        <v>52</v>
      </c>
      <c r="I63" s="351">
        <v>19</v>
      </c>
      <c r="J63" s="18">
        <v>2400</v>
      </c>
      <c r="K63" s="9">
        <f t="shared" si="14"/>
        <v>126.31578947368421</v>
      </c>
      <c r="L63" s="17">
        <v>19</v>
      </c>
      <c r="M63" s="10">
        <f t="shared" si="29"/>
        <v>2227.7922077922062</v>
      </c>
      <c r="N63" s="9">
        <f t="shared" si="16"/>
        <v>117.2522214627477</v>
      </c>
      <c r="O63" s="11">
        <f t="shared" si="17"/>
        <v>0</v>
      </c>
      <c r="P63" s="12">
        <f t="shared" si="18"/>
        <v>-9.0635680109365069</v>
      </c>
      <c r="Q63" s="347">
        <f t="shared" si="19"/>
        <v>0.92824675324675265</v>
      </c>
      <c r="R63" s="533"/>
      <c r="S63" s="24">
        <v>0.40694444444444444</v>
      </c>
      <c r="T63" s="24">
        <v>0.4604166666666667</v>
      </c>
      <c r="U63" s="346">
        <f>(S63-T62)*24*60</f>
        <v>4.9999999999999822</v>
      </c>
      <c r="V63" s="352">
        <f t="shared" si="30"/>
        <v>77.000000000000043</v>
      </c>
      <c r="W63" s="14"/>
      <c r="X63" s="14"/>
      <c r="Y63" s="528"/>
      <c r="Z63" s="528"/>
      <c r="AA63" s="11">
        <f t="shared" si="21"/>
        <v>-172.20779220779377</v>
      </c>
      <c r="AB63" s="347">
        <f t="shared" si="22"/>
        <v>0.92824675324675254</v>
      </c>
      <c r="AC63" s="533"/>
    </row>
    <row r="64" spans="1:29" ht="15.75" customHeight="1">
      <c r="A64" s="531" t="s">
        <v>1234</v>
      </c>
      <c r="B64" s="353" t="s">
        <v>24</v>
      </c>
      <c r="C64" s="529" t="s">
        <v>25</v>
      </c>
      <c r="D64" s="529"/>
      <c r="E64" s="26">
        <v>20.52</v>
      </c>
      <c r="F64" s="353">
        <v>2750</v>
      </c>
      <c r="G64" s="346">
        <f t="shared" si="28"/>
        <v>56430</v>
      </c>
      <c r="H64" s="354" t="s">
        <v>52</v>
      </c>
      <c r="I64" s="351">
        <v>18</v>
      </c>
      <c r="J64" s="18">
        <v>2400</v>
      </c>
      <c r="K64" s="9">
        <f t="shared" si="14"/>
        <v>133.33333333333334</v>
      </c>
      <c r="L64" s="17">
        <v>18</v>
      </c>
      <c r="M64" s="10">
        <f t="shared" si="29"/>
        <v>2229.7297297297282</v>
      </c>
      <c r="N64" s="9">
        <f t="shared" si="16"/>
        <v>123.87387387387379</v>
      </c>
      <c r="O64" s="11">
        <f t="shared" si="17"/>
        <v>0</v>
      </c>
      <c r="P64" s="12">
        <f t="shared" si="18"/>
        <v>-9.459459459459552</v>
      </c>
      <c r="Q64" s="347">
        <f t="shared" si="19"/>
        <v>0.92905405405405339</v>
      </c>
      <c r="R64" s="533"/>
      <c r="S64" s="24">
        <v>0.46597222222222223</v>
      </c>
      <c r="T64" s="24">
        <v>0.51736111111111116</v>
      </c>
      <c r="U64" s="346">
        <f>(S64-T63)*24*60</f>
        <v>7.9999999999999716</v>
      </c>
      <c r="V64" s="352">
        <f t="shared" si="30"/>
        <v>74.000000000000057</v>
      </c>
      <c r="W64" s="14"/>
      <c r="X64" s="14"/>
      <c r="Y64" s="528"/>
      <c r="Z64" s="528"/>
      <c r="AA64" s="11">
        <f t="shared" si="21"/>
        <v>-170.27027027027179</v>
      </c>
      <c r="AB64" s="347">
        <f t="shared" si="22"/>
        <v>0.92905405405405339</v>
      </c>
      <c r="AC64" s="533"/>
    </row>
    <row r="65" spans="1:29" ht="16.5" customHeight="1">
      <c r="A65" s="532" t="s">
        <v>1234</v>
      </c>
      <c r="B65" s="26" t="s">
        <v>1233</v>
      </c>
      <c r="C65" s="530"/>
      <c r="D65" s="530"/>
      <c r="E65" s="345"/>
      <c r="F65" s="16"/>
      <c r="G65" s="9"/>
      <c r="H65" s="353"/>
      <c r="I65" s="17">
        <v>17.5</v>
      </c>
      <c r="J65" s="18">
        <v>2400</v>
      </c>
      <c r="K65" s="9">
        <f t="shared" si="14"/>
        <v>137.14285714285714</v>
      </c>
      <c r="L65" s="17">
        <v>17.5</v>
      </c>
      <c r="M65" s="10">
        <f>AVERAGE(M59:M64)</f>
        <v>2241.0940003958863</v>
      </c>
      <c r="N65" s="9">
        <f t="shared" si="16"/>
        <v>128.06251430833635</v>
      </c>
      <c r="O65" s="11">
        <f t="shared" si="17"/>
        <v>0</v>
      </c>
      <c r="P65" s="12">
        <f t="shared" si="18"/>
        <v>-9.0803428345207919</v>
      </c>
      <c r="Q65" s="347">
        <f t="shared" si="19"/>
        <v>0.93378916683161928</v>
      </c>
      <c r="R65" s="533"/>
      <c r="S65" s="24"/>
      <c r="T65" s="24"/>
      <c r="U65" s="9"/>
      <c r="V65" s="352"/>
      <c r="W65" s="9"/>
      <c r="X65" s="9"/>
      <c r="Y65" s="528"/>
      <c r="Z65" s="528"/>
      <c r="AA65" s="11">
        <f t="shared" si="21"/>
        <v>-158.90599960411373</v>
      </c>
      <c r="AB65" s="347">
        <f t="shared" si="22"/>
        <v>0.93378916683161928</v>
      </c>
      <c r="AC65" s="533"/>
    </row>
    <row r="66" spans="1:29">
      <c r="D66" s="19"/>
      <c r="E66" s="19"/>
    </row>
  </sheetData>
  <mergeCells count="176">
    <mergeCell ref="Y1:Z2"/>
    <mergeCell ref="AA1:AC2"/>
    <mergeCell ref="AA3:AA4"/>
    <mergeCell ref="AB3:AB4"/>
    <mergeCell ref="AC3:AC4"/>
    <mergeCell ref="I3:I4"/>
    <mergeCell ref="J3:J4"/>
    <mergeCell ref="K3:K4"/>
    <mergeCell ref="L3:L4"/>
    <mergeCell ref="M3:M4"/>
    <mergeCell ref="O1:R2"/>
    <mergeCell ref="P3:P4"/>
    <mergeCell ref="Q3:Q4"/>
    <mergeCell ref="R3:R4"/>
    <mergeCell ref="N3:N4"/>
    <mergeCell ref="O3:O4"/>
    <mergeCell ref="I1:K2"/>
    <mergeCell ref="L1:N2"/>
    <mergeCell ref="S1:X2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C8:D8"/>
    <mergeCell ref="Y8:Z8"/>
    <mergeCell ref="A3:A4"/>
    <mergeCell ref="B3:B4"/>
    <mergeCell ref="C3:D4"/>
    <mergeCell ref="E3:E4"/>
    <mergeCell ref="F3:F4"/>
    <mergeCell ref="U3:U4"/>
    <mergeCell ref="V3:V4"/>
    <mergeCell ref="W3:X3"/>
    <mergeCell ref="Y3:Z4"/>
    <mergeCell ref="S3:T3"/>
    <mergeCell ref="H3:H4"/>
    <mergeCell ref="G3:G4"/>
    <mergeCell ref="C16:D16"/>
    <mergeCell ref="Y16:Z16"/>
    <mergeCell ref="C12:D12"/>
    <mergeCell ref="Y12:Z12"/>
    <mergeCell ref="A13:A16"/>
    <mergeCell ref="C13:D13"/>
    <mergeCell ref="R13:R16"/>
    <mergeCell ref="Y13:Z13"/>
    <mergeCell ref="AC13:AC16"/>
    <mergeCell ref="C14:D14"/>
    <mergeCell ref="Y14:Z14"/>
    <mergeCell ref="C15:D15"/>
    <mergeCell ref="Y15:Z15"/>
    <mergeCell ref="A9:A12"/>
    <mergeCell ref="C9:D9"/>
    <mergeCell ref="R9:R12"/>
    <mergeCell ref="Y9:Z9"/>
    <mergeCell ref="AC9:AC12"/>
    <mergeCell ref="C10:D10"/>
    <mergeCell ref="Y10:Z10"/>
    <mergeCell ref="C11:D11"/>
    <mergeCell ref="Y11:Z11"/>
    <mergeCell ref="A24:A29"/>
    <mergeCell ref="C24:D24"/>
    <mergeCell ref="R24:R29"/>
    <mergeCell ref="Y24:Z24"/>
    <mergeCell ref="AC17:AC23"/>
    <mergeCell ref="C18:D18"/>
    <mergeCell ref="Y18:Z18"/>
    <mergeCell ref="C19:D19"/>
    <mergeCell ref="Y19:Z19"/>
    <mergeCell ref="C20:D20"/>
    <mergeCell ref="Y28:Z28"/>
    <mergeCell ref="C23:D23"/>
    <mergeCell ref="Y23:Z23"/>
    <mergeCell ref="Y20:Z20"/>
    <mergeCell ref="C21:D21"/>
    <mergeCell ref="Y21:Z21"/>
    <mergeCell ref="C22:D22"/>
    <mergeCell ref="A17:A23"/>
    <mergeCell ref="C17:D17"/>
    <mergeCell ref="R17:R23"/>
    <mergeCell ref="Y17:Z17"/>
    <mergeCell ref="Y22:Z22"/>
    <mergeCell ref="Y44:Z44"/>
    <mergeCell ref="Y33:Z33"/>
    <mergeCell ref="C34:D34"/>
    <mergeCell ref="Y34:Z34"/>
    <mergeCell ref="C35:D35"/>
    <mergeCell ref="Y35:Z35"/>
    <mergeCell ref="C29:D29"/>
    <mergeCell ref="Y29:Z29"/>
    <mergeCell ref="AC24:AC29"/>
    <mergeCell ref="C25:D25"/>
    <mergeCell ref="Y25:Z25"/>
    <mergeCell ref="C26:D26"/>
    <mergeCell ref="Y26:Z26"/>
    <mergeCell ref="C27:D27"/>
    <mergeCell ref="Y27:Z27"/>
    <mergeCell ref="C28:D28"/>
    <mergeCell ref="AC30:AC36"/>
    <mergeCell ref="C31:D31"/>
    <mergeCell ref="Y31:Z31"/>
    <mergeCell ref="C32:D32"/>
    <mergeCell ref="Y32:Z32"/>
    <mergeCell ref="C33:D33"/>
    <mergeCell ref="A30:A36"/>
    <mergeCell ref="C30:D30"/>
    <mergeCell ref="R30:R36"/>
    <mergeCell ref="Y30:Z30"/>
    <mergeCell ref="C36:D36"/>
    <mergeCell ref="Y36:Z36"/>
    <mergeCell ref="AC37:AC44"/>
    <mergeCell ref="C38:D38"/>
    <mergeCell ref="Y38:Z38"/>
    <mergeCell ref="C39:D39"/>
    <mergeCell ref="Y39:Z39"/>
    <mergeCell ref="C40:D40"/>
    <mergeCell ref="Y40:Z40"/>
    <mergeCell ref="C41:D41"/>
    <mergeCell ref="Y41:Z41"/>
    <mergeCell ref="C42:D42"/>
    <mergeCell ref="A37:A44"/>
    <mergeCell ref="C37:D37"/>
    <mergeCell ref="R37:R44"/>
    <mergeCell ref="Y37:Z37"/>
    <mergeCell ref="Y42:Z42"/>
    <mergeCell ref="C43:D43"/>
    <mergeCell ref="Y43:Z43"/>
    <mergeCell ref="C44:D44"/>
    <mergeCell ref="AC45:AC50"/>
    <mergeCell ref="C46:D46"/>
    <mergeCell ref="Y46:Z46"/>
    <mergeCell ref="C47:D47"/>
    <mergeCell ref="C58:D58"/>
    <mergeCell ref="Y58:Z58"/>
    <mergeCell ref="C50:D50"/>
    <mergeCell ref="Y50:Z50"/>
    <mergeCell ref="A45:A50"/>
    <mergeCell ref="C45:D45"/>
    <mergeCell ref="R45:R50"/>
    <mergeCell ref="Y45:Z45"/>
    <mergeCell ref="AC51:AC58"/>
    <mergeCell ref="C52:D52"/>
    <mergeCell ref="Y52:Z52"/>
    <mergeCell ref="C53:D53"/>
    <mergeCell ref="Y53:Z53"/>
    <mergeCell ref="C54:D54"/>
    <mergeCell ref="A51:A58"/>
    <mergeCell ref="C51:D51"/>
    <mergeCell ref="R51:R58"/>
    <mergeCell ref="Y51:Z51"/>
    <mergeCell ref="A59:A65"/>
    <mergeCell ref="C59:D59"/>
    <mergeCell ref="R59:R65"/>
    <mergeCell ref="Y59:Z59"/>
    <mergeCell ref="Y64:Z64"/>
    <mergeCell ref="Y54:Z54"/>
    <mergeCell ref="C55:D55"/>
    <mergeCell ref="Y55:Z55"/>
    <mergeCell ref="C56:D56"/>
    <mergeCell ref="Y56:Z56"/>
    <mergeCell ref="AC59:AC65"/>
    <mergeCell ref="C60:D60"/>
    <mergeCell ref="Y60:Z60"/>
    <mergeCell ref="C61:D61"/>
    <mergeCell ref="Y61:Z61"/>
    <mergeCell ref="C62:D62"/>
    <mergeCell ref="Y62:Z62"/>
    <mergeCell ref="C63:D63"/>
    <mergeCell ref="Y63:Z63"/>
    <mergeCell ref="C64:D64"/>
    <mergeCell ref="C65:D65"/>
    <mergeCell ref="Y65:Z65"/>
  </mergeCells>
  <phoneticPr fontId="3" type="noConversion"/>
  <conditionalFormatting sqref="O54:O65 O5:O9 O12:O14 O44:O51 O16:O42">
    <cfRule type="cellIs" dxfId="1261" priority="37" operator="greaterThan">
      <formula>0</formula>
    </cfRule>
  </conditionalFormatting>
  <conditionalFormatting sqref="P5:P7 P54:P57 AA54:AA57 P59:P64 P24:P28 P51 P9 P12:P14 P17:P22 P45:P49 P30:P42 AA5:AA51 AA59:AA65">
    <cfRule type="cellIs" dxfId="1260" priority="41" operator="lessThan">
      <formula>0</formula>
    </cfRule>
  </conditionalFormatting>
  <conditionalFormatting sqref="AB54:AB57 Q54:Q65 Q5:Q9 Q12:Q14 Q44:Q51 Q16:Q42 AB5:AB51 AB59:AB65">
    <cfRule type="cellIs" dxfId="1259" priority="38" operator="greaterThan">
      <formula>1</formula>
    </cfRule>
    <cfRule type="cellIs" dxfId="1258" priority="39" operator="lessThan">
      <formula>0.8</formula>
    </cfRule>
  </conditionalFormatting>
  <conditionalFormatting sqref="AC13:AC14 R13:R14 AC54 R54:R65 AC5:AC9 R5:R9 R16:R42 AC16:AC42 AC44:AC51 R44:R51">
    <cfRule type="cellIs" dxfId="1257" priority="43" operator="lessThan">
      <formula>0.8</formula>
    </cfRule>
  </conditionalFormatting>
  <conditionalFormatting sqref="AC37">
    <cfRule type="cellIs" dxfId="1256" priority="45" operator="lessThan">
      <formula>0.8</formula>
    </cfRule>
  </conditionalFormatting>
  <conditionalFormatting sqref="AC17:AC22">
    <cfRule type="cellIs" dxfId="1255" priority="42" operator="lessThan">
      <formula>0.8</formula>
    </cfRule>
  </conditionalFormatting>
  <conditionalFormatting sqref="AC24">
    <cfRule type="cellIs" dxfId="1254" priority="44" operator="lessThan">
      <formula>0.8</formula>
    </cfRule>
  </conditionalFormatting>
  <conditionalFormatting sqref="AC30:AC35">
    <cfRule type="cellIs" dxfId="1253" priority="40" operator="lessThan">
      <formula>0.8</formula>
    </cfRule>
  </conditionalFormatting>
  <conditionalFormatting sqref="AA58">
    <cfRule type="cellIs" dxfId="1252" priority="36" operator="lessThan">
      <formula>0</formula>
    </cfRule>
  </conditionalFormatting>
  <conditionalFormatting sqref="AB58">
    <cfRule type="cellIs" dxfId="1251" priority="34" operator="greaterThan">
      <formula>1</formula>
    </cfRule>
    <cfRule type="cellIs" dxfId="1250" priority="35" operator="lessThan">
      <formula>0.8</formula>
    </cfRule>
  </conditionalFormatting>
  <conditionalFormatting sqref="O15">
    <cfRule type="cellIs" dxfId="1249" priority="29" operator="greaterThan">
      <formula>0</formula>
    </cfRule>
  </conditionalFormatting>
  <conditionalFormatting sqref="P15">
    <cfRule type="cellIs" dxfId="1248" priority="32" operator="lessThan">
      <formula>0</formula>
    </cfRule>
  </conditionalFormatting>
  <conditionalFormatting sqref="Q15">
    <cfRule type="cellIs" dxfId="1247" priority="30" operator="greaterThan">
      <formula>1</formula>
    </cfRule>
    <cfRule type="cellIs" dxfId="1246" priority="31" operator="lessThan">
      <formula>0.8</formula>
    </cfRule>
  </conditionalFormatting>
  <conditionalFormatting sqref="R15 AC15">
    <cfRule type="cellIs" dxfId="1245" priority="33" operator="lessThan">
      <formula>0.8</formula>
    </cfRule>
  </conditionalFormatting>
  <conditionalFormatting sqref="O10:O11">
    <cfRule type="cellIs" dxfId="1244" priority="25" operator="greaterThan">
      <formula>0</formula>
    </cfRule>
  </conditionalFormatting>
  <conditionalFormatting sqref="P10:P11">
    <cfRule type="cellIs" dxfId="1243" priority="28" operator="lessThan">
      <formula>0</formula>
    </cfRule>
  </conditionalFormatting>
  <conditionalFormatting sqref="Q10:Q11">
    <cfRule type="cellIs" dxfId="1242" priority="26" operator="greaterThan">
      <formula>1</formula>
    </cfRule>
    <cfRule type="cellIs" dxfId="1241" priority="27" operator="lessThan">
      <formula>0.8</formula>
    </cfRule>
  </conditionalFormatting>
  <conditionalFormatting sqref="O53">
    <cfRule type="cellIs" dxfId="1240" priority="20" operator="greaterThan">
      <formula>0</formula>
    </cfRule>
  </conditionalFormatting>
  <conditionalFormatting sqref="P53 AA53">
    <cfRule type="cellIs" dxfId="1239" priority="23" operator="lessThan">
      <formula>0</formula>
    </cfRule>
  </conditionalFormatting>
  <conditionalFormatting sqref="Q53 AB53">
    <cfRule type="cellIs" dxfId="1238" priority="21" operator="greaterThan">
      <formula>1</formula>
    </cfRule>
    <cfRule type="cellIs" dxfId="1237" priority="22" operator="lessThan">
      <formula>0.8</formula>
    </cfRule>
  </conditionalFormatting>
  <conditionalFormatting sqref="R53 AC53">
    <cfRule type="cellIs" dxfId="1236" priority="24" operator="lessThan">
      <formula>0.8</formula>
    </cfRule>
  </conditionalFormatting>
  <conditionalFormatting sqref="O43">
    <cfRule type="cellIs" dxfId="1235" priority="14" operator="greaterThan">
      <formula>0</formula>
    </cfRule>
  </conditionalFormatting>
  <conditionalFormatting sqref="P43">
    <cfRule type="cellIs" dxfId="1234" priority="18" operator="lessThan">
      <formula>0</formula>
    </cfRule>
  </conditionalFormatting>
  <conditionalFormatting sqref="Q43">
    <cfRule type="cellIs" dxfId="1233" priority="15" operator="greaterThan">
      <formula>1</formula>
    </cfRule>
    <cfRule type="cellIs" dxfId="1232" priority="16" operator="lessThan">
      <formula>0.8</formula>
    </cfRule>
  </conditionalFormatting>
  <conditionalFormatting sqref="R43 AC43">
    <cfRule type="cellIs" dxfId="1231" priority="19" operator="lessThan">
      <formula>0.8</formula>
    </cfRule>
  </conditionalFormatting>
  <conditionalFormatting sqref="AC43">
    <cfRule type="cellIs" dxfId="1230" priority="17" operator="lessThan">
      <formula>0.8</formula>
    </cfRule>
  </conditionalFormatting>
  <conditionalFormatting sqref="O52">
    <cfRule type="cellIs" dxfId="1229" priority="9" operator="greaterThan">
      <formula>0</formula>
    </cfRule>
  </conditionalFormatting>
  <conditionalFormatting sqref="P52 AA52">
    <cfRule type="cellIs" dxfId="1228" priority="12" operator="lessThan">
      <formula>0</formula>
    </cfRule>
  </conditionalFormatting>
  <conditionalFormatting sqref="Q52 AB52">
    <cfRule type="cellIs" dxfId="1227" priority="10" operator="greaterThan">
      <formula>1</formula>
    </cfRule>
    <cfRule type="cellIs" dxfId="1226" priority="11" operator="lessThan">
      <formula>0.8</formula>
    </cfRule>
  </conditionalFormatting>
  <conditionalFormatting sqref="R52 AC52">
    <cfRule type="cellIs" dxfId="1225" priority="13" operator="lessThan">
      <formula>0.8</formula>
    </cfRule>
  </conditionalFormatting>
  <conditionalFormatting sqref="P8">
    <cfRule type="cellIs" dxfId="1224" priority="8" operator="lessThan">
      <formula>0</formula>
    </cfRule>
  </conditionalFormatting>
  <conditionalFormatting sqref="P16">
    <cfRule type="cellIs" dxfId="1223" priority="7" operator="lessThan">
      <formula>0</formula>
    </cfRule>
  </conditionalFormatting>
  <conditionalFormatting sqref="P23">
    <cfRule type="cellIs" dxfId="1222" priority="6" operator="lessThan">
      <formula>0</formula>
    </cfRule>
  </conditionalFormatting>
  <conditionalFormatting sqref="P29">
    <cfRule type="cellIs" dxfId="1221" priority="5" operator="lessThan">
      <formula>0</formula>
    </cfRule>
  </conditionalFormatting>
  <conditionalFormatting sqref="P44">
    <cfRule type="cellIs" dxfId="1220" priority="4" operator="lessThan">
      <formula>0</formula>
    </cfRule>
  </conditionalFormatting>
  <conditionalFormatting sqref="P50">
    <cfRule type="cellIs" dxfId="1219" priority="3" operator="lessThan">
      <formula>0</formula>
    </cfRule>
  </conditionalFormatting>
  <conditionalFormatting sqref="P58">
    <cfRule type="cellIs" dxfId="1218" priority="2" operator="lessThan">
      <formula>0</formula>
    </cfRule>
  </conditionalFormatting>
  <conditionalFormatting sqref="P65">
    <cfRule type="cellIs" dxfId="1217" priority="1" operator="lessThan">
      <formula>0</formula>
    </cfRule>
  </conditionalFormatting>
  <dataValidations count="1">
    <dataValidation type="list" allowBlank="1" showInputMessage="1" showErrorMessage="1" sqref="Z8 Z55:Z57 Y5:Z7 Y8:Y57 Z10:Z51 Y58:Z65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9"/>
  <dimension ref="B1:Q68"/>
  <sheetViews>
    <sheetView zoomScale="80" zoomScaleNormal="80" workbookViewId="0">
      <selection activeCell="C3" sqref="C3:D3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521" t="s">
        <v>502</v>
      </c>
      <c r="C1" s="521"/>
      <c r="D1" s="521"/>
      <c r="E1" s="521"/>
      <c r="F1" s="521"/>
      <c r="G1" s="521"/>
      <c r="H1" s="521"/>
      <c r="I1" s="521"/>
      <c r="J1" s="521"/>
      <c r="K1" s="28"/>
      <c r="L1" s="28"/>
      <c r="M1" s="28"/>
      <c r="N1" s="28"/>
      <c r="O1" s="28"/>
      <c r="P1" s="28"/>
    </row>
    <row r="2" spans="2:17" ht="27.75" customHeight="1">
      <c r="B2" s="522"/>
      <c r="C2" s="522"/>
      <c r="D2" s="522"/>
      <c r="E2" s="522"/>
      <c r="F2" s="522"/>
      <c r="G2" s="522"/>
      <c r="H2" s="522"/>
      <c r="I2" s="522"/>
      <c r="J2" s="522"/>
      <c r="K2" s="30"/>
      <c r="L2" s="324"/>
      <c r="M2" s="30"/>
      <c r="N2" s="28"/>
      <c r="O2" s="28"/>
      <c r="P2" s="28"/>
    </row>
    <row r="3" spans="2:17" ht="46.5" customHeight="1">
      <c r="B3" s="328" t="s">
        <v>1232</v>
      </c>
      <c r="C3" s="523" t="str">
        <f>TEXT('0821 4度C'!A2,"yyyy.mm.ddaaaa")</f>
        <v>2025.08.21星期四</v>
      </c>
      <c r="D3" s="523"/>
      <c r="E3" s="328" t="s">
        <v>1231</v>
      </c>
      <c r="F3" s="524">
        <f>'0821 4度C'!D1</f>
        <v>170601</v>
      </c>
      <c r="G3" s="524"/>
      <c r="H3" s="328" t="s">
        <v>1230</v>
      </c>
      <c r="I3" s="525">
        <f>'0821 4度C'!F1</f>
        <v>5963895.6599999992</v>
      </c>
      <c r="J3" s="525"/>
      <c r="K3" s="31"/>
      <c r="L3" s="325"/>
      <c r="M3" s="33"/>
      <c r="N3" s="33"/>
    </row>
    <row r="4" spans="2:17" ht="28.5" customHeight="1">
      <c r="B4" s="516" t="s">
        <v>1229</v>
      </c>
      <c r="C4" s="516" t="s">
        <v>1228</v>
      </c>
      <c r="D4" s="516"/>
      <c r="E4" s="526" t="s">
        <v>1227</v>
      </c>
      <c r="F4" s="526"/>
      <c r="G4" s="526" t="s">
        <v>1226</v>
      </c>
      <c r="H4" s="526"/>
      <c r="I4" s="527" t="s">
        <v>1225</v>
      </c>
      <c r="J4" s="527"/>
      <c r="L4" s="326"/>
      <c r="M4" s="33"/>
      <c r="N4" s="33"/>
    </row>
    <row r="5" spans="2:17" ht="28.5" customHeight="1">
      <c r="B5" s="516"/>
      <c r="C5" s="516" t="s">
        <v>1224</v>
      </c>
      <c r="D5" s="516"/>
      <c r="E5" s="516" t="s">
        <v>1223</v>
      </c>
      <c r="F5" s="516"/>
      <c r="G5" s="517" t="s">
        <v>110</v>
      </c>
      <c r="H5" s="517"/>
      <c r="I5" s="518" t="s">
        <v>1222</v>
      </c>
      <c r="J5" s="518"/>
      <c r="K5" s="33"/>
      <c r="L5" s="326"/>
      <c r="M5" s="33"/>
      <c r="N5" s="33"/>
    </row>
    <row r="6" spans="2:17" ht="28.5" customHeight="1">
      <c r="B6" s="516"/>
      <c r="C6" s="516" t="s">
        <v>43</v>
      </c>
      <c r="D6" s="516"/>
      <c r="E6" s="519">
        <f>AVERAGE(D13:M13)</f>
        <v>144.86929782948806</v>
      </c>
      <c r="F6" s="516">
        <f>AVERAGE(D27:O27,D13:J13)</f>
        <v>148.40680390863753</v>
      </c>
      <c r="G6" s="520">
        <f>AVERAGE(D13:J13)</f>
        <v>148.40680390863753</v>
      </c>
      <c r="H6" s="520"/>
      <c r="I6" s="520">
        <f>AVERAGE(K13:M13)</f>
        <v>136.61511697813935</v>
      </c>
      <c r="J6" s="520"/>
      <c r="K6" s="33"/>
      <c r="L6" s="326"/>
      <c r="M6" s="33"/>
      <c r="N6" s="33"/>
    </row>
    <row r="7" spans="2:17" ht="28.5" customHeight="1">
      <c r="B7" s="516"/>
      <c r="C7" s="510" t="s">
        <v>44</v>
      </c>
      <c r="D7" s="510"/>
      <c r="E7" s="511">
        <f>AVERAGE(D14:M14)</f>
        <v>135.04050132561133</v>
      </c>
      <c r="F7" s="512">
        <f>AVERAGE(D28:O28,D14:J14)</f>
        <v>138.42715620911787</v>
      </c>
      <c r="G7" s="513">
        <f>AVERAGE(D14:J14)</f>
        <v>138.42715620911787</v>
      </c>
      <c r="H7" s="513"/>
      <c r="I7" s="513">
        <f>AVERAGE(K14:M14)</f>
        <v>127.13830659742939</v>
      </c>
      <c r="J7" s="513"/>
      <c r="K7" s="33"/>
      <c r="L7" s="326"/>
      <c r="M7" s="33"/>
      <c r="N7" s="33"/>
    </row>
    <row r="8" spans="2:17" ht="28.5" customHeight="1">
      <c r="B8" s="516"/>
      <c r="C8" s="510" t="s">
        <v>45</v>
      </c>
      <c r="D8" s="510"/>
      <c r="E8" s="514">
        <f>AVERAGE(D15:M15)</f>
        <v>0.93214195696143443</v>
      </c>
      <c r="F8" s="510">
        <f>AVERAGE(D15:J15,D29:O29)</f>
        <v>0.93280539990117517</v>
      </c>
      <c r="G8" s="515">
        <f>AVERAGE(D15:J15)</f>
        <v>0.93280539990117517</v>
      </c>
      <c r="H8" s="515"/>
      <c r="I8" s="515">
        <f>AVERAGE(K15:M15)</f>
        <v>0.93059392343537262</v>
      </c>
      <c r="J8" s="515"/>
      <c r="K8" s="34" t="s">
        <v>1221</v>
      </c>
      <c r="L8" s="326"/>
      <c r="M8" s="33"/>
      <c r="N8" s="33"/>
    </row>
    <row r="9" spans="2:17" ht="28.5" customHeight="1" thickBot="1">
      <c r="H9" s="36"/>
      <c r="I9" s="291"/>
      <c r="L9" s="291"/>
      <c r="N9" s="33"/>
      <c r="O9" s="33"/>
      <c r="P9" s="33"/>
      <c r="Q9" s="33"/>
    </row>
    <row r="10" spans="2:17" ht="30" customHeight="1">
      <c r="B10" s="501" t="s">
        <v>1220</v>
      </c>
      <c r="C10" s="502"/>
      <c r="D10" s="503" t="s">
        <v>1219</v>
      </c>
      <c r="E10" s="504"/>
      <c r="F10" s="504"/>
      <c r="G10" s="504"/>
      <c r="H10" s="504"/>
      <c r="I10" s="504"/>
      <c r="J10" s="505"/>
      <c r="K10" s="506" t="s">
        <v>1218</v>
      </c>
      <c r="L10" s="504"/>
      <c r="M10" s="507"/>
      <c r="P10" s="37"/>
      <c r="Q10" s="37"/>
    </row>
    <row r="11" spans="2:17" ht="17.25" customHeight="1">
      <c r="B11" s="493" t="s">
        <v>1217</v>
      </c>
      <c r="C11" s="494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292">
        <v>6</v>
      </c>
      <c r="J11" s="40">
        <v>7</v>
      </c>
      <c r="K11" s="38">
        <v>1</v>
      </c>
      <c r="L11" s="292">
        <v>2</v>
      </c>
      <c r="M11" s="40">
        <v>3</v>
      </c>
      <c r="P11" s="37"/>
      <c r="Q11" s="37"/>
    </row>
    <row r="12" spans="2:17" ht="34.15" customHeight="1">
      <c r="B12" s="493"/>
      <c r="C12" s="494"/>
      <c r="D12" s="41" t="s">
        <v>345</v>
      </c>
      <c r="E12" s="42" t="s">
        <v>346</v>
      </c>
      <c r="F12" s="42" t="s">
        <v>347</v>
      </c>
      <c r="G12" s="42" t="s">
        <v>348</v>
      </c>
      <c r="H12" s="42" t="s">
        <v>349</v>
      </c>
      <c r="I12" s="293" t="s">
        <v>350</v>
      </c>
      <c r="J12" s="43" t="s">
        <v>351</v>
      </c>
      <c r="K12" s="41" t="s">
        <v>352</v>
      </c>
      <c r="L12" s="293" t="s">
        <v>353</v>
      </c>
      <c r="M12" s="43" t="s">
        <v>354</v>
      </c>
    </row>
    <row r="13" spans="2:17" ht="40.15" customHeight="1">
      <c r="B13" s="508" t="s">
        <v>1216</v>
      </c>
      <c r="C13" s="44" t="s">
        <v>1215</v>
      </c>
      <c r="D13" s="45">
        <f>SUMIFS('0821 4度C'!$K:$K,'0821 4度C'!$A:$A,"新豐6線",'0821 4度C'!$B:$B,"平均")</f>
        <v>117.64705882352941</v>
      </c>
      <c r="E13" s="46">
        <f>SUMIFS('0821 4度C'!$K:$K,'0821 4度C'!$A:$A,"新豐2線",'0821 4度C'!$B:$B,"平均")</f>
        <v>83.333333333333329</v>
      </c>
      <c r="F13" s="47">
        <f>SUMIFS('0821 4度C'!$K:$K,'0821 4度C'!$A:$A,"新豐5線",'0821 4度C'!$B:$B,"平均")</f>
        <v>93.220338983050837</v>
      </c>
      <c r="G13" s="47">
        <f>SUMIFS('0821 4度C'!$K:$K,'0821 4度C'!$A:$A,"新豐7線",'0821 4度C'!$B:$B,"平均")</f>
        <v>116.50485436893203</v>
      </c>
      <c r="H13" s="47">
        <f>SUMIFS('0821 4度C'!$K:$K,'0821 4度C'!$A:$A,"新豐3線",'0821 4度C'!$B:$B,"平均")</f>
        <v>300</v>
      </c>
      <c r="I13" s="294">
        <f>SUMIFS('0821 4度C'!$K:$K,'0821 4度C'!$A:$A,"新豐1線",'0821 4度C'!$B:$B,"平均")</f>
        <v>114.4578313253012</v>
      </c>
      <c r="J13" s="48">
        <f>SUMIFS('0821 4度C'!$K:$K,'0821 4度C'!$A:$A,"新豐10線",'0821 4度C'!$B:$B,"平均")</f>
        <v>213.68421052631578</v>
      </c>
      <c r="K13" s="49">
        <f>SUMIFS('0821 4度C'!$K:$K,'0821 4度C'!$A:$A,"新豐8線",'0821 4度C'!$B:$B,"平均")</f>
        <v>139.80582524271844</v>
      </c>
      <c r="L13" s="301">
        <f>SUMIFS('0821 4度C'!$K:$K,'0821 4度C'!$A:$A,"新豐9線",'0821 4度C'!$B:$B,"平均")</f>
        <v>130.90909090909091</v>
      </c>
      <c r="M13" s="48">
        <f>SUMIFS('0821 4度C'!$K:$K,'0821 4度C'!$A:$A,"新豐4線",'0821 4度C'!$B:$B,"平均")</f>
        <v>139.13043478260869</v>
      </c>
    </row>
    <row r="14" spans="2:17" ht="39.6" customHeight="1">
      <c r="B14" s="508"/>
      <c r="C14" s="51" t="s">
        <v>1214</v>
      </c>
      <c r="D14" s="52">
        <f>SUMIFS('0821 4度C'!$N:$N,'0821 4度C'!$A:$A,"新豐6線",'0821 4度C'!$B:$B,"平均")</f>
        <v>109.53155080213898</v>
      </c>
      <c r="E14" s="53">
        <f>SUMIFS('0821 4度C'!$N:$N,'0821 4度C'!$A:$A,"新豐2線",'0821 4度C'!$B:$B,"平均")</f>
        <v>77.718393647809748</v>
      </c>
      <c r="F14" s="53">
        <f>SUMIFS('0821 4度C'!$N:$N,'0821 4度C'!$A:$A,"新豐5線",'0821 4度C'!$B:$B,"平均")</f>
        <v>86.942154506518349</v>
      </c>
      <c r="G14" s="53">
        <f>SUMIFS('0821 4度C'!$N:$N,'0821 4度C'!$A:$A,"新豐7線",'0821 4度C'!$B:$B,"平均")</f>
        <v>108.97432424365357</v>
      </c>
      <c r="H14" s="53">
        <f>SUMIFS('0821 4度C'!$N:$N,'0821 4度C'!$A:$A,"新豐3線",'0821 4度C'!$B:$B,"平均")</f>
        <v>279.42605216135632</v>
      </c>
      <c r="I14" s="295">
        <f>SUMIFS('0821 4度C'!$N:$N,'0821 4度C'!$A:$A,"新豐1線",'0821 4度C'!$B:$B,"平均")</f>
        <v>106.64996625378215</v>
      </c>
      <c r="J14" s="54">
        <f>SUMIFS('0821 4度C'!$N:$N,'0821 4度C'!$A:$A,"新豐10線",'0821 4度C'!$B:$B,"平均")</f>
        <v>199.74765184856599</v>
      </c>
      <c r="K14" s="55">
        <f>SUMIFS('0821 4度C'!$N:$N,'0821 4度C'!$A:$A,"新豐8線",'0821 4度C'!$B:$B,"平均")</f>
        <v>129.9112746045104</v>
      </c>
      <c r="L14" s="302">
        <f>SUMIFS('0821 4度C'!$N:$N,'0821 4度C'!$A:$A,"新豐9線",'0821 4度C'!$B:$B,"平均")</f>
        <v>121.56445095515784</v>
      </c>
      <c r="M14" s="54">
        <f>SUMIFS('0821 4度C'!$N:$N,'0821 4度C'!$A:$A,"新豐4線",'0821 4度C'!$B:$B,"平均")</f>
        <v>129.93919423261994</v>
      </c>
    </row>
    <row r="15" spans="2:17" ht="40.15" customHeight="1">
      <c r="B15" s="508"/>
      <c r="C15" s="57" t="s">
        <v>1213</v>
      </c>
      <c r="D15" s="58">
        <f t="shared" ref="D15:M15" si="0">D14/D13</f>
        <v>0.93101818181818141</v>
      </c>
      <c r="E15" s="59">
        <f t="shared" si="0"/>
        <v>0.93262072377371708</v>
      </c>
      <c r="F15" s="59">
        <f t="shared" si="0"/>
        <v>0.93265220288810602</v>
      </c>
      <c r="G15" s="59">
        <f t="shared" si="0"/>
        <v>0.93536294975802659</v>
      </c>
      <c r="H15" s="59">
        <f t="shared" si="0"/>
        <v>0.9314201738711877</v>
      </c>
      <c r="I15" s="296">
        <f t="shared" si="0"/>
        <v>0.93178391569093888</v>
      </c>
      <c r="J15" s="60">
        <f t="shared" si="0"/>
        <v>0.93477965150806752</v>
      </c>
      <c r="K15" s="58">
        <f t="shared" si="0"/>
        <v>0.92922647807392855</v>
      </c>
      <c r="L15" s="296">
        <f t="shared" si="0"/>
        <v>0.92861733368523347</v>
      </c>
      <c r="M15" s="60">
        <f t="shared" si="0"/>
        <v>0.93393795854695583</v>
      </c>
    </row>
    <row r="16" spans="2:17" ht="17.25" customHeight="1">
      <c r="B16" s="509" t="s">
        <v>1212</v>
      </c>
      <c r="C16" s="327" t="s">
        <v>1211</v>
      </c>
      <c r="D16" s="61">
        <f>VLOOKUP("新豐6線",'0821 4度C'!$A:$T,19,0)</f>
        <v>0.70833333333333337</v>
      </c>
      <c r="E16" s="24">
        <f>VLOOKUP("新豐2線",'0821 4度C'!$A:$T,19,0)</f>
        <v>0.125</v>
      </c>
      <c r="F16" s="24">
        <f>VLOOKUP("新豐5線",'0821 4度C'!$A:$T,19,0)</f>
        <v>0.25</v>
      </c>
      <c r="G16" s="24">
        <f>VLOOKUP("新豐7線",'0821 4度C'!$A:$T,19,0)</f>
        <v>0.20833333333333334</v>
      </c>
      <c r="H16" s="24">
        <f>VLOOKUP("新豐3線",'0821 4度C'!$A:$T,19,0)</f>
        <v>0.125</v>
      </c>
      <c r="I16" s="297">
        <f>VLOOKUP("新豐1線",'0821 4度C'!$A:$T,19,0)</f>
        <v>0.29166666666666669</v>
      </c>
      <c r="J16" s="62">
        <f>VLOOKUP("新豐10線",'0821 4度C'!$A:$T,19,0)</f>
        <v>0.125</v>
      </c>
      <c r="K16" s="63">
        <f>VLOOKUP("新豐8線",'0821 4度C'!$A:$T,19,0)</f>
        <v>0.125</v>
      </c>
      <c r="L16" s="303">
        <f>VLOOKUP("新豐9線",'0821 4度C'!$A:$T,19,0)</f>
        <v>8.3333333333333329E-2</v>
      </c>
      <c r="M16" s="65">
        <f>VLOOKUP("新豐4線",'0821 4度C'!$A:$T,19,0)</f>
        <v>0.125</v>
      </c>
    </row>
    <row r="17" spans="2:13" ht="17.25" customHeight="1">
      <c r="B17" s="493"/>
      <c r="C17" s="327" t="s">
        <v>1210</v>
      </c>
      <c r="D17" s="63">
        <f>LOOKUP(2,1/(('0821 4度C'!$A:$A="新豐6線")*('0821 4度C'!$T:$T&lt;&gt;"")),'0821 4度C'!$T:$T)</f>
        <v>0.81111111111111112</v>
      </c>
      <c r="E17" s="24">
        <f>LOOKUP(2,1/(('0821 4度C'!$A:$A="新豐2線")*('0821 4度C'!$T:$T&lt;&gt;"")),'0821 4度C'!$T:$T)</f>
        <v>0.62222222222222212</v>
      </c>
      <c r="F17" s="24">
        <f>LOOKUP(2,1/(('0821 4度C'!$A:$A="新豐5線")*('0821 4度C'!$T:$T&lt;&gt;"")),'0821 4度C'!$T:$T)</f>
        <v>0.82777777777777783</v>
      </c>
      <c r="G17" s="24">
        <f>LOOKUP(2,1/(('0821 4度C'!$A:$A="新豐7線")*('0821 4度C'!$T:$T&lt;&gt;"")),'0821 4度C'!$T:$T)</f>
        <v>0.79374999999999996</v>
      </c>
      <c r="H17" s="24">
        <f>LOOKUP(2,1/(('0821 4度C'!$A:$A="新豐3線")*('0821 4度C'!$T:$T&lt;&gt;"")),'0821 4度C'!$T:$T)</f>
        <v>0.58611111111111103</v>
      </c>
      <c r="I17" s="297">
        <f>LOOKUP(2,1/(('0821 4度C'!$A:$A="新豐1線")*('0821 4度C'!$T:$T&lt;&gt;"")),'0821 4度C'!$T:$T)</f>
        <v>0.82708333333333328</v>
      </c>
      <c r="J17" s="62">
        <f>LOOKUP(2,1/(('0821 4度C'!$A:$A="新豐10線")*('0821 4度C'!$T:$T&lt;&gt;"")),'0821 4度C'!$T:$T)</f>
        <v>0.57291666666666652</v>
      </c>
      <c r="K17" s="61">
        <f>LOOKUP(2,1/(('0821 4度C'!$A:$A="新豐8線")*('0821 4度C'!$T:$T&lt;&gt;"")),'0821 4度C'!$T:$T)</f>
        <v>0.62430555555555545</v>
      </c>
      <c r="L17" s="297">
        <f>LOOKUP(2,1/(('0821 4度C'!$A:$A="新豐9線")*('0821 4度C'!$T:$T&lt;&gt;"")),'0821 4度C'!$T:$T)</f>
        <v>0.69930555555555529</v>
      </c>
      <c r="M17" s="62">
        <f>LOOKUP(2,1/(('0821 4度C'!$A:$A="新豐4線")*('0821 4度C'!$T:$T&lt;&gt;"")),'0821 4度C'!$T:$T)</f>
        <v>0.67916666666666659</v>
      </c>
    </row>
    <row r="18" spans="2:13" ht="17.25" customHeight="1">
      <c r="B18" s="493" t="s">
        <v>1209</v>
      </c>
      <c r="C18" s="494"/>
      <c r="D18" s="66">
        <f>SUMIFS('0821 4度C'!$I:$I,'0821 4度C'!$A:$A,"新豐6線",'0821 4度C'!$B:$B,"平均")</f>
        <v>17</v>
      </c>
      <c r="E18" s="67">
        <f>SUMIFS('0821 4度C'!$I:$I,'0821 4度C'!$A:$A,"新豐2線",'0821 4度C'!$B:$B,"平均")</f>
        <v>18</v>
      </c>
      <c r="F18" s="67">
        <f>SUMIFS('0821 4度C'!$I:$I,'0821 4度C'!$A:$A,"新豐5線",'0821 4度C'!$B:$B,"平均")</f>
        <v>19.666666666666668</v>
      </c>
      <c r="G18" s="67">
        <f>SUMIFS('0821 4度C'!$I:$I,'0821 4度C'!$A:$A,"新豐7線",'0821 4度C'!$B:$B,"平均")</f>
        <v>17.166666666666668</v>
      </c>
      <c r="H18" s="67">
        <f>SUMIFS('0821 4度C'!$I:$I,'0821 4度C'!$A:$A,"新豐3線",'0821 4度C'!$B:$B,"平均")</f>
        <v>10</v>
      </c>
      <c r="I18" s="298">
        <f>SUMIFS('0821 4度C'!$I:$I,'0821 4度C'!$A:$A,"新豐1線",'0821 4度C'!$B:$B,"平均")</f>
        <v>16.600000000000001</v>
      </c>
      <c r="J18" s="68">
        <f>SUMIFS('0821 4度C'!$I:$I,'0821 4度C'!$A:$A,"新豐10線",'0821 4度C'!$B:$B,"平均")</f>
        <v>11.875</v>
      </c>
      <c r="K18" s="66">
        <f>SUMIFS('0821 4度C'!$I:$I,'0821 4度C'!$A:$A,"新豐8線",'0821 4度C'!$B:$B,"平均")</f>
        <v>17.166666666666668</v>
      </c>
      <c r="L18" s="298">
        <f>SUMIFS('0821 4度C'!$I:$I,'0821 4度C'!$A:$A,"新豐9線",'0821 4度C'!$B:$B,"平均")</f>
        <v>18.333333333333332</v>
      </c>
      <c r="M18" s="68">
        <f>SUMIFS('0821 4度C'!$I:$I,'0821 4度C'!$A:$A,"新豐4線",'0821 4度C'!$B:$B,"平均")</f>
        <v>17.25</v>
      </c>
    </row>
    <row r="19" spans="2:13" ht="17.25" customHeight="1">
      <c r="B19" s="495" t="s">
        <v>1208</v>
      </c>
      <c r="C19" s="496"/>
      <c r="D19" s="69" t="s">
        <v>46</v>
      </c>
      <c r="E19" s="70" t="s">
        <v>47</v>
      </c>
      <c r="F19" s="70" t="s">
        <v>93</v>
      </c>
      <c r="G19" s="70" t="s">
        <v>1207</v>
      </c>
      <c r="H19" s="70" t="s">
        <v>48</v>
      </c>
      <c r="I19" s="299" t="s">
        <v>46</v>
      </c>
      <c r="J19" s="71" t="s">
        <v>48</v>
      </c>
      <c r="K19" s="69" t="s">
        <v>72</v>
      </c>
      <c r="L19" s="299" t="s">
        <v>1206</v>
      </c>
      <c r="M19" s="71" t="s">
        <v>1205</v>
      </c>
    </row>
    <row r="20" spans="2:13" ht="17.25" customHeight="1">
      <c r="B20" s="495" t="s">
        <v>1204</v>
      </c>
      <c r="C20" s="496"/>
      <c r="D20" s="69"/>
      <c r="E20" s="70"/>
      <c r="F20" s="70" t="s">
        <v>1203</v>
      </c>
      <c r="G20" s="70" t="s">
        <v>46</v>
      </c>
      <c r="H20" s="70"/>
      <c r="I20" s="299"/>
      <c r="J20" s="71"/>
      <c r="K20" s="69"/>
      <c r="L20" s="299"/>
      <c r="M20" s="71"/>
    </row>
    <row r="21" spans="2:13" ht="17.25" customHeight="1" thickBot="1">
      <c r="B21" s="497" t="s">
        <v>94</v>
      </c>
      <c r="C21" s="498"/>
      <c r="D21" s="72"/>
      <c r="E21" s="73" t="s">
        <v>243</v>
      </c>
      <c r="F21" s="499" t="s">
        <v>244</v>
      </c>
      <c r="G21" s="500"/>
      <c r="H21" s="73" t="s">
        <v>1201</v>
      </c>
      <c r="I21" s="300" t="s">
        <v>1202</v>
      </c>
      <c r="J21" s="74" t="s">
        <v>1201</v>
      </c>
      <c r="K21" s="75"/>
      <c r="L21" s="300"/>
      <c r="M21" s="74"/>
    </row>
    <row r="22" spans="2:13" ht="17.25" customHeight="1">
      <c r="F22" s="291"/>
      <c r="G22" s="291"/>
      <c r="H22" s="291"/>
      <c r="I22" s="291"/>
      <c r="J22" s="291"/>
      <c r="K22" s="291"/>
      <c r="L22" s="291"/>
    </row>
    <row r="23" spans="2:13" ht="17.25" customHeight="1">
      <c r="F23" s="291"/>
      <c r="G23" s="291"/>
      <c r="H23" s="291"/>
      <c r="I23" s="291"/>
      <c r="J23" s="291"/>
      <c r="K23" s="291"/>
      <c r="L23" s="291"/>
    </row>
    <row r="24" spans="2:13" ht="17.25" customHeight="1">
      <c r="F24" s="291"/>
      <c r="G24" s="291"/>
      <c r="H24" s="291"/>
      <c r="I24" s="291"/>
      <c r="J24" s="291"/>
      <c r="K24" s="291"/>
      <c r="L24" s="291"/>
    </row>
    <row r="25" spans="2:13" ht="37.5" customHeight="1">
      <c r="F25" s="291"/>
      <c r="G25" s="291"/>
      <c r="H25" s="291"/>
      <c r="I25" s="291"/>
      <c r="J25" s="291"/>
      <c r="K25" s="291"/>
      <c r="L25" s="291"/>
    </row>
    <row r="26" spans="2:13" ht="35.25" customHeight="1">
      <c r="F26" s="291"/>
      <c r="G26" s="291"/>
      <c r="H26" s="291"/>
      <c r="I26" s="291"/>
      <c r="J26" s="291"/>
      <c r="K26" s="291"/>
      <c r="L26" s="291"/>
    </row>
    <row r="27" spans="2:13" ht="35.25" customHeight="1">
      <c r="F27" s="291"/>
      <c r="G27" s="291"/>
      <c r="H27" s="291"/>
      <c r="I27" s="291"/>
      <c r="J27" s="291"/>
      <c r="K27" s="291"/>
      <c r="L27" s="291"/>
    </row>
    <row r="28" spans="2:13" ht="39.75" customHeight="1">
      <c r="F28" s="291"/>
      <c r="G28" s="291"/>
      <c r="H28" s="291"/>
      <c r="I28" s="291"/>
      <c r="J28" s="291"/>
      <c r="K28" s="291"/>
      <c r="L28" s="291"/>
    </row>
    <row r="29" spans="2:13">
      <c r="F29" s="291"/>
      <c r="G29" s="291"/>
      <c r="H29" s="291"/>
      <c r="I29" s="291"/>
      <c r="J29" s="291"/>
      <c r="K29" s="291"/>
      <c r="L29" s="291"/>
    </row>
    <row r="30" spans="2:13">
      <c r="F30" s="291"/>
      <c r="G30" s="291"/>
      <c r="H30" s="291"/>
      <c r="I30" s="291"/>
      <c r="J30" s="291"/>
      <c r="K30" s="291"/>
      <c r="L30" s="291"/>
    </row>
    <row r="31" spans="2:13">
      <c r="F31" s="291"/>
      <c r="G31" s="291"/>
      <c r="H31" s="291"/>
      <c r="I31" s="291"/>
      <c r="J31" s="291"/>
      <c r="K31" s="291"/>
      <c r="L31" s="291"/>
    </row>
    <row r="32" spans="2:13">
      <c r="F32" s="291"/>
      <c r="G32" s="291"/>
      <c r="H32" s="291"/>
      <c r="I32" s="291"/>
      <c r="J32" s="291"/>
      <c r="K32" s="291"/>
      <c r="L32" s="291"/>
    </row>
    <row r="33" spans="6:12">
      <c r="F33" s="291"/>
      <c r="G33" s="291"/>
      <c r="H33" s="291"/>
      <c r="I33" s="291"/>
      <c r="J33" s="291"/>
      <c r="K33" s="291"/>
      <c r="L33" s="291"/>
    </row>
    <row r="34" spans="6:12">
      <c r="F34" s="291"/>
      <c r="G34" s="291"/>
      <c r="H34" s="291"/>
      <c r="I34" s="291"/>
      <c r="J34" s="291"/>
      <c r="K34" s="291"/>
      <c r="L34" s="291"/>
    </row>
    <row r="35" spans="6:12">
      <c r="F35" s="291"/>
      <c r="G35" s="291"/>
      <c r="H35" s="291"/>
      <c r="I35" s="291"/>
      <c r="J35" s="291"/>
      <c r="K35" s="291"/>
      <c r="L35" s="291"/>
    </row>
    <row r="36" spans="6:12">
      <c r="F36" s="291"/>
      <c r="G36" s="291"/>
      <c r="H36" s="291"/>
      <c r="I36" s="291"/>
      <c r="J36" s="291"/>
      <c r="K36" s="291"/>
      <c r="L36" s="291"/>
    </row>
    <row r="37" spans="6:12">
      <c r="F37" s="291"/>
      <c r="G37" s="291"/>
      <c r="H37" s="291"/>
      <c r="I37" s="291"/>
      <c r="J37" s="291"/>
      <c r="K37" s="291"/>
      <c r="L37" s="291"/>
    </row>
    <row r="38" spans="6:12">
      <c r="F38" s="291"/>
      <c r="G38" s="291"/>
      <c r="H38" s="291"/>
      <c r="I38" s="291"/>
      <c r="J38" s="291"/>
      <c r="K38" s="291"/>
      <c r="L38" s="291"/>
    </row>
    <row r="39" spans="6:12">
      <c r="F39" s="291"/>
      <c r="G39" s="291"/>
      <c r="H39" s="291"/>
      <c r="I39" s="291"/>
      <c r="J39" s="291"/>
      <c r="K39" s="291"/>
      <c r="L39" s="291"/>
    </row>
    <row r="40" spans="6:12">
      <c r="F40" s="291"/>
      <c r="G40" s="291"/>
      <c r="H40" s="291"/>
      <c r="I40" s="291"/>
      <c r="J40" s="291"/>
      <c r="K40" s="291"/>
      <c r="L40" s="291"/>
    </row>
    <row r="41" spans="6:12">
      <c r="F41" s="291"/>
      <c r="G41" s="291"/>
      <c r="H41" s="291"/>
      <c r="I41" s="291"/>
      <c r="J41" s="291"/>
      <c r="K41" s="291"/>
      <c r="L41" s="291"/>
    </row>
    <row r="42" spans="6:12">
      <c r="F42" s="291"/>
      <c r="G42" s="291"/>
      <c r="H42" s="291"/>
      <c r="I42" s="291"/>
      <c r="J42" s="291"/>
      <c r="K42" s="291"/>
      <c r="L42" s="291"/>
    </row>
    <row r="43" spans="6:12">
      <c r="F43" s="291"/>
      <c r="G43" s="291"/>
      <c r="H43" s="291"/>
      <c r="I43" s="291"/>
      <c r="J43" s="291"/>
      <c r="K43" s="291"/>
      <c r="L43" s="291"/>
    </row>
    <row r="44" spans="6:12">
      <c r="F44" s="291"/>
      <c r="G44" s="291"/>
      <c r="H44" s="291"/>
      <c r="I44" s="291"/>
      <c r="J44" s="291"/>
      <c r="K44" s="291"/>
      <c r="L44" s="291"/>
    </row>
    <row r="45" spans="6:12">
      <c r="F45" s="291"/>
      <c r="G45" s="291"/>
      <c r="H45" s="291"/>
      <c r="I45" s="291"/>
      <c r="J45" s="291"/>
      <c r="K45" s="291"/>
      <c r="L45" s="291"/>
    </row>
    <row r="46" spans="6:12">
      <c r="F46" s="291"/>
      <c r="G46" s="291"/>
      <c r="H46" s="291"/>
      <c r="I46" s="291"/>
      <c r="J46" s="291"/>
      <c r="K46" s="291"/>
      <c r="L46" s="291"/>
    </row>
    <row r="47" spans="6:12">
      <c r="F47" s="291"/>
      <c r="G47" s="291"/>
      <c r="H47" s="291"/>
      <c r="I47" s="291"/>
      <c r="J47" s="291"/>
      <c r="K47" s="291"/>
      <c r="L47" s="291"/>
    </row>
    <row r="48" spans="6:12">
      <c r="F48" s="291"/>
      <c r="G48" s="291"/>
      <c r="H48" s="291"/>
      <c r="I48" s="291"/>
      <c r="J48" s="291"/>
      <c r="K48" s="291"/>
      <c r="L48" s="291"/>
    </row>
    <row r="49" spans="6:12">
      <c r="F49" s="291"/>
      <c r="G49" s="291"/>
      <c r="H49" s="291"/>
      <c r="I49" s="291"/>
      <c r="J49" s="291"/>
      <c r="K49" s="291"/>
      <c r="L49" s="291"/>
    </row>
    <row r="50" spans="6:12">
      <c r="F50" s="291"/>
      <c r="G50" s="291"/>
      <c r="H50" s="291"/>
      <c r="I50" s="291"/>
      <c r="J50" s="291"/>
      <c r="K50" s="291"/>
      <c r="L50" s="291"/>
    </row>
    <row r="51" spans="6:12">
      <c r="F51" s="291"/>
      <c r="G51" s="291"/>
      <c r="H51" s="291"/>
      <c r="I51" s="291"/>
      <c r="J51" s="291"/>
      <c r="K51" s="291"/>
      <c r="L51" s="291"/>
    </row>
    <row r="52" spans="6:12">
      <c r="F52" s="291"/>
      <c r="G52" s="291"/>
      <c r="H52" s="291"/>
      <c r="I52" s="291"/>
      <c r="J52" s="291"/>
      <c r="K52" s="291"/>
      <c r="L52" s="291"/>
    </row>
    <row r="53" spans="6:12">
      <c r="F53" s="291"/>
      <c r="G53" s="291"/>
      <c r="H53" s="291"/>
      <c r="I53" s="291"/>
      <c r="J53" s="291"/>
      <c r="K53" s="291"/>
      <c r="L53" s="291"/>
    </row>
    <row r="54" spans="6:12">
      <c r="F54" s="291"/>
      <c r="G54" s="291"/>
      <c r="H54" s="291"/>
      <c r="I54" s="291"/>
      <c r="J54" s="291"/>
      <c r="K54" s="291"/>
      <c r="L54" s="291"/>
    </row>
    <row r="55" spans="6:12">
      <c r="F55" s="291"/>
      <c r="G55" s="291"/>
      <c r="H55" s="291"/>
      <c r="I55" s="291"/>
      <c r="J55" s="291"/>
      <c r="K55" s="291"/>
      <c r="L55" s="291"/>
    </row>
    <row r="56" spans="6:12">
      <c r="F56" s="291"/>
      <c r="G56" s="291"/>
      <c r="H56" s="291"/>
      <c r="I56" s="291"/>
      <c r="J56" s="291"/>
      <c r="K56" s="291"/>
      <c r="L56" s="291"/>
    </row>
    <row r="57" spans="6:12">
      <c r="F57" s="291"/>
      <c r="G57" s="291"/>
      <c r="H57" s="291"/>
      <c r="I57" s="291"/>
      <c r="J57" s="291"/>
      <c r="K57" s="291"/>
      <c r="L57" s="291"/>
    </row>
    <row r="58" spans="6:12">
      <c r="F58" s="291"/>
      <c r="G58" s="291"/>
      <c r="H58" s="291"/>
      <c r="I58" s="291"/>
      <c r="J58" s="291"/>
      <c r="K58" s="291"/>
      <c r="L58" s="291"/>
    </row>
    <row r="59" spans="6:12">
      <c r="F59" s="291"/>
      <c r="G59" s="291"/>
      <c r="H59" s="291"/>
      <c r="I59" s="291"/>
      <c r="J59" s="291"/>
      <c r="K59" s="291"/>
      <c r="L59" s="291"/>
    </row>
    <row r="60" spans="6:12">
      <c r="F60" s="291"/>
      <c r="G60" s="291"/>
      <c r="H60" s="291"/>
      <c r="I60" s="291"/>
      <c r="J60" s="291"/>
      <c r="K60" s="291"/>
      <c r="L60" s="291"/>
    </row>
    <row r="61" spans="6:12">
      <c r="F61" s="291"/>
      <c r="G61" s="291"/>
      <c r="H61" s="291"/>
      <c r="I61" s="291"/>
      <c r="J61" s="291"/>
      <c r="K61" s="291"/>
      <c r="L61" s="291"/>
    </row>
    <row r="62" spans="6:12">
      <c r="F62" s="291"/>
      <c r="G62" s="291"/>
      <c r="H62" s="291"/>
      <c r="I62" s="291"/>
      <c r="J62" s="291"/>
      <c r="K62" s="291"/>
      <c r="L62" s="291"/>
    </row>
    <row r="63" spans="6:12">
      <c r="F63" s="291"/>
      <c r="G63" s="291"/>
      <c r="H63" s="291"/>
      <c r="I63" s="291"/>
      <c r="J63" s="291"/>
      <c r="K63" s="291"/>
      <c r="L63" s="291"/>
    </row>
    <row r="64" spans="6:12">
      <c r="F64" s="291"/>
      <c r="G64" s="291"/>
      <c r="H64" s="291"/>
      <c r="I64" s="291"/>
      <c r="J64" s="291"/>
      <c r="K64" s="291"/>
      <c r="L64" s="291"/>
    </row>
    <row r="65" spans="6:12">
      <c r="F65" s="291"/>
      <c r="G65" s="291"/>
      <c r="H65" s="291"/>
      <c r="I65" s="291"/>
      <c r="J65" s="291"/>
      <c r="K65" s="291"/>
      <c r="L65" s="291"/>
    </row>
    <row r="66" spans="6:12">
      <c r="F66" s="291"/>
      <c r="G66" s="291"/>
      <c r="H66" s="291"/>
      <c r="I66" s="291"/>
      <c r="J66" s="291"/>
      <c r="K66" s="291"/>
      <c r="L66" s="291"/>
    </row>
    <row r="67" spans="6:12">
      <c r="F67" s="291"/>
      <c r="G67" s="291"/>
      <c r="H67" s="291"/>
      <c r="I67" s="291"/>
      <c r="J67" s="291"/>
      <c r="K67" s="291"/>
      <c r="L67" s="291"/>
    </row>
    <row r="68" spans="6:12">
      <c r="F68" s="291"/>
      <c r="G68" s="291"/>
      <c r="H68" s="291"/>
      <c r="I68" s="291"/>
      <c r="J68" s="291"/>
      <c r="K68" s="291"/>
      <c r="L68" s="291"/>
    </row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C7:D7"/>
    <mergeCell ref="E7:F7"/>
    <mergeCell ref="G7:H7"/>
    <mergeCell ref="I7:J7"/>
    <mergeCell ref="C8:D8"/>
    <mergeCell ref="E8:F8"/>
    <mergeCell ref="G8:H8"/>
    <mergeCell ref="I8:J8"/>
    <mergeCell ref="K10:M10"/>
    <mergeCell ref="B10:C10"/>
    <mergeCell ref="B20:C20"/>
    <mergeCell ref="B21:C21"/>
    <mergeCell ref="F21:G21"/>
    <mergeCell ref="D10:J10"/>
    <mergeCell ref="B11:C12"/>
    <mergeCell ref="B13:B15"/>
    <mergeCell ref="B18:C18"/>
    <mergeCell ref="B19:C19"/>
    <mergeCell ref="B16:B17"/>
  </mergeCells>
  <phoneticPr fontId="3" type="noConversion"/>
  <conditionalFormatting sqref="D15:M15">
    <cfRule type="cellIs" dxfId="121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0">
    <pageSetUpPr fitToPage="1"/>
  </sheetPr>
  <dimension ref="A1:AC74"/>
  <sheetViews>
    <sheetView zoomScale="80" zoomScaleNormal="80" workbookViewId="0">
      <pane ySplit="4" topLeftCell="A49" activePane="bottomLeft" state="frozen"/>
      <selection activeCell="C3" sqref="C3:D3"/>
      <selection pane="bottomLeft" activeCell="B64" sqref="B64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20" customWidth="1"/>
    <col min="9" max="9" width="5.875" style="20" customWidth="1"/>
    <col min="10" max="10" width="10.625" style="20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7.375" style="5" customWidth="1"/>
    <col min="24" max="24" width="7.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1200</v>
      </c>
      <c r="B1" s="1"/>
      <c r="C1" s="2" t="s">
        <v>96</v>
      </c>
      <c r="D1" s="3">
        <f>SUM(F5:F73)</f>
        <v>170601</v>
      </c>
      <c r="E1" s="332" t="s">
        <v>1199</v>
      </c>
      <c r="F1" s="1">
        <f>SUM(G5:G73)</f>
        <v>5963895.6599999992</v>
      </c>
      <c r="G1" s="1" t="s">
        <v>1198</v>
      </c>
      <c r="H1" s="358">
        <v>163.05833333333334</v>
      </c>
      <c r="I1" s="572" t="s">
        <v>274</v>
      </c>
      <c r="J1" s="572"/>
      <c r="K1" s="572"/>
      <c r="L1" s="572" t="s">
        <v>275</v>
      </c>
      <c r="M1" s="572"/>
      <c r="N1" s="572"/>
      <c r="O1" s="572" t="s">
        <v>97</v>
      </c>
      <c r="P1" s="572"/>
      <c r="Q1" s="572"/>
      <c r="R1" s="572"/>
      <c r="S1" s="572" t="s">
        <v>1197</v>
      </c>
      <c r="T1" s="572"/>
      <c r="U1" s="572"/>
      <c r="V1" s="572"/>
      <c r="W1" s="572"/>
      <c r="X1" s="572"/>
      <c r="Y1" s="572" t="s">
        <v>115</v>
      </c>
      <c r="Z1" s="572"/>
      <c r="AA1" s="572" t="s">
        <v>279</v>
      </c>
      <c r="AB1" s="573"/>
      <c r="AC1" s="573"/>
    </row>
    <row r="2" spans="1:29" ht="26.25" customHeight="1">
      <c r="A2" s="357">
        <v>45890</v>
      </c>
      <c r="B2" s="356" t="s">
        <v>337</v>
      </c>
      <c r="C2" s="2" t="s">
        <v>116</v>
      </c>
      <c r="D2" s="6">
        <f>AVERAGE(N8,N13,N50,N56,N17,N65,N24,N31,N41,N73)</f>
        <v>135.0405013256113</v>
      </c>
      <c r="E2" s="7" t="s">
        <v>0</v>
      </c>
      <c r="F2" s="8">
        <f>F1/D1</f>
        <v>34.958151827949422</v>
      </c>
      <c r="G2" s="1" t="s">
        <v>117</v>
      </c>
      <c r="H2" s="355">
        <v>9</v>
      </c>
      <c r="I2" s="572"/>
      <c r="J2" s="572"/>
      <c r="K2" s="572"/>
      <c r="L2" s="572"/>
      <c r="M2" s="572"/>
      <c r="N2" s="572"/>
      <c r="O2" s="572"/>
      <c r="P2" s="572"/>
      <c r="Q2" s="572"/>
      <c r="R2" s="572"/>
      <c r="S2" s="572"/>
      <c r="T2" s="572"/>
      <c r="U2" s="572"/>
      <c r="V2" s="572"/>
      <c r="W2" s="572"/>
      <c r="X2" s="572"/>
      <c r="Y2" s="572"/>
      <c r="Z2" s="572"/>
      <c r="AA2" s="573"/>
      <c r="AB2" s="573"/>
      <c r="AC2" s="573"/>
    </row>
    <row r="3" spans="1:29" ht="23.25" customHeight="1">
      <c r="A3" s="528" t="s">
        <v>1196</v>
      </c>
      <c r="B3" s="528" t="s">
        <v>118</v>
      </c>
      <c r="C3" s="528" t="s">
        <v>119</v>
      </c>
      <c r="D3" s="528"/>
      <c r="E3" s="570" t="s">
        <v>1195</v>
      </c>
      <c r="F3" s="528" t="s">
        <v>1194</v>
      </c>
      <c r="G3" s="570" t="s">
        <v>288</v>
      </c>
      <c r="H3" s="574" t="s">
        <v>99</v>
      </c>
      <c r="I3" s="561" t="s">
        <v>1193</v>
      </c>
      <c r="J3" s="566" t="s">
        <v>100</v>
      </c>
      <c r="K3" s="568" t="s">
        <v>116</v>
      </c>
      <c r="L3" s="561" t="s">
        <v>101</v>
      </c>
      <c r="M3" s="566" t="s">
        <v>100</v>
      </c>
      <c r="N3" s="568" t="s">
        <v>116</v>
      </c>
      <c r="O3" s="561" t="s">
        <v>1192</v>
      </c>
      <c r="P3" s="568" t="s">
        <v>116</v>
      </c>
      <c r="Q3" s="567" t="s">
        <v>296</v>
      </c>
      <c r="R3" s="542" t="s">
        <v>86</v>
      </c>
      <c r="S3" s="569" t="s">
        <v>1</v>
      </c>
      <c r="T3" s="569"/>
      <c r="U3" s="563" t="s">
        <v>2</v>
      </c>
      <c r="V3" s="563" t="s">
        <v>1191</v>
      </c>
      <c r="W3" s="536" t="s">
        <v>1190</v>
      </c>
      <c r="X3" s="537"/>
      <c r="Y3" s="564" t="s">
        <v>252</v>
      </c>
      <c r="Z3" s="565"/>
      <c r="AA3" s="566" t="s">
        <v>100</v>
      </c>
      <c r="AB3" s="567" t="s">
        <v>296</v>
      </c>
      <c r="AC3" s="542" t="s">
        <v>86</v>
      </c>
    </row>
    <row r="4" spans="1:29">
      <c r="A4" s="528"/>
      <c r="B4" s="528"/>
      <c r="C4" s="528"/>
      <c r="D4" s="528"/>
      <c r="E4" s="571"/>
      <c r="F4" s="528"/>
      <c r="G4" s="571"/>
      <c r="H4" s="574"/>
      <c r="I4" s="561"/>
      <c r="J4" s="566"/>
      <c r="K4" s="568"/>
      <c r="L4" s="561"/>
      <c r="M4" s="566"/>
      <c r="N4" s="568"/>
      <c r="O4" s="561"/>
      <c r="P4" s="568"/>
      <c r="Q4" s="567"/>
      <c r="R4" s="542"/>
      <c r="S4" s="339" t="s">
        <v>3</v>
      </c>
      <c r="T4" s="339" t="s">
        <v>4</v>
      </c>
      <c r="U4" s="563"/>
      <c r="V4" s="563"/>
      <c r="W4" s="332" t="s">
        <v>103</v>
      </c>
      <c r="X4" s="332" t="s">
        <v>1189</v>
      </c>
      <c r="Y4" s="565"/>
      <c r="Z4" s="565"/>
      <c r="AA4" s="566"/>
      <c r="AB4" s="567"/>
      <c r="AC4" s="542"/>
    </row>
    <row r="5" spans="1:29">
      <c r="A5" s="560" t="s">
        <v>1188</v>
      </c>
      <c r="B5" s="26" t="s">
        <v>13</v>
      </c>
      <c r="C5" s="562" t="s">
        <v>53</v>
      </c>
      <c r="D5" s="562"/>
      <c r="E5" s="26">
        <v>46.93</v>
      </c>
      <c r="F5" s="339">
        <v>773</v>
      </c>
      <c r="G5" s="332">
        <f>E5*F5</f>
        <v>36276.89</v>
      </c>
      <c r="H5" s="340" t="s">
        <v>52</v>
      </c>
      <c r="I5" s="337">
        <v>17</v>
      </c>
      <c r="J5" s="18">
        <v>2000</v>
      </c>
      <c r="K5" s="9">
        <f t="shared" ref="K5:K36" si="0">J5/I5</f>
        <v>117.64705882352941</v>
      </c>
      <c r="L5" s="337">
        <v>17</v>
      </c>
      <c r="M5" s="10">
        <f>F5/V5*60</f>
        <v>1855.1999999999948</v>
      </c>
      <c r="N5" s="9">
        <f t="shared" ref="N5:N36" si="1">M5/L5</f>
        <v>109.12941176470558</v>
      </c>
      <c r="O5" s="11">
        <f t="shared" ref="O5:O36" si="2">L5-I5</f>
        <v>0</v>
      </c>
      <c r="P5" s="12">
        <f t="shared" ref="P5:P36" si="3">N5-K5</f>
        <v>-8.517647058823826</v>
      </c>
      <c r="Q5" s="333">
        <f t="shared" ref="Q5:Q36" si="4">N5/K5</f>
        <v>0.92759999999999743</v>
      </c>
      <c r="R5" s="533">
        <f>Q8</f>
        <v>0.93101818181818141</v>
      </c>
      <c r="S5" s="24">
        <v>0.70833333333333337</v>
      </c>
      <c r="T5" s="24">
        <v>0.72569444444444453</v>
      </c>
      <c r="U5" s="332"/>
      <c r="V5" s="338">
        <f>(T5-S5)*24*60</f>
        <v>25.000000000000071</v>
      </c>
      <c r="W5" s="14"/>
      <c r="X5" s="13"/>
      <c r="Y5" s="528"/>
      <c r="Z5" s="528"/>
      <c r="AA5" s="11">
        <f t="shared" ref="AA5:AA36" si="5">M5-J5</f>
        <v>-144.80000000000518</v>
      </c>
      <c r="AB5" s="333">
        <f t="shared" ref="AB5:AB36" si="6">M5/J5</f>
        <v>0.92759999999999743</v>
      </c>
      <c r="AC5" s="533">
        <f>AB8</f>
        <v>0.9310181818181813</v>
      </c>
    </row>
    <row r="6" spans="1:29">
      <c r="A6" s="561" t="s">
        <v>1187</v>
      </c>
      <c r="B6" s="26" t="s">
        <v>13</v>
      </c>
      <c r="C6" s="562" t="s">
        <v>55</v>
      </c>
      <c r="D6" s="562"/>
      <c r="E6" s="26">
        <v>50.49</v>
      </c>
      <c r="F6" s="339">
        <v>1724</v>
      </c>
      <c r="G6" s="332">
        <f>E6*F6</f>
        <v>87044.760000000009</v>
      </c>
      <c r="H6" s="340" t="s">
        <v>52</v>
      </c>
      <c r="I6" s="337">
        <v>16</v>
      </c>
      <c r="J6" s="18">
        <v>2000</v>
      </c>
      <c r="K6" s="9">
        <f t="shared" si="0"/>
        <v>125</v>
      </c>
      <c r="L6" s="337">
        <v>16</v>
      </c>
      <c r="M6" s="10">
        <f>F6/V6*60</f>
        <v>1880.7272727272739</v>
      </c>
      <c r="N6" s="9">
        <f t="shared" si="1"/>
        <v>117.54545454545462</v>
      </c>
      <c r="O6" s="11">
        <f t="shared" si="2"/>
        <v>0</v>
      </c>
      <c r="P6" s="12">
        <f t="shared" si="3"/>
        <v>-7.4545454545453822</v>
      </c>
      <c r="Q6" s="333">
        <f t="shared" si="4"/>
        <v>0.94036363636363696</v>
      </c>
      <c r="R6" s="533"/>
      <c r="S6" s="24">
        <v>0.73125000000000007</v>
      </c>
      <c r="T6" s="24">
        <v>0.76944444444444449</v>
      </c>
      <c r="U6" s="332">
        <f>(S6-T5)*24*60</f>
        <v>7.9999999999999716</v>
      </c>
      <c r="V6" s="338">
        <f>(T6-S6)*24*60</f>
        <v>54.999999999999964</v>
      </c>
      <c r="W6" s="14"/>
      <c r="X6" s="14"/>
      <c r="Y6" s="528"/>
      <c r="Z6" s="528"/>
      <c r="AA6" s="11">
        <f t="shared" si="5"/>
        <v>-119.27272727272612</v>
      </c>
      <c r="AB6" s="333">
        <f t="shared" si="6"/>
        <v>0.94036363636363696</v>
      </c>
      <c r="AC6" s="533"/>
    </row>
    <row r="7" spans="1:29">
      <c r="A7" s="561" t="s">
        <v>461</v>
      </c>
      <c r="B7" s="26" t="s">
        <v>13</v>
      </c>
      <c r="C7" s="558" t="s">
        <v>76</v>
      </c>
      <c r="D7" s="559"/>
      <c r="E7" s="26">
        <v>50.67</v>
      </c>
      <c r="F7" s="339">
        <v>1696</v>
      </c>
      <c r="G7" s="332">
        <f>E7*F7</f>
        <v>85936.320000000007</v>
      </c>
      <c r="H7" s="340" t="s">
        <v>52</v>
      </c>
      <c r="I7" s="337">
        <v>18</v>
      </c>
      <c r="J7" s="18">
        <v>2000</v>
      </c>
      <c r="K7" s="9">
        <f t="shared" si="0"/>
        <v>111.11111111111111</v>
      </c>
      <c r="L7" s="337">
        <v>18</v>
      </c>
      <c r="M7" s="10">
        <f>F7/V7*60</f>
        <v>1850.1818181818194</v>
      </c>
      <c r="N7" s="9">
        <f t="shared" si="1"/>
        <v>102.78787878787885</v>
      </c>
      <c r="O7" s="11">
        <f t="shared" si="2"/>
        <v>0</v>
      </c>
      <c r="P7" s="12">
        <f t="shared" si="3"/>
        <v>-8.3232323232322614</v>
      </c>
      <c r="Q7" s="333">
        <f t="shared" si="4"/>
        <v>0.92509090909090963</v>
      </c>
      <c r="R7" s="533"/>
      <c r="S7" s="24">
        <v>0.7729166666666667</v>
      </c>
      <c r="T7" s="24">
        <v>0.81111111111111112</v>
      </c>
      <c r="U7" s="332">
        <f>(S7-T6)*24*60</f>
        <v>4.9999999999999822</v>
      </c>
      <c r="V7" s="338">
        <f>(T7-S7)*24*60</f>
        <v>54.999999999999964</v>
      </c>
      <c r="W7" s="14"/>
      <c r="X7" s="14"/>
      <c r="Y7" s="536"/>
      <c r="Z7" s="537"/>
      <c r="AA7" s="11">
        <f t="shared" si="5"/>
        <v>-149.81818181818062</v>
      </c>
      <c r="AB7" s="333">
        <f t="shared" si="6"/>
        <v>0.92509090909090974</v>
      </c>
      <c r="AC7" s="533"/>
    </row>
    <row r="8" spans="1:29">
      <c r="A8" s="561" t="s">
        <v>461</v>
      </c>
      <c r="B8" s="26" t="s">
        <v>1186</v>
      </c>
      <c r="C8" s="530"/>
      <c r="D8" s="530"/>
      <c r="E8" s="331"/>
      <c r="F8" s="16"/>
      <c r="G8" s="9"/>
      <c r="H8" s="339"/>
      <c r="I8" s="17">
        <v>17</v>
      </c>
      <c r="J8" s="18">
        <v>2000</v>
      </c>
      <c r="K8" s="9">
        <f t="shared" si="0"/>
        <v>117.64705882352941</v>
      </c>
      <c r="L8" s="17">
        <v>17</v>
      </c>
      <c r="M8" s="10">
        <f>AVERAGE(M5:M7)</f>
        <v>1862.0363636363627</v>
      </c>
      <c r="N8" s="9">
        <f t="shared" si="1"/>
        <v>109.53155080213898</v>
      </c>
      <c r="O8" s="11">
        <f t="shared" si="2"/>
        <v>0</v>
      </c>
      <c r="P8" s="12">
        <f t="shared" si="3"/>
        <v>-8.1155080213904256</v>
      </c>
      <c r="Q8" s="333">
        <f t="shared" si="4"/>
        <v>0.93101818181818141</v>
      </c>
      <c r="R8" s="533"/>
      <c r="S8" s="24"/>
      <c r="T8" s="24"/>
      <c r="U8" s="332"/>
      <c r="V8" s="338"/>
      <c r="W8" s="9"/>
      <c r="X8" s="9"/>
      <c r="Y8" s="528"/>
      <c r="Z8" s="528"/>
      <c r="AA8" s="11">
        <f t="shared" si="5"/>
        <v>-137.96363636363731</v>
      </c>
      <c r="AB8" s="333">
        <f t="shared" si="6"/>
        <v>0.9310181818181813</v>
      </c>
      <c r="AC8" s="533"/>
    </row>
    <row r="9" spans="1:29" ht="15.75" customHeight="1">
      <c r="A9" s="531" t="s">
        <v>464</v>
      </c>
      <c r="B9" s="26" t="s">
        <v>15</v>
      </c>
      <c r="C9" s="558" t="s">
        <v>16</v>
      </c>
      <c r="D9" s="559"/>
      <c r="E9" s="26">
        <v>39.619999999999997</v>
      </c>
      <c r="F9" s="339">
        <v>4565</v>
      </c>
      <c r="G9" s="332">
        <f>E9*F9</f>
        <v>180865.3</v>
      </c>
      <c r="H9" s="340" t="s">
        <v>52</v>
      </c>
      <c r="I9" s="337">
        <v>19</v>
      </c>
      <c r="J9" s="18">
        <v>1500</v>
      </c>
      <c r="K9" s="9">
        <f t="shared" si="0"/>
        <v>78.94736842105263</v>
      </c>
      <c r="L9" s="337">
        <v>19</v>
      </c>
      <c r="M9" s="10">
        <f>F9/V9*60</f>
        <v>1397.4489795918373</v>
      </c>
      <c r="N9" s="9">
        <f t="shared" si="1"/>
        <v>73.549946294307233</v>
      </c>
      <c r="O9" s="11">
        <f t="shared" si="2"/>
        <v>0</v>
      </c>
      <c r="P9" s="12">
        <f t="shared" si="3"/>
        <v>-5.397422126745397</v>
      </c>
      <c r="Q9" s="333">
        <f t="shared" si="4"/>
        <v>0.931632653061225</v>
      </c>
      <c r="R9" s="533">
        <f>Q13</f>
        <v>0.93262072377371708</v>
      </c>
      <c r="S9" s="24">
        <v>0.125</v>
      </c>
      <c r="T9" s="24">
        <v>0.26111111111111107</v>
      </c>
      <c r="U9" s="332"/>
      <c r="V9" s="338">
        <f>(T9-S9)*24*60</f>
        <v>195.99999999999994</v>
      </c>
      <c r="W9" s="14">
        <f>T9</f>
        <v>0.26111111111111107</v>
      </c>
      <c r="X9" s="14">
        <f>S10</f>
        <v>0.2805555555555555</v>
      </c>
      <c r="Y9" s="528"/>
      <c r="Z9" s="528"/>
      <c r="AA9" s="11">
        <f t="shared" si="5"/>
        <v>-102.55102040816269</v>
      </c>
      <c r="AB9" s="333">
        <f t="shared" si="6"/>
        <v>0.93163265306122489</v>
      </c>
      <c r="AC9" s="533">
        <f>AB13</f>
        <v>0.93262072377371696</v>
      </c>
    </row>
    <row r="10" spans="1:29" ht="15.75" customHeight="1">
      <c r="A10" s="531" t="s">
        <v>464</v>
      </c>
      <c r="B10" s="26" t="s">
        <v>15</v>
      </c>
      <c r="C10" s="558" t="s">
        <v>17</v>
      </c>
      <c r="D10" s="559"/>
      <c r="E10" s="26">
        <v>39.799999999999997</v>
      </c>
      <c r="F10" s="339">
        <v>2900</v>
      </c>
      <c r="G10" s="332">
        <f>E10*F10</f>
        <v>115419.99999999999</v>
      </c>
      <c r="H10" s="340">
        <v>2</v>
      </c>
      <c r="I10" s="337">
        <v>17</v>
      </c>
      <c r="J10" s="18">
        <v>1500</v>
      </c>
      <c r="K10" s="9">
        <f t="shared" si="0"/>
        <v>88.235294117647058</v>
      </c>
      <c r="L10" s="337">
        <v>17</v>
      </c>
      <c r="M10" s="10">
        <f>F10/V10*60</f>
        <v>1403.2258064516125</v>
      </c>
      <c r="N10" s="9">
        <f t="shared" si="1"/>
        <v>82.542694497153676</v>
      </c>
      <c r="O10" s="11">
        <f t="shared" si="2"/>
        <v>0</v>
      </c>
      <c r="P10" s="12">
        <f t="shared" si="3"/>
        <v>-5.6925996204933824</v>
      </c>
      <c r="Q10" s="333">
        <f t="shared" si="4"/>
        <v>0.93548387096774166</v>
      </c>
      <c r="R10" s="533"/>
      <c r="S10" s="24">
        <v>0.2805555555555555</v>
      </c>
      <c r="T10" s="24">
        <v>0.36666666666666664</v>
      </c>
      <c r="U10" s="332">
        <f>(S10-T9)*24*60</f>
        <v>27.999999999999979</v>
      </c>
      <c r="V10" s="338">
        <f>(T10-S10)*24*60</f>
        <v>124.00000000000004</v>
      </c>
      <c r="W10" s="14"/>
      <c r="X10" s="14"/>
      <c r="Y10" s="528"/>
      <c r="Z10" s="528"/>
      <c r="AA10" s="11">
        <f t="shared" si="5"/>
        <v>-96.77419354838753</v>
      </c>
      <c r="AB10" s="333">
        <f t="shared" si="6"/>
        <v>0.93548387096774166</v>
      </c>
      <c r="AC10" s="533"/>
    </row>
    <row r="11" spans="1:29" ht="15.75" customHeight="1">
      <c r="A11" s="531" t="s">
        <v>1185</v>
      </c>
      <c r="B11" s="26" t="s">
        <v>15</v>
      </c>
      <c r="C11" s="558" t="s">
        <v>80</v>
      </c>
      <c r="D11" s="559"/>
      <c r="E11" s="26">
        <v>39.29</v>
      </c>
      <c r="F11" s="339">
        <v>3775</v>
      </c>
      <c r="G11" s="332">
        <f>E11*F11</f>
        <v>148319.75</v>
      </c>
      <c r="H11" s="340" t="s">
        <v>52</v>
      </c>
      <c r="I11" s="337">
        <v>19</v>
      </c>
      <c r="J11" s="18">
        <v>1500</v>
      </c>
      <c r="K11" s="9">
        <f t="shared" si="0"/>
        <v>78.94736842105263</v>
      </c>
      <c r="L11" s="337">
        <v>19</v>
      </c>
      <c r="M11" s="10">
        <f>F11/V11*60</f>
        <v>1398.1481481481483</v>
      </c>
      <c r="N11" s="9">
        <f t="shared" si="1"/>
        <v>73.586744639376221</v>
      </c>
      <c r="O11" s="11">
        <f t="shared" si="2"/>
        <v>0</v>
      </c>
      <c r="P11" s="12">
        <f t="shared" si="3"/>
        <v>-5.3606237816764093</v>
      </c>
      <c r="Q11" s="333">
        <f t="shared" si="4"/>
        <v>0.9320987654320988</v>
      </c>
      <c r="R11" s="533"/>
      <c r="S11" s="24">
        <v>0.37083333333333329</v>
      </c>
      <c r="T11" s="24">
        <v>0.48333333333333328</v>
      </c>
      <c r="U11" s="332">
        <f>(S11-T10)*24*60</f>
        <v>5.9999999999999787</v>
      </c>
      <c r="V11" s="338">
        <f>(T11-S11)*24*60</f>
        <v>161.99999999999997</v>
      </c>
      <c r="W11" s="14">
        <f>T11</f>
        <v>0.48333333333333328</v>
      </c>
      <c r="X11" s="14">
        <f>S12</f>
        <v>0.52361111111111103</v>
      </c>
      <c r="Y11" s="528"/>
      <c r="Z11" s="528"/>
      <c r="AA11" s="11">
        <f t="shared" si="5"/>
        <v>-101.85185185185173</v>
      </c>
      <c r="AB11" s="333">
        <f t="shared" si="6"/>
        <v>0.9320987654320988</v>
      </c>
      <c r="AC11" s="533"/>
    </row>
    <row r="12" spans="1:29" ht="15.75" customHeight="1">
      <c r="A12" s="531" t="s">
        <v>464</v>
      </c>
      <c r="B12" s="26" t="s">
        <v>15</v>
      </c>
      <c r="C12" s="558" t="s">
        <v>17</v>
      </c>
      <c r="D12" s="559"/>
      <c r="E12" s="26">
        <v>39.799999999999997</v>
      </c>
      <c r="F12" s="339">
        <v>3306</v>
      </c>
      <c r="G12" s="332">
        <f>E12*F12</f>
        <v>131578.79999999999</v>
      </c>
      <c r="H12" s="340" t="s">
        <v>52</v>
      </c>
      <c r="I12" s="337">
        <v>17</v>
      </c>
      <c r="J12" s="18">
        <v>1500</v>
      </c>
      <c r="K12" s="9">
        <f t="shared" si="0"/>
        <v>88.235294117647058</v>
      </c>
      <c r="L12" s="337">
        <v>17</v>
      </c>
      <c r="M12" s="10">
        <f>F12/V12*60</f>
        <v>1396.9014084507046</v>
      </c>
      <c r="N12" s="9">
        <f t="shared" si="1"/>
        <v>82.17067108533557</v>
      </c>
      <c r="O12" s="11">
        <f t="shared" si="2"/>
        <v>0</v>
      </c>
      <c r="P12" s="12">
        <f t="shared" si="3"/>
        <v>-6.0646230323114878</v>
      </c>
      <c r="Q12" s="333">
        <f t="shared" si="4"/>
        <v>0.93126760563380317</v>
      </c>
      <c r="R12" s="533"/>
      <c r="S12" s="24">
        <v>0.52361111111111103</v>
      </c>
      <c r="T12" s="24">
        <v>0.62222222222222212</v>
      </c>
      <c r="U12" s="332">
        <f>(S12-T11)*24*60</f>
        <v>57.999999999999957</v>
      </c>
      <c r="V12" s="338">
        <f>(T12-S12)*24*60</f>
        <v>141.99999999999997</v>
      </c>
      <c r="W12" s="14"/>
      <c r="X12" s="14"/>
      <c r="Y12" s="528"/>
      <c r="Z12" s="528"/>
      <c r="AA12" s="11">
        <f t="shared" si="5"/>
        <v>-103.09859154929541</v>
      </c>
      <c r="AB12" s="333">
        <f t="shared" si="6"/>
        <v>0.93126760563380306</v>
      </c>
      <c r="AC12" s="533"/>
    </row>
    <row r="13" spans="1:29" ht="16.5" customHeight="1">
      <c r="A13" s="531" t="s">
        <v>464</v>
      </c>
      <c r="B13" s="26" t="s">
        <v>82</v>
      </c>
      <c r="C13" s="530"/>
      <c r="D13" s="530"/>
      <c r="E13" s="331"/>
      <c r="F13" s="18"/>
      <c r="G13" s="10"/>
      <c r="H13" s="339"/>
      <c r="I13" s="17">
        <v>18</v>
      </c>
      <c r="J13" s="18">
        <v>1500</v>
      </c>
      <c r="K13" s="9">
        <f t="shared" si="0"/>
        <v>83.333333333333329</v>
      </c>
      <c r="L13" s="17">
        <v>18</v>
      </c>
      <c r="M13" s="10">
        <f>AVERAGE(M9:M12)</f>
        <v>1398.9310856605755</v>
      </c>
      <c r="N13" s="9">
        <f t="shared" si="1"/>
        <v>77.718393647809748</v>
      </c>
      <c r="O13" s="11">
        <f t="shared" si="2"/>
        <v>0</v>
      </c>
      <c r="P13" s="12">
        <f t="shared" si="3"/>
        <v>-5.6149396855235807</v>
      </c>
      <c r="Q13" s="333">
        <f t="shared" si="4"/>
        <v>0.93262072377371708</v>
      </c>
      <c r="R13" s="533"/>
      <c r="S13" s="24"/>
      <c r="T13" s="24"/>
      <c r="U13" s="9"/>
      <c r="V13" s="338"/>
      <c r="W13" s="9"/>
      <c r="X13" s="9"/>
      <c r="Y13" s="528"/>
      <c r="Z13" s="528"/>
      <c r="AA13" s="11">
        <f t="shared" si="5"/>
        <v>-101.06891433942451</v>
      </c>
      <c r="AB13" s="333">
        <f t="shared" si="6"/>
        <v>0.93262072377371696</v>
      </c>
      <c r="AC13" s="533"/>
    </row>
    <row r="14" spans="1:29" ht="16.5" customHeight="1">
      <c r="A14" s="556" t="s">
        <v>1184</v>
      </c>
      <c r="B14" s="339" t="s">
        <v>21</v>
      </c>
      <c r="C14" s="552" t="s">
        <v>19</v>
      </c>
      <c r="D14" s="552"/>
      <c r="E14" s="26">
        <v>41</v>
      </c>
      <c r="F14" s="339">
        <v>1891</v>
      </c>
      <c r="G14" s="332">
        <f>E14*F14</f>
        <v>77531</v>
      </c>
      <c r="H14" s="340" t="s">
        <v>52</v>
      </c>
      <c r="I14" s="337">
        <v>26</v>
      </c>
      <c r="J14" s="18">
        <v>1500</v>
      </c>
      <c r="K14" s="9">
        <f t="shared" si="0"/>
        <v>57.692307692307693</v>
      </c>
      <c r="L14" s="337">
        <v>26</v>
      </c>
      <c r="M14" s="10">
        <f>F14/V14*60</f>
        <v>1400.7407407407402</v>
      </c>
      <c r="N14" s="9">
        <f t="shared" si="1"/>
        <v>53.874643874643851</v>
      </c>
      <c r="O14" s="11">
        <f t="shared" si="2"/>
        <v>0</v>
      </c>
      <c r="P14" s="12">
        <f t="shared" si="3"/>
        <v>-3.817663817663842</v>
      </c>
      <c r="Q14" s="333">
        <f t="shared" si="4"/>
        <v>0.93382716049382675</v>
      </c>
      <c r="R14" s="533">
        <f>Q17</f>
        <v>0.93265220288810602</v>
      </c>
      <c r="S14" s="24">
        <v>0.25</v>
      </c>
      <c r="T14" s="24">
        <v>0.30625000000000002</v>
      </c>
      <c r="U14" s="332"/>
      <c r="V14" s="338">
        <f>(T14-S14)*24*60</f>
        <v>81.000000000000028</v>
      </c>
      <c r="W14" s="15"/>
      <c r="X14" s="15"/>
      <c r="Y14" s="528"/>
      <c r="Z14" s="528"/>
      <c r="AA14" s="11">
        <f t="shared" si="5"/>
        <v>-99.259259259259807</v>
      </c>
      <c r="AB14" s="333">
        <f t="shared" si="6"/>
        <v>0.93382716049382675</v>
      </c>
      <c r="AC14" s="533">
        <f>AB17</f>
        <v>0.93265220288810613</v>
      </c>
    </row>
    <row r="15" spans="1:29" ht="16.5" customHeight="1">
      <c r="A15" s="557" t="s">
        <v>468</v>
      </c>
      <c r="B15" s="339" t="s">
        <v>13</v>
      </c>
      <c r="C15" s="552" t="s">
        <v>57</v>
      </c>
      <c r="D15" s="552"/>
      <c r="E15" s="26">
        <v>50.98</v>
      </c>
      <c r="F15" s="339">
        <v>2440</v>
      </c>
      <c r="G15" s="332">
        <f>E15*F15</f>
        <v>124391.2</v>
      </c>
      <c r="H15" s="340" t="s">
        <v>52</v>
      </c>
      <c r="I15" s="337">
        <v>17</v>
      </c>
      <c r="J15" s="18">
        <v>2000</v>
      </c>
      <c r="K15" s="9">
        <f t="shared" si="0"/>
        <v>117.64705882352941</v>
      </c>
      <c r="L15" s="337">
        <v>17</v>
      </c>
      <c r="M15" s="10">
        <f>F15/V15*60</f>
        <v>1853.1645569620243</v>
      </c>
      <c r="N15" s="9">
        <f t="shared" si="1"/>
        <v>109.00967982129555</v>
      </c>
      <c r="O15" s="11">
        <f t="shared" si="2"/>
        <v>0</v>
      </c>
      <c r="P15" s="12">
        <f t="shared" si="3"/>
        <v>-8.6373790022338568</v>
      </c>
      <c r="Q15" s="333">
        <f t="shared" si="4"/>
        <v>0.92658227848101227</v>
      </c>
      <c r="R15" s="533"/>
      <c r="S15" s="24">
        <v>0.70833333333333337</v>
      </c>
      <c r="T15" s="24">
        <v>0.76319444444444451</v>
      </c>
      <c r="U15" s="332" t="str">
        <f>IF(S15=TIME(17,0,0),"",(S15-T14)*24*60)</f>
        <v/>
      </c>
      <c r="V15" s="338">
        <f>(T15-S15)*24*60</f>
        <v>79.000000000000043</v>
      </c>
      <c r="W15" s="14"/>
      <c r="X15" s="14"/>
      <c r="Y15" s="528"/>
      <c r="Z15" s="528"/>
      <c r="AA15" s="11">
        <f t="shared" si="5"/>
        <v>-146.83544303797566</v>
      </c>
      <c r="AB15" s="333">
        <f t="shared" si="6"/>
        <v>0.92658227848101216</v>
      </c>
      <c r="AC15" s="533"/>
    </row>
    <row r="16" spans="1:29" ht="16.5" customHeight="1">
      <c r="A16" s="557" t="s">
        <v>1183</v>
      </c>
      <c r="B16" s="339" t="s">
        <v>13</v>
      </c>
      <c r="C16" s="552" t="s">
        <v>54</v>
      </c>
      <c r="D16" s="552"/>
      <c r="E16" s="26">
        <v>50.92</v>
      </c>
      <c r="F16" s="339">
        <v>2751</v>
      </c>
      <c r="G16" s="332">
        <f>E16*F16</f>
        <v>140080.92000000001</v>
      </c>
      <c r="H16" s="340" t="s">
        <v>52</v>
      </c>
      <c r="I16" s="337">
        <v>16</v>
      </c>
      <c r="J16" s="18">
        <v>2000</v>
      </c>
      <c r="K16" s="9">
        <f t="shared" si="0"/>
        <v>125</v>
      </c>
      <c r="L16" s="337">
        <v>16</v>
      </c>
      <c r="M16" s="10">
        <f>F16/V16*60</f>
        <v>1875.6818181818182</v>
      </c>
      <c r="N16" s="9">
        <f t="shared" si="1"/>
        <v>117.23011363636364</v>
      </c>
      <c r="O16" s="11">
        <f t="shared" si="2"/>
        <v>0</v>
      </c>
      <c r="P16" s="12">
        <f t="shared" si="3"/>
        <v>-7.7698863636363598</v>
      </c>
      <c r="Q16" s="333">
        <f t="shared" si="4"/>
        <v>0.93784090909090911</v>
      </c>
      <c r="R16" s="533"/>
      <c r="S16" s="24">
        <v>0.76666666666666672</v>
      </c>
      <c r="T16" s="24">
        <v>0.82777777777777783</v>
      </c>
      <c r="U16" s="332">
        <f>IF(S16=TIME(17,0,0),"",(S16-T15)*24*60)</f>
        <v>4.9999999999999822</v>
      </c>
      <c r="V16" s="338">
        <f>(T16-S16)*24*60</f>
        <v>88</v>
      </c>
      <c r="W16" s="14"/>
      <c r="X16" s="14"/>
      <c r="Y16" s="528"/>
      <c r="Z16" s="528"/>
      <c r="AA16" s="11">
        <f t="shared" si="5"/>
        <v>-124.31818181818176</v>
      </c>
      <c r="AB16" s="333">
        <f t="shared" si="6"/>
        <v>0.93784090909090911</v>
      </c>
      <c r="AC16" s="533"/>
    </row>
    <row r="17" spans="1:29" ht="16.5" customHeight="1">
      <c r="A17" s="557" t="s">
        <v>1183</v>
      </c>
      <c r="B17" s="26" t="s">
        <v>82</v>
      </c>
      <c r="C17" s="530"/>
      <c r="D17" s="530"/>
      <c r="E17" s="331"/>
      <c r="F17" s="16"/>
      <c r="G17" s="9"/>
      <c r="H17" s="339"/>
      <c r="I17" s="17">
        <v>19.666666666666668</v>
      </c>
      <c r="J17" s="18">
        <v>1833.3333333333333</v>
      </c>
      <c r="K17" s="9">
        <f t="shared" si="0"/>
        <v>93.220338983050837</v>
      </c>
      <c r="L17" s="17">
        <v>19.666666666666668</v>
      </c>
      <c r="M17" s="10">
        <f>AVERAGE(M14:M16)</f>
        <v>1709.8623719615277</v>
      </c>
      <c r="N17" s="9">
        <f t="shared" si="1"/>
        <v>86.942154506518349</v>
      </c>
      <c r="O17" s="11">
        <f t="shared" si="2"/>
        <v>0</v>
      </c>
      <c r="P17" s="12">
        <f t="shared" si="3"/>
        <v>-6.2781844765324877</v>
      </c>
      <c r="Q17" s="333">
        <f t="shared" si="4"/>
        <v>0.93265220288810602</v>
      </c>
      <c r="R17" s="533"/>
      <c r="S17" s="24"/>
      <c r="T17" s="24"/>
      <c r="U17" s="332"/>
      <c r="V17" s="338"/>
      <c r="W17" s="9"/>
      <c r="X17" s="9"/>
      <c r="Y17" s="528"/>
      <c r="Z17" s="528"/>
      <c r="AA17" s="11">
        <f t="shared" si="5"/>
        <v>-123.47096137180552</v>
      </c>
      <c r="AB17" s="333">
        <f t="shared" si="6"/>
        <v>0.93265220288810613</v>
      </c>
      <c r="AC17" s="533"/>
    </row>
    <row r="18" spans="1:29" ht="15.75" customHeight="1">
      <c r="A18" s="554" t="s">
        <v>1182</v>
      </c>
      <c r="B18" s="26" t="s">
        <v>21</v>
      </c>
      <c r="C18" s="552" t="s">
        <v>22</v>
      </c>
      <c r="D18" s="552"/>
      <c r="E18" s="26">
        <v>43.14</v>
      </c>
      <c r="F18" s="339">
        <v>1304</v>
      </c>
      <c r="G18" s="332">
        <f t="shared" ref="G18:G23" si="7">E18*F18</f>
        <v>56254.559999999998</v>
      </c>
      <c r="H18" s="340" t="s">
        <v>52</v>
      </c>
      <c r="I18" s="337">
        <v>17</v>
      </c>
      <c r="J18" s="18">
        <v>2000</v>
      </c>
      <c r="K18" s="9">
        <f t="shared" si="0"/>
        <v>117.64705882352941</v>
      </c>
      <c r="L18" s="337">
        <v>17</v>
      </c>
      <c r="M18" s="10">
        <f t="shared" ref="M18:M23" si="8">F18/V18*60</f>
        <v>1862.8571428571422</v>
      </c>
      <c r="N18" s="9">
        <f t="shared" si="1"/>
        <v>109.57983193277308</v>
      </c>
      <c r="O18" s="11">
        <f t="shared" si="2"/>
        <v>0</v>
      </c>
      <c r="P18" s="12">
        <f t="shared" si="3"/>
        <v>-8.0672268907563307</v>
      </c>
      <c r="Q18" s="333">
        <f t="shared" si="4"/>
        <v>0.93142857142857116</v>
      </c>
      <c r="R18" s="533">
        <f>Q24</f>
        <v>0.93536294975802659</v>
      </c>
      <c r="S18" s="24">
        <v>0.20833333333333334</v>
      </c>
      <c r="T18" s="24">
        <v>0.23750000000000002</v>
      </c>
      <c r="U18" s="332"/>
      <c r="V18" s="338">
        <f t="shared" ref="V18:V23" si="9">(T18-S18)*24*60</f>
        <v>42.000000000000014</v>
      </c>
      <c r="W18" s="15"/>
      <c r="X18" s="15"/>
      <c r="Y18" s="528"/>
      <c r="Z18" s="528"/>
      <c r="AA18" s="11">
        <f t="shared" si="5"/>
        <v>-137.14285714285779</v>
      </c>
      <c r="AB18" s="333">
        <f t="shared" si="6"/>
        <v>0.93142857142857105</v>
      </c>
      <c r="AC18" s="533">
        <f>AB24</f>
        <v>0.93536294975802647</v>
      </c>
    </row>
    <row r="19" spans="1:29" ht="15.75" customHeight="1">
      <c r="A19" s="555" t="s">
        <v>469</v>
      </c>
      <c r="B19" s="26" t="s">
        <v>13</v>
      </c>
      <c r="C19" s="552" t="s">
        <v>23</v>
      </c>
      <c r="D19" s="552"/>
      <c r="E19" s="26">
        <v>57.73</v>
      </c>
      <c r="F19" s="339">
        <v>2544</v>
      </c>
      <c r="G19" s="332">
        <f t="shared" si="7"/>
        <v>146865.12</v>
      </c>
      <c r="H19" s="340" t="s">
        <v>52</v>
      </c>
      <c r="I19" s="337">
        <v>16</v>
      </c>
      <c r="J19" s="18">
        <v>2000</v>
      </c>
      <c r="K19" s="9">
        <f t="shared" si="0"/>
        <v>125</v>
      </c>
      <c r="L19" s="337">
        <v>16</v>
      </c>
      <c r="M19" s="10">
        <f t="shared" si="8"/>
        <v>1861.4634146341457</v>
      </c>
      <c r="N19" s="9">
        <f t="shared" si="1"/>
        <v>116.34146341463411</v>
      </c>
      <c r="O19" s="11">
        <f t="shared" si="2"/>
        <v>0</v>
      </c>
      <c r="P19" s="12">
        <f t="shared" si="3"/>
        <v>-8.6585365853658942</v>
      </c>
      <c r="Q19" s="333">
        <f t="shared" si="4"/>
        <v>0.93073170731707289</v>
      </c>
      <c r="R19" s="533"/>
      <c r="S19" s="24">
        <v>0.2416666666666667</v>
      </c>
      <c r="T19" s="24">
        <v>0.29861111111111116</v>
      </c>
      <c r="U19" s="332">
        <f>IF(S19=TIME(17,0,0),"",(S19-T18)*24*60)</f>
        <v>6.0000000000000187</v>
      </c>
      <c r="V19" s="338">
        <f t="shared" si="9"/>
        <v>82.000000000000028</v>
      </c>
      <c r="W19" s="14"/>
      <c r="X19" s="332"/>
      <c r="Y19" s="528"/>
      <c r="Z19" s="528"/>
      <c r="AA19" s="11">
        <f t="shared" si="5"/>
        <v>-138.53658536585431</v>
      </c>
      <c r="AB19" s="333">
        <f t="shared" si="6"/>
        <v>0.93073170731707289</v>
      </c>
      <c r="AC19" s="533"/>
    </row>
    <row r="20" spans="1:29" ht="15.75" customHeight="1">
      <c r="A20" s="555" t="s">
        <v>469</v>
      </c>
      <c r="B20" s="26" t="s">
        <v>13</v>
      </c>
      <c r="C20" s="552" t="s">
        <v>14</v>
      </c>
      <c r="D20" s="552"/>
      <c r="E20" s="26">
        <v>53.68</v>
      </c>
      <c r="F20" s="339">
        <v>1723</v>
      </c>
      <c r="G20" s="332">
        <f t="shared" si="7"/>
        <v>92490.64</v>
      </c>
      <c r="H20" s="340" t="s">
        <v>52</v>
      </c>
      <c r="I20" s="337">
        <v>17</v>
      </c>
      <c r="J20" s="18">
        <v>2000</v>
      </c>
      <c r="K20" s="9">
        <f t="shared" si="0"/>
        <v>117.64705882352941</v>
      </c>
      <c r="L20" s="337">
        <v>17</v>
      </c>
      <c r="M20" s="10">
        <f t="shared" si="8"/>
        <v>1879.6363636363646</v>
      </c>
      <c r="N20" s="9">
        <f t="shared" si="1"/>
        <v>110.56684491978615</v>
      </c>
      <c r="O20" s="11">
        <f t="shared" si="2"/>
        <v>0</v>
      </c>
      <c r="P20" s="12">
        <f t="shared" si="3"/>
        <v>-7.0802139037432568</v>
      </c>
      <c r="Q20" s="333">
        <f t="shared" si="4"/>
        <v>0.93981818181818233</v>
      </c>
      <c r="R20" s="533"/>
      <c r="S20" s="24">
        <v>0.30347222222222225</v>
      </c>
      <c r="T20" s="24">
        <v>0.34166666666666667</v>
      </c>
      <c r="U20" s="332">
        <f>IF(S20=TIME(17,0,0),"",(S20-T19)*24*60)</f>
        <v>6.9999999999999751</v>
      </c>
      <c r="V20" s="338">
        <f t="shared" si="9"/>
        <v>54.999999999999964</v>
      </c>
      <c r="W20" s="14"/>
      <c r="X20" s="332"/>
      <c r="Y20" s="528"/>
      <c r="Z20" s="528"/>
      <c r="AA20" s="11">
        <f t="shared" si="5"/>
        <v>-120.36363636363535</v>
      </c>
      <c r="AB20" s="333">
        <f t="shared" si="6"/>
        <v>0.93981818181818233</v>
      </c>
      <c r="AC20" s="533"/>
    </row>
    <row r="21" spans="1:29" ht="15.75" customHeight="1">
      <c r="A21" s="555" t="s">
        <v>469</v>
      </c>
      <c r="B21" s="26" t="s">
        <v>13</v>
      </c>
      <c r="C21" s="552" t="s">
        <v>81</v>
      </c>
      <c r="D21" s="552"/>
      <c r="E21" s="26">
        <v>58.17</v>
      </c>
      <c r="F21" s="339">
        <v>1837</v>
      </c>
      <c r="G21" s="332">
        <f t="shared" si="7"/>
        <v>106858.29000000001</v>
      </c>
      <c r="H21" s="340" t="s">
        <v>52</v>
      </c>
      <c r="I21" s="337">
        <v>18</v>
      </c>
      <c r="J21" s="18">
        <v>2000</v>
      </c>
      <c r="K21" s="9">
        <f t="shared" si="0"/>
        <v>111.11111111111111</v>
      </c>
      <c r="L21" s="337">
        <v>18</v>
      </c>
      <c r="M21" s="10">
        <f t="shared" si="8"/>
        <v>1868.135593220338</v>
      </c>
      <c r="N21" s="9">
        <f t="shared" si="1"/>
        <v>103.78531073446322</v>
      </c>
      <c r="O21" s="11">
        <f t="shared" si="2"/>
        <v>0</v>
      </c>
      <c r="P21" s="12">
        <f t="shared" si="3"/>
        <v>-7.3258003766478907</v>
      </c>
      <c r="Q21" s="333">
        <f t="shared" si="4"/>
        <v>0.93406779661016903</v>
      </c>
      <c r="R21" s="533"/>
      <c r="S21" s="24">
        <v>0.34652777777777777</v>
      </c>
      <c r="T21" s="24">
        <v>0.38750000000000001</v>
      </c>
      <c r="U21" s="332">
        <f>IF(S21=TIME(17,0,0),"",(S21-T20)*24*60)</f>
        <v>6.9999999999999751</v>
      </c>
      <c r="V21" s="338">
        <f t="shared" si="9"/>
        <v>59.000000000000028</v>
      </c>
      <c r="W21" s="14"/>
      <c r="X21" s="332"/>
      <c r="Y21" s="528"/>
      <c r="Z21" s="528"/>
      <c r="AA21" s="11">
        <f t="shared" si="5"/>
        <v>-131.86440677966198</v>
      </c>
      <c r="AB21" s="333">
        <f t="shared" si="6"/>
        <v>0.93406779661016903</v>
      </c>
      <c r="AC21" s="533"/>
    </row>
    <row r="22" spans="1:29" ht="15.75" customHeight="1">
      <c r="A22" s="555" t="s">
        <v>469</v>
      </c>
      <c r="B22" s="26" t="s">
        <v>13</v>
      </c>
      <c r="C22" s="552" t="s">
        <v>85</v>
      </c>
      <c r="D22" s="552"/>
      <c r="E22" s="26">
        <v>54.09</v>
      </c>
      <c r="F22" s="339">
        <v>3185</v>
      </c>
      <c r="G22" s="332">
        <f t="shared" si="7"/>
        <v>172276.65000000002</v>
      </c>
      <c r="H22" s="340" t="s">
        <v>52</v>
      </c>
      <c r="I22" s="337">
        <v>20</v>
      </c>
      <c r="J22" s="18">
        <v>2000</v>
      </c>
      <c r="K22" s="9">
        <f t="shared" si="0"/>
        <v>100</v>
      </c>
      <c r="L22" s="337">
        <v>20</v>
      </c>
      <c r="M22" s="10">
        <f t="shared" si="8"/>
        <v>1855.3398058252435</v>
      </c>
      <c r="N22" s="9">
        <f t="shared" si="1"/>
        <v>92.766990291262175</v>
      </c>
      <c r="O22" s="11">
        <f t="shared" si="2"/>
        <v>0</v>
      </c>
      <c r="P22" s="12">
        <f t="shared" si="3"/>
        <v>-7.2330097087378249</v>
      </c>
      <c r="Q22" s="333">
        <f t="shared" si="4"/>
        <v>0.92766990291262175</v>
      </c>
      <c r="R22" s="533"/>
      <c r="S22" s="24">
        <v>0.70833333333333337</v>
      </c>
      <c r="T22" s="24">
        <v>0.77986111111111112</v>
      </c>
      <c r="U22" s="332" t="str">
        <f>IF(S22=TIME(17,0,0),"",(S22-T21)*24*60)</f>
        <v/>
      </c>
      <c r="V22" s="338">
        <f t="shared" si="9"/>
        <v>102.99999999999996</v>
      </c>
      <c r="W22" s="14"/>
      <c r="X22" s="332"/>
      <c r="Y22" s="528"/>
      <c r="Z22" s="528"/>
      <c r="AA22" s="11">
        <f t="shared" si="5"/>
        <v>-144.6601941747565</v>
      </c>
      <c r="AB22" s="333">
        <f t="shared" si="6"/>
        <v>0.92766990291262175</v>
      </c>
      <c r="AC22" s="533"/>
    </row>
    <row r="23" spans="1:29" ht="15.75" customHeight="1">
      <c r="A23" s="555" t="s">
        <v>469</v>
      </c>
      <c r="B23" s="26" t="s">
        <v>13</v>
      </c>
      <c r="C23" s="552" t="s">
        <v>56</v>
      </c>
      <c r="D23" s="552"/>
      <c r="E23" s="26">
        <v>53.27</v>
      </c>
      <c r="F23" s="339">
        <v>411</v>
      </c>
      <c r="G23" s="332">
        <f t="shared" si="7"/>
        <v>21893.97</v>
      </c>
      <c r="H23" s="340" t="s">
        <v>52</v>
      </c>
      <c r="I23" s="337">
        <v>15</v>
      </c>
      <c r="J23" s="18">
        <v>2000</v>
      </c>
      <c r="K23" s="9">
        <f t="shared" si="0"/>
        <v>133.33333333333334</v>
      </c>
      <c r="L23" s="337">
        <v>15</v>
      </c>
      <c r="M23" s="10">
        <f t="shared" si="8"/>
        <v>1896.9230769230835</v>
      </c>
      <c r="N23" s="9">
        <f t="shared" si="1"/>
        <v>126.46153846153889</v>
      </c>
      <c r="O23" s="11">
        <f t="shared" si="2"/>
        <v>0</v>
      </c>
      <c r="P23" s="12">
        <f t="shared" si="3"/>
        <v>-6.8717948717944495</v>
      </c>
      <c r="Q23" s="333">
        <f t="shared" si="4"/>
        <v>0.94846153846154169</v>
      </c>
      <c r="R23" s="533"/>
      <c r="S23" s="24">
        <v>0.78472222222222221</v>
      </c>
      <c r="T23" s="24">
        <v>0.79374999999999996</v>
      </c>
      <c r="U23" s="332">
        <f>IF(S23=TIME(17,0,0),"",(S23-T22)*24*60)</f>
        <v>6.9999999999999751</v>
      </c>
      <c r="V23" s="338">
        <f t="shared" si="9"/>
        <v>12.999999999999954</v>
      </c>
      <c r="W23" s="14"/>
      <c r="X23" s="15"/>
      <c r="Y23" s="528"/>
      <c r="Z23" s="528"/>
      <c r="AA23" s="11">
        <f t="shared" si="5"/>
        <v>-103.0769230769165</v>
      </c>
      <c r="AB23" s="333">
        <f t="shared" si="6"/>
        <v>0.9484615384615418</v>
      </c>
      <c r="AC23" s="533"/>
    </row>
    <row r="24" spans="1:29" ht="15.75" customHeight="1">
      <c r="A24" s="555" t="s">
        <v>1182</v>
      </c>
      <c r="B24" s="26" t="s">
        <v>82</v>
      </c>
      <c r="C24" s="530"/>
      <c r="D24" s="530"/>
      <c r="E24" s="331"/>
      <c r="F24" s="339"/>
      <c r="G24" s="332"/>
      <c r="H24" s="339"/>
      <c r="I24" s="17">
        <v>17.166666666666668</v>
      </c>
      <c r="J24" s="18">
        <v>2000</v>
      </c>
      <c r="K24" s="9">
        <f t="shared" si="0"/>
        <v>116.50485436893203</v>
      </c>
      <c r="L24" s="17">
        <v>17.166666666666668</v>
      </c>
      <c r="M24" s="10">
        <f>AVERAGE(M18:M23)</f>
        <v>1870.725899516053</v>
      </c>
      <c r="N24" s="9">
        <f t="shared" si="1"/>
        <v>108.97432424365357</v>
      </c>
      <c r="O24" s="11">
        <f t="shared" si="2"/>
        <v>0</v>
      </c>
      <c r="P24" s="12">
        <f t="shared" si="3"/>
        <v>-7.5305301252784602</v>
      </c>
      <c r="Q24" s="333">
        <f t="shared" si="4"/>
        <v>0.93536294975802659</v>
      </c>
      <c r="R24" s="533"/>
      <c r="S24" s="24"/>
      <c r="T24" s="24"/>
      <c r="U24" s="9"/>
      <c r="V24" s="338"/>
      <c r="W24" s="9"/>
      <c r="X24" s="9"/>
      <c r="Y24" s="528"/>
      <c r="Z24" s="528"/>
      <c r="AA24" s="11">
        <f t="shared" si="5"/>
        <v>-129.274100483947</v>
      </c>
      <c r="AB24" s="333">
        <f t="shared" si="6"/>
        <v>0.93536294975802647</v>
      </c>
      <c r="AC24" s="533"/>
    </row>
    <row r="25" spans="1:29" ht="15.75" customHeight="1">
      <c r="A25" s="553" t="s">
        <v>476</v>
      </c>
      <c r="B25" s="26" t="s">
        <v>24</v>
      </c>
      <c r="C25" s="552" t="s">
        <v>26</v>
      </c>
      <c r="D25" s="552"/>
      <c r="E25" s="26">
        <v>26.2</v>
      </c>
      <c r="F25" s="339">
        <v>3476</v>
      </c>
      <c r="G25" s="332">
        <f t="shared" ref="G25:G30" si="10">E25*F25</f>
        <v>91071.2</v>
      </c>
      <c r="H25" s="340" t="s">
        <v>52</v>
      </c>
      <c r="I25" s="337">
        <v>20</v>
      </c>
      <c r="J25" s="18">
        <v>2400</v>
      </c>
      <c r="K25" s="9">
        <f t="shared" si="0"/>
        <v>120</v>
      </c>
      <c r="L25" s="337">
        <v>20</v>
      </c>
      <c r="M25" s="10">
        <f t="shared" ref="M25:M30" si="11">F25/V25*60</f>
        <v>2242.5806451612907</v>
      </c>
      <c r="N25" s="9">
        <f t="shared" si="1"/>
        <v>112.12903225806454</v>
      </c>
      <c r="O25" s="11">
        <f t="shared" si="2"/>
        <v>0</v>
      </c>
      <c r="P25" s="12">
        <f t="shared" si="3"/>
        <v>-7.8709677419354591</v>
      </c>
      <c r="Q25" s="333">
        <f t="shared" si="4"/>
        <v>0.93440860215053789</v>
      </c>
      <c r="R25" s="533">
        <f>Q31</f>
        <v>0.92922647807392855</v>
      </c>
      <c r="S25" s="24">
        <v>0.125</v>
      </c>
      <c r="T25" s="24">
        <v>0.18958333333333333</v>
      </c>
      <c r="U25" s="332"/>
      <c r="V25" s="338">
        <f t="shared" ref="V25:V30" si="12">(T25-S25)*24*60</f>
        <v>92.999999999999986</v>
      </c>
      <c r="W25" s="14">
        <f>T25</f>
        <v>0.18958333333333333</v>
      </c>
      <c r="X25" s="14">
        <f>S26</f>
        <v>0.20972222222222223</v>
      </c>
      <c r="Y25" s="528"/>
      <c r="Z25" s="528"/>
      <c r="AA25" s="11">
        <f t="shared" si="5"/>
        <v>-157.4193548387093</v>
      </c>
      <c r="AB25" s="333">
        <f t="shared" si="6"/>
        <v>0.93440860215053778</v>
      </c>
      <c r="AC25" s="533">
        <f>AB31</f>
        <v>0.92922647807392855</v>
      </c>
    </row>
    <row r="26" spans="1:29" ht="15.75" customHeight="1">
      <c r="A26" s="553" t="s">
        <v>1180</v>
      </c>
      <c r="B26" s="26" t="s">
        <v>24</v>
      </c>
      <c r="C26" s="552" t="s">
        <v>79</v>
      </c>
      <c r="D26" s="552"/>
      <c r="E26" s="26">
        <v>31.29</v>
      </c>
      <c r="F26" s="339">
        <v>3600</v>
      </c>
      <c r="G26" s="332">
        <f t="shared" si="10"/>
        <v>112644</v>
      </c>
      <c r="H26" s="340">
        <v>2</v>
      </c>
      <c r="I26" s="337">
        <v>16</v>
      </c>
      <c r="J26" s="18">
        <v>2400</v>
      </c>
      <c r="K26" s="9">
        <f t="shared" si="0"/>
        <v>150</v>
      </c>
      <c r="L26" s="337">
        <v>16</v>
      </c>
      <c r="M26" s="10">
        <f t="shared" si="11"/>
        <v>2226.8041237113398</v>
      </c>
      <c r="N26" s="9">
        <f t="shared" si="1"/>
        <v>139.17525773195874</v>
      </c>
      <c r="O26" s="11">
        <f t="shared" si="2"/>
        <v>0</v>
      </c>
      <c r="P26" s="12">
        <f t="shared" si="3"/>
        <v>-10.824742268041263</v>
      </c>
      <c r="Q26" s="333">
        <f t="shared" si="4"/>
        <v>0.92783505154639156</v>
      </c>
      <c r="R26" s="533"/>
      <c r="S26" s="24">
        <v>0.20972222222222223</v>
      </c>
      <c r="T26" s="24">
        <v>0.27708333333333335</v>
      </c>
      <c r="U26" s="332">
        <f>(S26-T25)*24*60</f>
        <v>29.000000000000018</v>
      </c>
      <c r="V26" s="338">
        <f t="shared" si="12"/>
        <v>97.000000000000014</v>
      </c>
      <c r="W26" s="14"/>
      <c r="X26" s="14"/>
      <c r="Y26" s="528"/>
      <c r="Z26" s="528"/>
      <c r="AA26" s="11">
        <f t="shared" si="5"/>
        <v>-173.1958762886602</v>
      </c>
      <c r="AB26" s="333">
        <f t="shared" si="6"/>
        <v>0.92783505154639156</v>
      </c>
      <c r="AC26" s="533"/>
    </row>
    <row r="27" spans="1:29" ht="15.75" customHeight="1">
      <c r="A27" s="553" t="s">
        <v>476</v>
      </c>
      <c r="B27" s="26" t="s">
        <v>24</v>
      </c>
      <c r="C27" s="552" t="s">
        <v>68</v>
      </c>
      <c r="D27" s="552"/>
      <c r="E27" s="26">
        <v>24.25</v>
      </c>
      <c r="F27" s="339">
        <v>4265</v>
      </c>
      <c r="G27" s="332">
        <f t="shared" si="10"/>
        <v>103426.25</v>
      </c>
      <c r="H27" s="340" t="s">
        <v>52</v>
      </c>
      <c r="I27" s="337">
        <v>18</v>
      </c>
      <c r="J27" s="18">
        <v>2400</v>
      </c>
      <c r="K27" s="9">
        <f t="shared" si="0"/>
        <v>133.33333333333334</v>
      </c>
      <c r="L27" s="337">
        <v>18</v>
      </c>
      <c r="M27" s="10">
        <f t="shared" si="11"/>
        <v>2225.217391304348</v>
      </c>
      <c r="N27" s="9">
        <f t="shared" si="1"/>
        <v>123.62318840579711</v>
      </c>
      <c r="O27" s="11">
        <f t="shared" si="2"/>
        <v>0</v>
      </c>
      <c r="P27" s="12">
        <f t="shared" si="3"/>
        <v>-9.7101449275362341</v>
      </c>
      <c r="Q27" s="333">
        <f t="shared" si="4"/>
        <v>0.92717391304347829</v>
      </c>
      <c r="R27" s="533"/>
      <c r="S27" s="24">
        <v>0.28125</v>
      </c>
      <c r="T27" s="24">
        <v>0.3611111111111111</v>
      </c>
      <c r="U27" s="332">
        <f>(S27-T26)*24*60</f>
        <v>5.9999999999999787</v>
      </c>
      <c r="V27" s="338">
        <f t="shared" si="12"/>
        <v>114.99999999999999</v>
      </c>
      <c r="W27" s="14"/>
      <c r="X27" s="14"/>
      <c r="Y27" s="528"/>
      <c r="Z27" s="528"/>
      <c r="AA27" s="11">
        <f t="shared" si="5"/>
        <v>-174.78260869565202</v>
      </c>
      <c r="AB27" s="333">
        <f t="shared" si="6"/>
        <v>0.92717391304347829</v>
      </c>
      <c r="AC27" s="533"/>
    </row>
    <row r="28" spans="1:29" ht="15.75" customHeight="1">
      <c r="A28" s="553" t="s">
        <v>1181</v>
      </c>
      <c r="B28" s="26" t="s">
        <v>24</v>
      </c>
      <c r="C28" s="552" t="s">
        <v>328</v>
      </c>
      <c r="D28" s="552"/>
      <c r="E28" s="26">
        <v>25.98</v>
      </c>
      <c r="F28" s="339">
        <v>4477</v>
      </c>
      <c r="G28" s="332">
        <f t="shared" si="10"/>
        <v>116312.46</v>
      </c>
      <c r="H28" s="340" t="s">
        <v>52</v>
      </c>
      <c r="I28" s="337">
        <v>17</v>
      </c>
      <c r="J28" s="18">
        <v>2400</v>
      </c>
      <c r="K28" s="9">
        <f t="shared" si="0"/>
        <v>141.1764705882353</v>
      </c>
      <c r="L28" s="337">
        <v>17</v>
      </c>
      <c r="M28" s="10">
        <f t="shared" si="11"/>
        <v>2220.0000000000005</v>
      </c>
      <c r="N28" s="9">
        <f t="shared" si="1"/>
        <v>130.58823529411768</v>
      </c>
      <c r="O28" s="11">
        <f t="shared" si="2"/>
        <v>0</v>
      </c>
      <c r="P28" s="12">
        <f t="shared" si="3"/>
        <v>-10.588235294117624</v>
      </c>
      <c r="Q28" s="333">
        <f t="shared" si="4"/>
        <v>0.92500000000000016</v>
      </c>
      <c r="R28" s="533"/>
      <c r="S28" s="24">
        <v>0.3659722222222222</v>
      </c>
      <c r="T28" s="24">
        <v>0.44999999999999996</v>
      </c>
      <c r="U28" s="332">
        <f>(S28-T27)*24*60</f>
        <v>6.9999999999999751</v>
      </c>
      <c r="V28" s="338">
        <f t="shared" si="12"/>
        <v>120.99999999999997</v>
      </c>
      <c r="W28" s="14"/>
      <c r="X28" s="14"/>
      <c r="Y28" s="528"/>
      <c r="Z28" s="528"/>
      <c r="AA28" s="11">
        <f t="shared" si="5"/>
        <v>-179.99999999999955</v>
      </c>
      <c r="AB28" s="333">
        <f t="shared" si="6"/>
        <v>0.92500000000000016</v>
      </c>
      <c r="AC28" s="533"/>
    </row>
    <row r="29" spans="1:29" ht="15.75" customHeight="1">
      <c r="A29" s="553" t="s">
        <v>476</v>
      </c>
      <c r="B29" s="26" t="s">
        <v>24</v>
      </c>
      <c r="C29" s="552" t="s">
        <v>62</v>
      </c>
      <c r="D29" s="552"/>
      <c r="E29" s="26">
        <v>22.35</v>
      </c>
      <c r="F29" s="339">
        <v>1790</v>
      </c>
      <c r="G29" s="332">
        <f t="shared" si="10"/>
        <v>40006.5</v>
      </c>
      <c r="H29" s="340" t="s">
        <v>52</v>
      </c>
      <c r="I29" s="337">
        <v>16</v>
      </c>
      <c r="J29" s="18">
        <v>2400</v>
      </c>
      <c r="K29" s="9">
        <f t="shared" si="0"/>
        <v>150</v>
      </c>
      <c r="L29" s="337">
        <v>16</v>
      </c>
      <c r="M29" s="10">
        <f t="shared" si="11"/>
        <v>2237.5000000000009</v>
      </c>
      <c r="N29" s="9">
        <f t="shared" si="1"/>
        <v>139.84375000000006</v>
      </c>
      <c r="O29" s="11">
        <f t="shared" si="2"/>
        <v>0</v>
      </c>
      <c r="P29" s="12">
        <f t="shared" si="3"/>
        <v>-10.156249999999943</v>
      </c>
      <c r="Q29" s="333">
        <f t="shared" si="4"/>
        <v>0.93229166666666707</v>
      </c>
      <c r="R29" s="533"/>
      <c r="S29" s="24">
        <v>0.45555555555555549</v>
      </c>
      <c r="T29" s="24">
        <v>0.48888888888888882</v>
      </c>
      <c r="U29" s="332">
        <f>(S29-T28)*24*60</f>
        <v>7.9999999999999716</v>
      </c>
      <c r="V29" s="338">
        <f t="shared" si="12"/>
        <v>47.999999999999986</v>
      </c>
      <c r="W29" s="14">
        <f>T29</f>
        <v>0.48888888888888882</v>
      </c>
      <c r="X29" s="14">
        <f>S30</f>
        <v>0.52916666666666656</v>
      </c>
      <c r="Y29" s="528"/>
      <c r="Z29" s="528"/>
      <c r="AA29" s="11">
        <f t="shared" si="5"/>
        <v>-162.49999999999909</v>
      </c>
      <c r="AB29" s="333">
        <f t="shared" si="6"/>
        <v>0.93229166666666707</v>
      </c>
      <c r="AC29" s="533"/>
    </row>
    <row r="30" spans="1:29" ht="15.75" customHeight="1">
      <c r="A30" s="553" t="s">
        <v>1180</v>
      </c>
      <c r="B30" s="26" t="s">
        <v>24</v>
      </c>
      <c r="C30" s="552" t="s">
        <v>79</v>
      </c>
      <c r="D30" s="552"/>
      <c r="E30" s="26">
        <v>31.29</v>
      </c>
      <c r="F30" s="339">
        <v>5089</v>
      </c>
      <c r="G30" s="332">
        <f t="shared" si="10"/>
        <v>159234.81</v>
      </c>
      <c r="H30" s="340" t="s">
        <v>52</v>
      </c>
      <c r="I30" s="337">
        <v>16</v>
      </c>
      <c r="J30" s="18">
        <v>2400</v>
      </c>
      <c r="K30" s="9">
        <f t="shared" si="0"/>
        <v>150</v>
      </c>
      <c r="L30" s="337">
        <v>16</v>
      </c>
      <c r="M30" s="10">
        <f t="shared" si="11"/>
        <v>2228.7591240875913</v>
      </c>
      <c r="N30" s="9">
        <f t="shared" si="1"/>
        <v>139.29744525547446</v>
      </c>
      <c r="O30" s="11">
        <f t="shared" si="2"/>
        <v>0</v>
      </c>
      <c r="P30" s="12">
        <f t="shared" si="3"/>
        <v>-10.702554744525543</v>
      </c>
      <c r="Q30" s="333">
        <f t="shared" si="4"/>
        <v>0.92864963503649633</v>
      </c>
      <c r="R30" s="533"/>
      <c r="S30" s="24">
        <v>0.52916666666666656</v>
      </c>
      <c r="T30" s="24">
        <v>0.62430555555555545</v>
      </c>
      <c r="U30" s="332">
        <f>(S30-T29)*24*60</f>
        <v>57.999999999999957</v>
      </c>
      <c r="V30" s="338">
        <f t="shared" si="12"/>
        <v>137</v>
      </c>
      <c r="W30" s="14"/>
      <c r="X30" s="14"/>
      <c r="Y30" s="528"/>
      <c r="Z30" s="528"/>
      <c r="AA30" s="11">
        <f t="shared" si="5"/>
        <v>-171.24087591240868</v>
      </c>
      <c r="AB30" s="333">
        <f t="shared" si="6"/>
        <v>0.92864963503649633</v>
      </c>
      <c r="AC30" s="533"/>
    </row>
    <row r="31" spans="1:29" ht="15.75" customHeight="1">
      <c r="A31" s="553" t="s">
        <v>476</v>
      </c>
      <c r="B31" s="26" t="s">
        <v>82</v>
      </c>
      <c r="C31" s="530"/>
      <c r="D31" s="530"/>
      <c r="E31" s="331"/>
      <c r="F31" s="339"/>
      <c r="G31" s="332"/>
      <c r="H31" s="339"/>
      <c r="I31" s="17">
        <v>17.166666666666668</v>
      </c>
      <c r="J31" s="18">
        <v>2400</v>
      </c>
      <c r="K31" s="9">
        <f t="shared" si="0"/>
        <v>139.80582524271844</v>
      </c>
      <c r="L31" s="17">
        <v>17.166666666666668</v>
      </c>
      <c r="M31" s="10">
        <f>AVERAGE(M25:M30)</f>
        <v>2230.1435473774286</v>
      </c>
      <c r="N31" s="9">
        <f t="shared" si="1"/>
        <v>129.9112746045104</v>
      </c>
      <c r="O31" s="11">
        <f t="shared" si="2"/>
        <v>0</v>
      </c>
      <c r="P31" s="12">
        <f t="shared" si="3"/>
        <v>-9.8945506382080453</v>
      </c>
      <c r="Q31" s="333">
        <f t="shared" si="4"/>
        <v>0.92922647807392855</v>
      </c>
      <c r="R31" s="533"/>
      <c r="S31" s="24"/>
      <c r="T31" s="24"/>
      <c r="U31" s="332"/>
      <c r="V31" s="338"/>
      <c r="W31" s="332"/>
      <c r="X31" s="332"/>
      <c r="Y31" s="528"/>
      <c r="Z31" s="528"/>
      <c r="AA31" s="11">
        <f t="shared" si="5"/>
        <v>-169.8564526225714</v>
      </c>
      <c r="AB31" s="333">
        <f t="shared" si="6"/>
        <v>0.92922647807392855</v>
      </c>
      <c r="AC31" s="533"/>
    </row>
    <row r="32" spans="1:29" ht="15.75" customHeight="1">
      <c r="A32" s="550" t="s">
        <v>480</v>
      </c>
      <c r="B32" s="26" t="s">
        <v>24</v>
      </c>
      <c r="C32" s="529" t="s">
        <v>28</v>
      </c>
      <c r="D32" s="529"/>
      <c r="E32" s="26">
        <v>26.2</v>
      </c>
      <c r="F32" s="339">
        <v>3600</v>
      </c>
      <c r="G32" s="332">
        <f t="shared" ref="G32:G40" si="13">E32*F32</f>
        <v>94320</v>
      </c>
      <c r="H32" s="340">
        <v>2</v>
      </c>
      <c r="I32" s="337">
        <v>18</v>
      </c>
      <c r="J32" s="18">
        <v>2400</v>
      </c>
      <c r="K32" s="9">
        <f t="shared" si="0"/>
        <v>133.33333333333334</v>
      </c>
      <c r="L32" s="337">
        <v>18</v>
      </c>
      <c r="M32" s="10">
        <f t="shared" ref="M32:M40" si="14">F32/V32*60</f>
        <v>2226.8041237113403</v>
      </c>
      <c r="N32" s="9">
        <f t="shared" si="1"/>
        <v>123.71134020618557</v>
      </c>
      <c r="O32" s="11">
        <f t="shared" si="2"/>
        <v>0</v>
      </c>
      <c r="P32" s="12">
        <f t="shared" si="3"/>
        <v>-9.6219931271477748</v>
      </c>
      <c r="Q32" s="333">
        <f t="shared" si="4"/>
        <v>0.92783505154639168</v>
      </c>
      <c r="R32" s="533">
        <f>Q41</f>
        <v>0.92861733368523347</v>
      </c>
      <c r="S32" s="24">
        <v>8.3333333333333329E-2</v>
      </c>
      <c r="T32" s="24">
        <v>0.15069444444444444</v>
      </c>
      <c r="U32" s="332"/>
      <c r="V32" s="338">
        <f t="shared" ref="V32:V40" si="15">(T32-S32)*24*60</f>
        <v>97</v>
      </c>
      <c r="W32" s="15">
        <f>T32</f>
        <v>0.15069444444444444</v>
      </c>
      <c r="X32" s="15">
        <f>S33</f>
        <v>0.16874999999999998</v>
      </c>
      <c r="Y32" s="528"/>
      <c r="Z32" s="528"/>
      <c r="AA32" s="11">
        <f t="shared" si="5"/>
        <v>-173.19587628865975</v>
      </c>
      <c r="AB32" s="333">
        <f t="shared" si="6"/>
        <v>0.92783505154639179</v>
      </c>
      <c r="AC32" s="533">
        <f>AB41</f>
        <v>0.92861733368523347</v>
      </c>
    </row>
    <row r="33" spans="1:29" ht="15.75" customHeight="1">
      <c r="A33" s="550" t="s">
        <v>480</v>
      </c>
      <c r="B33" s="26" t="s">
        <v>24</v>
      </c>
      <c r="C33" s="529" t="s">
        <v>30</v>
      </c>
      <c r="D33" s="529"/>
      <c r="E33" s="26">
        <v>24.45</v>
      </c>
      <c r="F33" s="339">
        <v>2200</v>
      </c>
      <c r="G33" s="332">
        <f t="shared" si="13"/>
        <v>53790</v>
      </c>
      <c r="H33" s="340" t="s">
        <v>52</v>
      </c>
      <c r="I33" s="337">
        <v>20</v>
      </c>
      <c r="J33" s="18">
        <v>2400</v>
      </c>
      <c r="K33" s="9">
        <f t="shared" si="0"/>
        <v>120</v>
      </c>
      <c r="L33" s="337">
        <v>20</v>
      </c>
      <c r="M33" s="10">
        <f t="shared" si="14"/>
        <v>2237.2881355932209</v>
      </c>
      <c r="N33" s="9">
        <f t="shared" si="1"/>
        <v>111.86440677966104</v>
      </c>
      <c r="O33" s="11">
        <f t="shared" si="2"/>
        <v>0</v>
      </c>
      <c r="P33" s="12">
        <f t="shared" si="3"/>
        <v>-8.1355932203389614</v>
      </c>
      <c r="Q33" s="333">
        <f t="shared" si="4"/>
        <v>0.93220338983050866</v>
      </c>
      <c r="R33" s="533"/>
      <c r="S33" s="24">
        <v>0.16874999999999998</v>
      </c>
      <c r="T33" s="24">
        <v>0.2097222222222222</v>
      </c>
      <c r="U33" s="332">
        <f t="shared" ref="U33:U40" si="16">(S33-T32)*24*60</f>
        <v>25.999999999999986</v>
      </c>
      <c r="V33" s="338">
        <f t="shared" si="15"/>
        <v>58.999999999999993</v>
      </c>
      <c r="W33" s="332"/>
      <c r="X33" s="332"/>
      <c r="Y33" s="528"/>
      <c r="Z33" s="528"/>
      <c r="AA33" s="11">
        <f t="shared" si="5"/>
        <v>-162.71186440677911</v>
      </c>
      <c r="AB33" s="333">
        <f t="shared" si="6"/>
        <v>0.93220338983050866</v>
      </c>
      <c r="AC33" s="533"/>
    </row>
    <row r="34" spans="1:29">
      <c r="A34" s="551" t="s">
        <v>480</v>
      </c>
      <c r="B34" s="26" t="s">
        <v>24</v>
      </c>
      <c r="C34" s="529" t="s">
        <v>29</v>
      </c>
      <c r="D34" s="529"/>
      <c r="E34" s="26">
        <v>26.39</v>
      </c>
      <c r="F34" s="339">
        <v>3600</v>
      </c>
      <c r="G34" s="332">
        <f t="shared" si="13"/>
        <v>95004</v>
      </c>
      <c r="H34" s="340">
        <v>2</v>
      </c>
      <c r="I34" s="337">
        <v>19</v>
      </c>
      <c r="J34" s="18">
        <v>2400</v>
      </c>
      <c r="K34" s="9">
        <f t="shared" si="0"/>
        <v>126.31578947368421</v>
      </c>
      <c r="L34" s="337">
        <v>19</v>
      </c>
      <c r="M34" s="10">
        <f t="shared" si="14"/>
        <v>2226.8041237113398</v>
      </c>
      <c r="N34" s="9">
        <f t="shared" si="1"/>
        <v>117.20021703743893</v>
      </c>
      <c r="O34" s="11">
        <f t="shared" si="2"/>
        <v>0</v>
      </c>
      <c r="P34" s="12">
        <f t="shared" si="3"/>
        <v>-9.115572436245273</v>
      </c>
      <c r="Q34" s="333">
        <f t="shared" si="4"/>
        <v>0.92783505154639156</v>
      </c>
      <c r="R34" s="533"/>
      <c r="S34" s="24">
        <v>0.21527777777777776</v>
      </c>
      <c r="T34" s="24">
        <v>0.28263888888888888</v>
      </c>
      <c r="U34" s="332">
        <f t="shared" si="16"/>
        <v>8.0000000000000107</v>
      </c>
      <c r="V34" s="338">
        <f t="shared" si="15"/>
        <v>97.000000000000014</v>
      </c>
      <c r="W34" s="332"/>
      <c r="X34" s="332"/>
      <c r="Y34" s="528"/>
      <c r="Z34" s="528"/>
      <c r="AA34" s="11">
        <f t="shared" si="5"/>
        <v>-173.1958762886602</v>
      </c>
      <c r="AB34" s="333">
        <f t="shared" si="6"/>
        <v>0.92783505154639156</v>
      </c>
      <c r="AC34" s="533"/>
    </row>
    <row r="35" spans="1:29">
      <c r="A35" s="551" t="s">
        <v>480</v>
      </c>
      <c r="B35" s="26" t="s">
        <v>24</v>
      </c>
      <c r="C35" s="529" t="s">
        <v>27</v>
      </c>
      <c r="D35" s="529"/>
      <c r="E35" s="26">
        <v>20.52</v>
      </c>
      <c r="F35" s="339">
        <v>3042</v>
      </c>
      <c r="G35" s="332">
        <f t="shared" si="13"/>
        <v>62421.84</v>
      </c>
      <c r="H35" s="340" t="s">
        <v>52</v>
      </c>
      <c r="I35" s="337">
        <v>18</v>
      </c>
      <c r="J35" s="18">
        <v>2400</v>
      </c>
      <c r="K35" s="9">
        <f t="shared" si="0"/>
        <v>133.33333333333334</v>
      </c>
      <c r="L35" s="337">
        <v>18</v>
      </c>
      <c r="M35" s="10">
        <f t="shared" si="14"/>
        <v>2225.8536585365846</v>
      </c>
      <c r="N35" s="9">
        <f t="shared" si="1"/>
        <v>123.65853658536581</v>
      </c>
      <c r="O35" s="11">
        <f t="shared" si="2"/>
        <v>0</v>
      </c>
      <c r="P35" s="12">
        <f t="shared" si="3"/>
        <v>-9.6747967479675339</v>
      </c>
      <c r="Q35" s="333">
        <f t="shared" si="4"/>
        <v>0.9274390243902435</v>
      </c>
      <c r="R35" s="533"/>
      <c r="S35" s="24">
        <v>0.28680555555555554</v>
      </c>
      <c r="T35" s="24">
        <v>0.34375</v>
      </c>
      <c r="U35" s="332">
        <f t="shared" si="16"/>
        <v>5.9999999999999787</v>
      </c>
      <c r="V35" s="338">
        <f t="shared" si="15"/>
        <v>82.000000000000028</v>
      </c>
      <c r="W35" s="14"/>
      <c r="X35" s="14"/>
      <c r="Y35" s="528"/>
      <c r="Z35" s="528"/>
      <c r="AA35" s="11">
        <f t="shared" si="5"/>
        <v>-174.14634146341541</v>
      </c>
      <c r="AB35" s="333">
        <f t="shared" si="6"/>
        <v>0.92743902439024362</v>
      </c>
      <c r="AC35" s="533"/>
    </row>
    <row r="36" spans="1:29">
      <c r="A36" s="551" t="s">
        <v>1179</v>
      </c>
      <c r="B36" s="26" t="s">
        <v>24</v>
      </c>
      <c r="C36" s="529" t="s">
        <v>50</v>
      </c>
      <c r="D36" s="529"/>
      <c r="E36" s="26">
        <v>26.2</v>
      </c>
      <c r="F36" s="339">
        <v>4981</v>
      </c>
      <c r="G36" s="332">
        <f t="shared" si="13"/>
        <v>130502.2</v>
      </c>
      <c r="H36" s="340" t="s">
        <v>52</v>
      </c>
      <c r="I36" s="337">
        <v>19</v>
      </c>
      <c r="J36" s="18">
        <v>2400</v>
      </c>
      <c r="K36" s="9">
        <f t="shared" si="0"/>
        <v>126.31578947368421</v>
      </c>
      <c r="L36" s="337">
        <v>19</v>
      </c>
      <c r="M36" s="10">
        <f t="shared" si="14"/>
        <v>2230.2985074626868</v>
      </c>
      <c r="N36" s="9">
        <f t="shared" si="1"/>
        <v>117.38413197172035</v>
      </c>
      <c r="O36" s="11">
        <f t="shared" si="2"/>
        <v>0</v>
      </c>
      <c r="P36" s="12">
        <f t="shared" si="3"/>
        <v>-8.9316575019638549</v>
      </c>
      <c r="Q36" s="333">
        <f t="shared" si="4"/>
        <v>0.92929104477611946</v>
      </c>
      <c r="R36" s="533"/>
      <c r="S36" s="24">
        <v>0.34791666666666665</v>
      </c>
      <c r="T36" s="24">
        <v>0.44097222222222221</v>
      </c>
      <c r="U36" s="332">
        <f t="shared" si="16"/>
        <v>5.9999999999999787</v>
      </c>
      <c r="V36" s="338">
        <f t="shared" si="15"/>
        <v>134</v>
      </c>
      <c r="W36" s="14"/>
      <c r="X36" s="14"/>
      <c r="Y36" s="528"/>
      <c r="Z36" s="528"/>
      <c r="AA36" s="11">
        <f t="shared" si="5"/>
        <v>-169.70149253731324</v>
      </c>
      <c r="AB36" s="333">
        <f t="shared" si="6"/>
        <v>0.92929104477611946</v>
      </c>
      <c r="AC36" s="533"/>
    </row>
    <row r="37" spans="1:29">
      <c r="A37" s="551" t="s">
        <v>480</v>
      </c>
      <c r="B37" s="26" t="s">
        <v>24</v>
      </c>
      <c r="C37" s="529" t="s">
        <v>1079</v>
      </c>
      <c r="D37" s="529"/>
      <c r="E37" s="26">
        <v>24.82</v>
      </c>
      <c r="F37" s="339">
        <v>4000</v>
      </c>
      <c r="G37" s="332">
        <f t="shared" si="13"/>
        <v>99280</v>
      </c>
      <c r="H37" s="340">
        <v>2</v>
      </c>
      <c r="I37" s="337">
        <v>17</v>
      </c>
      <c r="J37" s="18">
        <v>2400</v>
      </c>
      <c r="K37" s="9">
        <f t="shared" ref="K37:K65" si="17">J37/I37</f>
        <v>141.1764705882353</v>
      </c>
      <c r="L37" s="337">
        <v>17</v>
      </c>
      <c r="M37" s="10">
        <f t="shared" si="14"/>
        <v>2222.2222222222235</v>
      </c>
      <c r="N37" s="9">
        <f t="shared" ref="N37:N65" si="18">M37/L37</f>
        <v>130.71895424836609</v>
      </c>
      <c r="O37" s="11">
        <f t="shared" ref="O37:O65" si="19">L37-I37</f>
        <v>0</v>
      </c>
      <c r="P37" s="12">
        <f t="shared" ref="P37:P65" si="20">N37-K37</f>
        <v>-10.457516339869215</v>
      </c>
      <c r="Q37" s="333">
        <f t="shared" ref="Q37:Q65" si="21">N37/K37</f>
        <v>0.92592592592592637</v>
      </c>
      <c r="R37" s="533"/>
      <c r="S37" s="24">
        <v>0.44513888888888886</v>
      </c>
      <c r="T37" s="24">
        <v>0.52013888888888882</v>
      </c>
      <c r="U37" s="332">
        <f t="shared" si="16"/>
        <v>5.9999999999999787</v>
      </c>
      <c r="V37" s="338">
        <f t="shared" si="15"/>
        <v>107.99999999999994</v>
      </c>
      <c r="W37" s="14">
        <f>T37</f>
        <v>0.52013888888888882</v>
      </c>
      <c r="X37" s="14">
        <f>S38</f>
        <v>0.56111111111111101</v>
      </c>
      <c r="Y37" s="528"/>
      <c r="Z37" s="528"/>
      <c r="AA37" s="11">
        <f t="shared" ref="AA37:AA73" si="22">M37-J37</f>
        <v>-177.77777777777646</v>
      </c>
      <c r="AB37" s="333">
        <f t="shared" ref="AB37:AB73" si="23">M37/J37</f>
        <v>0.92592592592592649</v>
      </c>
      <c r="AC37" s="533"/>
    </row>
    <row r="38" spans="1:29">
      <c r="A38" s="551" t="s">
        <v>1179</v>
      </c>
      <c r="B38" s="26" t="s">
        <v>24</v>
      </c>
      <c r="C38" s="529" t="s">
        <v>1079</v>
      </c>
      <c r="D38" s="529"/>
      <c r="E38" s="26">
        <v>24.82</v>
      </c>
      <c r="F38" s="339">
        <v>2449</v>
      </c>
      <c r="G38" s="332">
        <f t="shared" si="13"/>
        <v>60784.18</v>
      </c>
      <c r="H38" s="340" t="s">
        <v>52</v>
      </c>
      <c r="I38" s="337">
        <v>17</v>
      </c>
      <c r="J38" s="18">
        <v>2400</v>
      </c>
      <c r="K38" s="9">
        <f t="shared" si="17"/>
        <v>141.1764705882353</v>
      </c>
      <c r="L38" s="337">
        <v>17</v>
      </c>
      <c r="M38" s="10">
        <f t="shared" si="14"/>
        <v>2226.3636363636388</v>
      </c>
      <c r="N38" s="9">
        <f t="shared" si="18"/>
        <v>130.96256684491993</v>
      </c>
      <c r="O38" s="11">
        <f t="shared" si="19"/>
        <v>0</v>
      </c>
      <c r="P38" s="12">
        <f t="shared" si="20"/>
        <v>-10.21390374331537</v>
      </c>
      <c r="Q38" s="333">
        <f t="shared" si="21"/>
        <v>0.92765151515151612</v>
      </c>
      <c r="R38" s="533"/>
      <c r="S38" s="24">
        <v>0.56111111111111101</v>
      </c>
      <c r="T38" s="24">
        <v>0.60694444444444429</v>
      </c>
      <c r="U38" s="332">
        <f t="shared" si="16"/>
        <v>58.99999999999995</v>
      </c>
      <c r="V38" s="338">
        <f t="shared" si="15"/>
        <v>65.999999999999929</v>
      </c>
      <c r="W38" s="14"/>
      <c r="X38" s="14"/>
      <c r="Y38" s="536"/>
      <c r="Z38" s="537"/>
      <c r="AA38" s="11">
        <f t="shared" si="22"/>
        <v>-173.63636363636124</v>
      </c>
      <c r="AB38" s="333">
        <f t="shared" si="23"/>
        <v>0.92765151515151612</v>
      </c>
      <c r="AC38" s="533"/>
    </row>
    <row r="39" spans="1:29">
      <c r="A39" s="551" t="s">
        <v>1179</v>
      </c>
      <c r="B39" s="26" t="s">
        <v>24</v>
      </c>
      <c r="C39" s="529" t="s">
        <v>28</v>
      </c>
      <c r="D39" s="529"/>
      <c r="E39" s="26">
        <v>26.2</v>
      </c>
      <c r="F39" s="339">
        <v>2384</v>
      </c>
      <c r="G39" s="332">
        <f t="shared" si="13"/>
        <v>62460.799999999996</v>
      </c>
      <c r="H39" s="340" t="s">
        <v>52</v>
      </c>
      <c r="I39" s="337">
        <v>18</v>
      </c>
      <c r="J39" s="18">
        <v>2400</v>
      </c>
      <c r="K39" s="9">
        <f t="shared" si="17"/>
        <v>133.33333333333334</v>
      </c>
      <c r="L39" s="337">
        <v>18</v>
      </c>
      <c r="M39" s="10">
        <f t="shared" si="14"/>
        <v>2235.0000000000027</v>
      </c>
      <c r="N39" s="9">
        <f t="shared" si="18"/>
        <v>124.16666666666681</v>
      </c>
      <c r="O39" s="11">
        <f t="shared" si="19"/>
        <v>0</v>
      </c>
      <c r="P39" s="12">
        <f t="shared" si="20"/>
        <v>-9.1666666666665293</v>
      </c>
      <c r="Q39" s="333">
        <f t="shared" si="21"/>
        <v>0.93125000000000102</v>
      </c>
      <c r="R39" s="533"/>
      <c r="S39" s="24">
        <v>0.61111111111111094</v>
      </c>
      <c r="T39" s="24">
        <v>0.65555555555555534</v>
      </c>
      <c r="U39" s="332">
        <f t="shared" si="16"/>
        <v>5.9999999999999787</v>
      </c>
      <c r="V39" s="338">
        <f t="shared" si="15"/>
        <v>63.999999999999929</v>
      </c>
      <c r="W39" s="14"/>
      <c r="X39" s="14"/>
      <c r="Y39" s="536"/>
      <c r="Z39" s="537"/>
      <c r="AA39" s="11">
        <f t="shared" si="22"/>
        <v>-164.99999999999727</v>
      </c>
      <c r="AB39" s="333">
        <f t="shared" si="23"/>
        <v>0.93125000000000113</v>
      </c>
      <c r="AC39" s="533"/>
    </row>
    <row r="40" spans="1:29">
      <c r="A40" s="551" t="s">
        <v>1179</v>
      </c>
      <c r="B40" s="26" t="s">
        <v>24</v>
      </c>
      <c r="C40" s="529" t="s">
        <v>29</v>
      </c>
      <c r="D40" s="529"/>
      <c r="E40" s="26">
        <v>26.39</v>
      </c>
      <c r="F40" s="339">
        <v>2079</v>
      </c>
      <c r="G40" s="332">
        <f t="shared" si="13"/>
        <v>54864.81</v>
      </c>
      <c r="H40" s="340" t="s">
        <v>52</v>
      </c>
      <c r="I40" s="337">
        <v>19</v>
      </c>
      <c r="J40" s="18">
        <v>2400</v>
      </c>
      <c r="K40" s="9">
        <f t="shared" si="17"/>
        <v>126.31578947368421</v>
      </c>
      <c r="L40" s="337">
        <v>19</v>
      </c>
      <c r="M40" s="10">
        <f t="shared" si="14"/>
        <v>2227.5000000000018</v>
      </c>
      <c r="N40" s="9">
        <f t="shared" si="18"/>
        <v>117.23684210526325</v>
      </c>
      <c r="O40" s="11">
        <f t="shared" si="19"/>
        <v>0</v>
      </c>
      <c r="P40" s="12">
        <f t="shared" si="20"/>
        <v>-9.0789473684209554</v>
      </c>
      <c r="Q40" s="333">
        <f t="shared" si="21"/>
        <v>0.92812500000000075</v>
      </c>
      <c r="R40" s="533"/>
      <c r="S40" s="24">
        <v>0.66041666666666643</v>
      </c>
      <c r="T40" s="24">
        <v>0.69930555555555529</v>
      </c>
      <c r="U40" s="332">
        <f t="shared" si="16"/>
        <v>6.9999999999999751</v>
      </c>
      <c r="V40" s="338">
        <f t="shared" si="15"/>
        <v>55.999999999999957</v>
      </c>
      <c r="W40" s="14"/>
      <c r="X40" s="14"/>
      <c r="Y40" s="536"/>
      <c r="Z40" s="537"/>
      <c r="AA40" s="11">
        <f t="shared" si="22"/>
        <v>-172.49999999999818</v>
      </c>
      <c r="AB40" s="333">
        <f t="shared" si="23"/>
        <v>0.92812500000000075</v>
      </c>
      <c r="AC40" s="533"/>
    </row>
    <row r="41" spans="1:29">
      <c r="A41" s="551" t="s">
        <v>480</v>
      </c>
      <c r="B41" s="16" t="s">
        <v>82</v>
      </c>
      <c r="C41" s="530"/>
      <c r="D41" s="530"/>
      <c r="E41" s="331"/>
      <c r="F41" s="16"/>
      <c r="G41" s="9"/>
      <c r="H41" s="339"/>
      <c r="I41" s="17">
        <v>18.333333333333332</v>
      </c>
      <c r="J41" s="18">
        <v>2400</v>
      </c>
      <c r="K41" s="9">
        <f t="shared" si="17"/>
        <v>130.90909090909091</v>
      </c>
      <c r="L41" s="17">
        <v>18.333333333333332</v>
      </c>
      <c r="M41" s="10">
        <f>AVERAGE(M32:M40)</f>
        <v>2228.6816008445603</v>
      </c>
      <c r="N41" s="9">
        <f t="shared" si="18"/>
        <v>121.56445095515784</v>
      </c>
      <c r="O41" s="11">
        <f t="shared" si="19"/>
        <v>0</v>
      </c>
      <c r="P41" s="12">
        <f t="shared" si="20"/>
        <v>-9.3446399539330685</v>
      </c>
      <c r="Q41" s="333">
        <f t="shared" si="21"/>
        <v>0.92861733368523347</v>
      </c>
      <c r="R41" s="533"/>
      <c r="S41" s="24"/>
      <c r="T41" s="24"/>
      <c r="U41" s="9"/>
      <c r="V41" s="338"/>
      <c r="W41" s="9"/>
      <c r="X41" s="9"/>
      <c r="Y41" s="528"/>
      <c r="Z41" s="528"/>
      <c r="AA41" s="11">
        <f t="shared" si="22"/>
        <v>-171.31839915543969</v>
      </c>
      <c r="AB41" s="333">
        <f t="shared" si="23"/>
        <v>0.92861733368523347</v>
      </c>
      <c r="AC41" s="533"/>
    </row>
    <row r="42" spans="1:29" ht="15.75" customHeight="1">
      <c r="A42" s="544" t="s">
        <v>485</v>
      </c>
      <c r="B42" s="26" t="s">
        <v>32</v>
      </c>
      <c r="C42" s="534" t="s">
        <v>33</v>
      </c>
      <c r="D42" s="535"/>
      <c r="E42" s="26">
        <v>27.17</v>
      </c>
      <c r="F42" s="339">
        <v>2600</v>
      </c>
      <c r="G42" s="332">
        <f t="shared" ref="G42:G49" si="24">E42*F42</f>
        <v>70642</v>
      </c>
      <c r="H42" s="340">
        <v>2</v>
      </c>
      <c r="I42" s="337">
        <v>10</v>
      </c>
      <c r="J42" s="18">
        <v>3000</v>
      </c>
      <c r="K42" s="9">
        <f t="shared" si="17"/>
        <v>300</v>
      </c>
      <c r="L42" s="337">
        <v>10</v>
      </c>
      <c r="M42" s="10">
        <f t="shared" ref="M42:M49" si="25">F42/V42*60</f>
        <v>2785.7142857142858</v>
      </c>
      <c r="N42" s="10">
        <f t="shared" si="18"/>
        <v>278.57142857142856</v>
      </c>
      <c r="O42" s="11">
        <f t="shared" si="19"/>
        <v>0</v>
      </c>
      <c r="P42" s="12">
        <f t="shared" si="20"/>
        <v>-21.428571428571445</v>
      </c>
      <c r="Q42" s="333">
        <f t="shared" si="21"/>
        <v>0.92857142857142849</v>
      </c>
      <c r="R42" s="547">
        <f>Q50</f>
        <v>0.9314201738711877</v>
      </c>
      <c r="S42" s="24">
        <v>0.125</v>
      </c>
      <c r="T42" s="24">
        <v>0.16388888888888889</v>
      </c>
      <c r="U42" s="15"/>
      <c r="V42" s="338">
        <f t="shared" ref="V42:V49" si="26">(T42-S42)*24*60</f>
        <v>56</v>
      </c>
      <c r="W42" s="332"/>
      <c r="X42" s="332"/>
      <c r="Y42" s="536"/>
      <c r="Z42" s="537"/>
      <c r="AA42" s="11">
        <f t="shared" si="22"/>
        <v>-214.28571428571422</v>
      </c>
      <c r="AB42" s="333">
        <f t="shared" si="23"/>
        <v>0.9285714285714286</v>
      </c>
      <c r="AC42" s="547">
        <f>AB50</f>
        <v>0.9314201738711877</v>
      </c>
    </row>
    <row r="43" spans="1:29" ht="15.75" customHeight="1">
      <c r="A43" s="545" t="s">
        <v>1178</v>
      </c>
      <c r="B43" s="26" t="s">
        <v>32</v>
      </c>
      <c r="C43" s="534" t="s">
        <v>34</v>
      </c>
      <c r="D43" s="535"/>
      <c r="E43" s="26">
        <v>21.13</v>
      </c>
      <c r="F43" s="339">
        <v>4617</v>
      </c>
      <c r="G43" s="332">
        <f t="shared" si="24"/>
        <v>97557.209999999992</v>
      </c>
      <c r="H43" s="340" t="s">
        <v>52</v>
      </c>
      <c r="I43" s="337">
        <v>10</v>
      </c>
      <c r="J43" s="18">
        <v>3000</v>
      </c>
      <c r="K43" s="9">
        <f t="shared" si="17"/>
        <v>300</v>
      </c>
      <c r="L43" s="337">
        <v>10</v>
      </c>
      <c r="M43" s="10">
        <f t="shared" si="25"/>
        <v>2798.1818181818189</v>
      </c>
      <c r="N43" s="10">
        <f t="shared" si="18"/>
        <v>279.81818181818187</v>
      </c>
      <c r="O43" s="11">
        <f t="shared" si="19"/>
        <v>0</v>
      </c>
      <c r="P43" s="12">
        <f t="shared" si="20"/>
        <v>-20.18181818181813</v>
      </c>
      <c r="Q43" s="333">
        <f t="shared" si="21"/>
        <v>0.93272727272727285</v>
      </c>
      <c r="R43" s="548"/>
      <c r="S43" s="24">
        <v>0.16944444444444445</v>
      </c>
      <c r="T43" s="24">
        <v>0.23819444444444443</v>
      </c>
      <c r="U43" s="332">
        <f t="shared" ref="U43:U49" si="27">(S43-T42)*24*60</f>
        <v>8.0000000000000107</v>
      </c>
      <c r="V43" s="338">
        <f t="shared" si="26"/>
        <v>98.999999999999972</v>
      </c>
      <c r="W43" s="14"/>
      <c r="X43" s="14"/>
      <c r="Y43" s="536"/>
      <c r="Z43" s="537"/>
      <c r="AA43" s="11">
        <f t="shared" si="22"/>
        <v>-201.81818181818107</v>
      </c>
      <c r="AB43" s="333">
        <f t="shared" si="23"/>
        <v>0.93272727272727296</v>
      </c>
      <c r="AC43" s="548"/>
    </row>
    <row r="44" spans="1:29" ht="15.75" customHeight="1">
      <c r="A44" s="545" t="s">
        <v>485</v>
      </c>
      <c r="B44" s="26" t="s">
        <v>32</v>
      </c>
      <c r="C44" s="534" t="s">
        <v>40</v>
      </c>
      <c r="D44" s="535"/>
      <c r="E44" s="26">
        <v>35.119999999999997</v>
      </c>
      <c r="F44" s="339">
        <v>4352</v>
      </c>
      <c r="G44" s="332">
        <f t="shared" si="24"/>
        <v>152842.23999999999</v>
      </c>
      <c r="H44" s="340" t="s">
        <v>52</v>
      </c>
      <c r="I44" s="337">
        <v>10</v>
      </c>
      <c r="J44" s="18">
        <v>3000</v>
      </c>
      <c r="K44" s="9">
        <f t="shared" si="17"/>
        <v>300</v>
      </c>
      <c r="L44" s="337">
        <v>10</v>
      </c>
      <c r="M44" s="10">
        <f t="shared" si="25"/>
        <v>2777.8723404255325</v>
      </c>
      <c r="N44" s="10">
        <f t="shared" si="18"/>
        <v>277.78723404255322</v>
      </c>
      <c r="O44" s="11">
        <f t="shared" si="19"/>
        <v>0</v>
      </c>
      <c r="P44" s="12">
        <f t="shared" si="20"/>
        <v>-22.212765957446777</v>
      </c>
      <c r="Q44" s="333">
        <f t="shared" si="21"/>
        <v>0.92595744680851078</v>
      </c>
      <c r="R44" s="548"/>
      <c r="S44" s="24">
        <v>0.24166666666666664</v>
      </c>
      <c r="T44" s="24">
        <v>0.30694444444444441</v>
      </c>
      <c r="U44" s="332">
        <f t="shared" si="27"/>
        <v>4.9999999999999822</v>
      </c>
      <c r="V44" s="338">
        <f t="shared" si="26"/>
        <v>93.999999999999986</v>
      </c>
      <c r="W44" s="14"/>
      <c r="X44" s="14"/>
      <c r="Y44" s="536"/>
      <c r="Z44" s="537"/>
      <c r="AA44" s="11">
        <f t="shared" si="22"/>
        <v>-222.12765957446754</v>
      </c>
      <c r="AB44" s="333">
        <f t="shared" si="23"/>
        <v>0.92595744680851078</v>
      </c>
      <c r="AC44" s="548"/>
    </row>
    <row r="45" spans="1:29" ht="15.75" customHeight="1">
      <c r="A45" s="545" t="s">
        <v>485</v>
      </c>
      <c r="B45" s="26" t="s">
        <v>32</v>
      </c>
      <c r="C45" s="534" t="s">
        <v>61</v>
      </c>
      <c r="D45" s="535"/>
      <c r="E45" s="26">
        <v>40.18</v>
      </c>
      <c r="F45" s="339">
        <v>1760</v>
      </c>
      <c r="G45" s="332">
        <f t="shared" si="24"/>
        <v>70716.800000000003</v>
      </c>
      <c r="H45" s="340" t="s">
        <v>52</v>
      </c>
      <c r="I45" s="337">
        <v>10</v>
      </c>
      <c r="J45" s="18">
        <v>3000</v>
      </c>
      <c r="K45" s="9">
        <f t="shared" si="17"/>
        <v>300</v>
      </c>
      <c r="L45" s="337">
        <v>10</v>
      </c>
      <c r="M45" s="10">
        <f t="shared" si="25"/>
        <v>2778.9473684210507</v>
      </c>
      <c r="N45" s="10">
        <f t="shared" si="18"/>
        <v>277.89473684210509</v>
      </c>
      <c r="O45" s="11">
        <f t="shared" si="19"/>
        <v>0</v>
      </c>
      <c r="P45" s="12">
        <f t="shared" si="20"/>
        <v>-22.10526315789491</v>
      </c>
      <c r="Q45" s="333">
        <f t="shared" si="21"/>
        <v>0.92631578947368365</v>
      </c>
      <c r="R45" s="548"/>
      <c r="S45" s="24">
        <v>0.31041666666666662</v>
      </c>
      <c r="T45" s="24">
        <v>0.33680555555555552</v>
      </c>
      <c r="U45" s="332">
        <f t="shared" si="27"/>
        <v>4.9999999999999822</v>
      </c>
      <c r="V45" s="338">
        <f t="shared" si="26"/>
        <v>38.000000000000028</v>
      </c>
      <c r="W45" s="14"/>
      <c r="X45" s="14"/>
      <c r="Y45" s="536"/>
      <c r="Z45" s="537"/>
      <c r="AA45" s="11">
        <f t="shared" si="22"/>
        <v>-221.05263157894933</v>
      </c>
      <c r="AB45" s="333">
        <f t="shared" si="23"/>
        <v>0.92631578947368354</v>
      </c>
      <c r="AC45" s="548"/>
    </row>
    <row r="46" spans="1:29" ht="15.75" customHeight="1">
      <c r="A46" s="545" t="s">
        <v>485</v>
      </c>
      <c r="B46" s="26" t="s">
        <v>32</v>
      </c>
      <c r="C46" s="534" t="s">
        <v>64</v>
      </c>
      <c r="D46" s="535"/>
      <c r="E46" s="26">
        <v>28.5</v>
      </c>
      <c r="F46" s="339">
        <v>1087</v>
      </c>
      <c r="G46" s="332">
        <f t="shared" si="24"/>
        <v>30979.5</v>
      </c>
      <c r="H46" s="340" t="s">
        <v>52</v>
      </c>
      <c r="I46" s="337">
        <v>10</v>
      </c>
      <c r="J46" s="18">
        <v>3000</v>
      </c>
      <c r="K46" s="9">
        <f t="shared" si="17"/>
        <v>300</v>
      </c>
      <c r="L46" s="337">
        <v>10</v>
      </c>
      <c r="M46" s="10">
        <f t="shared" si="25"/>
        <v>2835.6521739130435</v>
      </c>
      <c r="N46" s="10">
        <f t="shared" si="18"/>
        <v>283.56521739130437</v>
      </c>
      <c r="O46" s="11">
        <f t="shared" si="19"/>
        <v>0</v>
      </c>
      <c r="P46" s="12">
        <f t="shared" si="20"/>
        <v>-16.434782608695627</v>
      </c>
      <c r="Q46" s="333">
        <f t="shared" si="21"/>
        <v>0.9452173913043479</v>
      </c>
      <c r="R46" s="548"/>
      <c r="S46" s="24">
        <v>0.34166666666666662</v>
      </c>
      <c r="T46" s="24">
        <v>0.35763888888888884</v>
      </c>
      <c r="U46" s="332">
        <f t="shared" si="27"/>
        <v>6.9999999999999751</v>
      </c>
      <c r="V46" s="338">
        <f t="shared" si="26"/>
        <v>23</v>
      </c>
      <c r="W46" s="14"/>
      <c r="X46" s="14"/>
      <c r="Y46" s="536"/>
      <c r="Z46" s="537"/>
      <c r="AA46" s="11">
        <f t="shared" si="22"/>
        <v>-164.3478260869565</v>
      </c>
      <c r="AB46" s="333">
        <f t="shared" si="23"/>
        <v>0.94521739130434779</v>
      </c>
      <c r="AC46" s="548"/>
    </row>
    <row r="47" spans="1:29" ht="15.75" customHeight="1">
      <c r="A47" s="545" t="s">
        <v>1176</v>
      </c>
      <c r="B47" s="26" t="s">
        <v>32</v>
      </c>
      <c r="C47" s="534" t="s">
        <v>78</v>
      </c>
      <c r="D47" s="535"/>
      <c r="E47" s="26">
        <v>35.869999999999997</v>
      </c>
      <c r="F47" s="339">
        <v>3197</v>
      </c>
      <c r="G47" s="332">
        <f t="shared" si="24"/>
        <v>114676.38999999998</v>
      </c>
      <c r="H47" s="340" t="s">
        <v>52</v>
      </c>
      <c r="I47" s="337">
        <v>10</v>
      </c>
      <c r="J47" s="18">
        <v>3000</v>
      </c>
      <c r="K47" s="9">
        <f t="shared" si="17"/>
        <v>300</v>
      </c>
      <c r="L47" s="337">
        <v>10</v>
      </c>
      <c r="M47" s="10">
        <f t="shared" si="25"/>
        <v>2780</v>
      </c>
      <c r="N47" s="10">
        <f t="shared" si="18"/>
        <v>278</v>
      </c>
      <c r="O47" s="11">
        <f t="shared" si="19"/>
        <v>0</v>
      </c>
      <c r="P47" s="12">
        <f t="shared" si="20"/>
        <v>-22</v>
      </c>
      <c r="Q47" s="333">
        <f t="shared" si="21"/>
        <v>0.92666666666666664</v>
      </c>
      <c r="R47" s="548"/>
      <c r="S47" s="24">
        <v>0.36111111111111105</v>
      </c>
      <c r="T47" s="24">
        <v>0.40902777777777771</v>
      </c>
      <c r="U47" s="332">
        <f t="shared" si="27"/>
        <v>4.9999999999999822</v>
      </c>
      <c r="V47" s="338">
        <f t="shared" si="26"/>
        <v>69</v>
      </c>
      <c r="W47" s="14"/>
      <c r="X47" s="14"/>
      <c r="Y47" s="536"/>
      <c r="Z47" s="537"/>
      <c r="AA47" s="11">
        <f t="shared" si="22"/>
        <v>-220</v>
      </c>
      <c r="AB47" s="333">
        <f t="shared" si="23"/>
        <v>0.92666666666666664</v>
      </c>
      <c r="AC47" s="548"/>
    </row>
    <row r="48" spans="1:29" ht="15.75" customHeight="1">
      <c r="A48" s="545" t="s">
        <v>485</v>
      </c>
      <c r="B48" s="26" t="s">
        <v>32</v>
      </c>
      <c r="C48" s="534" t="s">
        <v>1081</v>
      </c>
      <c r="D48" s="535"/>
      <c r="E48" s="26">
        <v>34.53</v>
      </c>
      <c r="F48" s="339">
        <v>5726</v>
      </c>
      <c r="G48" s="332">
        <f t="shared" si="24"/>
        <v>197718.78</v>
      </c>
      <c r="H48" s="340" t="s">
        <v>52</v>
      </c>
      <c r="I48" s="337">
        <v>10</v>
      </c>
      <c r="J48" s="18">
        <v>3000</v>
      </c>
      <c r="K48" s="9">
        <f t="shared" si="17"/>
        <v>300</v>
      </c>
      <c r="L48" s="337">
        <v>10</v>
      </c>
      <c r="M48" s="10">
        <f t="shared" si="25"/>
        <v>2793.1707317073178</v>
      </c>
      <c r="N48" s="10">
        <f t="shared" si="18"/>
        <v>279.31707317073176</v>
      </c>
      <c r="O48" s="11">
        <f t="shared" si="19"/>
        <v>0</v>
      </c>
      <c r="P48" s="12">
        <f t="shared" si="20"/>
        <v>-20.68292682926824</v>
      </c>
      <c r="Q48" s="333">
        <f t="shared" si="21"/>
        <v>0.93105691056910589</v>
      </c>
      <c r="R48" s="548"/>
      <c r="S48" s="24">
        <v>0.41249999999999992</v>
      </c>
      <c r="T48" s="24">
        <v>0.49791666666666656</v>
      </c>
      <c r="U48" s="332">
        <f t="shared" si="27"/>
        <v>4.9999999999999822</v>
      </c>
      <c r="V48" s="338">
        <f t="shared" si="26"/>
        <v>122.99999999999996</v>
      </c>
      <c r="W48" s="14">
        <f>T48</f>
        <v>0.49791666666666656</v>
      </c>
      <c r="X48" s="14">
        <f>S49</f>
        <v>0.54027777777777763</v>
      </c>
      <c r="Y48" s="536"/>
      <c r="Z48" s="537"/>
      <c r="AA48" s="11">
        <f t="shared" si="22"/>
        <v>-206.82926829268217</v>
      </c>
      <c r="AB48" s="333">
        <f t="shared" si="23"/>
        <v>0.93105691056910589</v>
      </c>
      <c r="AC48" s="548"/>
    </row>
    <row r="49" spans="1:29" ht="15.75" customHeight="1">
      <c r="A49" s="545" t="s">
        <v>1177</v>
      </c>
      <c r="B49" s="26" t="s">
        <v>32</v>
      </c>
      <c r="C49" s="534" t="s">
        <v>33</v>
      </c>
      <c r="D49" s="535"/>
      <c r="E49" s="26">
        <v>27.17</v>
      </c>
      <c r="F49" s="339">
        <v>3085</v>
      </c>
      <c r="G49" s="332">
        <f t="shared" si="24"/>
        <v>83819.450000000012</v>
      </c>
      <c r="H49" s="340" t="s">
        <v>52</v>
      </c>
      <c r="I49" s="337">
        <v>10</v>
      </c>
      <c r="J49" s="18">
        <v>3000</v>
      </c>
      <c r="K49" s="9">
        <f t="shared" si="17"/>
        <v>300</v>
      </c>
      <c r="L49" s="337">
        <v>10</v>
      </c>
      <c r="M49" s="10">
        <f t="shared" si="25"/>
        <v>2804.5454545454513</v>
      </c>
      <c r="N49" s="10">
        <f t="shared" si="18"/>
        <v>280.45454545454515</v>
      </c>
      <c r="O49" s="11">
        <f t="shared" si="19"/>
        <v>0</v>
      </c>
      <c r="P49" s="12">
        <f t="shared" si="20"/>
        <v>-19.545454545454845</v>
      </c>
      <c r="Q49" s="333">
        <f t="shared" si="21"/>
        <v>0.93484848484848382</v>
      </c>
      <c r="R49" s="548"/>
      <c r="S49" s="24">
        <v>0.54027777777777763</v>
      </c>
      <c r="T49" s="24">
        <v>0.58611111111111103</v>
      </c>
      <c r="U49" s="332">
        <f t="shared" si="27"/>
        <v>60.999999999999943</v>
      </c>
      <c r="V49" s="338">
        <f t="shared" si="26"/>
        <v>66.000000000000085</v>
      </c>
      <c r="W49" s="14"/>
      <c r="X49" s="14"/>
      <c r="Y49" s="536"/>
      <c r="Z49" s="537"/>
      <c r="AA49" s="11">
        <f t="shared" si="22"/>
        <v>-195.45454545454868</v>
      </c>
      <c r="AB49" s="333">
        <f t="shared" si="23"/>
        <v>0.93484848484848382</v>
      </c>
      <c r="AC49" s="548"/>
    </row>
    <row r="50" spans="1:29" ht="15.75" customHeight="1">
      <c r="A50" s="546" t="s">
        <v>1176</v>
      </c>
      <c r="B50" s="26" t="s">
        <v>82</v>
      </c>
      <c r="C50" s="540"/>
      <c r="D50" s="541"/>
      <c r="E50" s="336"/>
      <c r="F50" s="339"/>
      <c r="G50" s="332"/>
      <c r="H50" s="339"/>
      <c r="I50" s="17">
        <v>10</v>
      </c>
      <c r="J50" s="18">
        <v>3000</v>
      </c>
      <c r="K50" s="9">
        <f t="shared" si="17"/>
        <v>300</v>
      </c>
      <c r="L50" s="17">
        <v>10</v>
      </c>
      <c r="M50" s="10">
        <f>AVERAGE(M42:M49)</f>
        <v>2794.260521613563</v>
      </c>
      <c r="N50" s="9">
        <f t="shared" si="18"/>
        <v>279.42605216135632</v>
      </c>
      <c r="O50" s="11">
        <f t="shared" si="19"/>
        <v>0</v>
      </c>
      <c r="P50" s="12">
        <f t="shared" si="20"/>
        <v>-20.573947838643676</v>
      </c>
      <c r="Q50" s="333">
        <f t="shared" si="21"/>
        <v>0.9314201738711877</v>
      </c>
      <c r="R50" s="549"/>
      <c r="S50" s="24"/>
      <c r="T50" s="24"/>
      <c r="U50" s="332"/>
      <c r="V50" s="338"/>
      <c r="W50" s="14"/>
      <c r="X50" s="14"/>
      <c r="Y50" s="536"/>
      <c r="Z50" s="537"/>
      <c r="AA50" s="11">
        <f t="shared" si="22"/>
        <v>-205.73947838643699</v>
      </c>
      <c r="AB50" s="333">
        <f t="shared" si="23"/>
        <v>0.9314201738711877</v>
      </c>
      <c r="AC50" s="549"/>
    </row>
    <row r="51" spans="1:29" ht="15.75" customHeight="1">
      <c r="A51" s="542" t="s">
        <v>489</v>
      </c>
      <c r="B51" s="26" t="s">
        <v>15</v>
      </c>
      <c r="C51" s="529" t="s">
        <v>20</v>
      </c>
      <c r="D51" s="529"/>
      <c r="E51" s="26">
        <v>46</v>
      </c>
      <c r="F51" s="27">
        <v>3064</v>
      </c>
      <c r="G51" s="332">
        <f>E51*F51</f>
        <v>140944</v>
      </c>
      <c r="H51" s="340" t="s">
        <v>52</v>
      </c>
      <c r="I51" s="337">
        <v>17</v>
      </c>
      <c r="J51" s="18">
        <v>2000</v>
      </c>
      <c r="K51" s="9">
        <f t="shared" si="17"/>
        <v>117.64705882352941</v>
      </c>
      <c r="L51" s="337">
        <v>17</v>
      </c>
      <c r="M51" s="10">
        <f>F51/V51*60</f>
        <v>1856.9696969696975</v>
      </c>
      <c r="N51" s="10">
        <f t="shared" si="18"/>
        <v>109.23351158645279</v>
      </c>
      <c r="O51" s="11">
        <f t="shared" si="19"/>
        <v>0</v>
      </c>
      <c r="P51" s="12">
        <f t="shared" si="20"/>
        <v>-8.4135472370766138</v>
      </c>
      <c r="Q51" s="333">
        <f t="shared" si="21"/>
        <v>0.9284848484848488</v>
      </c>
      <c r="R51" s="533">
        <f>Q56</f>
        <v>0.93178391569093888</v>
      </c>
      <c r="S51" s="24">
        <v>0.29166666666666669</v>
      </c>
      <c r="T51" s="24">
        <v>0.36041666666666666</v>
      </c>
      <c r="U51" s="15"/>
      <c r="V51" s="338">
        <f>(T51-S51)*24*60</f>
        <v>98.999999999999972</v>
      </c>
      <c r="W51" s="15"/>
      <c r="X51" s="15"/>
      <c r="Y51" s="528"/>
      <c r="Z51" s="528"/>
      <c r="AA51" s="11">
        <f t="shared" si="22"/>
        <v>-143.03030303030255</v>
      </c>
      <c r="AB51" s="333">
        <f t="shared" si="23"/>
        <v>0.92848484848484869</v>
      </c>
      <c r="AC51" s="533">
        <f>AB56</f>
        <v>0.93178391569093888</v>
      </c>
    </row>
    <row r="52" spans="1:29" ht="15.75" customHeight="1">
      <c r="A52" s="542" t="s">
        <v>489</v>
      </c>
      <c r="B52" s="26" t="s">
        <v>15</v>
      </c>
      <c r="C52" s="529" t="s">
        <v>65</v>
      </c>
      <c r="D52" s="529"/>
      <c r="E52" s="26">
        <v>46</v>
      </c>
      <c r="F52" s="27">
        <v>3296</v>
      </c>
      <c r="G52" s="332">
        <f>E52*F52</f>
        <v>151616</v>
      </c>
      <c r="H52" s="340" t="s">
        <v>52</v>
      </c>
      <c r="I52" s="337">
        <v>18</v>
      </c>
      <c r="J52" s="18">
        <v>2000</v>
      </c>
      <c r="K52" s="9">
        <f t="shared" si="17"/>
        <v>111.11111111111111</v>
      </c>
      <c r="L52" s="337">
        <v>18</v>
      </c>
      <c r="M52" s="10">
        <f>F52/V52*60</f>
        <v>1865.6603773584902</v>
      </c>
      <c r="N52" s="10">
        <f t="shared" si="18"/>
        <v>103.64779874213835</v>
      </c>
      <c r="O52" s="11">
        <f t="shared" si="19"/>
        <v>0</v>
      </c>
      <c r="P52" s="12">
        <f t="shared" si="20"/>
        <v>-7.4633123689727654</v>
      </c>
      <c r="Q52" s="333">
        <f t="shared" si="21"/>
        <v>0.93283018867924516</v>
      </c>
      <c r="R52" s="533"/>
      <c r="S52" s="24">
        <v>0.36527777777777776</v>
      </c>
      <c r="T52" s="24">
        <v>0.43888888888888888</v>
      </c>
      <c r="U52" s="332">
        <f>IF(S52=TIME(17,0,0),"",(S52-T51)*24*60)</f>
        <v>6.9999999999999751</v>
      </c>
      <c r="V52" s="338">
        <f>(T52-S52)*24*60</f>
        <v>106.00000000000003</v>
      </c>
      <c r="W52" s="14"/>
      <c r="X52" s="14"/>
      <c r="Y52" s="528"/>
      <c r="Z52" s="528"/>
      <c r="AA52" s="11">
        <f t="shared" si="22"/>
        <v>-134.33962264150978</v>
      </c>
      <c r="AB52" s="333">
        <f t="shared" si="23"/>
        <v>0.93283018867924516</v>
      </c>
      <c r="AC52" s="533"/>
    </row>
    <row r="53" spans="1:29" ht="15.75" customHeight="1">
      <c r="A53" s="542" t="s">
        <v>489</v>
      </c>
      <c r="B53" s="26" t="s">
        <v>13</v>
      </c>
      <c r="C53" s="534" t="s">
        <v>59</v>
      </c>
      <c r="D53" s="535"/>
      <c r="E53" s="26">
        <v>55.56</v>
      </c>
      <c r="F53" s="27">
        <v>1859</v>
      </c>
      <c r="G53" s="332">
        <f>E53*F53</f>
        <v>103286.04000000001</v>
      </c>
      <c r="H53" s="340" t="s">
        <v>52</v>
      </c>
      <c r="I53" s="337">
        <v>17</v>
      </c>
      <c r="J53" s="18">
        <v>2000</v>
      </c>
      <c r="K53" s="9">
        <f t="shared" si="17"/>
        <v>117.64705882352941</v>
      </c>
      <c r="L53" s="337">
        <v>17</v>
      </c>
      <c r="M53" s="10">
        <f>F53/V53*60</f>
        <v>1859.0000000000018</v>
      </c>
      <c r="N53" s="10">
        <f t="shared" si="18"/>
        <v>109.35294117647069</v>
      </c>
      <c r="O53" s="11">
        <f t="shared" si="19"/>
        <v>0</v>
      </c>
      <c r="P53" s="12">
        <f t="shared" si="20"/>
        <v>-8.2941176470587124</v>
      </c>
      <c r="Q53" s="333">
        <f t="shared" si="21"/>
        <v>0.92950000000000099</v>
      </c>
      <c r="R53" s="533"/>
      <c r="S53" s="24">
        <v>0.70833333333333337</v>
      </c>
      <c r="T53" s="24">
        <v>0.75</v>
      </c>
      <c r="U53" s="332" t="str">
        <f>IF(S53=TIME(17,0,0),"",(S53-T52)*24*60)</f>
        <v/>
      </c>
      <c r="V53" s="338">
        <f>(T53-S53)*24*60</f>
        <v>59.999999999999943</v>
      </c>
      <c r="W53" s="14"/>
      <c r="X53" s="14"/>
      <c r="Y53" s="329"/>
      <c r="Z53" s="330"/>
      <c r="AA53" s="11">
        <f t="shared" si="22"/>
        <v>-140.99999999999818</v>
      </c>
      <c r="AB53" s="333">
        <f t="shared" si="23"/>
        <v>0.92950000000000088</v>
      </c>
      <c r="AC53" s="533"/>
    </row>
    <row r="54" spans="1:29" ht="15.75" customHeight="1">
      <c r="A54" s="542" t="s">
        <v>1175</v>
      </c>
      <c r="B54" s="26" t="s">
        <v>13</v>
      </c>
      <c r="C54" s="334" t="s">
        <v>58</v>
      </c>
      <c r="D54" s="335"/>
      <c r="E54" s="26">
        <v>55.32</v>
      </c>
      <c r="F54" s="27">
        <v>1343</v>
      </c>
      <c r="G54" s="332">
        <f>E54*F54</f>
        <v>74294.759999999995</v>
      </c>
      <c r="H54" s="340" t="s">
        <v>52</v>
      </c>
      <c r="I54" s="337">
        <v>15</v>
      </c>
      <c r="J54" s="18">
        <v>2000</v>
      </c>
      <c r="K54" s="9">
        <f t="shared" si="17"/>
        <v>133.33333333333334</v>
      </c>
      <c r="L54" s="337">
        <v>15</v>
      </c>
      <c r="M54" s="10">
        <f>F54/V54*60</f>
        <v>1873.9534883720926</v>
      </c>
      <c r="N54" s="10">
        <f t="shared" si="18"/>
        <v>124.93023255813951</v>
      </c>
      <c r="O54" s="11">
        <f t="shared" si="19"/>
        <v>0</v>
      </c>
      <c r="P54" s="12">
        <f t="shared" si="20"/>
        <v>-8.4031007751938347</v>
      </c>
      <c r="Q54" s="333">
        <f t="shared" si="21"/>
        <v>0.93697674418604626</v>
      </c>
      <c r="R54" s="533"/>
      <c r="S54" s="24">
        <v>0.75416666666666665</v>
      </c>
      <c r="T54" s="24">
        <v>0.78402777777777777</v>
      </c>
      <c r="U54" s="332">
        <f>IF(S54=TIME(17,0,0),"",(S54-T53)*24*60)</f>
        <v>5.9999999999999787</v>
      </c>
      <c r="V54" s="338">
        <f>(T54-S54)*24*60</f>
        <v>43.000000000000007</v>
      </c>
      <c r="W54" s="14"/>
      <c r="X54" s="14"/>
      <c r="Y54" s="329"/>
      <c r="Z54" s="330"/>
      <c r="AA54" s="11">
        <f t="shared" si="22"/>
        <v>-126.04651162790742</v>
      </c>
      <c r="AB54" s="333">
        <f t="shared" si="23"/>
        <v>0.93697674418604626</v>
      </c>
      <c r="AC54" s="533"/>
    </row>
    <row r="55" spans="1:29" ht="15.75" customHeight="1">
      <c r="A55" s="542" t="s">
        <v>1175</v>
      </c>
      <c r="B55" s="26" t="s">
        <v>13</v>
      </c>
      <c r="C55" s="334" t="s">
        <v>60</v>
      </c>
      <c r="D55" s="335"/>
      <c r="E55" s="26">
        <v>57.73</v>
      </c>
      <c r="F55" s="27">
        <v>1280</v>
      </c>
      <c r="G55" s="332">
        <f>E55*F55</f>
        <v>73894.399999999994</v>
      </c>
      <c r="H55" s="340" t="s">
        <v>52</v>
      </c>
      <c r="I55" s="337">
        <v>16</v>
      </c>
      <c r="J55" s="18">
        <v>1500</v>
      </c>
      <c r="K55" s="9">
        <f t="shared" si="17"/>
        <v>93.75</v>
      </c>
      <c r="L55" s="337">
        <v>16</v>
      </c>
      <c r="M55" s="10">
        <f>F55/V55*60</f>
        <v>1396.3636363636372</v>
      </c>
      <c r="N55" s="10">
        <f t="shared" si="18"/>
        <v>87.272727272727323</v>
      </c>
      <c r="O55" s="11">
        <f t="shared" si="19"/>
        <v>0</v>
      </c>
      <c r="P55" s="12">
        <f t="shared" si="20"/>
        <v>-6.4772727272726769</v>
      </c>
      <c r="Q55" s="333">
        <f t="shared" si="21"/>
        <v>0.93090909090909146</v>
      </c>
      <c r="R55" s="533"/>
      <c r="S55" s="24">
        <v>0.78888888888888886</v>
      </c>
      <c r="T55" s="24">
        <v>0.82708333333333328</v>
      </c>
      <c r="U55" s="332">
        <f>IF(S55=TIME(17,0,0),"",(S55-T54)*24*60)</f>
        <v>6.9999999999999751</v>
      </c>
      <c r="V55" s="338">
        <f>(T55-S55)*24*60</f>
        <v>54.999999999999964</v>
      </c>
      <c r="W55" s="14"/>
      <c r="X55" s="14"/>
      <c r="Y55" s="329"/>
      <c r="Z55" s="330"/>
      <c r="AA55" s="11">
        <f t="shared" si="22"/>
        <v>-103.63636363636283</v>
      </c>
      <c r="AB55" s="333">
        <f t="shared" si="23"/>
        <v>0.93090909090909146</v>
      </c>
      <c r="AC55" s="533"/>
    </row>
    <row r="56" spans="1:29">
      <c r="A56" s="543" t="s">
        <v>1174</v>
      </c>
      <c r="B56" s="26" t="s">
        <v>1170</v>
      </c>
      <c r="C56" s="530"/>
      <c r="D56" s="530"/>
      <c r="E56" s="331"/>
      <c r="F56" s="16"/>
      <c r="G56" s="9"/>
      <c r="H56" s="339"/>
      <c r="I56" s="17">
        <v>16.600000000000001</v>
      </c>
      <c r="J56" s="18">
        <v>1900</v>
      </c>
      <c r="K56" s="9">
        <f t="shared" si="17"/>
        <v>114.4578313253012</v>
      </c>
      <c r="L56" s="17">
        <v>16.600000000000001</v>
      </c>
      <c r="M56" s="10">
        <f>AVERAGE(M51:M55)</f>
        <v>1770.3894398127838</v>
      </c>
      <c r="N56" s="9">
        <f t="shared" si="18"/>
        <v>106.64996625378215</v>
      </c>
      <c r="O56" s="11">
        <f t="shared" si="19"/>
        <v>0</v>
      </c>
      <c r="P56" s="12">
        <f t="shared" si="20"/>
        <v>-7.8078650715190463</v>
      </c>
      <c r="Q56" s="333">
        <f t="shared" si="21"/>
        <v>0.93178391569093888</v>
      </c>
      <c r="R56" s="533"/>
      <c r="S56" s="25"/>
      <c r="T56" s="24"/>
      <c r="U56" s="9"/>
      <c r="V56" s="338"/>
      <c r="W56" s="9"/>
      <c r="X56" s="9"/>
      <c r="Y56" s="528"/>
      <c r="Z56" s="528"/>
      <c r="AA56" s="11">
        <f t="shared" si="22"/>
        <v>-129.61056018721615</v>
      </c>
      <c r="AB56" s="333">
        <f t="shared" si="23"/>
        <v>0.93178391569093888</v>
      </c>
      <c r="AC56" s="533"/>
    </row>
    <row r="57" spans="1:29" ht="15.75" customHeight="1">
      <c r="A57" s="538" t="s">
        <v>1173</v>
      </c>
      <c r="B57" s="339" t="s">
        <v>1547</v>
      </c>
      <c r="C57" s="529" t="s">
        <v>1084</v>
      </c>
      <c r="D57" s="529"/>
      <c r="E57" s="26">
        <v>80.569999999999993</v>
      </c>
      <c r="F57" s="27">
        <v>5000</v>
      </c>
      <c r="G57" s="332">
        <f t="shared" ref="G57:G64" si="28">E57*F57</f>
        <v>402849.99999999994</v>
      </c>
      <c r="H57" s="340">
        <v>2</v>
      </c>
      <c r="I57" s="17">
        <v>17</v>
      </c>
      <c r="J57" s="18">
        <v>2400</v>
      </c>
      <c r="K57" s="9">
        <f t="shared" si="17"/>
        <v>141.1764705882353</v>
      </c>
      <c r="L57" s="17">
        <v>17</v>
      </c>
      <c r="M57" s="10">
        <f t="shared" ref="M57:M64" si="29">F57/V57*60</f>
        <v>2222.2222222222222</v>
      </c>
      <c r="N57" s="9">
        <f t="shared" si="18"/>
        <v>130.718954248366</v>
      </c>
      <c r="O57" s="11">
        <f t="shared" si="19"/>
        <v>0</v>
      </c>
      <c r="P57" s="12">
        <f t="shared" si="20"/>
        <v>-10.457516339869301</v>
      </c>
      <c r="Q57" s="333">
        <f t="shared" si="21"/>
        <v>0.92592592592592582</v>
      </c>
      <c r="R57" s="533">
        <f>Q65</f>
        <v>0.93477965150806752</v>
      </c>
      <c r="S57" s="24">
        <v>0.125</v>
      </c>
      <c r="T57" s="24">
        <v>0.21875</v>
      </c>
      <c r="U57" s="332"/>
      <c r="V57" s="338">
        <f t="shared" ref="V57:V64" si="30">(T57-S57)*24*60</f>
        <v>135</v>
      </c>
      <c r="W57" s="15"/>
      <c r="X57" s="15"/>
      <c r="Y57" s="528"/>
      <c r="Z57" s="528"/>
      <c r="AA57" s="11">
        <f t="shared" si="22"/>
        <v>-177.77777777777783</v>
      </c>
      <c r="AB57" s="333">
        <f t="shared" si="23"/>
        <v>0.92592592592592593</v>
      </c>
      <c r="AC57" s="533">
        <f>AB65</f>
        <v>0.93477965150806741</v>
      </c>
    </row>
    <row r="58" spans="1:29" ht="15.75" customHeight="1">
      <c r="A58" s="538" t="s">
        <v>1173</v>
      </c>
      <c r="B58" s="339" t="s">
        <v>32</v>
      </c>
      <c r="C58" s="529" t="s">
        <v>35</v>
      </c>
      <c r="D58" s="529"/>
      <c r="E58" s="26">
        <v>26.78</v>
      </c>
      <c r="F58" s="27">
        <v>2481</v>
      </c>
      <c r="G58" s="332">
        <f t="shared" si="28"/>
        <v>66441.180000000008</v>
      </c>
      <c r="H58" s="340" t="s">
        <v>52</v>
      </c>
      <c r="I58" s="17">
        <v>10</v>
      </c>
      <c r="J58" s="18">
        <v>3000</v>
      </c>
      <c r="K58" s="9">
        <f t="shared" si="17"/>
        <v>300</v>
      </c>
      <c r="L58" s="17">
        <v>10</v>
      </c>
      <c r="M58" s="10">
        <f t="shared" si="29"/>
        <v>2808.6792452830182</v>
      </c>
      <c r="N58" s="9">
        <f t="shared" si="18"/>
        <v>280.86792452830184</v>
      </c>
      <c r="O58" s="11">
        <f t="shared" si="19"/>
        <v>0</v>
      </c>
      <c r="P58" s="12">
        <f t="shared" si="20"/>
        <v>-19.132075471698158</v>
      </c>
      <c r="Q58" s="333">
        <f t="shared" si="21"/>
        <v>0.93622641509433946</v>
      </c>
      <c r="R58" s="533"/>
      <c r="S58" s="24">
        <v>0.22430555555555556</v>
      </c>
      <c r="T58" s="24">
        <v>0.26111111111111113</v>
      </c>
      <c r="U58" s="332">
        <f t="shared" ref="U58:U64" si="31">(S58-T57)*24*60</f>
        <v>8.0000000000000107</v>
      </c>
      <c r="V58" s="338">
        <f t="shared" si="30"/>
        <v>53.000000000000014</v>
      </c>
      <c r="W58" s="332"/>
      <c r="X58" s="332"/>
      <c r="Y58" s="528"/>
      <c r="Z58" s="528"/>
      <c r="AA58" s="11">
        <f t="shared" si="22"/>
        <v>-191.32075471698181</v>
      </c>
      <c r="AB58" s="333">
        <f t="shared" si="23"/>
        <v>0.93622641509433935</v>
      </c>
      <c r="AC58" s="533"/>
    </row>
    <row r="59" spans="1:29" ht="15.75" customHeight="1">
      <c r="A59" s="538" t="s">
        <v>1173</v>
      </c>
      <c r="B59" s="339" t="s">
        <v>32</v>
      </c>
      <c r="C59" s="529" t="s">
        <v>39</v>
      </c>
      <c r="D59" s="529"/>
      <c r="E59" s="26">
        <v>35.369999999999997</v>
      </c>
      <c r="F59" s="27">
        <v>1565</v>
      </c>
      <c r="G59" s="332">
        <f t="shared" si="28"/>
        <v>55354.049999999996</v>
      </c>
      <c r="H59" s="340" t="s">
        <v>52</v>
      </c>
      <c r="I59" s="17">
        <v>10</v>
      </c>
      <c r="J59" s="18">
        <v>3000</v>
      </c>
      <c r="K59" s="9">
        <f t="shared" si="17"/>
        <v>300</v>
      </c>
      <c r="L59" s="17">
        <v>10</v>
      </c>
      <c r="M59" s="10">
        <f t="shared" si="29"/>
        <v>2845.4545454545482</v>
      </c>
      <c r="N59" s="9">
        <f t="shared" si="18"/>
        <v>284.54545454545485</v>
      </c>
      <c r="O59" s="11">
        <f t="shared" si="19"/>
        <v>0</v>
      </c>
      <c r="P59" s="12">
        <f t="shared" si="20"/>
        <v>-15.454545454545155</v>
      </c>
      <c r="Q59" s="333">
        <f t="shared" si="21"/>
        <v>0.94848484848484949</v>
      </c>
      <c r="R59" s="533"/>
      <c r="S59" s="24">
        <v>0.26666666666666666</v>
      </c>
      <c r="T59" s="24">
        <v>0.2895833333333333</v>
      </c>
      <c r="U59" s="332">
        <f t="shared" si="31"/>
        <v>7.9999999999999716</v>
      </c>
      <c r="V59" s="338">
        <f t="shared" si="30"/>
        <v>32.999999999999964</v>
      </c>
      <c r="W59" s="332"/>
      <c r="X59" s="332"/>
      <c r="Y59" s="528"/>
      <c r="Z59" s="528"/>
      <c r="AA59" s="11">
        <f t="shared" si="22"/>
        <v>-154.54545454545178</v>
      </c>
      <c r="AB59" s="333">
        <f t="shared" si="23"/>
        <v>0.94848484848484937</v>
      </c>
      <c r="AC59" s="533"/>
    </row>
    <row r="60" spans="1:29" ht="15.75" customHeight="1">
      <c r="A60" s="538" t="s">
        <v>1171</v>
      </c>
      <c r="B60" s="339" t="s">
        <v>32</v>
      </c>
      <c r="C60" s="529" t="s">
        <v>38</v>
      </c>
      <c r="D60" s="529"/>
      <c r="E60" s="26">
        <v>34.35</v>
      </c>
      <c r="F60" s="27">
        <v>1499</v>
      </c>
      <c r="G60" s="332">
        <f t="shared" si="28"/>
        <v>51490.65</v>
      </c>
      <c r="H60" s="340" t="s">
        <v>52</v>
      </c>
      <c r="I60" s="17">
        <v>10</v>
      </c>
      <c r="J60" s="18">
        <v>3000</v>
      </c>
      <c r="K60" s="9">
        <f t="shared" si="17"/>
        <v>300</v>
      </c>
      <c r="L60" s="17">
        <v>10</v>
      </c>
      <c r="M60" s="10">
        <f t="shared" si="29"/>
        <v>2810.6250000000032</v>
      </c>
      <c r="N60" s="9">
        <f t="shared" si="18"/>
        <v>281.06250000000034</v>
      </c>
      <c r="O60" s="11">
        <f t="shared" si="19"/>
        <v>0</v>
      </c>
      <c r="P60" s="12">
        <f t="shared" si="20"/>
        <v>-18.937499999999659</v>
      </c>
      <c r="Q60" s="333">
        <f t="shared" si="21"/>
        <v>0.93687500000000112</v>
      </c>
      <c r="R60" s="533"/>
      <c r="S60" s="24">
        <v>0.2944444444444444</v>
      </c>
      <c r="T60" s="24">
        <v>0.3166666666666666</v>
      </c>
      <c r="U60" s="332">
        <f t="shared" si="31"/>
        <v>6.9999999999999751</v>
      </c>
      <c r="V60" s="338">
        <f t="shared" si="30"/>
        <v>31.999999999999964</v>
      </c>
      <c r="W60" s="332"/>
      <c r="X60" s="332"/>
      <c r="Y60" s="528"/>
      <c r="Z60" s="528"/>
      <c r="AA60" s="11">
        <f t="shared" si="22"/>
        <v>-189.37499999999682</v>
      </c>
      <c r="AB60" s="333">
        <f t="shared" si="23"/>
        <v>0.93687500000000101</v>
      </c>
      <c r="AC60" s="533"/>
    </row>
    <row r="61" spans="1:29">
      <c r="A61" s="539" t="s">
        <v>1173</v>
      </c>
      <c r="B61" s="339" t="s">
        <v>15</v>
      </c>
      <c r="C61" s="529" t="s">
        <v>36</v>
      </c>
      <c r="D61" s="529"/>
      <c r="E61" s="26">
        <v>26.97</v>
      </c>
      <c r="F61" s="27">
        <v>3265</v>
      </c>
      <c r="G61" s="332">
        <f t="shared" si="28"/>
        <v>88057.05</v>
      </c>
      <c r="H61" s="340" t="s">
        <v>52</v>
      </c>
      <c r="I61" s="17">
        <v>8</v>
      </c>
      <c r="J61" s="18">
        <v>1500</v>
      </c>
      <c r="K61" s="9">
        <f t="shared" si="17"/>
        <v>187.5</v>
      </c>
      <c r="L61" s="17">
        <v>8</v>
      </c>
      <c r="M61" s="10">
        <f t="shared" si="29"/>
        <v>1389.3617021276598</v>
      </c>
      <c r="N61" s="9">
        <f t="shared" si="18"/>
        <v>173.67021276595747</v>
      </c>
      <c r="O61" s="11">
        <f t="shared" si="19"/>
        <v>0</v>
      </c>
      <c r="P61" s="12">
        <f t="shared" si="20"/>
        <v>-13.829787234042527</v>
      </c>
      <c r="Q61" s="333">
        <f t="shared" si="21"/>
        <v>0.92624113475177317</v>
      </c>
      <c r="R61" s="533"/>
      <c r="S61" s="24">
        <v>0.32013888888888881</v>
      </c>
      <c r="T61" s="24">
        <v>0.41805555555555546</v>
      </c>
      <c r="U61" s="332">
        <f t="shared" si="31"/>
        <v>4.9999999999999822</v>
      </c>
      <c r="V61" s="338">
        <f t="shared" si="30"/>
        <v>140.99999999999997</v>
      </c>
      <c r="W61" s="14"/>
      <c r="X61" s="14"/>
      <c r="Y61" s="528"/>
      <c r="Z61" s="528"/>
      <c r="AA61" s="11">
        <f t="shared" si="22"/>
        <v>-110.63829787234022</v>
      </c>
      <c r="AB61" s="333">
        <f t="shared" si="23"/>
        <v>0.92624113475177317</v>
      </c>
      <c r="AC61" s="533"/>
    </row>
    <row r="62" spans="1:29" ht="15" customHeight="1">
      <c r="A62" s="539" t="s">
        <v>493</v>
      </c>
      <c r="B62" s="339" t="s">
        <v>32</v>
      </c>
      <c r="C62" s="534" t="s">
        <v>37</v>
      </c>
      <c r="D62" s="535"/>
      <c r="E62" s="26">
        <v>35.119999999999997</v>
      </c>
      <c r="F62" s="27">
        <v>1244</v>
      </c>
      <c r="G62" s="332">
        <f t="shared" si="28"/>
        <v>43689.279999999999</v>
      </c>
      <c r="H62" s="340" t="s">
        <v>52</v>
      </c>
      <c r="I62" s="17">
        <v>13</v>
      </c>
      <c r="J62" s="18">
        <v>2000</v>
      </c>
      <c r="K62" s="9">
        <f t="shared" si="17"/>
        <v>153.84615384615384</v>
      </c>
      <c r="L62" s="17">
        <v>13</v>
      </c>
      <c r="M62" s="10">
        <f t="shared" si="29"/>
        <v>1865.9999999999993</v>
      </c>
      <c r="N62" s="9">
        <f t="shared" si="18"/>
        <v>143.53846153846149</v>
      </c>
      <c r="O62" s="11">
        <f t="shared" si="19"/>
        <v>0</v>
      </c>
      <c r="P62" s="12">
        <f t="shared" si="20"/>
        <v>-10.307692307692349</v>
      </c>
      <c r="Q62" s="333">
        <f t="shared" si="21"/>
        <v>0.93299999999999972</v>
      </c>
      <c r="R62" s="533"/>
      <c r="S62" s="24">
        <v>0.42222222222222211</v>
      </c>
      <c r="T62" s="24">
        <v>0.4499999999999999</v>
      </c>
      <c r="U62" s="332">
        <f t="shared" si="31"/>
        <v>5.9999999999999787</v>
      </c>
      <c r="V62" s="338">
        <f t="shared" si="30"/>
        <v>40.000000000000014</v>
      </c>
      <c r="W62" s="332"/>
      <c r="X62" s="332"/>
      <c r="Y62" s="536"/>
      <c r="Z62" s="537"/>
      <c r="AA62" s="11">
        <f t="shared" si="22"/>
        <v>-134.00000000000068</v>
      </c>
      <c r="AB62" s="333">
        <f t="shared" si="23"/>
        <v>0.93299999999999961</v>
      </c>
      <c r="AC62" s="533"/>
    </row>
    <row r="63" spans="1:29">
      <c r="A63" s="539" t="s">
        <v>1172</v>
      </c>
      <c r="B63" s="339" t="s">
        <v>32</v>
      </c>
      <c r="C63" s="334" t="s">
        <v>84</v>
      </c>
      <c r="D63" s="335"/>
      <c r="E63" s="26">
        <v>35.869999999999997</v>
      </c>
      <c r="F63" s="27">
        <v>2652</v>
      </c>
      <c r="G63" s="332">
        <f t="shared" si="28"/>
        <v>95127.239999999991</v>
      </c>
      <c r="H63" s="340" t="s">
        <v>52</v>
      </c>
      <c r="I63" s="17">
        <v>10</v>
      </c>
      <c r="J63" s="18">
        <v>3000</v>
      </c>
      <c r="K63" s="9">
        <f t="shared" si="17"/>
        <v>300</v>
      </c>
      <c r="L63" s="17">
        <v>10</v>
      </c>
      <c r="M63" s="10">
        <f t="shared" si="29"/>
        <v>2791.5789473684194</v>
      </c>
      <c r="N63" s="9">
        <f t="shared" si="18"/>
        <v>279.15789473684197</v>
      </c>
      <c r="O63" s="11">
        <f t="shared" si="19"/>
        <v>0</v>
      </c>
      <c r="P63" s="12">
        <f t="shared" si="20"/>
        <v>-20.842105263158032</v>
      </c>
      <c r="Q63" s="333">
        <f t="shared" si="21"/>
        <v>0.9305263157894732</v>
      </c>
      <c r="R63" s="533"/>
      <c r="S63" s="24">
        <v>0.45486111111111099</v>
      </c>
      <c r="T63" s="24">
        <v>0.49444444444444435</v>
      </c>
      <c r="U63" s="332">
        <f t="shared" si="31"/>
        <v>6.9999999999999751</v>
      </c>
      <c r="V63" s="338">
        <f t="shared" si="30"/>
        <v>57.000000000000036</v>
      </c>
      <c r="W63" s="14">
        <f>T63</f>
        <v>0.49444444444444435</v>
      </c>
      <c r="X63" s="14">
        <f>S64</f>
        <v>0.53333333333333321</v>
      </c>
      <c r="Y63" s="329"/>
      <c r="Z63" s="330"/>
      <c r="AA63" s="11">
        <f t="shared" si="22"/>
        <v>-208.42105263158055</v>
      </c>
      <c r="AB63" s="333">
        <f t="shared" si="23"/>
        <v>0.9305263157894732</v>
      </c>
      <c r="AC63" s="533"/>
    </row>
    <row r="64" spans="1:29">
      <c r="A64" s="539" t="s">
        <v>1171</v>
      </c>
      <c r="B64" s="404" t="s">
        <v>1546</v>
      </c>
      <c r="C64" s="334" t="s">
        <v>1084</v>
      </c>
      <c r="D64" s="335"/>
      <c r="E64" s="26">
        <v>80.569999999999993</v>
      </c>
      <c r="F64" s="27">
        <v>2130</v>
      </c>
      <c r="G64" s="332">
        <f t="shared" si="28"/>
        <v>171614.09999999998</v>
      </c>
      <c r="H64" s="340" t="s">
        <v>52</v>
      </c>
      <c r="I64" s="17">
        <v>17</v>
      </c>
      <c r="J64" s="18">
        <v>2400</v>
      </c>
      <c r="K64" s="9">
        <f t="shared" si="17"/>
        <v>141.1764705882353</v>
      </c>
      <c r="L64" s="17">
        <v>17</v>
      </c>
      <c r="M64" s="10">
        <f t="shared" si="29"/>
        <v>2242.1052631578964</v>
      </c>
      <c r="N64" s="9">
        <f t="shared" si="18"/>
        <v>131.88854489164098</v>
      </c>
      <c r="O64" s="11">
        <f t="shared" si="19"/>
        <v>0</v>
      </c>
      <c r="P64" s="12">
        <f t="shared" si="20"/>
        <v>-9.2879256965943284</v>
      </c>
      <c r="Q64" s="333">
        <f t="shared" si="21"/>
        <v>0.93421052631579016</v>
      </c>
      <c r="R64" s="533"/>
      <c r="S64" s="24">
        <v>0.53333333333333321</v>
      </c>
      <c r="T64" s="24">
        <v>0.57291666666666652</v>
      </c>
      <c r="U64" s="332">
        <f t="shared" si="31"/>
        <v>55.999999999999957</v>
      </c>
      <c r="V64" s="338">
        <f t="shared" si="30"/>
        <v>56.999999999999957</v>
      </c>
      <c r="W64" s="14"/>
      <c r="X64" s="14"/>
      <c r="Y64" s="536"/>
      <c r="Z64" s="537"/>
      <c r="AA64" s="11">
        <f t="shared" si="22"/>
        <v>-157.89473684210361</v>
      </c>
      <c r="AB64" s="333">
        <f t="shared" si="23"/>
        <v>0.93421052631579016</v>
      </c>
      <c r="AC64" s="533"/>
    </row>
    <row r="65" spans="1:29">
      <c r="A65" s="539" t="s">
        <v>493</v>
      </c>
      <c r="B65" s="26" t="s">
        <v>82</v>
      </c>
      <c r="C65" s="530"/>
      <c r="D65" s="530"/>
      <c r="E65" s="331"/>
      <c r="F65" s="16"/>
      <c r="G65" s="9"/>
      <c r="H65" s="339"/>
      <c r="I65" s="17">
        <v>11.875</v>
      </c>
      <c r="J65" s="18">
        <v>2537.5</v>
      </c>
      <c r="K65" s="9">
        <f t="shared" si="17"/>
        <v>213.68421052631578</v>
      </c>
      <c r="L65" s="17">
        <v>11.875</v>
      </c>
      <c r="M65" s="10">
        <f>AVERAGE(M57:M64)</f>
        <v>2372.0033657017211</v>
      </c>
      <c r="N65" s="9">
        <f t="shared" si="18"/>
        <v>199.74765184856599</v>
      </c>
      <c r="O65" s="11">
        <f t="shared" si="19"/>
        <v>0</v>
      </c>
      <c r="P65" s="12">
        <f t="shared" si="20"/>
        <v>-13.936558677749787</v>
      </c>
      <c r="Q65" s="333">
        <f t="shared" si="21"/>
        <v>0.93477965150806752</v>
      </c>
      <c r="R65" s="533"/>
      <c r="S65" s="24"/>
      <c r="T65" s="24"/>
      <c r="U65" s="9"/>
      <c r="V65" s="338"/>
      <c r="W65" s="9"/>
      <c r="X65" s="9"/>
      <c r="Y65" s="528"/>
      <c r="Z65" s="528"/>
      <c r="AA65" s="11">
        <f t="shared" si="22"/>
        <v>-165.49663429827888</v>
      </c>
      <c r="AB65" s="333">
        <f t="shared" si="23"/>
        <v>0.93477965150806741</v>
      </c>
      <c r="AC65" s="533"/>
    </row>
    <row r="66" spans="1:29" ht="15.75" customHeight="1">
      <c r="A66" s="577" t="s">
        <v>499</v>
      </c>
      <c r="B66" s="339" t="s">
        <v>24</v>
      </c>
      <c r="C66" s="534" t="s">
        <v>67</v>
      </c>
      <c r="D66" s="535"/>
      <c r="E66" s="26">
        <v>32.03</v>
      </c>
      <c r="F66" s="339">
        <v>872</v>
      </c>
      <c r="G66" s="332">
        <v>27930.16</v>
      </c>
      <c r="H66" s="340" t="s">
        <v>52</v>
      </c>
      <c r="I66" s="17">
        <v>19</v>
      </c>
      <c r="J66" s="18">
        <v>2400</v>
      </c>
      <c r="K66" s="9">
        <v>126.31578947368421</v>
      </c>
      <c r="L66" s="17">
        <v>19</v>
      </c>
      <c r="M66" s="10">
        <v>2274.782608695652</v>
      </c>
      <c r="N66" s="9">
        <v>119.7254004576659</v>
      </c>
      <c r="O66" s="11">
        <v>0</v>
      </c>
      <c r="P66" s="12">
        <v>-6.5903890160183067</v>
      </c>
      <c r="Q66" s="333">
        <v>0.94782608695652171</v>
      </c>
      <c r="R66" s="547">
        <f>Q73</f>
        <v>0.93393795854695583</v>
      </c>
      <c r="S66" s="24">
        <v>0.125</v>
      </c>
      <c r="T66" s="24">
        <v>0.14097222222222222</v>
      </c>
      <c r="U66" s="15"/>
      <c r="V66" s="338">
        <v>23</v>
      </c>
      <c r="W66" s="14">
        <f>T66</f>
        <v>0.14097222222222222</v>
      </c>
      <c r="X66" s="14">
        <f>S67</f>
        <v>0.16111111111111112</v>
      </c>
      <c r="Y66" s="536"/>
      <c r="Z66" s="537"/>
      <c r="AA66" s="11">
        <f t="shared" si="22"/>
        <v>-125.21739130434798</v>
      </c>
      <c r="AB66" s="333">
        <f t="shared" si="23"/>
        <v>0.94782608695652171</v>
      </c>
      <c r="AC66" s="547">
        <f>AB73</f>
        <v>0.93393795854695572</v>
      </c>
    </row>
    <row r="67" spans="1:29" ht="15.75" customHeight="1">
      <c r="A67" s="578" t="s">
        <v>499</v>
      </c>
      <c r="B67" s="339" t="s">
        <v>24</v>
      </c>
      <c r="C67" s="534" t="s">
        <v>51</v>
      </c>
      <c r="D67" s="535"/>
      <c r="E67" s="26">
        <v>20.2</v>
      </c>
      <c r="F67" s="339">
        <v>2918</v>
      </c>
      <c r="G67" s="332">
        <v>58943.6</v>
      </c>
      <c r="H67" s="340" t="s">
        <v>52</v>
      </c>
      <c r="I67" s="17">
        <v>19</v>
      </c>
      <c r="J67" s="18">
        <v>2400</v>
      </c>
      <c r="K67" s="9">
        <v>126.31578947368421</v>
      </c>
      <c r="L67" s="17">
        <v>19</v>
      </c>
      <c r="M67" s="10">
        <v>2244.6153846153848</v>
      </c>
      <c r="N67" s="9">
        <v>118.13765182186235</v>
      </c>
      <c r="O67" s="11">
        <v>0</v>
      </c>
      <c r="P67" s="12">
        <v>-8.1781376518218565</v>
      </c>
      <c r="Q67" s="333">
        <v>0.93525641025641026</v>
      </c>
      <c r="R67" s="548"/>
      <c r="S67" s="24">
        <v>0.16111111111111112</v>
      </c>
      <c r="T67" s="24">
        <v>0.21527777777777779</v>
      </c>
      <c r="U67" s="332">
        <v>29.000000000000018</v>
      </c>
      <c r="V67" s="338">
        <v>78</v>
      </c>
      <c r="W67" s="14"/>
      <c r="X67" s="14"/>
      <c r="Y67" s="536"/>
      <c r="Z67" s="537"/>
      <c r="AA67" s="11">
        <f t="shared" si="22"/>
        <v>-155.38461538461524</v>
      </c>
      <c r="AB67" s="333">
        <f t="shared" si="23"/>
        <v>0.93525641025641026</v>
      </c>
      <c r="AC67" s="548"/>
    </row>
    <row r="68" spans="1:29" ht="15.75" customHeight="1">
      <c r="A68" s="578" t="s">
        <v>499</v>
      </c>
      <c r="B68" s="339" t="s">
        <v>24</v>
      </c>
      <c r="C68" s="534" t="s">
        <v>41</v>
      </c>
      <c r="D68" s="535"/>
      <c r="E68" s="26">
        <v>19.02</v>
      </c>
      <c r="F68" s="339">
        <v>4400</v>
      </c>
      <c r="G68" s="332">
        <v>83688</v>
      </c>
      <c r="H68" s="340">
        <v>2</v>
      </c>
      <c r="I68" s="17">
        <v>15</v>
      </c>
      <c r="J68" s="18">
        <v>2400</v>
      </c>
      <c r="K68" s="9">
        <v>160</v>
      </c>
      <c r="L68" s="17">
        <v>15</v>
      </c>
      <c r="M68" s="10">
        <v>2237.28813559322</v>
      </c>
      <c r="N68" s="9">
        <v>149.15254237288133</v>
      </c>
      <c r="O68" s="11">
        <v>0</v>
      </c>
      <c r="P68" s="12">
        <v>-10.847457627118672</v>
      </c>
      <c r="Q68" s="333">
        <v>0.93220338983050832</v>
      </c>
      <c r="R68" s="548"/>
      <c r="S68" s="24">
        <v>0.22013888888888891</v>
      </c>
      <c r="T68" s="24">
        <v>0.30208333333333337</v>
      </c>
      <c r="U68" s="332">
        <v>7.0000000000000151</v>
      </c>
      <c r="V68" s="338">
        <v>118.00000000000001</v>
      </c>
      <c r="W68" s="14"/>
      <c r="X68" s="14"/>
      <c r="Y68" s="536"/>
      <c r="Z68" s="537"/>
      <c r="AA68" s="11">
        <f t="shared" si="22"/>
        <v>-162.71186440678002</v>
      </c>
      <c r="AB68" s="333">
        <f t="shared" si="23"/>
        <v>0.93220338983050832</v>
      </c>
      <c r="AC68" s="548"/>
    </row>
    <row r="69" spans="1:29" ht="15.75" customHeight="1">
      <c r="A69" s="578" t="s">
        <v>499</v>
      </c>
      <c r="B69" s="339" t="s">
        <v>24</v>
      </c>
      <c r="C69" s="534" t="s">
        <v>42</v>
      </c>
      <c r="D69" s="535"/>
      <c r="E69" s="26">
        <v>25</v>
      </c>
      <c r="F69" s="339">
        <v>3798</v>
      </c>
      <c r="G69" s="332">
        <v>94950</v>
      </c>
      <c r="H69" s="340" t="s">
        <v>52</v>
      </c>
      <c r="I69" s="17">
        <v>15</v>
      </c>
      <c r="J69" s="18">
        <v>2400</v>
      </c>
      <c r="K69" s="9">
        <v>160</v>
      </c>
      <c r="L69" s="17">
        <v>15</v>
      </c>
      <c r="M69" s="10">
        <v>2234.1176470588243</v>
      </c>
      <c r="N69" s="9">
        <v>148.94117647058829</v>
      </c>
      <c r="O69" s="11">
        <v>0</v>
      </c>
      <c r="P69" s="12">
        <v>-11.058823529411711</v>
      </c>
      <c r="Q69" s="333">
        <v>0.93088235294117683</v>
      </c>
      <c r="R69" s="548"/>
      <c r="S69" s="24">
        <v>0.30555555555555558</v>
      </c>
      <c r="T69" s="24">
        <v>0.37638888888888888</v>
      </c>
      <c r="U69" s="332">
        <v>4.9999999999999822</v>
      </c>
      <c r="V69" s="338">
        <v>101.99999999999996</v>
      </c>
      <c r="W69" s="14"/>
      <c r="X69" s="14"/>
      <c r="Y69" s="536"/>
      <c r="Z69" s="537"/>
      <c r="AA69" s="11">
        <f t="shared" si="22"/>
        <v>-165.88235294117567</v>
      </c>
      <c r="AB69" s="333">
        <f t="shared" si="23"/>
        <v>0.93088235294117683</v>
      </c>
      <c r="AC69" s="548"/>
    </row>
    <row r="70" spans="1:29" ht="15.75" customHeight="1">
      <c r="A70" s="578" t="s">
        <v>499</v>
      </c>
      <c r="B70" s="339" t="s">
        <v>24</v>
      </c>
      <c r="C70" s="534" t="s">
        <v>77</v>
      </c>
      <c r="D70" s="535"/>
      <c r="E70" s="26">
        <v>28.51</v>
      </c>
      <c r="F70" s="339">
        <v>3702</v>
      </c>
      <c r="G70" s="332">
        <v>105544.02</v>
      </c>
      <c r="H70" s="340" t="s">
        <v>52</v>
      </c>
      <c r="I70" s="17">
        <v>19</v>
      </c>
      <c r="J70" s="18">
        <v>2400</v>
      </c>
      <c r="K70" s="9">
        <v>126.31578947368421</v>
      </c>
      <c r="L70" s="17">
        <v>19</v>
      </c>
      <c r="M70" s="10">
        <v>2243.6363636363644</v>
      </c>
      <c r="N70" s="9">
        <v>118.08612440191392</v>
      </c>
      <c r="O70" s="11">
        <v>0</v>
      </c>
      <c r="P70" s="12">
        <v>-8.2296650717702846</v>
      </c>
      <c r="Q70" s="333">
        <v>0.93484848484848526</v>
      </c>
      <c r="R70" s="548"/>
      <c r="S70" s="24">
        <v>0.38055555555555554</v>
      </c>
      <c r="T70" s="24">
        <v>0.44930555555555551</v>
      </c>
      <c r="U70" s="332">
        <v>5.9999999999999787</v>
      </c>
      <c r="V70" s="338">
        <v>98.999999999999972</v>
      </c>
      <c r="W70" s="14"/>
      <c r="X70" s="14"/>
      <c r="Y70" s="536"/>
      <c r="Z70" s="537"/>
      <c r="AA70" s="11">
        <f t="shared" si="22"/>
        <v>-156.36363636363558</v>
      </c>
      <c r="AB70" s="333">
        <f t="shared" si="23"/>
        <v>0.93484848484848515</v>
      </c>
      <c r="AC70" s="548"/>
    </row>
    <row r="71" spans="1:29" ht="15.75" customHeight="1">
      <c r="A71" s="578" t="s">
        <v>499</v>
      </c>
      <c r="B71" s="339" t="s">
        <v>24</v>
      </c>
      <c r="C71" s="534" t="s">
        <v>25</v>
      </c>
      <c r="D71" s="535"/>
      <c r="E71" s="26">
        <v>20.52</v>
      </c>
      <c r="F71" s="339">
        <v>3823</v>
      </c>
      <c r="G71" s="332">
        <v>78447.959999999992</v>
      </c>
      <c r="H71" s="340" t="s">
        <v>52</v>
      </c>
      <c r="I71" s="17">
        <v>18</v>
      </c>
      <c r="J71" s="18">
        <v>2400</v>
      </c>
      <c r="K71" s="9">
        <v>133.33333333333334</v>
      </c>
      <c r="L71" s="17">
        <v>18</v>
      </c>
      <c r="M71" s="10">
        <v>2226.9902912621369</v>
      </c>
      <c r="N71" s="9">
        <v>123.72168284789649</v>
      </c>
      <c r="O71" s="11">
        <v>0</v>
      </c>
      <c r="P71" s="12">
        <v>-9.6116504854368543</v>
      </c>
      <c r="Q71" s="333">
        <v>0.92791262135922359</v>
      </c>
      <c r="R71" s="548"/>
      <c r="S71" s="24">
        <v>0.45347222222222217</v>
      </c>
      <c r="T71" s="24">
        <v>0.52499999999999991</v>
      </c>
      <c r="U71" s="332">
        <v>5.9999999999999787</v>
      </c>
      <c r="V71" s="338">
        <v>102.99999999999996</v>
      </c>
      <c r="W71" s="14">
        <f>T71</f>
        <v>0.52499999999999991</v>
      </c>
      <c r="X71" s="14">
        <f>S72</f>
        <v>0.56458333333333321</v>
      </c>
      <c r="Y71" s="536"/>
      <c r="Z71" s="537"/>
      <c r="AA71" s="11">
        <f t="shared" si="22"/>
        <v>-173.00970873786309</v>
      </c>
      <c r="AB71" s="333">
        <f t="shared" si="23"/>
        <v>0.9279126213592237</v>
      </c>
      <c r="AC71" s="548"/>
    </row>
    <row r="72" spans="1:29" ht="15.75" customHeight="1">
      <c r="A72" s="578" t="s">
        <v>499</v>
      </c>
      <c r="B72" s="339" t="s">
        <v>24</v>
      </c>
      <c r="C72" s="534" t="s">
        <v>41</v>
      </c>
      <c r="D72" s="535"/>
      <c r="E72" s="26">
        <v>19.02</v>
      </c>
      <c r="F72" s="339">
        <v>6129</v>
      </c>
      <c r="G72" s="332">
        <v>116573.58</v>
      </c>
      <c r="H72" s="340" t="s">
        <v>52</v>
      </c>
      <c r="I72" s="17">
        <v>15</v>
      </c>
      <c r="J72" s="18">
        <v>2400</v>
      </c>
      <c r="K72" s="9">
        <v>160</v>
      </c>
      <c r="L72" s="17">
        <v>15</v>
      </c>
      <c r="M72" s="10">
        <v>2228.7272727272721</v>
      </c>
      <c r="N72" s="9">
        <v>148.58181818181814</v>
      </c>
      <c r="O72" s="11">
        <v>0</v>
      </c>
      <c r="P72" s="12">
        <v>-11.418181818181864</v>
      </c>
      <c r="Q72" s="333">
        <v>0.92863636363636337</v>
      </c>
      <c r="R72" s="548"/>
      <c r="S72" s="24">
        <v>0.56458333333333321</v>
      </c>
      <c r="T72" s="24">
        <v>0.67916666666666659</v>
      </c>
      <c r="U72" s="332">
        <v>56.999999999999957</v>
      </c>
      <c r="V72" s="338">
        <v>165.00000000000006</v>
      </c>
      <c r="W72" s="14"/>
      <c r="X72" s="14"/>
      <c r="Y72" s="536"/>
      <c r="Z72" s="537"/>
      <c r="AA72" s="11">
        <f t="shared" si="22"/>
        <v>-171.27272727272793</v>
      </c>
      <c r="AB72" s="333">
        <f t="shared" si="23"/>
        <v>0.92863636363636337</v>
      </c>
      <c r="AC72" s="548"/>
    </row>
    <row r="73" spans="1:29" ht="16.5" customHeight="1">
      <c r="A73" s="579" t="s">
        <v>499</v>
      </c>
      <c r="B73" s="26" t="s">
        <v>1170</v>
      </c>
      <c r="C73" s="540"/>
      <c r="D73" s="541"/>
      <c r="E73" s="331"/>
      <c r="F73" s="16"/>
      <c r="G73" s="9"/>
      <c r="H73" s="339"/>
      <c r="I73" s="17">
        <v>17.25</v>
      </c>
      <c r="J73" s="18">
        <v>2400</v>
      </c>
      <c r="K73" s="9">
        <f>J73/I73</f>
        <v>139.13043478260869</v>
      </c>
      <c r="L73" s="17">
        <v>17.25</v>
      </c>
      <c r="M73" s="10">
        <f>AVERAGE(M66:M72)</f>
        <v>2241.4511005126938</v>
      </c>
      <c r="N73" s="9">
        <f>M73/L73</f>
        <v>129.93919423261994</v>
      </c>
      <c r="O73" s="11">
        <f>L73-I73</f>
        <v>0</v>
      </c>
      <c r="P73" s="12">
        <f>N73-K73</f>
        <v>-9.1912405499887484</v>
      </c>
      <c r="Q73" s="333">
        <f>N73/K73</f>
        <v>0.93393795854695583</v>
      </c>
      <c r="R73" s="549"/>
      <c r="S73" s="24"/>
      <c r="T73" s="24"/>
      <c r="U73" s="9"/>
      <c r="V73" s="338"/>
      <c r="W73" s="9"/>
      <c r="X73" s="9"/>
      <c r="Y73" s="536"/>
      <c r="Z73" s="537"/>
      <c r="AA73" s="11">
        <f t="shared" si="22"/>
        <v>-158.54889948730624</v>
      </c>
      <c r="AB73" s="333">
        <f t="shared" si="23"/>
        <v>0.93393795854695572</v>
      </c>
      <c r="AC73" s="549"/>
    </row>
    <row r="74" spans="1:29">
      <c r="D74" s="19"/>
      <c r="E74" s="19"/>
    </row>
  </sheetData>
  <mergeCells count="191"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N3:N4"/>
    <mergeCell ref="O3:O4"/>
    <mergeCell ref="S1:X2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C8:D8"/>
    <mergeCell ref="Y8:Z8"/>
    <mergeCell ref="AC9:AC13"/>
    <mergeCell ref="C10:D10"/>
    <mergeCell ref="Y10:Z10"/>
    <mergeCell ref="C11:D11"/>
    <mergeCell ref="Y11:Z11"/>
    <mergeCell ref="C12:D12"/>
    <mergeCell ref="U3:U4"/>
    <mergeCell ref="V3:V4"/>
    <mergeCell ref="W3:X3"/>
    <mergeCell ref="Y3:Z4"/>
    <mergeCell ref="AA3:AA4"/>
    <mergeCell ref="AB3:AB4"/>
    <mergeCell ref="AC3:AC4"/>
    <mergeCell ref="C9:D9"/>
    <mergeCell ref="R9:R13"/>
    <mergeCell ref="Y9:Z9"/>
    <mergeCell ref="Y12:Z12"/>
    <mergeCell ref="H3:H4"/>
    <mergeCell ref="I3:I4"/>
    <mergeCell ref="J3:J4"/>
    <mergeCell ref="K3:K4"/>
    <mergeCell ref="L3:L4"/>
    <mergeCell ref="M3:M4"/>
    <mergeCell ref="C13:D13"/>
    <mergeCell ref="AC14:AC17"/>
    <mergeCell ref="C15:D15"/>
    <mergeCell ref="Y15:Z15"/>
    <mergeCell ref="C16:D16"/>
    <mergeCell ref="Y16:Z16"/>
    <mergeCell ref="A14:A17"/>
    <mergeCell ref="C14:D14"/>
    <mergeCell ref="R14:R17"/>
    <mergeCell ref="Y14:Z14"/>
    <mergeCell ref="Y13:Z13"/>
    <mergeCell ref="A25:A31"/>
    <mergeCell ref="C25:D25"/>
    <mergeCell ref="R25:R31"/>
    <mergeCell ref="Y25:Z25"/>
    <mergeCell ref="Y30:Z30"/>
    <mergeCell ref="A18:A24"/>
    <mergeCell ref="C17:D17"/>
    <mergeCell ref="Y17:Z17"/>
    <mergeCell ref="A9:A13"/>
    <mergeCell ref="Y29:Z29"/>
    <mergeCell ref="C30:D30"/>
    <mergeCell ref="C18:D18"/>
    <mergeCell ref="R18:R24"/>
    <mergeCell ref="Y18:Z18"/>
    <mergeCell ref="Y23:Z23"/>
    <mergeCell ref="C31:D31"/>
    <mergeCell ref="Y31:Z31"/>
    <mergeCell ref="AC25:AC31"/>
    <mergeCell ref="C26:D26"/>
    <mergeCell ref="Y26:Z26"/>
    <mergeCell ref="C27:D27"/>
    <mergeCell ref="Y27:Z27"/>
    <mergeCell ref="C28:D28"/>
    <mergeCell ref="Y28:Z28"/>
    <mergeCell ref="C29:D29"/>
    <mergeCell ref="AC18:AC24"/>
    <mergeCell ref="C19:D19"/>
    <mergeCell ref="Y19:Z19"/>
    <mergeCell ref="C20:D20"/>
    <mergeCell ref="Y20:Z20"/>
    <mergeCell ref="C21:D21"/>
    <mergeCell ref="Y21:Z21"/>
    <mergeCell ref="C22:D22"/>
    <mergeCell ref="Y22:Z22"/>
    <mergeCell ref="C23:D23"/>
    <mergeCell ref="C24:D24"/>
    <mergeCell ref="Y24:Z24"/>
    <mergeCell ref="A32:A41"/>
    <mergeCell ref="C32:D32"/>
    <mergeCell ref="C50:D50"/>
    <mergeCell ref="Y50:Z50"/>
    <mergeCell ref="C49:D49"/>
    <mergeCell ref="Y49:Z49"/>
    <mergeCell ref="Y36:Z36"/>
    <mergeCell ref="C37:D37"/>
    <mergeCell ref="Y37:Z37"/>
    <mergeCell ref="C38:D38"/>
    <mergeCell ref="A42:A50"/>
    <mergeCell ref="C42:D42"/>
    <mergeCell ref="R42:R50"/>
    <mergeCell ref="Y42:Z42"/>
    <mergeCell ref="Y47:Z47"/>
    <mergeCell ref="C48:D48"/>
    <mergeCell ref="Y48:Z48"/>
    <mergeCell ref="C46:D46"/>
    <mergeCell ref="Y46:Z46"/>
    <mergeCell ref="C47:D47"/>
    <mergeCell ref="C39:D39"/>
    <mergeCell ref="Y39:Z39"/>
    <mergeCell ref="C40:D40"/>
    <mergeCell ref="Y40:Z40"/>
    <mergeCell ref="C60:D60"/>
    <mergeCell ref="C62:D62"/>
    <mergeCell ref="Y62:Z62"/>
    <mergeCell ref="Y64:Z64"/>
    <mergeCell ref="Y32:Z32"/>
    <mergeCell ref="C41:D41"/>
    <mergeCell ref="Y41:Z41"/>
    <mergeCell ref="AC42:AC50"/>
    <mergeCell ref="C43:D43"/>
    <mergeCell ref="Y43:Z43"/>
    <mergeCell ref="C44:D44"/>
    <mergeCell ref="Y44:Z44"/>
    <mergeCell ref="C45:D45"/>
    <mergeCell ref="Y45:Z45"/>
    <mergeCell ref="AC32:AC41"/>
    <mergeCell ref="Y35:Z35"/>
    <mergeCell ref="C36:D36"/>
    <mergeCell ref="Y38:Z38"/>
    <mergeCell ref="R32:R41"/>
    <mergeCell ref="C33:D33"/>
    <mergeCell ref="Y33:Z33"/>
    <mergeCell ref="C34:D34"/>
    <mergeCell ref="Y34:Z34"/>
    <mergeCell ref="C35:D35"/>
    <mergeCell ref="A57:A65"/>
    <mergeCell ref="C57:D57"/>
    <mergeCell ref="R57:R65"/>
    <mergeCell ref="Y57:Z57"/>
    <mergeCell ref="C65:D65"/>
    <mergeCell ref="Y65:Z65"/>
    <mergeCell ref="AC51:AC56"/>
    <mergeCell ref="C52:D52"/>
    <mergeCell ref="Y52:Z52"/>
    <mergeCell ref="C53:D53"/>
    <mergeCell ref="Y60:Z60"/>
    <mergeCell ref="C61:D61"/>
    <mergeCell ref="Y61:Z61"/>
    <mergeCell ref="C56:D56"/>
    <mergeCell ref="Y56:Z56"/>
    <mergeCell ref="A51:A56"/>
    <mergeCell ref="C51:D51"/>
    <mergeCell ref="R51:R56"/>
    <mergeCell ref="Y51:Z51"/>
    <mergeCell ref="AC57:AC65"/>
    <mergeCell ref="C58:D58"/>
    <mergeCell ref="Y58:Z58"/>
    <mergeCell ref="C59:D59"/>
    <mergeCell ref="Y59:Z59"/>
    <mergeCell ref="A66:A73"/>
    <mergeCell ref="C66:D66"/>
    <mergeCell ref="R66:R73"/>
    <mergeCell ref="Y66:Z66"/>
    <mergeCell ref="Y71:Z71"/>
    <mergeCell ref="C72:D72"/>
    <mergeCell ref="Y72:Z72"/>
    <mergeCell ref="C73:D73"/>
    <mergeCell ref="Y73:Z73"/>
    <mergeCell ref="AC66:AC73"/>
    <mergeCell ref="C67:D67"/>
    <mergeCell ref="Y67:Z67"/>
    <mergeCell ref="C68:D68"/>
    <mergeCell ref="Y68:Z68"/>
    <mergeCell ref="C69:D69"/>
    <mergeCell ref="Y69:Z69"/>
    <mergeCell ref="C70:D70"/>
    <mergeCell ref="Y70:Z70"/>
    <mergeCell ref="C71:D71"/>
  </mergeCells>
  <phoneticPr fontId="3" type="noConversion"/>
  <conditionalFormatting sqref="O60:O71 O73 O5:O9 O13:O15 O50:O57 O17:O47">
    <cfRule type="cellIs" dxfId="1215" priority="50" operator="greaterThan">
      <formula>0</formula>
    </cfRule>
  </conditionalFormatting>
  <conditionalFormatting sqref="P5:P7 P60:P64 AA60:AA64 P66:P71 P25:P30 P57 P9 P13:P15 P18:P23 P51:P55 P32:P47 AA5:AA57 AA66:AA73">
    <cfRule type="cellIs" dxfId="1214" priority="54" operator="lessThan">
      <formula>0</formula>
    </cfRule>
  </conditionalFormatting>
  <conditionalFormatting sqref="AB60:AB64 Q60:Q71 Q73 Q5:Q9 Q13:Q15 Q50:Q57 Q17:Q47 AB5:AB57 AB66:AB73">
    <cfRule type="cellIs" dxfId="1213" priority="51" operator="greaterThan">
      <formula>1</formula>
    </cfRule>
    <cfRule type="cellIs" dxfId="1212" priority="52" operator="lessThan">
      <formula>0.8</formula>
    </cfRule>
  </conditionalFormatting>
  <conditionalFormatting sqref="AC14:AC15 R14:R15 AC60 R60:R71 R17:R39 AC17:AC39 R73 AC5:AC9 R5:R9 R41:R47 AC41:AC47 AC50:AC57 R50:R57">
    <cfRule type="cellIs" dxfId="1211" priority="56" operator="lessThan">
      <formula>0.8</formula>
    </cfRule>
  </conditionalFormatting>
  <conditionalFormatting sqref="AC42">
    <cfRule type="cellIs" dxfId="1210" priority="58" operator="lessThan">
      <formula>0.8</formula>
    </cfRule>
  </conditionalFormatting>
  <conditionalFormatting sqref="AC18:AC23">
    <cfRule type="cellIs" dxfId="1209" priority="55" operator="lessThan">
      <formula>0.8</formula>
    </cfRule>
  </conditionalFormatting>
  <conditionalFormatting sqref="AC25">
    <cfRule type="cellIs" dxfId="1208" priority="57" operator="lessThan">
      <formula>0.8</formula>
    </cfRule>
  </conditionalFormatting>
  <conditionalFormatting sqref="AC32:AC39">
    <cfRule type="cellIs" dxfId="1207" priority="53" operator="lessThan">
      <formula>0.8</formula>
    </cfRule>
  </conditionalFormatting>
  <conditionalFormatting sqref="AA65">
    <cfRule type="cellIs" dxfId="1206" priority="49" operator="lessThan">
      <formula>0</formula>
    </cfRule>
  </conditionalFormatting>
  <conditionalFormatting sqref="AB65">
    <cfRule type="cellIs" dxfId="1205" priority="47" operator="greaterThan">
      <formula>1</formula>
    </cfRule>
    <cfRule type="cellIs" dxfId="1204" priority="48" operator="lessThan">
      <formula>0.8</formula>
    </cfRule>
  </conditionalFormatting>
  <conditionalFormatting sqref="O16">
    <cfRule type="cellIs" dxfId="1203" priority="42" operator="greaterThan">
      <formula>0</formula>
    </cfRule>
  </conditionalFormatting>
  <conditionalFormatting sqref="P16">
    <cfRule type="cellIs" dxfId="1202" priority="45" operator="lessThan">
      <formula>0</formula>
    </cfRule>
  </conditionalFormatting>
  <conditionalFormatting sqref="Q16">
    <cfRule type="cellIs" dxfId="1201" priority="43" operator="greaterThan">
      <formula>1</formula>
    </cfRule>
    <cfRule type="cellIs" dxfId="1200" priority="44" operator="lessThan">
      <formula>0.8</formula>
    </cfRule>
  </conditionalFormatting>
  <conditionalFormatting sqref="R16 AC16">
    <cfRule type="cellIs" dxfId="1199" priority="46" operator="lessThan">
      <formula>0.8</formula>
    </cfRule>
  </conditionalFormatting>
  <conditionalFormatting sqref="O10:O12">
    <cfRule type="cellIs" dxfId="1198" priority="38" operator="greaterThan">
      <formula>0</formula>
    </cfRule>
  </conditionalFormatting>
  <conditionalFormatting sqref="P10:P12">
    <cfRule type="cellIs" dxfId="1197" priority="41" operator="lessThan">
      <formula>0</formula>
    </cfRule>
  </conditionalFormatting>
  <conditionalFormatting sqref="Q10:Q12">
    <cfRule type="cellIs" dxfId="1196" priority="39" operator="greaterThan">
      <formula>1</formula>
    </cfRule>
    <cfRule type="cellIs" dxfId="1195" priority="40" operator="lessThan">
      <formula>0.8</formula>
    </cfRule>
  </conditionalFormatting>
  <conditionalFormatting sqref="R40 AC40">
    <cfRule type="cellIs" dxfId="1194" priority="37" operator="lessThan">
      <formula>0.8</formula>
    </cfRule>
  </conditionalFormatting>
  <conditionalFormatting sqref="AC40">
    <cfRule type="cellIs" dxfId="1193" priority="36" operator="lessThan">
      <formula>0.8</formula>
    </cfRule>
  </conditionalFormatting>
  <conditionalFormatting sqref="O59">
    <cfRule type="cellIs" dxfId="1192" priority="31" operator="greaterThan">
      <formula>0</formula>
    </cfRule>
  </conditionalFormatting>
  <conditionalFormatting sqref="P59 AA59">
    <cfRule type="cellIs" dxfId="1191" priority="34" operator="lessThan">
      <formula>0</formula>
    </cfRule>
  </conditionalFormatting>
  <conditionalFormatting sqref="Q59 AB59">
    <cfRule type="cellIs" dxfId="1190" priority="32" operator="greaterThan">
      <formula>1</formula>
    </cfRule>
    <cfRule type="cellIs" dxfId="1189" priority="33" operator="lessThan">
      <formula>0.8</formula>
    </cfRule>
  </conditionalFormatting>
  <conditionalFormatting sqref="R59 AC59">
    <cfRule type="cellIs" dxfId="1188" priority="35" operator="lessThan">
      <formula>0.8</formula>
    </cfRule>
  </conditionalFormatting>
  <conditionalFormatting sqref="O72">
    <cfRule type="cellIs" dxfId="1187" priority="26" operator="greaterThan">
      <formula>0</formula>
    </cfRule>
  </conditionalFormatting>
  <conditionalFormatting sqref="P72">
    <cfRule type="cellIs" dxfId="1186" priority="29" operator="lessThan">
      <formula>0</formula>
    </cfRule>
  </conditionalFormatting>
  <conditionalFormatting sqref="Q72">
    <cfRule type="cellIs" dxfId="1185" priority="27" operator="greaterThan">
      <formula>1</formula>
    </cfRule>
    <cfRule type="cellIs" dxfId="1184" priority="28" operator="lessThan">
      <formula>0.8</formula>
    </cfRule>
  </conditionalFormatting>
  <conditionalFormatting sqref="R72">
    <cfRule type="cellIs" dxfId="1183" priority="30" operator="lessThan">
      <formula>0.8</formula>
    </cfRule>
  </conditionalFormatting>
  <conditionalFormatting sqref="O48">
    <cfRule type="cellIs" dxfId="1182" priority="20" operator="greaterThan">
      <formula>0</formula>
    </cfRule>
  </conditionalFormatting>
  <conditionalFormatting sqref="P48">
    <cfRule type="cellIs" dxfId="1181" priority="24" operator="lessThan">
      <formula>0</formula>
    </cfRule>
  </conditionalFormatting>
  <conditionalFormatting sqref="Q48">
    <cfRule type="cellIs" dxfId="1180" priority="21" operator="greaterThan">
      <formula>1</formula>
    </cfRule>
    <cfRule type="cellIs" dxfId="1179" priority="22" operator="lessThan">
      <formula>0.8</formula>
    </cfRule>
  </conditionalFormatting>
  <conditionalFormatting sqref="R48 AC48">
    <cfRule type="cellIs" dxfId="1178" priority="25" operator="lessThan">
      <formula>0.8</formula>
    </cfRule>
  </conditionalFormatting>
  <conditionalFormatting sqref="AC48">
    <cfRule type="cellIs" dxfId="1177" priority="23" operator="lessThan">
      <formula>0.8</formula>
    </cfRule>
  </conditionalFormatting>
  <conditionalFormatting sqref="O49">
    <cfRule type="cellIs" dxfId="1176" priority="14" operator="greaterThan">
      <formula>0</formula>
    </cfRule>
  </conditionalFormatting>
  <conditionalFormatting sqref="P49">
    <cfRule type="cellIs" dxfId="1175" priority="18" operator="lessThan">
      <formula>0</formula>
    </cfRule>
  </conditionalFormatting>
  <conditionalFormatting sqref="Q49">
    <cfRule type="cellIs" dxfId="1174" priority="15" operator="greaterThan">
      <formula>1</formula>
    </cfRule>
    <cfRule type="cellIs" dxfId="1173" priority="16" operator="lessThan">
      <formula>0.8</formula>
    </cfRule>
  </conditionalFormatting>
  <conditionalFormatting sqref="R49 AC49">
    <cfRule type="cellIs" dxfId="1172" priority="19" operator="lessThan">
      <formula>0.8</formula>
    </cfRule>
  </conditionalFormatting>
  <conditionalFormatting sqref="AC49">
    <cfRule type="cellIs" dxfId="1171" priority="17" operator="lessThan">
      <formula>0.8</formula>
    </cfRule>
  </conditionalFormatting>
  <conditionalFormatting sqref="O58">
    <cfRule type="cellIs" dxfId="1170" priority="9" operator="greaterThan">
      <formula>0</formula>
    </cfRule>
  </conditionalFormatting>
  <conditionalFormatting sqref="P58 AA58">
    <cfRule type="cellIs" dxfId="1169" priority="12" operator="lessThan">
      <formula>0</formula>
    </cfRule>
  </conditionalFormatting>
  <conditionalFormatting sqref="Q58 AB58">
    <cfRule type="cellIs" dxfId="1168" priority="10" operator="greaterThan">
      <formula>1</formula>
    </cfRule>
    <cfRule type="cellIs" dxfId="1167" priority="11" operator="lessThan">
      <formula>0.8</formula>
    </cfRule>
  </conditionalFormatting>
  <conditionalFormatting sqref="R58 AC58">
    <cfRule type="cellIs" dxfId="1166" priority="13" operator="lessThan">
      <formula>0.8</formula>
    </cfRule>
  </conditionalFormatting>
  <conditionalFormatting sqref="P8">
    <cfRule type="cellIs" dxfId="1165" priority="8" operator="lessThan">
      <formula>0</formula>
    </cfRule>
  </conditionalFormatting>
  <conditionalFormatting sqref="P17">
    <cfRule type="cellIs" dxfId="1164" priority="7" operator="lessThan">
      <formula>0</formula>
    </cfRule>
  </conditionalFormatting>
  <conditionalFormatting sqref="P24">
    <cfRule type="cellIs" dxfId="1163" priority="6" operator="lessThan">
      <formula>0</formula>
    </cfRule>
  </conditionalFormatting>
  <conditionalFormatting sqref="P31">
    <cfRule type="cellIs" dxfId="1162" priority="5" operator="lessThan">
      <formula>0</formula>
    </cfRule>
  </conditionalFormatting>
  <conditionalFormatting sqref="P50">
    <cfRule type="cellIs" dxfId="1161" priority="4" operator="lessThan">
      <formula>0</formula>
    </cfRule>
  </conditionalFormatting>
  <conditionalFormatting sqref="P56">
    <cfRule type="cellIs" dxfId="1160" priority="3" operator="lessThan">
      <formula>0</formula>
    </cfRule>
  </conditionalFormatting>
  <conditionalFormatting sqref="P65">
    <cfRule type="cellIs" dxfId="1159" priority="2" operator="lessThan">
      <formula>0</formula>
    </cfRule>
  </conditionalFormatting>
  <conditionalFormatting sqref="P73">
    <cfRule type="cellIs" dxfId="1158" priority="1" operator="lessThan">
      <formula>0</formula>
    </cfRule>
  </conditionalFormatting>
  <dataValidations count="1">
    <dataValidation type="list" allowBlank="1" showInputMessage="1" showErrorMessage="1" sqref="Z8 Z61:Z64 Y5:Z7 Y8:Y64 Z10:Z57 Y65:Z73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1"/>
  <dimension ref="B1:Q68"/>
  <sheetViews>
    <sheetView zoomScale="80" zoomScaleNormal="80" workbookViewId="0">
      <selection activeCell="D16" sqref="D16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521" t="s">
        <v>1139</v>
      </c>
      <c r="C1" s="521"/>
      <c r="D1" s="521"/>
      <c r="E1" s="521"/>
      <c r="F1" s="521"/>
      <c r="G1" s="521"/>
      <c r="H1" s="521"/>
      <c r="I1" s="521"/>
      <c r="J1" s="521"/>
      <c r="K1" s="28"/>
      <c r="L1" s="28"/>
      <c r="M1" s="28"/>
      <c r="N1" s="28"/>
      <c r="O1" s="28"/>
      <c r="P1" s="28"/>
    </row>
    <row r="2" spans="2:17" ht="27.75" customHeight="1">
      <c r="B2" s="522"/>
      <c r="C2" s="522"/>
      <c r="D2" s="522"/>
      <c r="E2" s="522"/>
      <c r="F2" s="522"/>
      <c r="G2" s="522"/>
      <c r="H2" s="522"/>
      <c r="I2" s="522"/>
      <c r="J2" s="522"/>
      <c r="K2" s="30"/>
      <c r="L2" s="324"/>
      <c r="M2" s="30"/>
      <c r="N2" s="28"/>
      <c r="O2" s="28"/>
      <c r="P2" s="28"/>
    </row>
    <row r="3" spans="2:17" ht="46.5" customHeight="1">
      <c r="B3" s="310" t="s">
        <v>1140</v>
      </c>
      <c r="C3" s="523" t="str">
        <f>TEXT('0820 4度C'!A2,"yyyy.mm.ddaaaa")</f>
        <v>2025.08.20星期三</v>
      </c>
      <c r="D3" s="523"/>
      <c r="E3" s="310" t="s">
        <v>123</v>
      </c>
      <c r="F3" s="524">
        <f>'0820 4度C'!D1</f>
        <v>180887</v>
      </c>
      <c r="G3" s="524"/>
      <c r="H3" s="310" t="s">
        <v>1141</v>
      </c>
      <c r="I3" s="525">
        <f>'0820 4度C'!F1</f>
        <v>6333786.3600000003</v>
      </c>
      <c r="J3" s="525"/>
      <c r="K3" s="31"/>
      <c r="L3" s="325"/>
      <c r="M3" s="33"/>
      <c r="N3" s="33"/>
    </row>
    <row r="4" spans="2:17" ht="28.5" customHeight="1">
      <c r="B4" s="516" t="s">
        <v>1142</v>
      </c>
      <c r="C4" s="516" t="s">
        <v>105</v>
      </c>
      <c r="D4" s="516"/>
      <c r="E4" s="526" t="s">
        <v>1143</v>
      </c>
      <c r="F4" s="526"/>
      <c r="G4" s="526" t="s">
        <v>1144</v>
      </c>
      <c r="H4" s="526"/>
      <c r="I4" s="527" t="s">
        <v>1145</v>
      </c>
      <c r="J4" s="527"/>
      <c r="L4" s="326"/>
      <c r="M4" s="33"/>
      <c r="N4" s="33"/>
    </row>
    <row r="5" spans="2:17" ht="28.5" customHeight="1">
      <c r="B5" s="516"/>
      <c r="C5" s="516" t="s">
        <v>1146</v>
      </c>
      <c r="D5" s="516"/>
      <c r="E5" s="516" t="s">
        <v>1147</v>
      </c>
      <c r="F5" s="516"/>
      <c r="G5" s="517" t="s">
        <v>1148</v>
      </c>
      <c r="H5" s="517"/>
      <c r="I5" s="518" t="s">
        <v>1149</v>
      </c>
      <c r="J5" s="518"/>
      <c r="K5" s="33"/>
      <c r="L5" s="326"/>
      <c r="M5" s="33"/>
      <c r="N5" s="33"/>
    </row>
    <row r="6" spans="2:17" ht="28.5" customHeight="1">
      <c r="B6" s="516"/>
      <c r="C6" s="516" t="s">
        <v>43</v>
      </c>
      <c r="D6" s="516"/>
      <c r="E6" s="519">
        <f>AVERAGE(D13:M13)</f>
        <v>144.86929782948806</v>
      </c>
      <c r="F6" s="516">
        <f>AVERAGE(D27:O27,D13:J13)</f>
        <v>148.40680390863753</v>
      </c>
      <c r="G6" s="520">
        <f>AVERAGE(D13:J13)</f>
        <v>148.40680390863753</v>
      </c>
      <c r="H6" s="520"/>
      <c r="I6" s="520">
        <f>AVERAGE(K13:M13)</f>
        <v>136.61511697813935</v>
      </c>
      <c r="J6" s="520"/>
      <c r="K6" s="33"/>
      <c r="L6" s="326"/>
      <c r="M6" s="33"/>
      <c r="N6" s="33"/>
    </row>
    <row r="7" spans="2:17" ht="28.5" customHeight="1">
      <c r="B7" s="516"/>
      <c r="C7" s="510" t="s">
        <v>44</v>
      </c>
      <c r="D7" s="510"/>
      <c r="E7" s="511">
        <f>AVERAGE(D14:M14)</f>
        <v>135.17102181797085</v>
      </c>
      <c r="F7" s="512">
        <f>AVERAGE(D28:O28,D14:J14)</f>
        <v>138.55333980592468</v>
      </c>
      <c r="G7" s="513">
        <f>AVERAGE(D14:J14)</f>
        <v>138.55333980592468</v>
      </c>
      <c r="H7" s="513"/>
      <c r="I7" s="513">
        <f>AVERAGE(K14:M14)</f>
        <v>127.27894651274526</v>
      </c>
      <c r="J7" s="513"/>
      <c r="K7" s="33"/>
      <c r="L7" s="326"/>
      <c r="M7" s="33"/>
      <c r="N7" s="33"/>
    </row>
    <row r="8" spans="2:17" ht="28.5" customHeight="1">
      <c r="B8" s="516"/>
      <c r="C8" s="510" t="s">
        <v>45</v>
      </c>
      <c r="D8" s="510"/>
      <c r="E8" s="514">
        <f>AVERAGE(D15:M15)</f>
        <v>0.93282839062229284</v>
      </c>
      <c r="F8" s="510">
        <f>AVERAGE(D15:J15,D29:O29)</f>
        <v>0.93334715037177951</v>
      </c>
      <c r="G8" s="515">
        <f>AVERAGE(D15:J15)</f>
        <v>0.93334715037177951</v>
      </c>
      <c r="H8" s="515"/>
      <c r="I8" s="515">
        <f>AVERAGE(K15:M15)</f>
        <v>0.93161795120682411</v>
      </c>
      <c r="J8" s="515"/>
      <c r="K8" s="34" t="s">
        <v>1150</v>
      </c>
      <c r="L8" s="326"/>
      <c r="M8" s="33"/>
      <c r="N8" s="33"/>
    </row>
    <row r="9" spans="2:17" ht="28.5" customHeight="1" thickBot="1">
      <c r="H9" s="36"/>
      <c r="I9" s="291"/>
      <c r="L9" s="291"/>
      <c r="N9" s="33"/>
      <c r="O9" s="33"/>
      <c r="P9" s="33"/>
      <c r="Q9" s="33"/>
    </row>
    <row r="10" spans="2:17" ht="30" customHeight="1">
      <c r="B10" s="501" t="s">
        <v>1151</v>
      </c>
      <c r="C10" s="502"/>
      <c r="D10" s="503" t="s">
        <v>1152</v>
      </c>
      <c r="E10" s="504"/>
      <c r="F10" s="504"/>
      <c r="G10" s="504"/>
      <c r="H10" s="504"/>
      <c r="I10" s="504"/>
      <c r="J10" s="505"/>
      <c r="K10" s="506" t="s">
        <v>1153</v>
      </c>
      <c r="L10" s="504"/>
      <c r="M10" s="507"/>
      <c r="P10" s="37"/>
      <c r="Q10" s="37"/>
    </row>
    <row r="11" spans="2:17" ht="17.25" customHeight="1">
      <c r="B11" s="493" t="s">
        <v>1154</v>
      </c>
      <c r="C11" s="494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292">
        <v>6</v>
      </c>
      <c r="J11" s="40">
        <v>7</v>
      </c>
      <c r="K11" s="38">
        <v>1</v>
      </c>
      <c r="L11" s="292">
        <v>2</v>
      </c>
      <c r="M11" s="40">
        <v>3</v>
      </c>
      <c r="P11" s="37"/>
      <c r="Q11" s="37"/>
    </row>
    <row r="12" spans="2:17" ht="34.15" customHeight="1">
      <c r="B12" s="493"/>
      <c r="C12" s="494"/>
      <c r="D12" s="41" t="s">
        <v>345</v>
      </c>
      <c r="E12" s="42" t="s">
        <v>346</v>
      </c>
      <c r="F12" s="42" t="s">
        <v>347</v>
      </c>
      <c r="G12" s="42" t="s">
        <v>348</v>
      </c>
      <c r="H12" s="42" t="s">
        <v>349</v>
      </c>
      <c r="I12" s="293" t="s">
        <v>350</v>
      </c>
      <c r="J12" s="43" t="s">
        <v>351</v>
      </c>
      <c r="K12" s="41" t="s">
        <v>352</v>
      </c>
      <c r="L12" s="293" t="s">
        <v>353</v>
      </c>
      <c r="M12" s="43" t="s">
        <v>354</v>
      </c>
    </row>
    <row r="13" spans="2:17" ht="40.15" customHeight="1">
      <c r="B13" s="508" t="s">
        <v>1155</v>
      </c>
      <c r="C13" s="44" t="s">
        <v>1156</v>
      </c>
      <c r="D13" s="45">
        <f>SUMIFS('0820 4度C'!$K:$K,'0820 4度C'!$A:$A,"新豐6線",'0820 4度C'!$B:$B,"平均")</f>
        <v>117.64705882352941</v>
      </c>
      <c r="E13" s="46">
        <f>SUMIFS('0820 4度C'!$K:$K,'0820 4度C'!$A:$A,"新豐2線",'0820 4度C'!$B:$B,"平均")</f>
        <v>83.333333333333329</v>
      </c>
      <c r="F13" s="47">
        <f>SUMIFS('0820 4度C'!$K:$K,'0820 4度C'!$A:$A,"新豐5線",'0820 4度C'!$B:$B,"平均")</f>
        <v>93.220338983050837</v>
      </c>
      <c r="G13" s="47">
        <f>SUMIFS('0820 4度C'!$K:$K,'0820 4度C'!$A:$A,"新豐7線",'0820 4度C'!$B:$B,"平均")</f>
        <v>116.50485436893203</v>
      </c>
      <c r="H13" s="47">
        <f>SUMIFS('0820 4度C'!$K:$K,'0820 4度C'!$A:$A,"新豐3線",'0820 4度C'!$B:$B,"平均")</f>
        <v>300</v>
      </c>
      <c r="I13" s="294">
        <f>SUMIFS('0820 4度C'!$K:$K,'0820 4度C'!$A:$A,"新豐1線",'0820 4度C'!$B:$B,"平均")</f>
        <v>114.4578313253012</v>
      </c>
      <c r="J13" s="48">
        <f>SUMIFS('0820 4度C'!$K:$K,'0820 4度C'!$A:$A,"新豐10線",'0820 4度C'!$B:$B,"平均")</f>
        <v>213.68421052631578</v>
      </c>
      <c r="K13" s="49">
        <f>SUMIFS('0820 4度C'!$K:$K,'0820 4度C'!$A:$A,"新豐8線",'0820 4度C'!$B:$B,"平均")</f>
        <v>139.80582524271844</v>
      </c>
      <c r="L13" s="301">
        <f>SUMIFS('0820 4度C'!$K:$K,'0820 4度C'!$A:$A,"新豐9線",'0820 4度C'!$B:$B,"平均")</f>
        <v>130.90909090909091</v>
      </c>
      <c r="M13" s="48">
        <f>SUMIFS('0820 4度C'!$K:$K,'0820 4度C'!$A:$A,"新豐4線",'0820 4度C'!$B:$B,"平均")</f>
        <v>139.13043478260869</v>
      </c>
    </row>
    <row r="14" spans="2:17" ht="39.6" customHeight="1">
      <c r="B14" s="508"/>
      <c r="C14" s="51" t="s">
        <v>1157</v>
      </c>
      <c r="D14" s="52">
        <f>SUMIFS('0820 4度C'!$N:$N,'0820 4度C'!$A:$A,"新豐6線",'0820 4度C'!$B:$B,"平均")</f>
        <v>109.88614800759007</v>
      </c>
      <c r="E14" s="53">
        <f>SUMIFS('0820 4度C'!$N:$N,'0820 4度C'!$A:$A,"新豐2線",'0820 4度C'!$B:$B,"平均")</f>
        <v>77.493659427104163</v>
      </c>
      <c r="F14" s="53">
        <f>SUMIFS('0820 4度C'!$N:$N,'0820 4度C'!$A:$A,"新豐5線",'0820 4度C'!$B:$B,"平均")</f>
        <v>86.995624715890628</v>
      </c>
      <c r="G14" s="53">
        <f>SUMIFS('0820 4度C'!$N:$N,'0820 4度C'!$A:$A,"新豐7線",'0820 4度C'!$B:$B,"平均")</f>
        <v>108.86190238382186</v>
      </c>
      <c r="H14" s="53">
        <f>SUMIFS('0820 4度C'!$N:$N,'0820 4度C'!$A:$A,"新豐3線",'0820 4度C'!$B:$B,"平均")</f>
        <v>279.91704683049267</v>
      </c>
      <c r="I14" s="295">
        <f>SUMIFS('0820 4度C'!$N:$N,'0820 4度C'!$A:$A,"新豐1線",'0820 4度C'!$B:$B,"平均")</f>
        <v>106.82884359295062</v>
      </c>
      <c r="J14" s="54">
        <f>SUMIFS('0820 4度C'!$N:$N,'0820 4度C'!$A:$A,"新豐10線",'0820 4度C'!$B:$B,"平均")</f>
        <v>199.89015368362277</v>
      </c>
      <c r="K14" s="55">
        <f>SUMIFS('0820 4度C'!$N:$N,'0820 4度C'!$A:$A,"新豐8線",'0820 4度C'!$B:$B,"平均")</f>
        <v>129.92401919336379</v>
      </c>
      <c r="L14" s="302">
        <f>SUMIFS('0820 4度C'!$N:$N,'0820 4度C'!$A:$A,"新豐9線",'0820 4度C'!$B:$B,"平均")</f>
        <v>121.65301684985832</v>
      </c>
      <c r="M14" s="54">
        <f>SUMIFS('0820 4度C'!$N:$N,'0820 4度C'!$A:$A,"新豐4線",'0820 4度C'!$B:$B,"平均")</f>
        <v>130.25980349501367</v>
      </c>
    </row>
    <row r="15" spans="2:17" ht="40.15" customHeight="1">
      <c r="B15" s="508"/>
      <c r="C15" s="57" t="s">
        <v>1158</v>
      </c>
      <c r="D15" s="58">
        <f>D14/D13</f>
        <v>0.93403225806451562</v>
      </c>
      <c r="E15" s="59">
        <f t="shared" ref="E15:M15" si="0">E14/E13</f>
        <v>0.92992391312525002</v>
      </c>
      <c r="F15" s="59">
        <f t="shared" si="0"/>
        <v>0.93322579240682679</v>
      </c>
      <c r="G15" s="59">
        <f t="shared" si="0"/>
        <v>0.93439799546113766</v>
      </c>
      <c r="H15" s="59">
        <f>H14/H13</f>
        <v>0.93305682276830892</v>
      </c>
      <c r="I15" s="296">
        <f>I14/I13</f>
        <v>0.93334673875946339</v>
      </c>
      <c r="J15" s="60">
        <f>J14/J13</f>
        <v>0.93544653201695394</v>
      </c>
      <c r="K15" s="58">
        <f>K14/K13</f>
        <v>0.92931763728586603</v>
      </c>
      <c r="L15" s="296">
        <f>L14/L13</f>
        <v>0.92929387871419555</v>
      </c>
      <c r="M15" s="60">
        <f t="shared" si="0"/>
        <v>0.93624233762041076</v>
      </c>
    </row>
    <row r="16" spans="2:17" ht="17.25" customHeight="1">
      <c r="B16" s="509" t="s">
        <v>1159</v>
      </c>
      <c r="C16" s="309" t="s">
        <v>1160</v>
      </c>
      <c r="D16" s="61">
        <f>VLOOKUP("新豐6線",'0820 4度C'!$A:$T,19,0)</f>
        <v>0.70833333333333337</v>
      </c>
      <c r="E16" s="24">
        <f>VLOOKUP("新豐2線",'0820 4度C'!$A:$T,19,0)</f>
        <v>0.125</v>
      </c>
      <c r="F16" s="24">
        <f>VLOOKUP("新豐5線",'0820 4度C'!$A:$T,19,0)</f>
        <v>0.25</v>
      </c>
      <c r="G16" s="24">
        <f>VLOOKUP("新豐7線",'0820 4度C'!$A:$T,19,0)</f>
        <v>0.20833333333333334</v>
      </c>
      <c r="H16" s="24">
        <f>VLOOKUP("新豐3線",'0820 4度C'!$A:$T,19,0)</f>
        <v>0.125</v>
      </c>
      <c r="I16" s="297">
        <f>VLOOKUP("新豐1線",'0820 4度C'!$A:$T,19,0)</f>
        <v>0.29166666666666669</v>
      </c>
      <c r="J16" s="62">
        <f>VLOOKUP("新豐10線",'0820 4度C'!$A:$T,19,0)</f>
        <v>0.125</v>
      </c>
      <c r="K16" s="63">
        <f>VLOOKUP("新豐8線",'0820 4度C'!$A:$T,19,0)</f>
        <v>0.125</v>
      </c>
      <c r="L16" s="303">
        <f>VLOOKUP("新豐9線",'0820 4度C'!$A:$T,19,0)</f>
        <v>8.3333333333333329E-2</v>
      </c>
      <c r="M16" s="65">
        <f>VLOOKUP("新豐4線",'0820 4度C'!$A:$T,19,0)</f>
        <v>0.125</v>
      </c>
    </row>
    <row r="17" spans="2:13" ht="17.25" customHeight="1">
      <c r="B17" s="493"/>
      <c r="C17" s="309" t="s">
        <v>1161</v>
      </c>
      <c r="D17" s="63">
        <f>LOOKUP(2,1/(('0820 4度C'!$A:$A="新豐6線")*('0820 4度C'!$T:$T&lt;&gt;"")),'0820 4度C'!$T:$T)</f>
        <v>0.82638888888888895</v>
      </c>
      <c r="E17" s="24">
        <f>LOOKUP(2,1/(('0820 4度C'!$A:$A="新豐2線")*('0820 4度C'!$T:$T&lt;&gt;"")),'0820 4度C'!$T:$T)</f>
        <v>0.65138888888888891</v>
      </c>
      <c r="F17" s="24">
        <f>LOOKUP(2,1/(('0820 4度C'!$A:$A="新豐5線")*('0820 4度C'!$T:$T&lt;&gt;"")),'0820 4度C'!$T:$T)</f>
        <v>0.84097222222222223</v>
      </c>
      <c r="G17" s="24">
        <f>LOOKUP(2,1/(('0820 4度C'!$A:$A="新豐7線")*('0820 4度C'!$T:$T&lt;&gt;"")),'0820 4度C'!$T:$T)</f>
        <v>0.81041666666666667</v>
      </c>
      <c r="H17" s="24">
        <f>LOOKUP(2,1/(('0820 4度C'!$A:$A="新豐3線")*('0820 4度C'!$T:$T&lt;&gt;"")),'0820 4度C'!$T:$T)</f>
        <v>0.61319444444444438</v>
      </c>
      <c r="I17" s="297">
        <f>LOOKUP(2,1/(('0820 4度C'!$A:$A="新豐1線")*('0820 4度C'!$T:$T&lt;&gt;"")),'0820 4度C'!$T:$T)</f>
        <v>0.84236111111111101</v>
      </c>
      <c r="J17" s="62">
        <f>LOOKUP(2,1/(('0820 4度C'!$A:$A="新豐10線")*('0820 4度C'!$T:$T&lt;&gt;"")),'0820 4度C'!$T:$T)</f>
        <v>0.58680555555555547</v>
      </c>
      <c r="K17" s="61">
        <f>LOOKUP(2,1/(('0820 4度C'!$A:$A="新豐8線")*('0820 4度C'!$T:$T&lt;&gt;"")),'0820 4度C'!$T:$T)</f>
        <v>0.63888888888888884</v>
      </c>
      <c r="L17" s="297">
        <f>LOOKUP(2,1/(('0820 4度C'!$A:$A="新豐9線")*('0820 4度C'!$T:$T&lt;&gt;"")),'0820 4度C'!$T:$T)</f>
        <v>0.71111111111111103</v>
      </c>
      <c r="M17" s="62">
        <f>LOOKUP(2,1/(('0820 4度C'!$A:$A="新豐4線")*('0820 4度C'!$T:$T&lt;&gt;"")),'0820 4度C'!$T:$T)</f>
        <v>0.70902777777777759</v>
      </c>
    </row>
    <row r="18" spans="2:13" ht="17.25" customHeight="1">
      <c r="B18" s="493" t="s">
        <v>91</v>
      </c>
      <c r="C18" s="494"/>
      <c r="D18" s="66">
        <f>SUMIFS('0820 4度C'!$I:$I,'0820 4度C'!$A:$A,"新豐6線",'0820 4度C'!$B:$B,"平均")</f>
        <v>17</v>
      </c>
      <c r="E18" s="67">
        <f>SUMIFS('0820 4度C'!$I:$I,'0820 4度C'!$A:$A,"新豐2線",'0820 4度C'!$B:$B,"平均")</f>
        <v>18</v>
      </c>
      <c r="F18" s="67">
        <f>SUMIFS('0820 4度C'!$I:$I,'0820 4度C'!$A:$A,"新豐5線",'0820 4度C'!$B:$B,"平均")</f>
        <v>19.666666666666668</v>
      </c>
      <c r="G18" s="67">
        <f>SUMIFS('0820 4度C'!$I:$I,'0820 4度C'!$A:$A,"新豐7線",'0820 4度C'!$B:$B,"平均")</f>
        <v>17.166666666666668</v>
      </c>
      <c r="H18" s="67">
        <f>SUMIFS('0820 4度C'!$I:$I,'0820 4度C'!$A:$A,"新豐3線",'0820 4度C'!$B:$B,"平均")</f>
        <v>10</v>
      </c>
      <c r="I18" s="298">
        <f>SUMIFS('0820 4度C'!$I:$I,'0820 4度C'!$A:$A,"新豐1線",'0820 4度C'!$B:$B,"平均")</f>
        <v>16.600000000000001</v>
      </c>
      <c r="J18" s="68">
        <f>SUMIFS('0820 4度C'!$I:$I,'0820 4度C'!$A:$A,"新豐10線",'0820 4度C'!$B:$B,"平均")</f>
        <v>11.875</v>
      </c>
      <c r="K18" s="66">
        <f>SUMIFS('0820 4度C'!$I:$I,'0820 4度C'!$A:$A,"新豐8線",'0820 4度C'!$B:$B,"平均")</f>
        <v>17.166666666666668</v>
      </c>
      <c r="L18" s="298">
        <f>SUMIFS('0820 4度C'!$I:$I,'0820 4度C'!$A:$A,"新豐9線",'0820 4度C'!$B:$B,"平均")</f>
        <v>18.333333333333332</v>
      </c>
      <c r="M18" s="68">
        <f>SUMIFS('0820 4度C'!$I:$I,'0820 4度C'!$A:$A,"新豐4線",'0820 4度C'!$B:$B,"平均")</f>
        <v>17.25</v>
      </c>
    </row>
    <row r="19" spans="2:13" ht="17.25" customHeight="1">
      <c r="B19" s="495" t="s">
        <v>1162</v>
      </c>
      <c r="C19" s="496"/>
      <c r="D19" s="69" t="s">
        <v>46</v>
      </c>
      <c r="E19" s="70" t="s">
        <v>47</v>
      </c>
      <c r="F19" s="70" t="s">
        <v>93</v>
      </c>
      <c r="G19" s="70" t="s">
        <v>1163</v>
      </c>
      <c r="H19" s="70" t="s">
        <v>48</v>
      </c>
      <c r="I19" s="299" t="s">
        <v>46</v>
      </c>
      <c r="J19" s="71" t="s">
        <v>48</v>
      </c>
      <c r="K19" s="69" t="s">
        <v>1164</v>
      </c>
      <c r="L19" s="299" t="s">
        <v>1165</v>
      </c>
      <c r="M19" s="71" t="s">
        <v>72</v>
      </c>
    </row>
    <row r="20" spans="2:13" ht="17.25" customHeight="1">
      <c r="B20" s="495" t="s">
        <v>1166</v>
      </c>
      <c r="C20" s="496"/>
      <c r="D20" s="69"/>
      <c r="E20" s="70"/>
      <c r="F20" s="70" t="s">
        <v>149</v>
      </c>
      <c r="G20" s="70" t="s">
        <v>46</v>
      </c>
      <c r="H20" s="70"/>
      <c r="I20" s="299"/>
      <c r="J20" s="71"/>
      <c r="K20" s="69"/>
      <c r="L20" s="299"/>
      <c r="M20" s="71"/>
    </row>
    <row r="21" spans="2:13" ht="17.25" customHeight="1" thickBot="1">
      <c r="B21" s="497" t="s">
        <v>94</v>
      </c>
      <c r="C21" s="498"/>
      <c r="D21" s="72"/>
      <c r="E21" s="73" t="s">
        <v>1167</v>
      </c>
      <c r="F21" s="499" t="s">
        <v>95</v>
      </c>
      <c r="G21" s="500"/>
      <c r="H21" s="73" t="s">
        <v>1168</v>
      </c>
      <c r="I21" s="300" t="s">
        <v>1169</v>
      </c>
      <c r="J21" s="74" t="s">
        <v>1168</v>
      </c>
      <c r="K21" s="75"/>
      <c r="L21" s="300"/>
      <c r="M21" s="74"/>
    </row>
    <row r="22" spans="2:13" ht="17.25" customHeight="1">
      <c r="F22" s="291"/>
      <c r="G22" s="291"/>
      <c r="H22" s="291"/>
      <c r="I22" s="291"/>
      <c r="J22" s="291"/>
      <c r="K22" s="291"/>
      <c r="L22" s="291"/>
    </row>
    <row r="23" spans="2:13" ht="17.25" customHeight="1">
      <c r="F23" s="291"/>
      <c r="G23" s="291"/>
      <c r="H23" s="291"/>
      <c r="I23" s="291"/>
      <c r="J23" s="291"/>
      <c r="K23" s="291"/>
      <c r="L23" s="291"/>
    </row>
    <row r="24" spans="2:13" ht="17.25" customHeight="1">
      <c r="F24" s="291"/>
      <c r="G24" s="291"/>
      <c r="H24" s="291"/>
      <c r="I24" s="291"/>
      <c r="J24" s="291"/>
      <c r="K24" s="291"/>
      <c r="L24" s="291"/>
    </row>
    <row r="25" spans="2:13" ht="37.5" customHeight="1">
      <c r="F25" s="291"/>
      <c r="G25" s="291"/>
      <c r="H25" s="291"/>
      <c r="I25" s="291"/>
      <c r="J25" s="291"/>
      <c r="K25" s="291"/>
      <c r="L25" s="291"/>
    </row>
    <row r="26" spans="2:13" ht="35.25" customHeight="1">
      <c r="F26" s="291"/>
      <c r="G26" s="291"/>
      <c r="H26" s="291"/>
      <c r="I26" s="291"/>
      <c r="J26" s="291"/>
      <c r="K26" s="291"/>
      <c r="L26" s="291"/>
    </row>
    <row r="27" spans="2:13" ht="35.25" customHeight="1">
      <c r="F27" s="291"/>
      <c r="G27" s="291"/>
      <c r="H27" s="291"/>
      <c r="I27" s="291"/>
      <c r="J27" s="291"/>
      <c r="K27" s="291"/>
      <c r="L27" s="291"/>
    </row>
    <row r="28" spans="2:13" ht="39.75" customHeight="1">
      <c r="F28" s="291"/>
      <c r="G28" s="291"/>
      <c r="H28" s="291"/>
      <c r="I28" s="291"/>
      <c r="J28" s="291"/>
      <c r="K28" s="291"/>
      <c r="L28" s="291"/>
    </row>
    <row r="29" spans="2:13">
      <c r="F29" s="291"/>
      <c r="G29" s="291"/>
      <c r="H29" s="291"/>
      <c r="I29" s="291"/>
      <c r="J29" s="291"/>
      <c r="K29" s="291"/>
      <c r="L29" s="291"/>
    </row>
    <row r="30" spans="2:13">
      <c r="F30" s="291"/>
      <c r="G30" s="291"/>
      <c r="H30" s="291"/>
      <c r="I30" s="291"/>
      <c r="J30" s="291"/>
      <c r="K30" s="291"/>
      <c r="L30" s="291"/>
    </row>
    <row r="31" spans="2:13">
      <c r="F31" s="291"/>
      <c r="G31" s="291"/>
      <c r="H31" s="291"/>
      <c r="I31" s="291"/>
      <c r="J31" s="291"/>
      <c r="K31" s="291"/>
      <c r="L31" s="291"/>
    </row>
    <row r="32" spans="2:13">
      <c r="F32" s="291"/>
      <c r="G32" s="291"/>
      <c r="H32" s="291"/>
      <c r="I32" s="291"/>
      <c r="J32" s="291"/>
      <c r="K32" s="291"/>
      <c r="L32" s="291"/>
    </row>
    <row r="33" spans="6:12">
      <c r="F33" s="291"/>
      <c r="G33" s="291"/>
      <c r="H33" s="291"/>
      <c r="I33" s="291"/>
      <c r="J33" s="291"/>
      <c r="K33" s="291"/>
      <c r="L33" s="291"/>
    </row>
    <row r="34" spans="6:12">
      <c r="F34" s="291"/>
      <c r="G34" s="291"/>
      <c r="H34" s="291"/>
      <c r="I34" s="291"/>
      <c r="J34" s="291"/>
      <c r="K34" s="291"/>
      <c r="L34" s="291"/>
    </row>
    <row r="35" spans="6:12">
      <c r="F35" s="291"/>
      <c r="G35" s="291"/>
      <c r="H35" s="291"/>
      <c r="I35" s="291"/>
      <c r="J35" s="291"/>
      <c r="K35" s="291"/>
      <c r="L35" s="291"/>
    </row>
    <row r="36" spans="6:12">
      <c r="F36" s="291"/>
      <c r="G36" s="291"/>
      <c r="H36" s="291"/>
      <c r="I36" s="291"/>
      <c r="J36" s="291"/>
      <c r="K36" s="291"/>
      <c r="L36" s="291"/>
    </row>
    <row r="37" spans="6:12">
      <c r="F37" s="291"/>
      <c r="G37" s="291"/>
      <c r="H37" s="291"/>
      <c r="I37" s="291"/>
      <c r="J37" s="291"/>
      <c r="K37" s="291"/>
      <c r="L37" s="291"/>
    </row>
    <row r="38" spans="6:12">
      <c r="F38" s="291"/>
      <c r="G38" s="291"/>
      <c r="H38" s="291"/>
      <c r="I38" s="291"/>
      <c r="J38" s="291"/>
      <c r="K38" s="291"/>
      <c r="L38" s="291"/>
    </row>
    <row r="39" spans="6:12">
      <c r="F39" s="291"/>
      <c r="G39" s="291"/>
      <c r="H39" s="291"/>
      <c r="I39" s="291"/>
      <c r="J39" s="291"/>
      <c r="K39" s="291"/>
      <c r="L39" s="291"/>
    </row>
    <row r="40" spans="6:12">
      <c r="F40" s="291"/>
      <c r="G40" s="291"/>
      <c r="H40" s="291"/>
      <c r="I40" s="291"/>
      <c r="J40" s="291"/>
      <c r="K40" s="291"/>
      <c r="L40" s="291"/>
    </row>
    <row r="41" spans="6:12">
      <c r="F41" s="291"/>
      <c r="G41" s="291"/>
      <c r="H41" s="291"/>
      <c r="I41" s="291"/>
      <c r="J41" s="291"/>
      <c r="K41" s="291"/>
      <c r="L41" s="291"/>
    </row>
    <row r="42" spans="6:12">
      <c r="F42" s="291"/>
      <c r="G42" s="291"/>
      <c r="H42" s="291"/>
      <c r="I42" s="291"/>
      <c r="J42" s="291"/>
      <c r="K42" s="291"/>
      <c r="L42" s="291"/>
    </row>
    <row r="43" spans="6:12">
      <c r="F43" s="291"/>
      <c r="G43" s="291"/>
      <c r="H43" s="291"/>
      <c r="I43" s="291"/>
      <c r="J43" s="291"/>
      <c r="K43" s="291"/>
      <c r="L43" s="291"/>
    </row>
    <row r="44" spans="6:12">
      <c r="F44" s="291"/>
      <c r="G44" s="291"/>
      <c r="H44" s="291"/>
      <c r="I44" s="291"/>
      <c r="J44" s="291"/>
      <c r="K44" s="291"/>
      <c r="L44" s="291"/>
    </row>
    <row r="45" spans="6:12">
      <c r="F45" s="291"/>
      <c r="G45" s="291"/>
      <c r="H45" s="291"/>
      <c r="I45" s="291"/>
      <c r="J45" s="291"/>
      <c r="K45" s="291"/>
      <c r="L45" s="291"/>
    </row>
    <row r="46" spans="6:12">
      <c r="F46" s="291"/>
      <c r="G46" s="291"/>
      <c r="H46" s="291"/>
      <c r="I46" s="291"/>
      <c r="J46" s="291"/>
      <c r="K46" s="291"/>
      <c r="L46" s="291"/>
    </row>
    <row r="47" spans="6:12">
      <c r="F47" s="291"/>
      <c r="G47" s="291"/>
      <c r="H47" s="291"/>
      <c r="I47" s="291"/>
      <c r="J47" s="291"/>
      <c r="K47" s="291"/>
      <c r="L47" s="291"/>
    </row>
    <row r="48" spans="6:12">
      <c r="F48" s="291"/>
      <c r="G48" s="291"/>
      <c r="H48" s="291"/>
      <c r="I48" s="291"/>
      <c r="J48" s="291"/>
      <c r="K48" s="291"/>
      <c r="L48" s="291"/>
    </row>
    <row r="49" spans="6:12">
      <c r="F49" s="291"/>
      <c r="G49" s="291"/>
      <c r="H49" s="291"/>
      <c r="I49" s="291"/>
      <c r="J49" s="291"/>
      <c r="K49" s="291"/>
      <c r="L49" s="291"/>
    </row>
    <row r="50" spans="6:12">
      <c r="F50" s="291"/>
      <c r="G50" s="291"/>
      <c r="H50" s="291"/>
      <c r="I50" s="291"/>
      <c r="J50" s="291"/>
      <c r="K50" s="291"/>
      <c r="L50" s="291"/>
    </row>
    <row r="51" spans="6:12">
      <c r="F51" s="291"/>
      <c r="G51" s="291"/>
      <c r="H51" s="291"/>
      <c r="I51" s="291"/>
      <c r="J51" s="291"/>
      <c r="K51" s="291"/>
      <c r="L51" s="291"/>
    </row>
    <row r="52" spans="6:12">
      <c r="F52" s="291"/>
      <c r="G52" s="291"/>
      <c r="H52" s="291"/>
      <c r="I52" s="291"/>
      <c r="J52" s="291"/>
      <c r="K52" s="291"/>
      <c r="L52" s="291"/>
    </row>
    <row r="53" spans="6:12">
      <c r="F53" s="291"/>
      <c r="G53" s="291"/>
      <c r="H53" s="291"/>
      <c r="I53" s="291"/>
      <c r="J53" s="291"/>
      <c r="K53" s="291"/>
      <c r="L53" s="291"/>
    </row>
    <row r="54" spans="6:12">
      <c r="F54" s="291"/>
      <c r="G54" s="291"/>
      <c r="H54" s="291"/>
      <c r="I54" s="291"/>
      <c r="J54" s="291"/>
      <c r="K54" s="291"/>
      <c r="L54" s="291"/>
    </row>
    <row r="55" spans="6:12">
      <c r="F55" s="291"/>
      <c r="G55" s="291"/>
      <c r="H55" s="291"/>
      <c r="I55" s="291"/>
      <c r="J55" s="291"/>
      <c r="K55" s="291"/>
      <c r="L55" s="291"/>
    </row>
    <row r="56" spans="6:12">
      <c r="F56" s="291"/>
      <c r="G56" s="291"/>
      <c r="H56" s="291"/>
      <c r="I56" s="291"/>
      <c r="J56" s="291"/>
      <c r="K56" s="291"/>
      <c r="L56" s="291"/>
    </row>
    <row r="57" spans="6:12">
      <c r="F57" s="291"/>
      <c r="G57" s="291"/>
      <c r="H57" s="291"/>
      <c r="I57" s="291"/>
      <c r="J57" s="291"/>
      <c r="K57" s="291"/>
      <c r="L57" s="291"/>
    </row>
    <row r="58" spans="6:12">
      <c r="F58" s="291"/>
      <c r="G58" s="291"/>
      <c r="H58" s="291"/>
      <c r="I58" s="291"/>
      <c r="J58" s="291"/>
      <c r="K58" s="291"/>
      <c r="L58" s="291"/>
    </row>
    <row r="59" spans="6:12">
      <c r="F59" s="291"/>
      <c r="G59" s="291"/>
      <c r="H59" s="291"/>
      <c r="I59" s="291"/>
      <c r="J59" s="291"/>
      <c r="K59" s="291"/>
      <c r="L59" s="291"/>
    </row>
    <row r="60" spans="6:12">
      <c r="F60" s="291"/>
      <c r="G60" s="291"/>
      <c r="H60" s="291"/>
      <c r="I60" s="291"/>
      <c r="J60" s="291"/>
      <c r="K60" s="291"/>
      <c r="L60" s="291"/>
    </row>
    <row r="61" spans="6:12">
      <c r="F61" s="291"/>
      <c r="G61" s="291"/>
      <c r="H61" s="291"/>
      <c r="I61" s="291"/>
      <c r="J61" s="291"/>
      <c r="K61" s="291"/>
      <c r="L61" s="291"/>
    </row>
    <row r="62" spans="6:12">
      <c r="F62" s="291"/>
      <c r="G62" s="291"/>
      <c r="H62" s="291"/>
      <c r="I62" s="291"/>
      <c r="J62" s="291"/>
      <c r="K62" s="291"/>
      <c r="L62" s="291"/>
    </row>
    <row r="63" spans="6:12">
      <c r="F63" s="291"/>
      <c r="G63" s="291"/>
      <c r="H63" s="291"/>
      <c r="I63" s="291"/>
      <c r="J63" s="291"/>
      <c r="K63" s="291"/>
      <c r="L63" s="291"/>
    </row>
    <row r="64" spans="6:12">
      <c r="F64" s="291"/>
      <c r="G64" s="291"/>
      <c r="H64" s="291"/>
      <c r="I64" s="291"/>
      <c r="J64" s="291"/>
      <c r="K64" s="291"/>
      <c r="L64" s="291"/>
    </row>
    <row r="65" spans="6:12">
      <c r="F65" s="291"/>
      <c r="G65" s="291"/>
      <c r="H65" s="291"/>
      <c r="I65" s="291"/>
      <c r="J65" s="291"/>
      <c r="K65" s="291"/>
      <c r="L65" s="291"/>
    </row>
    <row r="66" spans="6:12">
      <c r="F66" s="291"/>
      <c r="G66" s="291"/>
      <c r="H66" s="291"/>
      <c r="I66" s="291"/>
      <c r="J66" s="291"/>
      <c r="K66" s="291"/>
      <c r="L66" s="291"/>
    </row>
    <row r="67" spans="6:12">
      <c r="F67" s="291"/>
      <c r="G67" s="291"/>
      <c r="H67" s="291"/>
      <c r="I67" s="291"/>
      <c r="J67" s="291"/>
      <c r="K67" s="291"/>
      <c r="L67" s="291"/>
    </row>
    <row r="68" spans="6:12">
      <c r="F68" s="291"/>
      <c r="G68" s="291"/>
      <c r="H68" s="291"/>
      <c r="I68" s="291"/>
      <c r="J68" s="291"/>
      <c r="K68" s="291"/>
      <c r="L68" s="291"/>
    </row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115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2">
    <pageSetUpPr fitToPage="1"/>
  </sheetPr>
  <dimension ref="A1:AC75"/>
  <sheetViews>
    <sheetView zoomScale="80" zoomScaleNormal="80" workbookViewId="0">
      <pane ySplit="4" topLeftCell="A49" activePane="bottomLeft" state="frozen"/>
      <selection activeCell="K3" sqref="K3:K4"/>
      <selection pane="bottomLeft" activeCell="B64" sqref="B64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5" bestFit="1" customWidth="1"/>
    <col min="20" max="20" width="7.625" style="5" bestFit="1" customWidth="1"/>
    <col min="21" max="21" width="10.25" style="5" bestFit="1" customWidth="1"/>
    <col min="22" max="22" width="8.75" style="21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112</v>
      </c>
      <c r="B1" s="1"/>
      <c r="C1" s="2" t="s">
        <v>96</v>
      </c>
      <c r="D1" s="3">
        <f>SUM(F5:F74)</f>
        <v>180887</v>
      </c>
      <c r="E1" s="312" t="s">
        <v>1121</v>
      </c>
      <c r="F1" s="1">
        <f>SUM(G5:G74)</f>
        <v>6333786.3600000003</v>
      </c>
      <c r="G1" s="1" t="s">
        <v>153</v>
      </c>
      <c r="H1" s="4">
        <f>L8+L13+L50+L56+L17+L65+L31+L41+L24+L74</f>
        <v>163.05833333333334</v>
      </c>
      <c r="I1" s="572" t="s">
        <v>114</v>
      </c>
      <c r="J1" s="572"/>
      <c r="K1" s="572"/>
      <c r="L1" s="572" t="s">
        <v>154</v>
      </c>
      <c r="M1" s="572"/>
      <c r="N1" s="572"/>
      <c r="O1" s="572" t="s">
        <v>97</v>
      </c>
      <c r="P1" s="572"/>
      <c r="Q1" s="572"/>
      <c r="R1" s="572"/>
      <c r="S1" s="572" t="s">
        <v>98</v>
      </c>
      <c r="T1" s="572"/>
      <c r="U1" s="572"/>
      <c r="V1" s="572"/>
      <c r="W1" s="572"/>
      <c r="X1" s="572"/>
      <c r="Y1" s="572" t="s">
        <v>115</v>
      </c>
      <c r="Z1" s="572"/>
      <c r="AA1" s="572" t="s">
        <v>155</v>
      </c>
      <c r="AB1" s="573"/>
      <c r="AC1" s="573"/>
    </row>
    <row r="2" spans="1:29" ht="26.25" customHeight="1">
      <c r="A2" s="22">
        <v>45889</v>
      </c>
      <c r="B2" s="23" t="s">
        <v>336</v>
      </c>
      <c r="C2" s="2" t="s">
        <v>116</v>
      </c>
      <c r="D2" s="6">
        <f>AVERAGE(N8,N13,N50,N56,N17,N65,N24,N31,N41,N74)</f>
        <v>135.17102181797085</v>
      </c>
      <c r="E2" s="7" t="s">
        <v>0</v>
      </c>
      <c r="F2" s="8">
        <f>F1/D1</f>
        <v>35.015155096828408</v>
      </c>
      <c r="G2" s="1" t="s">
        <v>1122</v>
      </c>
      <c r="H2" s="321">
        <f>COUNT(H5:H74)</f>
        <v>9</v>
      </c>
      <c r="I2" s="572"/>
      <c r="J2" s="572"/>
      <c r="K2" s="572"/>
      <c r="L2" s="572"/>
      <c r="M2" s="572"/>
      <c r="N2" s="572"/>
      <c r="O2" s="572"/>
      <c r="P2" s="572"/>
      <c r="Q2" s="572"/>
      <c r="R2" s="572"/>
      <c r="S2" s="572"/>
      <c r="T2" s="572"/>
      <c r="U2" s="572"/>
      <c r="V2" s="572"/>
      <c r="W2" s="572"/>
      <c r="X2" s="572"/>
      <c r="Y2" s="572"/>
      <c r="Z2" s="572"/>
      <c r="AA2" s="573"/>
      <c r="AB2" s="573"/>
      <c r="AC2" s="573"/>
    </row>
    <row r="3" spans="1:29" ht="23.25" customHeight="1">
      <c r="A3" s="528" t="s">
        <v>156</v>
      </c>
      <c r="B3" s="528" t="s">
        <v>118</v>
      </c>
      <c r="C3" s="528" t="s">
        <v>119</v>
      </c>
      <c r="D3" s="528"/>
      <c r="E3" s="570" t="s">
        <v>157</v>
      </c>
      <c r="F3" s="528" t="s">
        <v>120</v>
      </c>
      <c r="G3" s="570" t="s">
        <v>158</v>
      </c>
      <c r="H3" s="563" t="s">
        <v>99</v>
      </c>
      <c r="I3" s="561" t="s">
        <v>101</v>
      </c>
      <c r="J3" s="566" t="s">
        <v>100</v>
      </c>
      <c r="K3" s="568" t="s">
        <v>116</v>
      </c>
      <c r="L3" s="561" t="s">
        <v>101</v>
      </c>
      <c r="M3" s="566" t="s">
        <v>100</v>
      </c>
      <c r="N3" s="568" t="s">
        <v>116</v>
      </c>
      <c r="O3" s="561" t="s">
        <v>101</v>
      </c>
      <c r="P3" s="568" t="s">
        <v>116</v>
      </c>
      <c r="Q3" s="567" t="s">
        <v>102</v>
      </c>
      <c r="R3" s="542" t="s">
        <v>86</v>
      </c>
      <c r="S3" s="528" t="s">
        <v>1</v>
      </c>
      <c r="T3" s="528"/>
      <c r="U3" s="563" t="s">
        <v>2</v>
      </c>
      <c r="V3" s="563" t="s">
        <v>1123</v>
      </c>
      <c r="W3" s="528" t="s">
        <v>1124</v>
      </c>
      <c r="X3" s="528"/>
      <c r="Y3" s="564" t="s">
        <v>161</v>
      </c>
      <c r="Z3" s="565"/>
      <c r="AA3" s="566" t="s">
        <v>1125</v>
      </c>
      <c r="AB3" s="567" t="s">
        <v>1126</v>
      </c>
      <c r="AC3" s="542" t="s">
        <v>1127</v>
      </c>
    </row>
    <row r="4" spans="1:29">
      <c r="A4" s="528"/>
      <c r="B4" s="528"/>
      <c r="C4" s="528"/>
      <c r="D4" s="528"/>
      <c r="E4" s="571"/>
      <c r="F4" s="528"/>
      <c r="G4" s="571"/>
      <c r="H4" s="563"/>
      <c r="I4" s="561"/>
      <c r="J4" s="566"/>
      <c r="K4" s="568"/>
      <c r="L4" s="561"/>
      <c r="M4" s="566"/>
      <c r="N4" s="568"/>
      <c r="O4" s="561"/>
      <c r="P4" s="568"/>
      <c r="Q4" s="567"/>
      <c r="R4" s="542"/>
      <c r="S4" s="312" t="s">
        <v>3</v>
      </c>
      <c r="T4" s="312" t="s">
        <v>4</v>
      </c>
      <c r="U4" s="563"/>
      <c r="V4" s="563"/>
      <c r="W4" s="312" t="s">
        <v>1128</v>
      </c>
      <c r="X4" s="312" t="s">
        <v>1129</v>
      </c>
      <c r="Y4" s="565"/>
      <c r="Z4" s="565"/>
      <c r="AA4" s="566"/>
      <c r="AB4" s="567"/>
      <c r="AC4" s="542"/>
    </row>
    <row r="5" spans="1:29">
      <c r="A5" s="560" t="s">
        <v>1130</v>
      </c>
      <c r="B5" s="26" t="s">
        <v>13</v>
      </c>
      <c r="C5" s="562" t="s">
        <v>53</v>
      </c>
      <c r="D5" s="562"/>
      <c r="E5" s="26">
        <v>46.93</v>
      </c>
      <c r="F5" s="322">
        <v>965</v>
      </c>
      <c r="G5" s="312">
        <f>E5*F5</f>
        <v>45287.45</v>
      </c>
      <c r="H5" s="323" t="s">
        <v>52</v>
      </c>
      <c r="I5" s="319">
        <v>17</v>
      </c>
      <c r="J5" s="18">
        <v>2000</v>
      </c>
      <c r="K5" s="9">
        <f>J5/I5</f>
        <v>117.64705882352941</v>
      </c>
      <c r="L5" s="319">
        <v>17</v>
      </c>
      <c r="M5" s="10">
        <f>F5/V5*60</f>
        <v>1867.741935483868</v>
      </c>
      <c r="N5" s="9">
        <f>M5/L5</f>
        <v>109.86717267552164</v>
      </c>
      <c r="O5" s="11">
        <f t="shared" ref="O5:O7" si="0">L5-I5</f>
        <v>0</v>
      </c>
      <c r="P5" s="12">
        <f t="shared" ref="P5:P7" si="1">N5-K5</f>
        <v>-7.7798861480077619</v>
      </c>
      <c r="Q5" s="311">
        <f>N5/K5</f>
        <v>0.93387096774193401</v>
      </c>
      <c r="R5" s="533">
        <f>Q8</f>
        <v>0.93403225806451562</v>
      </c>
      <c r="S5" s="24">
        <v>0.70833333333333337</v>
      </c>
      <c r="T5" s="24">
        <v>0.72986111111111118</v>
      </c>
      <c r="U5" s="312"/>
      <c r="V5" s="320">
        <f>(T5-S5)*24*60</f>
        <v>31.00000000000005</v>
      </c>
      <c r="W5" s="14"/>
      <c r="X5" s="13"/>
      <c r="Y5" s="528"/>
      <c r="Z5" s="528"/>
      <c r="AA5" s="11">
        <f t="shared" ref="AA5:AA68" si="2">M5-J5</f>
        <v>-132.25806451613198</v>
      </c>
      <c r="AB5" s="311">
        <f t="shared" ref="AB5:AB7" si="3">M5/J5</f>
        <v>0.93387096774193401</v>
      </c>
      <c r="AC5" s="533">
        <f>AB8</f>
        <v>0.93403225806451551</v>
      </c>
    </row>
    <row r="6" spans="1:29">
      <c r="A6" s="561" t="s">
        <v>1131</v>
      </c>
      <c r="B6" s="26" t="s">
        <v>13</v>
      </c>
      <c r="C6" s="562" t="s">
        <v>55</v>
      </c>
      <c r="D6" s="562"/>
      <c r="E6" s="26">
        <v>50.49</v>
      </c>
      <c r="F6" s="322">
        <v>2046</v>
      </c>
      <c r="G6" s="312">
        <f t="shared" ref="G6:G7" si="4">E6*F6</f>
        <v>103302.54000000001</v>
      </c>
      <c r="H6" s="323" t="s">
        <v>52</v>
      </c>
      <c r="I6" s="319">
        <v>16</v>
      </c>
      <c r="J6" s="18">
        <v>2000</v>
      </c>
      <c r="K6" s="9">
        <f t="shared" ref="K6:K7" si="5">J6/I6</f>
        <v>125</v>
      </c>
      <c r="L6" s="319">
        <v>16</v>
      </c>
      <c r="M6" s="10">
        <f>F6/V6*60</f>
        <v>1859.9999999999977</v>
      </c>
      <c r="N6" s="9">
        <f t="shared" ref="N6:N7" si="6">M6/L6</f>
        <v>116.24999999999986</v>
      </c>
      <c r="O6" s="11">
        <f t="shared" si="0"/>
        <v>0</v>
      </c>
      <c r="P6" s="12">
        <f t="shared" si="1"/>
        <v>-8.7500000000001421</v>
      </c>
      <c r="Q6" s="311">
        <f t="shared" ref="Q6:Q7" si="7">N6/K6</f>
        <v>0.92999999999999883</v>
      </c>
      <c r="R6" s="533"/>
      <c r="S6" s="24">
        <v>0.73333333333333339</v>
      </c>
      <c r="T6" s="24">
        <v>0.77916666666666679</v>
      </c>
      <c r="U6" s="312">
        <f>(S6-T5)*24*60</f>
        <v>4.9999999999999822</v>
      </c>
      <c r="V6" s="320">
        <f>(T6-S6)*24*60</f>
        <v>66.000000000000085</v>
      </c>
      <c r="W6" s="14"/>
      <c r="X6" s="14"/>
      <c r="Y6" s="528"/>
      <c r="Z6" s="528"/>
      <c r="AA6" s="11">
        <f t="shared" si="2"/>
        <v>-140.00000000000227</v>
      </c>
      <c r="AB6" s="311">
        <f t="shared" si="3"/>
        <v>0.92999999999999883</v>
      </c>
      <c r="AC6" s="533"/>
    </row>
    <row r="7" spans="1:29">
      <c r="A7" s="561" t="s">
        <v>415</v>
      </c>
      <c r="B7" s="26" t="s">
        <v>13</v>
      </c>
      <c r="C7" s="558" t="s">
        <v>76</v>
      </c>
      <c r="D7" s="559"/>
      <c r="E7" s="26">
        <v>50.67</v>
      </c>
      <c r="F7" s="322">
        <v>1939</v>
      </c>
      <c r="G7" s="312">
        <f t="shared" si="4"/>
        <v>98249.13</v>
      </c>
      <c r="H7" s="323" t="s">
        <v>52</v>
      </c>
      <c r="I7" s="319">
        <v>18</v>
      </c>
      <c r="J7" s="18">
        <v>2000</v>
      </c>
      <c r="K7" s="9">
        <f t="shared" si="5"/>
        <v>111.11111111111111</v>
      </c>
      <c r="L7" s="319">
        <v>18</v>
      </c>
      <c r="M7" s="10">
        <f t="shared" ref="M7" si="8">F7/V7*60</f>
        <v>1876.4516129032274</v>
      </c>
      <c r="N7" s="9">
        <f t="shared" si="6"/>
        <v>104.24731182795708</v>
      </c>
      <c r="O7" s="11">
        <f t="shared" si="0"/>
        <v>0</v>
      </c>
      <c r="P7" s="12">
        <f t="shared" si="1"/>
        <v>-6.8637992831540373</v>
      </c>
      <c r="Q7" s="311">
        <f t="shared" si="7"/>
        <v>0.93822580645161369</v>
      </c>
      <c r="R7" s="533"/>
      <c r="S7" s="24">
        <v>0.78333333333333344</v>
      </c>
      <c r="T7" s="24">
        <v>0.82638888888888895</v>
      </c>
      <c r="U7" s="312">
        <f t="shared" ref="U7" si="9">(S7-T6)*24*60</f>
        <v>5.9999999999999787</v>
      </c>
      <c r="V7" s="320">
        <f t="shared" ref="V7" si="10">(T7-S7)*24*60</f>
        <v>61.999999999999943</v>
      </c>
      <c r="W7" s="14"/>
      <c r="X7" s="14"/>
      <c r="Y7" s="536"/>
      <c r="Z7" s="537"/>
      <c r="AA7" s="11">
        <f t="shared" si="2"/>
        <v>-123.54838709677256</v>
      </c>
      <c r="AB7" s="311">
        <f t="shared" si="3"/>
        <v>0.93822580645161369</v>
      </c>
      <c r="AC7" s="533"/>
    </row>
    <row r="8" spans="1:29">
      <c r="A8" s="561" t="s">
        <v>415</v>
      </c>
      <c r="B8" s="26" t="s">
        <v>82</v>
      </c>
      <c r="C8" s="530"/>
      <c r="D8" s="530"/>
      <c r="E8" s="313"/>
      <c r="F8" s="16"/>
      <c r="G8" s="9"/>
      <c r="H8" s="322"/>
      <c r="I8" s="17">
        <v>17</v>
      </c>
      <c r="J8" s="18">
        <v>2000</v>
      </c>
      <c r="K8" s="9">
        <f>J8/I8</f>
        <v>117.64705882352941</v>
      </c>
      <c r="L8" s="17">
        <v>17</v>
      </c>
      <c r="M8" s="10">
        <f>AVERAGE(M5:M7)</f>
        <v>1868.0645161290311</v>
      </c>
      <c r="N8" s="9">
        <f>M8/L8</f>
        <v>109.88614800759007</v>
      </c>
      <c r="O8" s="11">
        <f>L8-I8</f>
        <v>0</v>
      </c>
      <c r="P8" s="12">
        <f>N8-K8</f>
        <v>-7.7609108159393401</v>
      </c>
      <c r="Q8" s="311">
        <f>N8/K8</f>
        <v>0.93403225806451562</v>
      </c>
      <c r="R8" s="533"/>
      <c r="S8" s="24"/>
      <c r="T8" s="24"/>
      <c r="U8" s="312"/>
      <c r="V8" s="320"/>
      <c r="W8" s="9"/>
      <c r="X8" s="9"/>
      <c r="Y8" s="528"/>
      <c r="Z8" s="528"/>
      <c r="AA8" s="11">
        <f t="shared" si="2"/>
        <v>-131.93548387096894</v>
      </c>
      <c r="AB8" s="311">
        <f>M8/J8</f>
        <v>0.93403225806451551</v>
      </c>
      <c r="AC8" s="533"/>
    </row>
    <row r="9" spans="1:29" ht="15.75" customHeight="1">
      <c r="A9" s="531" t="s">
        <v>464</v>
      </c>
      <c r="B9" s="26" t="s">
        <v>15</v>
      </c>
      <c r="C9" s="558" t="s">
        <v>16</v>
      </c>
      <c r="D9" s="559"/>
      <c r="E9" s="26">
        <v>39.619999999999997</v>
      </c>
      <c r="F9" s="322">
        <v>4852</v>
      </c>
      <c r="G9" s="312">
        <f t="shared" ref="G9:G12" si="11">E9*F9</f>
        <v>192236.24</v>
      </c>
      <c r="H9" s="323" t="s">
        <v>52</v>
      </c>
      <c r="I9" s="319">
        <v>19</v>
      </c>
      <c r="J9" s="18">
        <v>1500</v>
      </c>
      <c r="K9" s="9">
        <f t="shared" ref="K9:K12" si="12">J9/I9</f>
        <v>78.94736842105263</v>
      </c>
      <c r="L9" s="319">
        <v>19</v>
      </c>
      <c r="M9" s="10">
        <f t="shared" ref="M9:M12" si="13">F9/V9*60</f>
        <v>1392.9186602870811</v>
      </c>
      <c r="N9" s="9">
        <f t="shared" ref="N9:N12" si="14">M9/L9</f>
        <v>73.311508436162171</v>
      </c>
      <c r="O9" s="11">
        <f t="shared" ref="O9:O12" si="15">L9-I9</f>
        <v>0</v>
      </c>
      <c r="P9" s="12">
        <f>N9-K9</f>
        <v>-5.6358599848904589</v>
      </c>
      <c r="Q9" s="311">
        <f>N9/K9</f>
        <v>0.92861244019138756</v>
      </c>
      <c r="R9" s="533">
        <f>Q13</f>
        <v>0.92992391312525002</v>
      </c>
      <c r="S9" s="24">
        <v>0.125</v>
      </c>
      <c r="T9" s="24">
        <v>0.27013888888888893</v>
      </c>
      <c r="U9" s="312"/>
      <c r="V9" s="320">
        <f t="shared" ref="V9:V12" si="16">(T9-S9)*24*60</f>
        <v>209.00000000000006</v>
      </c>
      <c r="W9" s="14">
        <f>T9</f>
        <v>0.27013888888888893</v>
      </c>
      <c r="X9" s="14">
        <f>S10</f>
        <v>0.28958333333333336</v>
      </c>
      <c r="Y9" s="528"/>
      <c r="Z9" s="528"/>
      <c r="AA9" s="11">
        <f t="shared" si="2"/>
        <v>-107.08133971291886</v>
      </c>
      <c r="AB9" s="311">
        <f>M9/J9</f>
        <v>0.92861244019138744</v>
      </c>
      <c r="AC9" s="533">
        <f>AB13</f>
        <v>0.92992391312524991</v>
      </c>
    </row>
    <row r="10" spans="1:29" ht="15.75" customHeight="1">
      <c r="A10" s="531" t="s">
        <v>464</v>
      </c>
      <c r="B10" s="26" t="s">
        <v>15</v>
      </c>
      <c r="C10" s="558" t="s">
        <v>17</v>
      </c>
      <c r="D10" s="559"/>
      <c r="E10" s="26">
        <v>39.799999999999997</v>
      </c>
      <c r="F10" s="322">
        <v>2700</v>
      </c>
      <c r="G10" s="312">
        <f t="shared" si="11"/>
        <v>107459.99999999999</v>
      </c>
      <c r="H10" s="323">
        <v>2</v>
      </c>
      <c r="I10" s="319">
        <v>17</v>
      </c>
      <c r="J10" s="18">
        <v>1500</v>
      </c>
      <c r="K10" s="9">
        <f t="shared" si="12"/>
        <v>88.235294117647058</v>
      </c>
      <c r="L10" s="319">
        <v>17</v>
      </c>
      <c r="M10" s="10">
        <f t="shared" si="13"/>
        <v>1396.5517241379312</v>
      </c>
      <c r="N10" s="9">
        <f t="shared" si="14"/>
        <v>82.150101419878297</v>
      </c>
      <c r="O10" s="11">
        <f t="shared" si="15"/>
        <v>0</v>
      </c>
      <c r="P10" s="12">
        <f t="shared" ref="P10:P12" si="17">N10-K10</f>
        <v>-6.0851926977687611</v>
      </c>
      <c r="Q10" s="311">
        <f t="shared" ref="Q10:Q12" si="18">N10/K10</f>
        <v>0.93103448275862066</v>
      </c>
      <c r="R10" s="533"/>
      <c r="S10" s="24">
        <v>0.28958333333333336</v>
      </c>
      <c r="T10" s="24">
        <v>0.37013888888888891</v>
      </c>
      <c r="U10" s="312">
        <f>(S10-T9)*24*60</f>
        <v>27.999999999999979</v>
      </c>
      <c r="V10" s="320">
        <f t="shared" si="16"/>
        <v>115.99999999999999</v>
      </c>
      <c r="W10" s="14"/>
      <c r="X10" s="14"/>
      <c r="Y10" s="528"/>
      <c r="Z10" s="528"/>
      <c r="AA10" s="11">
        <f t="shared" si="2"/>
        <v>-103.44827586206884</v>
      </c>
      <c r="AB10" s="311">
        <f t="shared" ref="AB10:AB24" si="19">M10/J10</f>
        <v>0.93103448275862077</v>
      </c>
      <c r="AC10" s="533"/>
    </row>
    <row r="11" spans="1:29" ht="15.75" customHeight="1">
      <c r="A11" s="531" t="s">
        <v>464</v>
      </c>
      <c r="B11" s="26" t="s">
        <v>15</v>
      </c>
      <c r="C11" s="558" t="s">
        <v>80</v>
      </c>
      <c r="D11" s="559"/>
      <c r="E11" s="26">
        <v>39.29</v>
      </c>
      <c r="F11" s="322">
        <v>3922</v>
      </c>
      <c r="G11" s="312">
        <f t="shared" si="11"/>
        <v>154095.38</v>
      </c>
      <c r="H11" s="323" t="s">
        <v>52</v>
      </c>
      <c r="I11" s="319">
        <v>19</v>
      </c>
      <c r="J11" s="18">
        <v>1500</v>
      </c>
      <c r="K11" s="9">
        <f t="shared" si="12"/>
        <v>78.94736842105263</v>
      </c>
      <c r="L11" s="319">
        <v>19</v>
      </c>
      <c r="M11" s="10">
        <f t="shared" si="13"/>
        <v>1392.4260355029583</v>
      </c>
      <c r="N11" s="9">
        <f t="shared" si="14"/>
        <v>73.285580815945167</v>
      </c>
      <c r="O11" s="11">
        <f t="shared" si="15"/>
        <v>0</v>
      </c>
      <c r="P11" s="12">
        <f t="shared" si="17"/>
        <v>-5.6617876051074632</v>
      </c>
      <c r="Q11" s="311">
        <f t="shared" si="18"/>
        <v>0.92828402366863882</v>
      </c>
      <c r="R11" s="533"/>
      <c r="S11" s="24">
        <v>0.37430555555555556</v>
      </c>
      <c r="T11" s="24">
        <v>0.4916666666666667</v>
      </c>
      <c r="U11" s="312">
        <f t="shared" ref="U11:U12" si="20">(S11-T10)*24*60</f>
        <v>5.9999999999999787</v>
      </c>
      <c r="V11" s="320">
        <f t="shared" si="16"/>
        <v>169.00000000000003</v>
      </c>
      <c r="W11" s="14">
        <f>T11</f>
        <v>0.4916666666666667</v>
      </c>
      <c r="X11" s="14">
        <f>S12</f>
        <v>0.53333333333333333</v>
      </c>
      <c r="Y11" s="528"/>
      <c r="Z11" s="528"/>
      <c r="AA11" s="11">
        <f t="shared" si="2"/>
        <v>-107.57396449704174</v>
      </c>
      <c r="AB11" s="311">
        <f t="shared" si="19"/>
        <v>0.92828402366863882</v>
      </c>
      <c r="AC11" s="533"/>
    </row>
    <row r="12" spans="1:29" ht="15.75" customHeight="1">
      <c r="A12" s="531" t="s">
        <v>464</v>
      </c>
      <c r="B12" s="26" t="s">
        <v>15</v>
      </c>
      <c r="C12" s="558" t="s">
        <v>17</v>
      </c>
      <c r="D12" s="559"/>
      <c r="E12" s="26">
        <v>39.799999999999997</v>
      </c>
      <c r="F12" s="322">
        <v>3960</v>
      </c>
      <c r="G12" s="312">
        <f t="shared" si="11"/>
        <v>157608</v>
      </c>
      <c r="H12" s="323" t="s">
        <v>52</v>
      </c>
      <c r="I12" s="319">
        <v>17</v>
      </c>
      <c r="J12" s="18">
        <v>1500</v>
      </c>
      <c r="K12" s="9">
        <f t="shared" si="12"/>
        <v>88.235294117647058</v>
      </c>
      <c r="L12" s="319">
        <v>17</v>
      </c>
      <c r="M12" s="10">
        <f t="shared" si="13"/>
        <v>1397.6470588235291</v>
      </c>
      <c r="N12" s="9">
        <f t="shared" si="14"/>
        <v>82.214532871972295</v>
      </c>
      <c r="O12" s="11">
        <f t="shared" si="15"/>
        <v>0</v>
      </c>
      <c r="P12" s="12">
        <f t="shared" si="17"/>
        <v>-6.0207612456747626</v>
      </c>
      <c r="Q12" s="311">
        <f t="shared" si="18"/>
        <v>0.93176470588235272</v>
      </c>
      <c r="R12" s="533"/>
      <c r="S12" s="24">
        <v>0.53333333333333333</v>
      </c>
      <c r="T12" s="24">
        <v>0.65138888888888891</v>
      </c>
      <c r="U12" s="312">
        <f t="shared" si="20"/>
        <v>59.999999999999943</v>
      </c>
      <c r="V12" s="320">
        <f t="shared" si="16"/>
        <v>170.00000000000003</v>
      </c>
      <c r="W12" s="14"/>
      <c r="X12" s="14"/>
      <c r="Y12" s="528"/>
      <c r="Z12" s="528"/>
      <c r="AA12" s="11">
        <f t="shared" si="2"/>
        <v>-102.35294117647095</v>
      </c>
      <c r="AB12" s="311">
        <f t="shared" si="19"/>
        <v>0.93176470588235272</v>
      </c>
      <c r="AC12" s="533"/>
    </row>
    <row r="13" spans="1:29" ht="16.5" customHeight="1">
      <c r="A13" s="531" t="s">
        <v>464</v>
      </c>
      <c r="B13" s="26" t="s">
        <v>82</v>
      </c>
      <c r="C13" s="530"/>
      <c r="D13" s="530"/>
      <c r="E13" s="313"/>
      <c r="F13" s="18"/>
      <c r="G13" s="10"/>
      <c r="H13" s="322"/>
      <c r="I13" s="17">
        <v>18</v>
      </c>
      <c r="J13" s="18">
        <v>1500</v>
      </c>
      <c r="K13" s="9">
        <f>J13/I13</f>
        <v>83.333333333333329</v>
      </c>
      <c r="L13" s="17">
        <v>18</v>
      </c>
      <c r="M13" s="10">
        <f>AVERAGE(M9:M12)</f>
        <v>1394.8858696878749</v>
      </c>
      <c r="N13" s="9">
        <f>M13/L13</f>
        <v>77.493659427104163</v>
      </c>
      <c r="O13" s="11">
        <f>L13-I13</f>
        <v>0</v>
      </c>
      <c r="P13" s="12">
        <f>N13-K13</f>
        <v>-5.8396739062291658</v>
      </c>
      <c r="Q13" s="311">
        <f>N13/K13</f>
        <v>0.92992391312525002</v>
      </c>
      <c r="R13" s="533"/>
      <c r="S13" s="24"/>
      <c r="T13" s="24"/>
      <c r="U13" s="9"/>
      <c r="V13" s="320"/>
      <c r="W13" s="9"/>
      <c r="X13" s="9"/>
      <c r="Y13" s="528"/>
      <c r="Z13" s="528"/>
      <c r="AA13" s="11">
        <f t="shared" si="2"/>
        <v>-105.1141303121251</v>
      </c>
      <c r="AB13" s="311">
        <f t="shared" si="19"/>
        <v>0.92992391312524991</v>
      </c>
      <c r="AC13" s="533"/>
    </row>
    <row r="14" spans="1:29" ht="16.5" customHeight="1">
      <c r="A14" s="556" t="s">
        <v>468</v>
      </c>
      <c r="B14" s="322" t="s">
        <v>21</v>
      </c>
      <c r="C14" s="552" t="s">
        <v>19</v>
      </c>
      <c r="D14" s="552"/>
      <c r="E14" s="26">
        <v>41</v>
      </c>
      <c r="F14" s="322">
        <v>1896</v>
      </c>
      <c r="G14" s="312">
        <f t="shared" ref="G14:G16" si="21">E14*F14</f>
        <v>77736</v>
      </c>
      <c r="H14" s="323" t="s">
        <v>52</v>
      </c>
      <c r="I14" s="319">
        <v>26</v>
      </c>
      <c r="J14" s="18">
        <v>1500</v>
      </c>
      <c r="K14" s="9">
        <f>J14/I14</f>
        <v>57.692307692307693</v>
      </c>
      <c r="L14" s="319">
        <v>26</v>
      </c>
      <c r="M14" s="10">
        <f>F14/V14*60</f>
        <v>1404.4444444444439</v>
      </c>
      <c r="N14" s="9">
        <f t="shared" ref="N14:N23" si="22">M14/L14</f>
        <v>54.017094017093996</v>
      </c>
      <c r="O14" s="11">
        <f t="shared" ref="O14" si="23">L14-I14</f>
        <v>0</v>
      </c>
      <c r="P14" s="12">
        <f t="shared" ref="P14" si="24">N14-K14</f>
        <v>-3.6752136752136977</v>
      </c>
      <c r="Q14" s="311">
        <f>N14/K14</f>
        <v>0.93629629629629596</v>
      </c>
      <c r="R14" s="533">
        <f>Q17</f>
        <v>0.93322579240682679</v>
      </c>
      <c r="S14" s="24">
        <v>0.25</v>
      </c>
      <c r="T14" s="24">
        <v>0.30625000000000002</v>
      </c>
      <c r="U14" s="312"/>
      <c r="V14" s="320">
        <f>(T14-S14)*24*60</f>
        <v>81.000000000000028</v>
      </c>
      <c r="W14" s="15"/>
      <c r="X14" s="15"/>
      <c r="Y14" s="528"/>
      <c r="Z14" s="528"/>
      <c r="AA14" s="11">
        <f t="shared" si="2"/>
        <v>-95.555555555556111</v>
      </c>
      <c r="AB14" s="311">
        <f t="shared" si="19"/>
        <v>0.93629629629629596</v>
      </c>
      <c r="AC14" s="533">
        <f>AB17</f>
        <v>0.9332257924068269</v>
      </c>
    </row>
    <row r="15" spans="1:29" ht="16.5" customHeight="1">
      <c r="A15" s="557" t="s">
        <v>1132</v>
      </c>
      <c r="B15" s="322" t="s">
        <v>13</v>
      </c>
      <c r="C15" s="552" t="s">
        <v>57</v>
      </c>
      <c r="D15" s="552"/>
      <c r="E15" s="26">
        <v>50.98</v>
      </c>
      <c r="F15" s="322">
        <v>2690</v>
      </c>
      <c r="G15" s="312">
        <f t="shared" si="21"/>
        <v>137136.19999999998</v>
      </c>
      <c r="H15" s="323" t="s">
        <v>52</v>
      </c>
      <c r="I15" s="319">
        <v>17</v>
      </c>
      <c r="J15" s="18">
        <v>2000</v>
      </c>
      <c r="K15" s="9">
        <f>J15/I15</f>
        <v>117.64705882352941</v>
      </c>
      <c r="L15" s="319">
        <v>17</v>
      </c>
      <c r="M15" s="10">
        <f>F15/V15*60</f>
        <v>1855.172413793103</v>
      </c>
      <c r="N15" s="9">
        <f t="shared" si="22"/>
        <v>109.12778904665312</v>
      </c>
      <c r="O15" s="11">
        <f>L15-I15</f>
        <v>0</v>
      </c>
      <c r="P15" s="12">
        <f>N15-K15</f>
        <v>-8.5192697768762855</v>
      </c>
      <c r="Q15" s="311">
        <f>N15/K15</f>
        <v>0.92758620689655158</v>
      </c>
      <c r="R15" s="533"/>
      <c r="S15" s="24">
        <v>0.70833333333333337</v>
      </c>
      <c r="T15" s="24">
        <v>0.76875000000000004</v>
      </c>
      <c r="U15" s="312" t="str">
        <f>IF(S15=TIME(17,0,0),"",(S15-T14)*24*60)</f>
        <v/>
      </c>
      <c r="V15" s="320">
        <f>(T15-S15)*24*60</f>
        <v>87.000000000000014</v>
      </c>
      <c r="W15" s="14"/>
      <c r="X15" s="14"/>
      <c r="Y15" s="528"/>
      <c r="Z15" s="528"/>
      <c r="AA15" s="11">
        <f t="shared" si="2"/>
        <v>-144.82758620689697</v>
      </c>
      <c r="AB15" s="311">
        <f t="shared" si="19"/>
        <v>0.92758620689655147</v>
      </c>
      <c r="AC15" s="533"/>
    </row>
    <row r="16" spans="1:29" ht="16.5" customHeight="1">
      <c r="A16" s="557" t="s">
        <v>468</v>
      </c>
      <c r="B16" s="322" t="s">
        <v>13</v>
      </c>
      <c r="C16" s="552" t="s">
        <v>54</v>
      </c>
      <c r="D16" s="552"/>
      <c r="E16" s="26">
        <v>50.92</v>
      </c>
      <c r="F16" s="322">
        <v>2997</v>
      </c>
      <c r="G16" s="312">
        <f t="shared" si="21"/>
        <v>152607.24</v>
      </c>
      <c r="H16" s="323" t="s">
        <v>52</v>
      </c>
      <c r="I16" s="319">
        <v>16</v>
      </c>
      <c r="J16" s="18">
        <v>2000</v>
      </c>
      <c r="K16" s="9">
        <f t="shared" ref="K16" si="25">J16/I16</f>
        <v>125</v>
      </c>
      <c r="L16" s="319">
        <v>16</v>
      </c>
      <c r="M16" s="10">
        <f t="shared" ref="M16" si="26">F16/V16*60</f>
        <v>1873.1250000000007</v>
      </c>
      <c r="N16" s="9">
        <f t="shared" si="22"/>
        <v>117.07031250000004</v>
      </c>
      <c r="O16" s="11">
        <f t="shared" ref="O16" si="27">L16-I16</f>
        <v>0</v>
      </c>
      <c r="P16" s="12">
        <f t="shared" ref="P16" si="28">N16-K16</f>
        <v>-7.9296874999999574</v>
      </c>
      <c r="Q16" s="311">
        <f t="shared" ref="Q16:Q23" si="29">N16/K16</f>
        <v>0.9365625000000003</v>
      </c>
      <c r="R16" s="533"/>
      <c r="S16" s="24">
        <v>0.77430555555555558</v>
      </c>
      <c r="T16" s="24">
        <v>0.84097222222222223</v>
      </c>
      <c r="U16" s="312">
        <f t="shared" ref="U16" si="30">IF(S16=TIME(17,0,0),"",(S16-T15)*24*60)</f>
        <v>7.9999999999999716</v>
      </c>
      <c r="V16" s="320">
        <f t="shared" ref="V16" si="31">(T16-S16)*24*60</f>
        <v>95.999999999999972</v>
      </c>
      <c r="W16" s="14"/>
      <c r="X16" s="14"/>
      <c r="Y16" s="528"/>
      <c r="Z16" s="528"/>
      <c r="AA16" s="11">
        <f t="shared" si="2"/>
        <v>-126.87499999999932</v>
      </c>
      <c r="AB16" s="311">
        <f t="shared" si="19"/>
        <v>0.9365625000000003</v>
      </c>
      <c r="AC16" s="533"/>
    </row>
    <row r="17" spans="1:29" ht="16.5" customHeight="1">
      <c r="A17" s="557" t="s">
        <v>468</v>
      </c>
      <c r="B17" s="26" t="s">
        <v>82</v>
      </c>
      <c r="C17" s="530"/>
      <c r="D17" s="530"/>
      <c r="E17" s="313"/>
      <c r="F17" s="16"/>
      <c r="G17" s="9"/>
      <c r="H17" s="322"/>
      <c r="I17" s="17">
        <v>19.666666666666668</v>
      </c>
      <c r="J17" s="18">
        <v>1833.3333333333333</v>
      </c>
      <c r="K17" s="9">
        <f>J17/I17</f>
        <v>93.220338983050837</v>
      </c>
      <c r="L17" s="17">
        <v>19.666666666666668</v>
      </c>
      <c r="M17" s="10">
        <f>AVERAGE(M14:M16)</f>
        <v>1710.9139527458492</v>
      </c>
      <c r="N17" s="9">
        <f t="shared" si="22"/>
        <v>86.995624715890628</v>
      </c>
      <c r="O17" s="11">
        <f>L17-I17</f>
        <v>0</v>
      </c>
      <c r="P17" s="12">
        <f>N17-K17</f>
        <v>-6.2247142671602091</v>
      </c>
      <c r="Q17" s="311">
        <f t="shared" si="29"/>
        <v>0.93322579240682679</v>
      </c>
      <c r="R17" s="533"/>
      <c r="S17" s="24"/>
      <c r="T17" s="24"/>
      <c r="U17" s="312"/>
      <c r="V17" s="320"/>
      <c r="W17" s="9"/>
      <c r="X17" s="9"/>
      <c r="Y17" s="528"/>
      <c r="Z17" s="528"/>
      <c r="AA17" s="11">
        <f t="shared" si="2"/>
        <v>-122.41938058748406</v>
      </c>
      <c r="AB17" s="311">
        <f t="shared" si="19"/>
        <v>0.9332257924068269</v>
      </c>
      <c r="AC17" s="533"/>
    </row>
    <row r="18" spans="1:29" ht="15.75" customHeight="1">
      <c r="A18" s="554" t="s">
        <v>376</v>
      </c>
      <c r="B18" s="26" t="s">
        <v>21</v>
      </c>
      <c r="C18" s="552" t="s">
        <v>22</v>
      </c>
      <c r="D18" s="552"/>
      <c r="E18" s="26">
        <v>43.14</v>
      </c>
      <c r="F18" s="322">
        <v>1333</v>
      </c>
      <c r="G18" s="312">
        <f t="shared" ref="G18:G23" si="32">E18*F18</f>
        <v>57505.62</v>
      </c>
      <c r="H18" s="323" t="s">
        <v>52</v>
      </c>
      <c r="I18" s="319">
        <v>17</v>
      </c>
      <c r="J18" s="18">
        <v>2000</v>
      </c>
      <c r="K18" s="9">
        <f t="shared" ref="K18:K24" si="33">J18/I18</f>
        <v>117.64705882352941</v>
      </c>
      <c r="L18" s="319">
        <v>17</v>
      </c>
      <c r="M18" s="10">
        <f t="shared" ref="M18:M23" si="34">F18/V18*60</f>
        <v>1859.9999999999998</v>
      </c>
      <c r="N18" s="9">
        <f t="shared" si="22"/>
        <v>109.41176470588233</v>
      </c>
      <c r="O18" s="11">
        <f t="shared" ref="O18:O23" si="35">L18-I18</f>
        <v>0</v>
      </c>
      <c r="P18" s="12">
        <f t="shared" ref="P18:P23" si="36">N18-K18</f>
        <v>-8.2352941176470722</v>
      </c>
      <c r="Q18" s="311">
        <f t="shared" si="29"/>
        <v>0.92999999999999994</v>
      </c>
      <c r="R18" s="533">
        <f>Q24</f>
        <v>0.93439799546113766</v>
      </c>
      <c r="S18" s="24">
        <v>0.20833333333333334</v>
      </c>
      <c r="T18" s="24">
        <v>0.23819444444444446</v>
      </c>
      <c r="U18" s="312"/>
      <c r="V18" s="320">
        <f>(T18-S18)*24*60</f>
        <v>43.000000000000007</v>
      </c>
      <c r="W18" s="15"/>
      <c r="X18" s="15"/>
      <c r="Y18" s="528"/>
      <c r="Z18" s="528"/>
      <c r="AA18" s="11">
        <f t="shared" si="2"/>
        <v>-140.00000000000023</v>
      </c>
      <c r="AB18" s="311">
        <f t="shared" si="19"/>
        <v>0.92999999999999994</v>
      </c>
      <c r="AC18" s="533">
        <f>AB24</f>
        <v>0.93439799546113778</v>
      </c>
    </row>
    <row r="19" spans="1:29" ht="15.75" customHeight="1">
      <c r="A19" s="555" t="s">
        <v>376</v>
      </c>
      <c r="B19" s="26" t="s">
        <v>13</v>
      </c>
      <c r="C19" s="552" t="s">
        <v>23</v>
      </c>
      <c r="D19" s="552"/>
      <c r="E19" s="26">
        <v>57.73</v>
      </c>
      <c r="F19" s="322">
        <v>2840</v>
      </c>
      <c r="G19" s="312">
        <f t="shared" si="32"/>
        <v>163953.19999999998</v>
      </c>
      <c r="H19" s="323" t="s">
        <v>52</v>
      </c>
      <c r="I19" s="319">
        <v>16</v>
      </c>
      <c r="J19" s="18">
        <v>2000</v>
      </c>
      <c r="K19" s="9">
        <f t="shared" si="33"/>
        <v>125</v>
      </c>
      <c r="L19" s="319">
        <v>16</v>
      </c>
      <c r="M19" s="10">
        <f t="shared" si="34"/>
        <v>1852.1739130434776</v>
      </c>
      <c r="N19" s="9">
        <f t="shared" si="22"/>
        <v>115.76086956521735</v>
      </c>
      <c r="O19" s="11">
        <f t="shared" si="35"/>
        <v>0</v>
      </c>
      <c r="P19" s="12">
        <f t="shared" si="36"/>
        <v>-9.2391304347826519</v>
      </c>
      <c r="Q19" s="311">
        <f t="shared" si="29"/>
        <v>0.92608695652173878</v>
      </c>
      <c r="R19" s="533"/>
      <c r="S19" s="24">
        <v>0.24166666666666667</v>
      </c>
      <c r="T19" s="24">
        <v>0.30555555555555558</v>
      </c>
      <c r="U19" s="312">
        <f>IF(S19=TIME(17,0,0),"",(S19-T18)*24*60)</f>
        <v>4.9999999999999822</v>
      </c>
      <c r="V19" s="320">
        <f t="shared" ref="V19:V23" si="37">(T19-S19)*24*60</f>
        <v>92.000000000000028</v>
      </c>
      <c r="W19" s="14"/>
      <c r="X19" s="312"/>
      <c r="Y19" s="528"/>
      <c r="Z19" s="528"/>
      <c r="AA19" s="11">
        <f t="shared" si="2"/>
        <v>-147.82608695652243</v>
      </c>
      <c r="AB19" s="311">
        <f t="shared" si="19"/>
        <v>0.92608695652173878</v>
      </c>
      <c r="AC19" s="533"/>
    </row>
    <row r="20" spans="1:29" ht="15.75" customHeight="1">
      <c r="A20" s="555" t="s">
        <v>376</v>
      </c>
      <c r="B20" s="26" t="s">
        <v>13</v>
      </c>
      <c r="C20" s="552" t="s">
        <v>14</v>
      </c>
      <c r="D20" s="552"/>
      <c r="E20" s="26">
        <v>53.68</v>
      </c>
      <c r="F20" s="322">
        <v>1874</v>
      </c>
      <c r="G20" s="312">
        <f t="shared" si="32"/>
        <v>100596.31999999999</v>
      </c>
      <c r="H20" s="323" t="s">
        <v>52</v>
      </c>
      <c r="I20" s="319">
        <v>17</v>
      </c>
      <c r="J20" s="18">
        <v>2000</v>
      </c>
      <c r="K20" s="9">
        <f t="shared" si="33"/>
        <v>117.64705882352941</v>
      </c>
      <c r="L20" s="319">
        <v>17</v>
      </c>
      <c r="M20" s="10">
        <f t="shared" si="34"/>
        <v>1873.9999999999991</v>
      </c>
      <c r="N20" s="9">
        <f t="shared" si="22"/>
        <v>110.235294117647</v>
      </c>
      <c r="O20" s="11">
        <f t="shared" si="35"/>
        <v>0</v>
      </c>
      <c r="P20" s="12">
        <f t="shared" si="36"/>
        <v>-7.4117647058824048</v>
      </c>
      <c r="Q20" s="311">
        <f t="shared" si="29"/>
        <v>0.93699999999999961</v>
      </c>
      <c r="R20" s="533"/>
      <c r="S20" s="24">
        <v>0.31111111111111112</v>
      </c>
      <c r="T20" s="24">
        <v>0.3527777777777778</v>
      </c>
      <c r="U20" s="312">
        <f t="shared" ref="U20:U23" si="38">IF(S20=TIME(17,0,0),"",(S20-T19)*24*60)</f>
        <v>7.9999999999999716</v>
      </c>
      <c r="V20" s="320">
        <f t="shared" si="37"/>
        <v>60.000000000000028</v>
      </c>
      <c r="W20" s="14"/>
      <c r="X20" s="312"/>
      <c r="Y20" s="528"/>
      <c r="Z20" s="528"/>
      <c r="AA20" s="11">
        <f t="shared" si="2"/>
        <v>-126.00000000000091</v>
      </c>
      <c r="AB20" s="311">
        <f t="shared" si="19"/>
        <v>0.9369999999999995</v>
      </c>
      <c r="AC20" s="533"/>
    </row>
    <row r="21" spans="1:29" ht="15.75" customHeight="1">
      <c r="A21" s="555" t="s">
        <v>376</v>
      </c>
      <c r="B21" s="26" t="s">
        <v>13</v>
      </c>
      <c r="C21" s="552" t="s">
        <v>81</v>
      </c>
      <c r="D21" s="552"/>
      <c r="E21" s="26">
        <v>58.17</v>
      </c>
      <c r="F21" s="322">
        <v>2038</v>
      </c>
      <c r="G21" s="312">
        <f t="shared" si="32"/>
        <v>118550.46</v>
      </c>
      <c r="H21" s="323" t="s">
        <v>52</v>
      </c>
      <c r="I21" s="319">
        <v>18</v>
      </c>
      <c r="J21" s="18">
        <v>2000</v>
      </c>
      <c r="K21" s="9">
        <f t="shared" si="33"/>
        <v>111.11111111111111</v>
      </c>
      <c r="L21" s="319">
        <v>18</v>
      </c>
      <c r="M21" s="10">
        <f t="shared" si="34"/>
        <v>1881.2307692307688</v>
      </c>
      <c r="N21" s="9">
        <f t="shared" si="22"/>
        <v>104.5128205128205</v>
      </c>
      <c r="O21" s="11">
        <f t="shared" si="35"/>
        <v>0</v>
      </c>
      <c r="P21" s="12">
        <f t="shared" si="36"/>
        <v>-6.5982905982906175</v>
      </c>
      <c r="Q21" s="311">
        <f t="shared" si="29"/>
        <v>0.94061538461538441</v>
      </c>
      <c r="R21" s="533"/>
      <c r="S21" s="24">
        <v>0.3576388888888889</v>
      </c>
      <c r="T21" s="24">
        <v>0.40277777777777779</v>
      </c>
      <c r="U21" s="312">
        <f t="shared" si="38"/>
        <v>6.9999999999999751</v>
      </c>
      <c r="V21" s="320">
        <f t="shared" si="37"/>
        <v>65.000000000000014</v>
      </c>
      <c r="W21" s="14"/>
      <c r="X21" s="312"/>
      <c r="Y21" s="528"/>
      <c r="Z21" s="528"/>
      <c r="AA21" s="11">
        <f t="shared" si="2"/>
        <v>-118.76923076923117</v>
      </c>
      <c r="AB21" s="311">
        <f t="shared" si="19"/>
        <v>0.94061538461538441</v>
      </c>
      <c r="AC21" s="533"/>
    </row>
    <row r="22" spans="1:29" ht="15.75" customHeight="1">
      <c r="A22" s="555" t="s">
        <v>376</v>
      </c>
      <c r="B22" s="26" t="s">
        <v>13</v>
      </c>
      <c r="C22" s="552" t="s">
        <v>85</v>
      </c>
      <c r="D22" s="552"/>
      <c r="E22" s="26">
        <v>54.09</v>
      </c>
      <c r="F22" s="322">
        <v>3769</v>
      </c>
      <c r="G22" s="312">
        <f t="shared" si="32"/>
        <v>203865.21000000002</v>
      </c>
      <c r="H22" s="323" t="s">
        <v>52</v>
      </c>
      <c r="I22" s="319">
        <v>20</v>
      </c>
      <c r="J22" s="18">
        <v>2000</v>
      </c>
      <c r="K22" s="9">
        <f t="shared" si="33"/>
        <v>100</v>
      </c>
      <c r="L22" s="319">
        <v>20</v>
      </c>
      <c r="M22" s="10">
        <f t="shared" si="34"/>
        <v>1853.6065573770484</v>
      </c>
      <c r="N22" s="9">
        <f t="shared" si="22"/>
        <v>92.680327868852416</v>
      </c>
      <c r="O22" s="11">
        <f t="shared" si="35"/>
        <v>0</v>
      </c>
      <c r="P22" s="12">
        <f t="shared" si="36"/>
        <v>-7.3196721311475841</v>
      </c>
      <c r="Q22" s="311">
        <f t="shared" si="29"/>
        <v>0.92680327868852419</v>
      </c>
      <c r="R22" s="533"/>
      <c r="S22" s="24">
        <v>0.70833333333333337</v>
      </c>
      <c r="T22" s="24">
        <v>0.79305555555555562</v>
      </c>
      <c r="U22" s="312" t="str">
        <f t="shared" si="38"/>
        <v/>
      </c>
      <c r="V22" s="320">
        <f t="shared" si="37"/>
        <v>122.00000000000004</v>
      </c>
      <c r="W22" s="14"/>
      <c r="X22" s="312"/>
      <c r="Y22" s="528"/>
      <c r="Z22" s="528"/>
      <c r="AA22" s="11">
        <f t="shared" si="2"/>
        <v>-146.39344262295162</v>
      </c>
      <c r="AB22" s="311">
        <f t="shared" si="19"/>
        <v>0.92680327868852419</v>
      </c>
      <c r="AC22" s="533"/>
    </row>
    <row r="23" spans="1:29" ht="15.75" customHeight="1">
      <c r="A23" s="555" t="s">
        <v>376</v>
      </c>
      <c r="B23" s="26" t="s">
        <v>13</v>
      </c>
      <c r="C23" s="552" t="s">
        <v>56</v>
      </c>
      <c r="D23" s="552"/>
      <c r="E23" s="26">
        <v>53.27</v>
      </c>
      <c r="F23" s="322">
        <v>536</v>
      </c>
      <c r="G23" s="312">
        <f t="shared" si="32"/>
        <v>28552.720000000001</v>
      </c>
      <c r="H23" s="323" t="s">
        <v>52</v>
      </c>
      <c r="I23" s="319">
        <v>15</v>
      </c>
      <c r="J23" s="18">
        <v>2000</v>
      </c>
      <c r="K23" s="9">
        <f t="shared" si="33"/>
        <v>133.33333333333334</v>
      </c>
      <c r="L23" s="319">
        <v>15</v>
      </c>
      <c r="M23" s="10">
        <f t="shared" si="34"/>
        <v>1891.7647058823597</v>
      </c>
      <c r="N23" s="9">
        <f t="shared" si="22"/>
        <v>126.11764705882398</v>
      </c>
      <c r="O23" s="11">
        <f t="shared" si="35"/>
        <v>0</v>
      </c>
      <c r="P23" s="12">
        <f t="shared" si="36"/>
        <v>-7.2156862745093662</v>
      </c>
      <c r="Q23" s="311">
        <f t="shared" si="29"/>
        <v>0.94588235294117973</v>
      </c>
      <c r="R23" s="533"/>
      <c r="S23" s="24">
        <v>0.79861111111111116</v>
      </c>
      <c r="T23" s="24">
        <v>0.81041666666666667</v>
      </c>
      <c r="U23" s="312">
        <f t="shared" si="38"/>
        <v>7.9999999999999716</v>
      </c>
      <c r="V23" s="320">
        <f t="shared" si="37"/>
        <v>16.99999999999994</v>
      </c>
      <c r="W23" s="14"/>
      <c r="X23" s="15"/>
      <c r="Y23" s="528"/>
      <c r="Z23" s="528"/>
      <c r="AA23" s="11">
        <f t="shared" si="2"/>
        <v>-108.23529411764025</v>
      </c>
      <c r="AB23" s="311">
        <f t="shared" si="19"/>
        <v>0.94588235294117984</v>
      </c>
      <c r="AC23" s="533"/>
    </row>
    <row r="24" spans="1:29" ht="15.75" customHeight="1">
      <c r="A24" s="555" t="s">
        <v>376</v>
      </c>
      <c r="B24" s="26" t="s">
        <v>82</v>
      </c>
      <c r="C24" s="530"/>
      <c r="D24" s="530"/>
      <c r="E24" s="313"/>
      <c r="F24" s="322"/>
      <c r="G24" s="312"/>
      <c r="H24" s="322"/>
      <c r="I24" s="17">
        <v>17.166666666666668</v>
      </c>
      <c r="J24" s="18">
        <v>2000</v>
      </c>
      <c r="K24" s="9">
        <f t="shared" si="33"/>
        <v>116.50485436893203</v>
      </c>
      <c r="L24" s="17">
        <v>17.166666666666668</v>
      </c>
      <c r="M24" s="10">
        <f>AVERAGE(M18:M23)</f>
        <v>1868.7959909222755</v>
      </c>
      <c r="N24" s="9">
        <f>M24/L24</f>
        <v>108.86190238382186</v>
      </c>
      <c r="O24" s="11">
        <f>L24-I24</f>
        <v>0</v>
      </c>
      <c r="P24" s="12">
        <f>N24-K24</f>
        <v>-7.642951985110173</v>
      </c>
      <c r="Q24" s="311">
        <f>N24/K24</f>
        <v>0.93439799546113766</v>
      </c>
      <c r="R24" s="533"/>
      <c r="S24" s="24"/>
      <c r="T24" s="24"/>
      <c r="U24" s="9"/>
      <c r="V24" s="320"/>
      <c r="W24" s="9"/>
      <c r="X24" s="9"/>
      <c r="Y24" s="528"/>
      <c r="Z24" s="528"/>
      <c r="AA24" s="11">
        <f t="shared" si="2"/>
        <v>-131.20400907772455</v>
      </c>
      <c r="AB24" s="311">
        <f t="shared" si="19"/>
        <v>0.93439799546113778</v>
      </c>
      <c r="AC24" s="533"/>
    </row>
    <row r="25" spans="1:29" ht="15.75" customHeight="1">
      <c r="A25" s="553" t="s">
        <v>377</v>
      </c>
      <c r="B25" s="26" t="s">
        <v>24</v>
      </c>
      <c r="C25" s="552" t="s">
        <v>26</v>
      </c>
      <c r="D25" s="552"/>
      <c r="E25" s="26">
        <v>26.2</v>
      </c>
      <c r="F25" s="322">
        <v>3702</v>
      </c>
      <c r="G25" s="312">
        <f t="shared" ref="G25:G30" si="39">E25*F25</f>
        <v>96992.4</v>
      </c>
      <c r="H25" s="323" t="s">
        <v>52</v>
      </c>
      <c r="I25" s="319">
        <v>20</v>
      </c>
      <c r="J25" s="18">
        <v>2400</v>
      </c>
      <c r="K25" s="9">
        <f>J25/I25</f>
        <v>120</v>
      </c>
      <c r="L25" s="319">
        <v>20</v>
      </c>
      <c r="M25" s="10">
        <f t="shared" ref="M25:M30" si="40">F25/V25*60</f>
        <v>2221.2000000000003</v>
      </c>
      <c r="N25" s="9">
        <f t="shared" ref="N25:N30" si="41">M25/L25</f>
        <v>111.06000000000002</v>
      </c>
      <c r="O25" s="11">
        <f t="shared" ref="O25:O30" si="42">L25-I25</f>
        <v>0</v>
      </c>
      <c r="P25" s="12">
        <f t="shared" ref="P25:P30" si="43">N25-K25</f>
        <v>-8.9399999999999835</v>
      </c>
      <c r="Q25" s="311">
        <f t="shared" ref="Q25:Q30" si="44">N25/K25</f>
        <v>0.9255000000000001</v>
      </c>
      <c r="R25" s="533">
        <f>Q31</f>
        <v>0.92931763728586603</v>
      </c>
      <c r="S25" s="24">
        <v>0.125</v>
      </c>
      <c r="T25" s="24">
        <v>0.19444444444444445</v>
      </c>
      <c r="U25" s="312"/>
      <c r="V25" s="320">
        <f t="shared" ref="V25:V30" si="45">(T25-S25)*24*60</f>
        <v>100</v>
      </c>
      <c r="W25" s="14">
        <f>T25</f>
        <v>0.19444444444444445</v>
      </c>
      <c r="X25" s="14">
        <f>S26</f>
        <v>0.21319444444444446</v>
      </c>
      <c r="Y25" s="528"/>
      <c r="Z25" s="528"/>
      <c r="AA25" s="11">
        <f t="shared" si="2"/>
        <v>-178.79999999999973</v>
      </c>
      <c r="AB25" s="311">
        <f>M25/J25</f>
        <v>0.9255000000000001</v>
      </c>
      <c r="AC25" s="533">
        <f>AB31</f>
        <v>0.92931763728586603</v>
      </c>
    </row>
    <row r="26" spans="1:29" ht="15.75" customHeight="1">
      <c r="A26" s="553" t="s">
        <v>377</v>
      </c>
      <c r="B26" s="26" t="s">
        <v>24</v>
      </c>
      <c r="C26" s="552" t="s">
        <v>79</v>
      </c>
      <c r="D26" s="552"/>
      <c r="E26" s="26">
        <v>31.29</v>
      </c>
      <c r="F26" s="322">
        <v>3600</v>
      </c>
      <c r="G26" s="312">
        <f t="shared" si="39"/>
        <v>112644</v>
      </c>
      <c r="H26" s="323">
        <v>2</v>
      </c>
      <c r="I26" s="319">
        <v>16</v>
      </c>
      <c r="J26" s="18">
        <v>2400</v>
      </c>
      <c r="K26" s="9">
        <f t="shared" ref="K26:K31" si="46">J26/I26</f>
        <v>150</v>
      </c>
      <c r="L26" s="319">
        <v>16</v>
      </c>
      <c r="M26" s="10">
        <f t="shared" si="40"/>
        <v>2226.8041237113407</v>
      </c>
      <c r="N26" s="9">
        <f t="shared" si="41"/>
        <v>139.17525773195879</v>
      </c>
      <c r="O26" s="11">
        <f t="shared" si="42"/>
        <v>0</v>
      </c>
      <c r="P26" s="12">
        <f t="shared" si="43"/>
        <v>-10.824742268041206</v>
      </c>
      <c r="Q26" s="311">
        <f t="shared" si="44"/>
        <v>0.92783505154639201</v>
      </c>
      <c r="R26" s="533"/>
      <c r="S26" s="24">
        <v>0.21319444444444446</v>
      </c>
      <c r="T26" s="24">
        <v>0.28055555555555556</v>
      </c>
      <c r="U26" s="312">
        <f>(S26-T25)*24*60</f>
        <v>27.000000000000025</v>
      </c>
      <c r="V26" s="320">
        <f t="shared" si="45"/>
        <v>96.999999999999972</v>
      </c>
      <c r="W26" s="14"/>
      <c r="X26" s="14"/>
      <c r="Y26" s="528"/>
      <c r="Z26" s="528"/>
      <c r="AA26" s="11">
        <f t="shared" si="2"/>
        <v>-173.19587628865929</v>
      </c>
      <c r="AB26" s="311">
        <f t="shared" ref="AB26:AB30" si="47">M26/J26</f>
        <v>0.92783505154639201</v>
      </c>
      <c r="AC26" s="533"/>
    </row>
    <row r="27" spans="1:29" ht="15.75" customHeight="1">
      <c r="A27" s="553" t="s">
        <v>377</v>
      </c>
      <c r="B27" s="26" t="s">
        <v>24</v>
      </c>
      <c r="C27" s="552" t="s">
        <v>68</v>
      </c>
      <c r="D27" s="552"/>
      <c r="E27" s="26">
        <v>24.25</v>
      </c>
      <c r="F27" s="322">
        <v>4556</v>
      </c>
      <c r="G27" s="312">
        <f t="shared" si="39"/>
        <v>110483</v>
      </c>
      <c r="H27" s="323" t="s">
        <v>52</v>
      </c>
      <c r="I27" s="319">
        <v>18</v>
      </c>
      <c r="J27" s="18">
        <v>2400</v>
      </c>
      <c r="K27" s="9">
        <f t="shared" si="46"/>
        <v>133.33333333333334</v>
      </c>
      <c r="L27" s="319">
        <v>18</v>
      </c>
      <c r="M27" s="10">
        <f t="shared" si="40"/>
        <v>2240.6557377049185</v>
      </c>
      <c r="N27" s="9">
        <f t="shared" si="41"/>
        <v>124.48087431693992</v>
      </c>
      <c r="O27" s="11">
        <f t="shared" si="42"/>
        <v>0</v>
      </c>
      <c r="P27" s="12">
        <f t="shared" si="43"/>
        <v>-8.8524590163934249</v>
      </c>
      <c r="Q27" s="311">
        <f t="shared" si="44"/>
        <v>0.93360655737704934</v>
      </c>
      <c r="R27" s="533"/>
      <c r="S27" s="24">
        <v>0.28472222222222221</v>
      </c>
      <c r="T27" s="24">
        <v>0.36944444444444441</v>
      </c>
      <c r="U27" s="312">
        <f t="shared" ref="U27:U30" si="48">(S27-T26)*24*60</f>
        <v>5.9999999999999787</v>
      </c>
      <c r="V27" s="320">
        <f t="shared" si="45"/>
        <v>121.99999999999997</v>
      </c>
      <c r="W27" s="14"/>
      <c r="X27" s="14"/>
      <c r="Y27" s="528"/>
      <c r="Z27" s="528"/>
      <c r="AA27" s="11">
        <f t="shared" si="2"/>
        <v>-159.34426229508153</v>
      </c>
      <c r="AB27" s="311">
        <f t="shared" si="47"/>
        <v>0.93360655737704934</v>
      </c>
      <c r="AC27" s="533"/>
    </row>
    <row r="28" spans="1:29" ht="15.75" customHeight="1">
      <c r="A28" s="553" t="s">
        <v>377</v>
      </c>
      <c r="B28" s="26" t="s">
        <v>24</v>
      </c>
      <c r="C28" s="552" t="s">
        <v>328</v>
      </c>
      <c r="D28" s="552"/>
      <c r="E28" s="26">
        <v>25.98</v>
      </c>
      <c r="F28" s="322">
        <v>4756</v>
      </c>
      <c r="G28" s="312">
        <f t="shared" si="39"/>
        <v>123560.88</v>
      </c>
      <c r="H28" s="323" t="s">
        <v>52</v>
      </c>
      <c r="I28" s="319">
        <v>17</v>
      </c>
      <c r="J28" s="18">
        <v>2400</v>
      </c>
      <c r="K28" s="9">
        <f t="shared" si="46"/>
        <v>141.1764705882353</v>
      </c>
      <c r="L28" s="319">
        <v>17</v>
      </c>
      <c r="M28" s="10">
        <f t="shared" si="40"/>
        <v>2229.3749999999995</v>
      </c>
      <c r="N28" s="9">
        <f t="shared" si="41"/>
        <v>131.13970588235293</v>
      </c>
      <c r="O28" s="11">
        <f t="shared" si="42"/>
        <v>0</v>
      </c>
      <c r="P28" s="12">
        <f t="shared" si="43"/>
        <v>-10.036764705882376</v>
      </c>
      <c r="Q28" s="311">
        <f t="shared" si="44"/>
        <v>0.92890624999999982</v>
      </c>
      <c r="R28" s="533"/>
      <c r="S28" s="24">
        <v>0.37361111111111106</v>
      </c>
      <c r="T28" s="24">
        <v>0.46249999999999997</v>
      </c>
      <c r="U28" s="312">
        <f t="shared" si="48"/>
        <v>5.9999999999999787</v>
      </c>
      <c r="V28" s="320">
        <f t="shared" si="45"/>
        <v>128.00000000000003</v>
      </c>
      <c r="W28" s="14"/>
      <c r="X28" s="14"/>
      <c r="Y28" s="528"/>
      <c r="Z28" s="528"/>
      <c r="AA28" s="11">
        <f t="shared" si="2"/>
        <v>-170.62500000000045</v>
      </c>
      <c r="AB28" s="311">
        <f t="shared" si="47"/>
        <v>0.92890624999999982</v>
      </c>
      <c r="AC28" s="533"/>
    </row>
    <row r="29" spans="1:29" ht="15.75" customHeight="1">
      <c r="A29" s="553" t="s">
        <v>377</v>
      </c>
      <c r="B29" s="26" t="s">
        <v>24</v>
      </c>
      <c r="C29" s="552" t="s">
        <v>62</v>
      </c>
      <c r="D29" s="552"/>
      <c r="E29" s="26">
        <v>22.35</v>
      </c>
      <c r="F29" s="322">
        <v>1893</v>
      </c>
      <c r="G29" s="312">
        <f t="shared" si="39"/>
        <v>42308.55</v>
      </c>
      <c r="H29" s="323" t="s">
        <v>52</v>
      </c>
      <c r="I29" s="319">
        <v>16</v>
      </c>
      <c r="J29" s="18">
        <v>2400</v>
      </c>
      <c r="K29" s="9">
        <f t="shared" si="46"/>
        <v>150</v>
      </c>
      <c r="L29" s="319">
        <v>16</v>
      </c>
      <c r="M29" s="10">
        <f t="shared" si="40"/>
        <v>2227.058823529409</v>
      </c>
      <c r="N29" s="9">
        <f t="shared" si="41"/>
        <v>139.19117647058806</v>
      </c>
      <c r="O29" s="11">
        <f t="shared" si="42"/>
        <v>0</v>
      </c>
      <c r="P29" s="12">
        <f t="shared" si="43"/>
        <v>-10.808823529411939</v>
      </c>
      <c r="Q29" s="311">
        <f t="shared" si="44"/>
        <v>0.92794117647058705</v>
      </c>
      <c r="R29" s="533"/>
      <c r="S29" s="24">
        <v>0.46736111111111106</v>
      </c>
      <c r="T29" s="24">
        <v>0.50277777777777777</v>
      </c>
      <c r="U29" s="312">
        <f t="shared" si="48"/>
        <v>6.9999999999999751</v>
      </c>
      <c r="V29" s="320">
        <f t="shared" si="45"/>
        <v>51.000000000000057</v>
      </c>
      <c r="W29" s="14">
        <f>T29</f>
        <v>0.50277777777777777</v>
      </c>
      <c r="X29" s="14">
        <f>S30</f>
        <v>0.54374999999999996</v>
      </c>
      <c r="Y29" s="528"/>
      <c r="Z29" s="528"/>
      <c r="AA29" s="11">
        <f t="shared" si="2"/>
        <v>-172.94117647059102</v>
      </c>
      <c r="AB29" s="311">
        <f t="shared" si="47"/>
        <v>0.92794117647058705</v>
      </c>
      <c r="AC29" s="533"/>
    </row>
    <row r="30" spans="1:29" ht="15.75" customHeight="1">
      <c r="A30" s="553" t="s">
        <v>377</v>
      </c>
      <c r="B30" s="26" t="s">
        <v>24</v>
      </c>
      <c r="C30" s="552" t="s">
        <v>79</v>
      </c>
      <c r="D30" s="552"/>
      <c r="E30" s="26">
        <v>31.29</v>
      </c>
      <c r="F30" s="322">
        <v>5108</v>
      </c>
      <c r="G30" s="312">
        <f t="shared" si="39"/>
        <v>159829.32</v>
      </c>
      <c r="H30" s="323" t="s">
        <v>52</v>
      </c>
      <c r="I30" s="319">
        <v>16</v>
      </c>
      <c r="J30" s="18">
        <v>2400</v>
      </c>
      <c r="K30" s="9">
        <f t="shared" si="46"/>
        <v>150</v>
      </c>
      <c r="L30" s="319">
        <v>16</v>
      </c>
      <c r="M30" s="10">
        <f t="shared" si="40"/>
        <v>2237.080291970803</v>
      </c>
      <c r="N30" s="9">
        <f t="shared" si="41"/>
        <v>139.81751824817519</v>
      </c>
      <c r="O30" s="11">
        <f t="shared" si="42"/>
        <v>0</v>
      </c>
      <c r="P30" s="12">
        <f t="shared" si="43"/>
        <v>-10.18248175182481</v>
      </c>
      <c r="Q30" s="311">
        <f t="shared" si="44"/>
        <v>0.93211678832116796</v>
      </c>
      <c r="R30" s="533"/>
      <c r="S30" s="24">
        <v>0.54374999999999996</v>
      </c>
      <c r="T30" s="24">
        <v>0.63888888888888884</v>
      </c>
      <c r="U30" s="312">
        <f t="shared" si="48"/>
        <v>58.99999999999995</v>
      </c>
      <c r="V30" s="320">
        <f t="shared" si="45"/>
        <v>137</v>
      </c>
      <c r="W30" s="14"/>
      <c r="X30" s="14"/>
      <c r="Y30" s="528"/>
      <c r="Z30" s="528"/>
      <c r="AA30" s="11">
        <f t="shared" si="2"/>
        <v>-162.91970802919695</v>
      </c>
      <c r="AB30" s="311">
        <f t="shared" si="47"/>
        <v>0.93211678832116796</v>
      </c>
      <c r="AC30" s="533"/>
    </row>
    <row r="31" spans="1:29" ht="15.75" customHeight="1">
      <c r="A31" s="553" t="s">
        <v>377</v>
      </c>
      <c r="B31" s="26" t="s">
        <v>82</v>
      </c>
      <c r="C31" s="530"/>
      <c r="D31" s="530"/>
      <c r="E31" s="313"/>
      <c r="F31" s="322"/>
      <c r="G31" s="312"/>
      <c r="H31" s="322"/>
      <c r="I31" s="17">
        <v>17.166666666666668</v>
      </c>
      <c r="J31" s="18">
        <v>2400</v>
      </c>
      <c r="K31" s="9">
        <f t="shared" si="46"/>
        <v>139.80582524271844</v>
      </c>
      <c r="L31" s="17">
        <v>17.166666666666668</v>
      </c>
      <c r="M31" s="10">
        <f>AVERAGE(M25:M30)</f>
        <v>2230.3623294860786</v>
      </c>
      <c r="N31" s="9">
        <f>M31/L31</f>
        <v>129.92401919336379</v>
      </c>
      <c r="O31" s="11">
        <f>L31-I31</f>
        <v>0</v>
      </c>
      <c r="P31" s="12">
        <f>N31-K31</f>
        <v>-9.8818060493546511</v>
      </c>
      <c r="Q31" s="311">
        <f>N31/K31</f>
        <v>0.92931763728586603</v>
      </c>
      <c r="R31" s="533"/>
      <c r="S31" s="24"/>
      <c r="T31" s="24"/>
      <c r="U31" s="312"/>
      <c r="V31" s="320"/>
      <c r="W31" s="312"/>
      <c r="X31" s="312"/>
      <c r="Y31" s="528"/>
      <c r="Z31" s="528"/>
      <c r="AA31" s="11">
        <f t="shared" si="2"/>
        <v>-169.63767051392142</v>
      </c>
      <c r="AB31" s="311">
        <f>M31/J31</f>
        <v>0.92931763728586603</v>
      </c>
      <c r="AC31" s="533"/>
    </row>
    <row r="32" spans="1:29" ht="15.75" customHeight="1">
      <c r="A32" s="550" t="s">
        <v>379</v>
      </c>
      <c r="B32" s="26" t="s">
        <v>24</v>
      </c>
      <c r="C32" s="529" t="s">
        <v>28</v>
      </c>
      <c r="D32" s="529"/>
      <c r="E32" s="26">
        <v>26.2</v>
      </c>
      <c r="F32" s="322">
        <v>3600</v>
      </c>
      <c r="G32" s="312">
        <f t="shared" ref="G32:G40" si="49">E32*F32</f>
        <v>94320</v>
      </c>
      <c r="H32" s="323">
        <v>2</v>
      </c>
      <c r="I32" s="319">
        <v>18</v>
      </c>
      <c r="J32" s="18">
        <v>2400</v>
      </c>
      <c r="K32" s="9">
        <f>J32/I32</f>
        <v>133.33333333333334</v>
      </c>
      <c r="L32" s="319">
        <v>18</v>
      </c>
      <c r="M32" s="10">
        <f>F32/V32*60</f>
        <v>2226.8041237113403</v>
      </c>
      <c r="N32" s="9">
        <f>M32/L32</f>
        <v>123.71134020618557</v>
      </c>
      <c r="O32" s="11">
        <f t="shared" ref="O32:O40" si="50">L32-I32</f>
        <v>0</v>
      </c>
      <c r="P32" s="12">
        <f t="shared" ref="P32:P50" si="51">N32-K32</f>
        <v>-9.6219931271477748</v>
      </c>
      <c r="Q32" s="311">
        <f t="shared" ref="Q32:Q45" si="52">N32/K32</f>
        <v>0.92783505154639168</v>
      </c>
      <c r="R32" s="533">
        <f>Q41</f>
        <v>0.92929387871419555</v>
      </c>
      <c r="S32" s="24">
        <v>8.3333333333333329E-2</v>
      </c>
      <c r="T32" s="24">
        <v>0.15069444444444444</v>
      </c>
      <c r="U32" s="312"/>
      <c r="V32" s="320">
        <f t="shared" ref="V32:V40" si="53">(T32-S32)*24*60</f>
        <v>97</v>
      </c>
      <c r="W32" s="15">
        <f>T32</f>
        <v>0.15069444444444444</v>
      </c>
      <c r="X32" s="15">
        <f>S33</f>
        <v>0.16874999999999998</v>
      </c>
      <c r="Y32" s="528"/>
      <c r="Z32" s="528"/>
      <c r="AA32" s="11">
        <f t="shared" si="2"/>
        <v>-173.19587628865975</v>
      </c>
      <c r="AB32" s="311">
        <f>M32/J32</f>
        <v>0.92783505154639179</v>
      </c>
      <c r="AC32" s="533">
        <f>AB41</f>
        <v>0.92929387871419544</v>
      </c>
    </row>
    <row r="33" spans="1:29" ht="15.75" customHeight="1">
      <c r="A33" s="550" t="s">
        <v>1133</v>
      </c>
      <c r="B33" s="26" t="s">
        <v>24</v>
      </c>
      <c r="C33" s="529" t="s">
        <v>30</v>
      </c>
      <c r="D33" s="529"/>
      <c r="E33" s="26">
        <v>24.45</v>
      </c>
      <c r="F33" s="322">
        <v>2277</v>
      </c>
      <c r="G33" s="312">
        <f t="shared" si="49"/>
        <v>55672.65</v>
      </c>
      <c r="H33" s="323" t="s">
        <v>52</v>
      </c>
      <c r="I33" s="319">
        <v>20</v>
      </c>
      <c r="J33" s="18">
        <v>2400</v>
      </c>
      <c r="K33" s="9">
        <f t="shared" ref="K33:K49" si="54">J33/I33</f>
        <v>120</v>
      </c>
      <c r="L33" s="319">
        <v>20</v>
      </c>
      <c r="M33" s="10">
        <f t="shared" ref="M33:M40" si="55">F33/V33*60</f>
        <v>2239.6721311475417</v>
      </c>
      <c r="N33" s="9">
        <f t="shared" ref="N33:N40" si="56">M33/L33</f>
        <v>111.98360655737709</v>
      </c>
      <c r="O33" s="11">
        <f t="shared" si="50"/>
        <v>0</v>
      </c>
      <c r="P33" s="12">
        <f t="shared" si="51"/>
        <v>-8.0163934426229133</v>
      </c>
      <c r="Q33" s="311">
        <f t="shared" si="52"/>
        <v>0.93319672131147569</v>
      </c>
      <c r="R33" s="533"/>
      <c r="S33" s="24">
        <v>0.16874999999999998</v>
      </c>
      <c r="T33" s="24">
        <v>0.21111111111111108</v>
      </c>
      <c r="U33" s="312">
        <f>(S33-T32)*24*60</f>
        <v>25.999999999999986</v>
      </c>
      <c r="V33" s="320">
        <f t="shared" si="53"/>
        <v>60.999999999999986</v>
      </c>
      <c r="W33" s="312"/>
      <c r="X33" s="312"/>
      <c r="Y33" s="528"/>
      <c r="Z33" s="528"/>
      <c r="AA33" s="11">
        <f t="shared" si="2"/>
        <v>-160.32786885245832</v>
      </c>
      <c r="AB33" s="311">
        <f t="shared" ref="AB33:AB65" si="57">M33/J33</f>
        <v>0.93319672131147569</v>
      </c>
      <c r="AC33" s="533"/>
    </row>
    <row r="34" spans="1:29">
      <c r="A34" s="551" t="s">
        <v>1133</v>
      </c>
      <c r="B34" s="26" t="s">
        <v>24</v>
      </c>
      <c r="C34" s="529" t="s">
        <v>29</v>
      </c>
      <c r="D34" s="529"/>
      <c r="E34" s="26">
        <v>26.39</v>
      </c>
      <c r="F34" s="322">
        <v>3600</v>
      </c>
      <c r="G34" s="312">
        <f t="shared" si="49"/>
        <v>95004</v>
      </c>
      <c r="H34" s="323">
        <v>2</v>
      </c>
      <c r="I34" s="319">
        <v>19</v>
      </c>
      <c r="J34" s="18">
        <v>2400</v>
      </c>
      <c r="K34" s="9">
        <f t="shared" si="54"/>
        <v>126.31578947368421</v>
      </c>
      <c r="L34" s="319">
        <v>19</v>
      </c>
      <c r="M34" s="10">
        <f t="shared" si="55"/>
        <v>2226.8041237113398</v>
      </c>
      <c r="N34" s="9">
        <f t="shared" si="56"/>
        <v>117.20021703743893</v>
      </c>
      <c r="O34" s="11">
        <f t="shared" si="50"/>
        <v>0</v>
      </c>
      <c r="P34" s="12">
        <f t="shared" si="51"/>
        <v>-9.115572436245273</v>
      </c>
      <c r="Q34" s="311">
        <f t="shared" si="52"/>
        <v>0.92783505154639156</v>
      </c>
      <c r="R34" s="533"/>
      <c r="S34" s="24">
        <v>0.2159722222222222</v>
      </c>
      <c r="T34" s="24">
        <v>0.28333333333333333</v>
      </c>
      <c r="U34" s="312">
        <f t="shared" ref="U34:U40" si="58">(S34-T33)*24*60</f>
        <v>7.0000000000000151</v>
      </c>
      <c r="V34" s="320">
        <f t="shared" si="53"/>
        <v>97.000000000000014</v>
      </c>
      <c r="W34" s="312"/>
      <c r="X34" s="312"/>
      <c r="Y34" s="528"/>
      <c r="Z34" s="528"/>
      <c r="AA34" s="11">
        <f t="shared" si="2"/>
        <v>-173.1958762886602</v>
      </c>
      <c r="AB34" s="311">
        <f t="shared" si="57"/>
        <v>0.92783505154639156</v>
      </c>
      <c r="AC34" s="533"/>
    </row>
    <row r="35" spans="1:29">
      <c r="A35" s="551" t="s">
        <v>1133</v>
      </c>
      <c r="B35" s="26" t="s">
        <v>24</v>
      </c>
      <c r="C35" s="529" t="s">
        <v>27</v>
      </c>
      <c r="D35" s="529"/>
      <c r="E35" s="26">
        <v>20.52</v>
      </c>
      <c r="F35" s="322">
        <v>3173</v>
      </c>
      <c r="G35" s="312">
        <f t="shared" si="49"/>
        <v>65109.96</v>
      </c>
      <c r="H35" s="323" t="s">
        <v>52</v>
      </c>
      <c r="I35" s="319">
        <v>18</v>
      </c>
      <c r="J35" s="18">
        <v>2400</v>
      </c>
      <c r="K35" s="9">
        <f t="shared" si="54"/>
        <v>133.33333333333334</v>
      </c>
      <c r="L35" s="319">
        <v>18</v>
      </c>
      <c r="M35" s="10">
        <f t="shared" si="55"/>
        <v>2239.7647058823522</v>
      </c>
      <c r="N35" s="9">
        <f t="shared" si="56"/>
        <v>124.43137254901957</v>
      </c>
      <c r="O35" s="11">
        <f t="shared" si="50"/>
        <v>0</v>
      </c>
      <c r="P35" s="12">
        <f t="shared" si="51"/>
        <v>-8.901960784313772</v>
      </c>
      <c r="Q35" s="311">
        <f t="shared" si="52"/>
        <v>0.93323529411764672</v>
      </c>
      <c r="R35" s="533"/>
      <c r="S35" s="24">
        <v>0.28819444444444442</v>
      </c>
      <c r="T35" s="24">
        <v>0.34722222222222221</v>
      </c>
      <c r="U35" s="312">
        <f t="shared" si="58"/>
        <v>6.9999999999999751</v>
      </c>
      <c r="V35" s="320">
        <f t="shared" si="53"/>
        <v>85.000000000000014</v>
      </c>
      <c r="W35" s="14"/>
      <c r="X35" s="14"/>
      <c r="Y35" s="528"/>
      <c r="Z35" s="528"/>
      <c r="AA35" s="11">
        <f t="shared" si="2"/>
        <v>-160.23529411764775</v>
      </c>
      <c r="AB35" s="311">
        <f t="shared" si="57"/>
        <v>0.93323529411764672</v>
      </c>
      <c r="AC35" s="533"/>
    </row>
    <row r="36" spans="1:29">
      <c r="A36" s="551" t="s">
        <v>1133</v>
      </c>
      <c r="B36" s="26" t="s">
        <v>24</v>
      </c>
      <c r="C36" s="529" t="s">
        <v>50</v>
      </c>
      <c r="D36" s="529"/>
      <c r="E36" s="26">
        <v>26.2</v>
      </c>
      <c r="F36" s="322">
        <v>4500</v>
      </c>
      <c r="G36" s="312">
        <f t="shared" si="49"/>
        <v>117900</v>
      </c>
      <c r="H36" s="323" t="s">
        <v>52</v>
      </c>
      <c r="I36" s="319">
        <v>19</v>
      </c>
      <c r="J36" s="18">
        <v>2400</v>
      </c>
      <c r="K36" s="9">
        <f t="shared" si="54"/>
        <v>126.31578947368421</v>
      </c>
      <c r="L36" s="319">
        <v>19</v>
      </c>
      <c r="M36" s="10">
        <f t="shared" si="55"/>
        <v>2231.4049586776864</v>
      </c>
      <c r="N36" s="9">
        <f t="shared" si="56"/>
        <v>117.44236624619403</v>
      </c>
      <c r="O36" s="11">
        <f t="shared" si="50"/>
        <v>0</v>
      </c>
      <c r="P36" s="12">
        <f t="shared" si="51"/>
        <v>-8.8734232274901785</v>
      </c>
      <c r="Q36" s="311">
        <f t="shared" si="52"/>
        <v>0.92975206611570271</v>
      </c>
      <c r="R36" s="533"/>
      <c r="S36" s="24">
        <v>0.35069444444444442</v>
      </c>
      <c r="T36" s="24">
        <v>0.43472222222222218</v>
      </c>
      <c r="U36" s="312">
        <f t="shared" si="58"/>
        <v>4.9999999999999822</v>
      </c>
      <c r="V36" s="320">
        <f t="shared" si="53"/>
        <v>120.99999999999997</v>
      </c>
      <c r="W36" s="14"/>
      <c r="X36" s="14"/>
      <c r="Y36" s="528"/>
      <c r="Z36" s="528"/>
      <c r="AA36" s="11">
        <f t="shared" si="2"/>
        <v>-168.59504132231359</v>
      </c>
      <c r="AB36" s="311">
        <f t="shared" si="57"/>
        <v>0.92975206611570271</v>
      </c>
      <c r="AC36" s="533"/>
    </row>
    <row r="37" spans="1:29">
      <c r="A37" s="551" t="s">
        <v>1133</v>
      </c>
      <c r="B37" s="26" t="s">
        <v>24</v>
      </c>
      <c r="C37" s="529" t="s">
        <v>1079</v>
      </c>
      <c r="D37" s="529"/>
      <c r="E37" s="26">
        <v>24.82</v>
      </c>
      <c r="F37" s="322">
        <v>4000</v>
      </c>
      <c r="G37" s="312">
        <f t="shared" si="49"/>
        <v>99280</v>
      </c>
      <c r="H37" s="323">
        <v>2</v>
      </c>
      <c r="I37" s="319">
        <v>17</v>
      </c>
      <c r="J37" s="18">
        <v>2400</v>
      </c>
      <c r="K37" s="9">
        <f t="shared" si="54"/>
        <v>141.1764705882353</v>
      </c>
      <c r="L37" s="319">
        <v>17</v>
      </c>
      <c r="M37" s="10">
        <f t="shared" si="55"/>
        <v>2222.2222222222217</v>
      </c>
      <c r="N37" s="9">
        <f t="shared" si="56"/>
        <v>130.71895424836597</v>
      </c>
      <c r="O37" s="11">
        <f t="shared" si="50"/>
        <v>0</v>
      </c>
      <c r="P37" s="12">
        <f t="shared" si="51"/>
        <v>-10.457516339869329</v>
      </c>
      <c r="Q37" s="311">
        <f t="shared" si="52"/>
        <v>0.9259259259259256</v>
      </c>
      <c r="R37" s="533"/>
      <c r="S37" s="24">
        <v>0.43819444444444439</v>
      </c>
      <c r="T37" s="24">
        <v>0.5131944444444444</v>
      </c>
      <c r="U37" s="312">
        <f t="shared" si="58"/>
        <v>4.9999999999999822</v>
      </c>
      <c r="V37" s="320">
        <f t="shared" si="53"/>
        <v>108.00000000000001</v>
      </c>
      <c r="W37" s="14">
        <f>T37</f>
        <v>0.5131944444444444</v>
      </c>
      <c r="X37" s="14">
        <f>S38</f>
        <v>0.55208333333333326</v>
      </c>
      <c r="Y37" s="528"/>
      <c r="Z37" s="528"/>
      <c r="AA37" s="11">
        <f t="shared" si="2"/>
        <v>-177.77777777777828</v>
      </c>
      <c r="AB37" s="311">
        <f t="shared" si="57"/>
        <v>0.92592592592592571</v>
      </c>
      <c r="AC37" s="533"/>
    </row>
    <row r="38" spans="1:29">
      <c r="A38" s="551" t="s">
        <v>1133</v>
      </c>
      <c r="B38" s="26" t="s">
        <v>24</v>
      </c>
      <c r="C38" s="529" t="s">
        <v>1079</v>
      </c>
      <c r="D38" s="529"/>
      <c r="E38" s="26">
        <v>24.82</v>
      </c>
      <c r="F38" s="322">
        <v>2823</v>
      </c>
      <c r="G38" s="312">
        <f t="shared" si="49"/>
        <v>70066.86</v>
      </c>
      <c r="H38" s="323" t="s">
        <v>52</v>
      </c>
      <c r="I38" s="319">
        <v>17</v>
      </c>
      <c r="J38" s="18">
        <v>2400</v>
      </c>
      <c r="K38" s="9">
        <f t="shared" si="54"/>
        <v>141.1764705882353</v>
      </c>
      <c r="L38" s="319">
        <v>17</v>
      </c>
      <c r="M38" s="10">
        <f t="shared" si="55"/>
        <v>2228.6842105263145</v>
      </c>
      <c r="N38" s="9">
        <f t="shared" si="56"/>
        <v>131.09907120743026</v>
      </c>
      <c r="O38" s="11">
        <f t="shared" si="50"/>
        <v>0</v>
      </c>
      <c r="P38" s="12">
        <f t="shared" si="51"/>
        <v>-10.077399380805048</v>
      </c>
      <c r="Q38" s="311">
        <f t="shared" si="52"/>
        <v>0.92861842105263093</v>
      </c>
      <c r="R38" s="533"/>
      <c r="S38" s="24">
        <v>0.55208333333333326</v>
      </c>
      <c r="T38" s="24">
        <v>0.60486111111111107</v>
      </c>
      <c r="U38" s="312">
        <f t="shared" si="58"/>
        <v>55.999999999999957</v>
      </c>
      <c r="V38" s="320">
        <f t="shared" si="53"/>
        <v>76.000000000000057</v>
      </c>
      <c r="W38" s="14"/>
      <c r="X38" s="14"/>
      <c r="Y38" s="536"/>
      <c r="Z38" s="537"/>
      <c r="AA38" s="11">
        <f t="shared" si="2"/>
        <v>-171.31578947368553</v>
      </c>
      <c r="AB38" s="311">
        <f t="shared" si="57"/>
        <v>0.92861842105263104</v>
      </c>
      <c r="AC38" s="533"/>
    </row>
    <row r="39" spans="1:29">
      <c r="A39" s="551" t="s">
        <v>1133</v>
      </c>
      <c r="B39" s="26" t="s">
        <v>24</v>
      </c>
      <c r="C39" s="529" t="s">
        <v>28</v>
      </c>
      <c r="D39" s="529"/>
      <c r="E39" s="26">
        <v>26.2</v>
      </c>
      <c r="F39" s="322">
        <v>2568</v>
      </c>
      <c r="G39" s="312">
        <f t="shared" si="49"/>
        <v>67281.599999999991</v>
      </c>
      <c r="H39" s="323" t="s">
        <v>52</v>
      </c>
      <c r="I39" s="319">
        <v>18</v>
      </c>
      <c r="J39" s="18">
        <v>2400</v>
      </c>
      <c r="K39" s="9">
        <f t="shared" si="54"/>
        <v>133.33333333333334</v>
      </c>
      <c r="L39" s="319">
        <v>18</v>
      </c>
      <c r="M39" s="10">
        <f t="shared" si="55"/>
        <v>2233.0434782608722</v>
      </c>
      <c r="N39" s="9">
        <f t="shared" si="56"/>
        <v>124.05797101449291</v>
      </c>
      <c r="O39" s="11">
        <f t="shared" si="50"/>
        <v>0</v>
      </c>
      <c r="P39" s="12">
        <f t="shared" si="51"/>
        <v>-9.2753623188404362</v>
      </c>
      <c r="Q39" s="311">
        <f t="shared" si="52"/>
        <v>0.93043478260869672</v>
      </c>
      <c r="R39" s="533"/>
      <c r="S39" s="24">
        <v>0.61041666666666661</v>
      </c>
      <c r="T39" s="24">
        <v>0.65833333333333321</v>
      </c>
      <c r="U39" s="312">
        <f t="shared" si="58"/>
        <v>7.9999999999999716</v>
      </c>
      <c r="V39" s="320">
        <f t="shared" si="53"/>
        <v>68.999999999999915</v>
      </c>
      <c r="W39" s="14"/>
      <c r="X39" s="14"/>
      <c r="Y39" s="536"/>
      <c r="Z39" s="537"/>
      <c r="AA39" s="11">
        <f t="shared" si="2"/>
        <v>-166.95652173912777</v>
      </c>
      <c r="AB39" s="311">
        <f t="shared" si="57"/>
        <v>0.93043478260869672</v>
      </c>
      <c r="AC39" s="533"/>
    </row>
    <row r="40" spans="1:29">
      <c r="A40" s="551" t="s">
        <v>1133</v>
      </c>
      <c r="B40" s="26" t="s">
        <v>24</v>
      </c>
      <c r="C40" s="529" t="s">
        <v>29</v>
      </c>
      <c r="D40" s="529"/>
      <c r="E40" s="26">
        <v>26.39</v>
      </c>
      <c r="F40" s="322">
        <v>2558</v>
      </c>
      <c r="G40" s="312">
        <f t="shared" si="49"/>
        <v>67505.62</v>
      </c>
      <c r="H40" s="323" t="s">
        <v>52</v>
      </c>
      <c r="I40" s="319">
        <v>19</v>
      </c>
      <c r="J40" s="18">
        <v>2400</v>
      </c>
      <c r="K40" s="9">
        <f t="shared" si="54"/>
        <v>126.31578947368421</v>
      </c>
      <c r="L40" s="319">
        <v>19</v>
      </c>
      <c r="M40" s="10">
        <f t="shared" si="55"/>
        <v>2224.3478260869542</v>
      </c>
      <c r="N40" s="9">
        <f t="shared" si="56"/>
        <v>117.07093821510286</v>
      </c>
      <c r="O40" s="11">
        <f t="shared" si="50"/>
        <v>0</v>
      </c>
      <c r="P40" s="12">
        <f t="shared" si="51"/>
        <v>-9.2448512585813489</v>
      </c>
      <c r="Q40" s="311">
        <f t="shared" si="52"/>
        <v>0.9268115942028976</v>
      </c>
      <c r="R40" s="533"/>
      <c r="S40" s="24">
        <v>0.66319444444444431</v>
      </c>
      <c r="T40" s="24">
        <v>0.71111111111111103</v>
      </c>
      <c r="U40" s="312">
        <f t="shared" si="58"/>
        <v>6.9999999999999751</v>
      </c>
      <c r="V40" s="320">
        <f t="shared" si="53"/>
        <v>69.000000000000071</v>
      </c>
      <c r="W40" s="14"/>
      <c r="X40" s="14"/>
      <c r="Y40" s="536"/>
      <c r="Z40" s="537"/>
      <c r="AA40" s="11">
        <f t="shared" si="2"/>
        <v>-175.65217391304577</v>
      </c>
      <c r="AB40" s="311">
        <f t="shared" si="57"/>
        <v>0.9268115942028976</v>
      </c>
      <c r="AC40" s="533"/>
    </row>
    <row r="41" spans="1:29">
      <c r="A41" s="551" t="s">
        <v>1133</v>
      </c>
      <c r="B41" s="16" t="s">
        <v>1134</v>
      </c>
      <c r="C41" s="530"/>
      <c r="D41" s="530"/>
      <c r="E41" s="313"/>
      <c r="F41" s="16"/>
      <c r="G41" s="9"/>
      <c r="H41" s="322"/>
      <c r="I41" s="17">
        <v>18.333333333333332</v>
      </c>
      <c r="J41" s="18">
        <v>2400</v>
      </c>
      <c r="K41" s="9">
        <f t="shared" si="54"/>
        <v>130.90909090909091</v>
      </c>
      <c r="L41" s="17">
        <v>18.333333333333332</v>
      </c>
      <c r="M41" s="10">
        <f>AVERAGE(M32:M40)</f>
        <v>2230.305308914069</v>
      </c>
      <c r="N41" s="9">
        <f>M41/L41</f>
        <v>121.65301684985832</v>
      </c>
      <c r="O41" s="11">
        <f>L41-I41</f>
        <v>0</v>
      </c>
      <c r="P41" s="12">
        <f t="shared" si="51"/>
        <v>-9.2560740592325885</v>
      </c>
      <c r="Q41" s="311">
        <f t="shared" si="52"/>
        <v>0.92929387871419555</v>
      </c>
      <c r="R41" s="533"/>
      <c r="S41" s="24"/>
      <c r="T41" s="24"/>
      <c r="U41" s="9"/>
      <c r="V41" s="320"/>
      <c r="W41" s="9"/>
      <c r="X41" s="9"/>
      <c r="Y41" s="528"/>
      <c r="Z41" s="528"/>
      <c r="AA41" s="11">
        <f t="shared" si="2"/>
        <v>-169.69469108593103</v>
      </c>
      <c r="AB41" s="311">
        <f t="shared" si="57"/>
        <v>0.92929387871419544</v>
      </c>
      <c r="AC41" s="533"/>
    </row>
    <row r="42" spans="1:29" ht="15.75" customHeight="1">
      <c r="A42" s="544" t="s">
        <v>1135</v>
      </c>
      <c r="B42" s="26" t="s">
        <v>32</v>
      </c>
      <c r="C42" s="534" t="s">
        <v>33</v>
      </c>
      <c r="D42" s="535"/>
      <c r="E42" s="26">
        <v>27.17</v>
      </c>
      <c r="F42" s="322">
        <v>2600</v>
      </c>
      <c r="G42" s="312">
        <f t="shared" ref="G42:G49" si="59">E42*F42</f>
        <v>70642</v>
      </c>
      <c r="H42" s="323">
        <v>2</v>
      </c>
      <c r="I42" s="319">
        <v>10</v>
      </c>
      <c r="J42" s="18">
        <v>3000</v>
      </c>
      <c r="K42" s="9">
        <f t="shared" si="54"/>
        <v>300</v>
      </c>
      <c r="L42" s="319">
        <v>10</v>
      </c>
      <c r="M42" s="10">
        <f t="shared" ref="M42:M43" si="60">F42/V42*60</f>
        <v>2785.7142857142858</v>
      </c>
      <c r="N42" s="10">
        <f t="shared" ref="N42:N50" si="61">M42/L42</f>
        <v>278.57142857142856</v>
      </c>
      <c r="O42" s="11">
        <f t="shared" ref="O42:O50" si="62">L42-I42</f>
        <v>0</v>
      </c>
      <c r="P42" s="12">
        <f t="shared" si="51"/>
        <v>-21.428571428571445</v>
      </c>
      <c r="Q42" s="311">
        <f t="shared" si="52"/>
        <v>0.92857142857142849</v>
      </c>
      <c r="R42" s="547">
        <f>Q50</f>
        <v>0.93305682276830892</v>
      </c>
      <c r="S42" s="24">
        <v>0.125</v>
      </c>
      <c r="T42" s="24">
        <v>0.16388888888888889</v>
      </c>
      <c r="U42" s="15"/>
      <c r="V42" s="320">
        <f t="shared" ref="V42:V49" si="63">(T42-S42)*24*60</f>
        <v>56</v>
      </c>
      <c r="W42" s="312"/>
      <c r="X42" s="312"/>
      <c r="Y42" s="536"/>
      <c r="Z42" s="537"/>
      <c r="AA42" s="11">
        <f t="shared" si="2"/>
        <v>-214.28571428571422</v>
      </c>
      <c r="AB42" s="311">
        <f t="shared" si="57"/>
        <v>0.9285714285714286</v>
      </c>
      <c r="AC42" s="547">
        <f>AB50</f>
        <v>0.93305682276830881</v>
      </c>
    </row>
    <row r="43" spans="1:29" ht="15.75" customHeight="1">
      <c r="A43" s="545" t="s">
        <v>1135</v>
      </c>
      <c r="B43" s="26" t="s">
        <v>32</v>
      </c>
      <c r="C43" s="534" t="s">
        <v>34</v>
      </c>
      <c r="D43" s="535"/>
      <c r="E43" s="26">
        <v>21.13</v>
      </c>
      <c r="F43" s="322">
        <v>4965</v>
      </c>
      <c r="G43" s="312">
        <f t="shared" si="59"/>
        <v>104910.45</v>
      </c>
      <c r="H43" s="323" t="s">
        <v>52</v>
      </c>
      <c r="I43" s="319">
        <v>10</v>
      </c>
      <c r="J43" s="18">
        <v>3000</v>
      </c>
      <c r="K43" s="9">
        <f t="shared" si="54"/>
        <v>300</v>
      </c>
      <c r="L43" s="319">
        <v>10</v>
      </c>
      <c r="M43" s="10">
        <f t="shared" si="60"/>
        <v>2784.1121495327097</v>
      </c>
      <c r="N43" s="10">
        <f t="shared" si="61"/>
        <v>278.41121495327099</v>
      </c>
      <c r="O43" s="11">
        <f t="shared" si="62"/>
        <v>0</v>
      </c>
      <c r="P43" s="12">
        <f t="shared" si="51"/>
        <v>-21.588785046729015</v>
      </c>
      <c r="Q43" s="311">
        <f t="shared" si="52"/>
        <v>0.9280373831775699</v>
      </c>
      <c r="R43" s="548"/>
      <c r="S43" s="24">
        <v>0.16805555555555557</v>
      </c>
      <c r="T43" s="24">
        <v>0.24236111111111114</v>
      </c>
      <c r="U43" s="312">
        <f>(S43-T42)*24*60</f>
        <v>6.0000000000000187</v>
      </c>
      <c r="V43" s="320">
        <f t="shared" si="63"/>
        <v>107.00000000000001</v>
      </c>
      <c r="W43" s="14"/>
      <c r="X43" s="14"/>
      <c r="Y43" s="536"/>
      <c r="Z43" s="537"/>
      <c r="AA43" s="11">
        <f t="shared" si="2"/>
        <v>-215.88785046729026</v>
      </c>
      <c r="AB43" s="311">
        <f t="shared" si="57"/>
        <v>0.9280373831775699</v>
      </c>
      <c r="AC43" s="548"/>
    </row>
    <row r="44" spans="1:29" ht="15.75" customHeight="1">
      <c r="A44" s="545" t="s">
        <v>1135</v>
      </c>
      <c r="B44" s="26" t="s">
        <v>32</v>
      </c>
      <c r="C44" s="534" t="s">
        <v>40</v>
      </c>
      <c r="D44" s="535"/>
      <c r="E44" s="26">
        <v>35.119999999999997</v>
      </c>
      <c r="F44" s="322">
        <v>4747</v>
      </c>
      <c r="G44" s="312">
        <f t="shared" si="59"/>
        <v>166714.63999999998</v>
      </c>
      <c r="H44" s="323" t="s">
        <v>52</v>
      </c>
      <c r="I44" s="319">
        <v>10</v>
      </c>
      <c r="J44" s="18">
        <v>3000</v>
      </c>
      <c r="K44" s="9">
        <f t="shared" si="54"/>
        <v>300</v>
      </c>
      <c r="L44" s="319">
        <v>10</v>
      </c>
      <c r="M44" s="10">
        <f>F44/V44*60</f>
        <v>2792.3529411764721</v>
      </c>
      <c r="N44" s="10">
        <f t="shared" si="61"/>
        <v>279.23529411764719</v>
      </c>
      <c r="O44" s="11">
        <f t="shared" si="62"/>
        <v>0</v>
      </c>
      <c r="P44" s="12">
        <f t="shared" si="51"/>
        <v>-20.764705882352814</v>
      </c>
      <c r="Q44" s="311">
        <f t="shared" si="52"/>
        <v>0.93078431372549064</v>
      </c>
      <c r="R44" s="548"/>
      <c r="S44" s="24">
        <v>0.24583333333333335</v>
      </c>
      <c r="T44" s="24">
        <v>0.31666666666666665</v>
      </c>
      <c r="U44" s="312">
        <f t="shared" ref="U44:U49" si="64">(S44-T43)*24*60</f>
        <v>4.9999999999999822</v>
      </c>
      <c r="V44" s="320">
        <f t="shared" si="63"/>
        <v>101.99999999999996</v>
      </c>
      <c r="W44" s="14"/>
      <c r="X44" s="14"/>
      <c r="Y44" s="536"/>
      <c r="Z44" s="537"/>
      <c r="AA44" s="11">
        <f t="shared" si="2"/>
        <v>-207.64705882352791</v>
      </c>
      <c r="AB44" s="311">
        <f t="shared" si="57"/>
        <v>0.93078431372549064</v>
      </c>
      <c r="AC44" s="548"/>
    </row>
    <row r="45" spans="1:29" ht="15.75" customHeight="1">
      <c r="A45" s="545" t="s">
        <v>1135</v>
      </c>
      <c r="B45" s="26" t="s">
        <v>32</v>
      </c>
      <c r="C45" s="534" t="s">
        <v>61</v>
      </c>
      <c r="D45" s="535"/>
      <c r="E45" s="26">
        <v>40.18</v>
      </c>
      <c r="F45" s="322">
        <v>1855</v>
      </c>
      <c r="G45" s="312">
        <f t="shared" si="59"/>
        <v>74533.899999999994</v>
      </c>
      <c r="H45" s="323" t="s">
        <v>52</v>
      </c>
      <c r="I45" s="319">
        <v>10</v>
      </c>
      <c r="J45" s="18">
        <v>3000</v>
      </c>
      <c r="K45" s="9">
        <f t="shared" si="54"/>
        <v>300</v>
      </c>
      <c r="L45" s="319">
        <v>10</v>
      </c>
      <c r="M45" s="10">
        <f t="shared" ref="M45:M49" si="65">F45/V45*60</f>
        <v>2782.4999999999991</v>
      </c>
      <c r="N45" s="10">
        <f t="shared" si="61"/>
        <v>278.24999999999989</v>
      </c>
      <c r="O45" s="11">
        <f t="shared" si="62"/>
        <v>0</v>
      </c>
      <c r="P45" s="12">
        <f t="shared" si="51"/>
        <v>-21.750000000000114</v>
      </c>
      <c r="Q45" s="311">
        <f t="shared" si="52"/>
        <v>0.92749999999999966</v>
      </c>
      <c r="R45" s="548"/>
      <c r="S45" s="24">
        <v>0.32013888888888886</v>
      </c>
      <c r="T45" s="24">
        <v>0.34791666666666665</v>
      </c>
      <c r="U45" s="312">
        <f t="shared" si="64"/>
        <v>4.9999999999999822</v>
      </c>
      <c r="V45" s="320">
        <f t="shared" si="63"/>
        <v>40.000000000000014</v>
      </c>
      <c r="W45" s="14"/>
      <c r="X45" s="14"/>
      <c r="Y45" s="536"/>
      <c r="Z45" s="537"/>
      <c r="AA45" s="11">
        <f t="shared" si="2"/>
        <v>-217.50000000000091</v>
      </c>
      <c r="AB45" s="311">
        <f t="shared" si="57"/>
        <v>0.92749999999999966</v>
      </c>
      <c r="AC45" s="548"/>
    </row>
    <row r="46" spans="1:29" ht="15.75" customHeight="1">
      <c r="A46" s="545" t="s">
        <v>1135</v>
      </c>
      <c r="B46" s="26" t="s">
        <v>32</v>
      </c>
      <c r="C46" s="534" t="s">
        <v>64</v>
      </c>
      <c r="D46" s="535"/>
      <c r="E46" s="26">
        <v>28.5</v>
      </c>
      <c r="F46" s="322">
        <v>1187</v>
      </c>
      <c r="G46" s="312">
        <f t="shared" si="59"/>
        <v>33829.5</v>
      </c>
      <c r="H46" s="323" t="s">
        <v>52</v>
      </c>
      <c r="I46" s="319">
        <v>10</v>
      </c>
      <c r="J46" s="18">
        <v>3000</v>
      </c>
      <c r="K46" s="9">
        <f t="shared" si="54"/>
        <v>300</v>
      </c>
      <c r="L46" s="319">
        <v>10</v>
      </c>
      <c r="M46" s="10">
        <f t="shared" si="65"/>
        <v>2848.8000000000006</v>
      </c>
      <c r="N46" s="10">
        <f t="shared" si="61"/>
        <v>284.88000000000005</v>
      </c>
      <c r="O46" s="11">
        <f t="shared" si="62"/>
        <v>0</v>
      </c>
      <c r="P46" s="12">
        <f t="shared" si="51"/>
        <v>-15.119999999999948</v>
      </c>
      <c r="Q46" s="311">
        <f>N46/K46</f>
        <v>0.94960000000000022</v>
      </c>
      <c r="R46" s="548"/>
      <c r="S46" s="24">
        <v>0.35347222222222219</v>
      </c>
      <c r="T46" s="24">
        <v>0.37083333333333329</v>
      </c>
      <c r="U46" s="312">
        <f t="shared" si="64"/>
        <v>7.9999999999999716</v>
      </c>
      <c r="V46" s="320">
        <f t="shared" si="63"/>
        <v>24.999999999999993</v>
      </c>
      <c r="W46" s="14"/>
      <c r="X46" s="14"/>
      <c r="Y46" s="536"/>
      <c r="Z46" s="537"/>
      <c r="AA46" s="11">
        <f t="shared" si="2"/>
        <v>-151.19999999999936</v>
      </c>
      <c r="AB46" s="311">
        <f t="shared" si="57"/>
        <v>0.94960000000000022</v>
      </c>
      <c r="AC46" s="548"/>
    </row>
    <row r="47" spans="1:29" ht="15.75" customHeight="1">
      <c r="A47" s="545" t="s">
        <v>1135</v>
      </c>
      <c r="B47" s="26" t="s">
        <v>32</v>
      </c>
      <c r="C47" s="534" t="s">
        <v>78</v>
      </c>
      <c r="D47" s="535"/>
      <c r="E47" s="26">
        <v>35.869999999999997</v>
      </c>
      <c r="F47" s="322">
        <v>3371</v>
      </c>
      <c r="G47" s="312">
        <f t="shared" si="59"/>
        <v>120917.76999999999</v>
      </c>
      <c r="H47" s="323" t="s">
        <v>52</v>
      </c>
      <c r="I47" s="319">
        <v>10</v>
      </c>
      <c r="J47" s="18">
        <v>3000</v>
      </c>
      <c r="K47" s="9">
        <f t="shared" si="54"/>
        <v>300</v>
      </c>
      <c r="L47" s="319">
        <v>10</v>
      </c>
      <c r="M47" s="10">
        <f t="shared" si="65"/>
        <v>2809.1666666666674</v>
      </c>
      <c r="N47" s="10">
        <f t="shared" si="61"/>
        <v>280.91666666666674</v>
      </c>
      <c r="O47" s="11">
        <f t="shared" si="62"/>
        <v>0</v>
      </c>
      <c r="P47" s="12">
        <f t="shared" si="51"/>
        <v>-19.083333333333258</v>
      </c>
      <c r="Q47" s="311">
        <f t="shared" ref="Q47:Q50" si="66">N47/K47</f>
        <v>0.93638888888888916</v>
      </c>
      <c r="R47" s="548"/>
      <c r="S47" s="24">
        <v>0.3743055555555555</v>
      </c>
      <c r="T47" s="24">
        <v>0.42430555555555549</v>
      </c>
      <c r="U47" s="312">
        <f t="shared" si="64"/>
        <v>4.9999999999999822</v>
      </c>
      <c r="V47" s="320">
        <f t="shared" si="63"/>
        <v>71.999999999999986</v>
      </c>
      <c r="W47" s="14"/>
      <c r="X47" s="14"/>
      <c r="Y47" s="536"/>
      <c r="Z47" s="537"/>
      <c r="AA47" s="11">
        <f t="shared" si="2"/>
        <v>-190.83333333333258</v>
      </c>
      <c r="AB47" s="311">
        <f t="shared" si="57"/>
        <v>0.93638888888888916</v>
      </c>
      <c r="AC47" s="548"/>
    </row>
    <row r="48" spans="1:29" ht="15.75" customHeight="1">
      <c r="A48" s="545" t="s">
        <v>1135</v>
      </c>
      <c r="B48" s="26" t="s">
        <v>32</v>
      </c>
      <c r="C48" s="534" t="s">
        <v>1081</v>
      </c>
      <c r="D48" s="535"/>
      <c r="E48" s="26">
        <v>34.53</v>
      </c>
      <c r="F48" s="322">
        <v>6139</v>
      </c>
      <c r="G48" s="312">
        <f t="shared" si="59"/>
        <v>211979.67</v>
      </c>
      <c r="H48" s="323" t="s">
        <v>52</v>
      </c>
      <c r="I48" s="319">
        <v>10</v>
      </c>
      <c r="J48" s="18">
        <v>3000</v>
      </c>
      <c r="K48" s="9">
        <f t="shared" si="54"/>
        <v>300</v>
      </c>
      <c r="L48" s="319">
        <v>10</v>
      </c>
      <c r="M48" s="10">
        <f t="shared" si="65"/>
        <v>2790.4545454545455</v>
      </c>
      <c r="N48" s="10">
        <f t="shared" si="61"/>
        <v>279.04545454545456</v>
      </c>
      <c r="O48" s="11">
        <f t="shared" si="62"/>
        <v>0</v>
      </c>
      <c r="P48" s="12">
        <f t="shared" si="51"/>
        <v>-20.954545454545439</v>
      </c>
      <c r="Q48" s="311">
        <f t="shared" si="66"/>
        <v>0.93015151515151517</v>
      </c>
      <c r="R48" s="548"/>
      <c r="S48" s="24">
        <v>0.42847222222222214</v>
      </c>
      <c r="T48" s="24">
        <v>0.52013888888888882</v>
      </c>
      <c r="U48" s="312">
        <f t="shared" si="64"/>
        <v>5.9999999999999787</v>
      </c>
      <c r="V48" s="320">
        <f t="shared" si="63"/>
        <v>132</v>
      </c>
      <c r="W48" s="14">
        <f>T48</f>
        <v>0.52013888888888882</v>
      </c>
      <c r="X48" s="14">
        <f>S49</f>
        <v>0.56041666666666656</v>
      </c>
      <c r="Y48" s="536"/>
      <c r="Z48" s="537"/>
      <c r="AA48" s="11">
        <f t="shared" si="2"/>
        <v>-209.5454545454545</v>
      </c>
      <c r="AB48" s="311">
        <f t="shared" si="57"/>
        <v>0.93015151515151517</v>
      </c>
      <c r="AC48" s="548"/>
    </row>
    <row r="49" spans="1:29" ht="15.75" customHeight="1">
      <c r="A49" s="545" t="s">
        <v>1135</v>
      </c>
      <c r="B49" s="26" t="s">
        <v>32</v>
      </c>
      <c r="C49" s="534" t="s">
        <v>33</v>
      </c>
      <c r="D49" s="535"/>
      <c r="E49" s="26">
        <v>27.17</v>
      </c>
      <c r="F49" s="322">
        <v>3547</v>
      </c>
      <c r="G49" s="312">
        <f t="shared" si="59"/>
        <v>96371.99</v>
      </c>
      <c r="H49" s="323" t="s">
        <v>52</v>
      </c>
      <c r="I49" s="319">
        <v>10</v>
      </c>
      <c r="J49" s="18">
        <v>3000</v>
      </c>
      <c r="K49" s="9">
        <f t="shared" si="54"/>
        <v>300</v>
      </c>
      <c r="L49" s="319">
        <v>10</v>
      </c>
      <c r="M49" s="10">
        <f t="shared" si="65"/>
        <v>2800.2631578947344</v>
      </c>
      <c r="N49" s="10">
        <f t="shared" si="61"/>
        <v>280.02631578947341</v>
      </c>
      <c r="O49" s="11">
        <f t="shared" si="62"/>
        <v>0</v>
      </c>
      <c r="P49" s="12">
        <f t="shared" si="51"/>
        <v>-19.973684210526585</v>
      </c>
      <c r="Q49" s="311">
        <f t="shared" si="66"/>
        <v>0.93342105263157804</v>
      </c>
      <c r="R49" s="548"/>
      <c r="S49" s="24">
        <v>0.56041666666666656</v>
      </c>
      <c r="T49" s="24">
        <v>0.61319444444444438</v>
      </c>
      <c r="U49" s="312">
        <f t="shared" si="64"/>
        <v>57.999999999999957</v>
      </c>
      <c r="V49" s="320">
        <f t="shared" si="63"/>
        <v>76.000000000000057</v>
      </c>
      <c r="W49" s="14"/>
      <c r="X49" s="14"/>
      <c r="Y49" s="536"/>
      <c r="Z49" s="537"/>
      <c r="AA49" s="11">
        <f t="shared" si="2"/>
        <v>-199.73684210526562</v>
      </c>
      <c r="AB49" s="311">
        <f t="shared" si="57"/>
        <v>0.93342105263157815</v>
      </c>
      <c r="AC49" s="548"/>
    </row>
    <row r="50" spans="1:29" ht="15.75" customHeight="1">
      <c r="A50" s="546" t="s">
        <v>1135</v>
      </c>
      <c r="B50" s="26" t="s">
        <v>1134</v>
      </c>
      <c r="C50" s="540"/>
      <c r="D50" s="541"/>
      <c r="E50" s="318"/>
      <c r="F50" s="322"/>
      <c r="G50" s="312"/>
      <c r="H50" s="322"/>
      <c r="I50" s="17">
        <v>10</v>
      </c>
      <c r="J50" s="18">
        <v>3000</v>
      </c>
      <c r="K50" s="9">
        <f>J50/I50</f>
        <v>300</v>
      </c>
      <c r="L50" s="17">
        <v>10</v>
      </c>
      <c r="M50" s="10">
        <f>AVERAGE(M42:M49)</f>
        <v>2799.1704683049265</v>
      </c>
      <c r="N50" s="9">
        <f t="shared" si="61"/>
        <v>279.91704683049267</v>
      </c>
      <c r="O50" s="11">
        <f t="shared" si="62"/>
        <v>0</v>
      </c>
      <c r="P50" s="12">
        <f t="shared" si="51"/>
        <v>-20.082953169507334</v>
      </c>
      <c r="Q50" s="311">
        <f t="shared" si="66"/>
        <v>0.93305682276830892</v>
      </c>
      <c r="R50" s="549"/>
      <c r="S50" s="24"/>
      <c r="T50" s="24"/>
      <c r="U50" s="312"/>
      <c r="V50" s="320"/>
      <c r="W50" s="14"/>
      <c r="X50" s="14"/>
      <c r="Y50" s="536"/>
      <c r="Z50" s="537"/>
      <c r="AA50" s="11">
        <f t="shared" si="2"/>
        <v>-200.82953169507346</v>
      </c>
      <c r="AB50" s="311">
        <f t="shared" si="57"/>
        <v>0.93305682276830881</v>
      </c>
      <c r="AC50" s="549"/>
    </row>
    <row r="51" spans="1:29" ht="15.75" customHeight="1">
      <c r="A51" s="542" t="s">
        <v>1136</v>
      </c>
      <c r="B51" s="26" t="s">
        <v>15</v>
      </c>
      <c r="C51" s="529" t="s">
        <v>20</v>
      </c>
      <c r="D51" s="529"/>
      <c r="E51" s="26">
        <v>46</v>
      </c>
      <c r="F51" s="27">
        <v>3288</v>
      </c>
      <c r="G51" s="312">
        <f t="shared" ref="G51:G55" si="67">E51*F51</f>
        <v>151248</v>
      </c>
      <c r="H51" s="323" t="s">
        <v>52</v>
      </c>
      <c r="I51" s="319">
        <v>17</v>
      </c>
      <c r="J51" s="18">
        <v>2000</v>
      </c>
      <c r="K51" s="9">
        <f t="shared" ref="K51:K55" si="68">J51/I51</f>
        <v>117.64705882352941</v>
      </c>
      <c r="L51" s="319">
        <v>17</v>
      </c>
      <c r="M51" s="10">
        <f t="shared" ref="M51:M55" si="69">F51/V51*60</f>
        <v>1861.1320754716976</v>
      </c>
      <c r="N51" s="10">
        <f>M51/L51</f>
        <v>109.4783573806881</v>
      </c>
      <c r="O51" s="11">
        <f>L51-I51</f>
        <v>0</v>
      </c>
      <c r="P51" s="12">
        <f>N51-K51</f>
        <v>-8.1687014428413107</v>
      </c>
      <c r="Q51" s="311">
        <f>N51/K51</f>
        <v>0.93056603773584889</v>
      </c>
      <c r="R51" s="533">
        <f>Q56</f>
        <v>0.93334673875946339</v>
      </c>
      <c r="S51" s="24">
        <v>0.29166666666666669</v>
      </c>
      <c r="T51" s="24">
        <v>0.36527777777777781</v>
      </c>
      <c r="U51" s="15"/>
      <c r="V51" s="320">
        <f t="shared" ref="V51:V55" si="70">(T51-S51)*24*60</f>
        <v>106.00000000000003</v>
      </c>
      <c r="W51" s="15"/>
      <c r="X51" s="15"/>
      <c r="Y51" s="528"/>
      <c r="Z51" s="528"/>
      <c r="AA51" s="11">
        <f t="shared" si="2"/>
        <v>-138.86792452830241</v>
      </c>
      <c r="AB51" s="311">
        <f t="shared" si="57"/>
        <v>0.93056603773584878</v>
      </c>
      <c r="AC51" s="533">
        <f>AB56</f>
        <v>0.93334673875946328</v>
      </c>
    </row>
    <row r="52" spans="1:29" ht="15.75" customHeight="1">
      <c r="A52" s="542" t="s">
        <v>1136</v>
      </c>
      <c r="B52" s="26" t="s">
        <v>15</v>
      </c>
      <c r="C52" s="529" t="s">
        <v>65</v>
      </c>
      <c r="D52" s="529"/>
      <c r="E52" s="26">
        <v>46</v>
      </c>
      <c r="F52" s="27">
        <v>3478</v>
      </c>
      <c r="G52" s="312">
        <f t="shared" si="67"/>
        <v>159988</v>
      </c>
      <c r="H52" s="323" t="s">
        <v>52</v>
      </c>
      <c r="I52" s="319">
        <v>18</v>
      </c>
      <c r="J52" s="18">
        <v>2000</v>
      </c>
      <c r="K52" s="9">
        <f t="shared" si="68"/>
        <v>111.11111111111111</v>
      </c>
      <c r="L52" s="319">
        <v>18</v>
      </c>
      <c r="M52" s="10">
        <f t="shared" si="69"/>
        <v>1863.2142857142856</v>
      </c>
      <c r="N52" s="10">
        <f t="shared" ref="N52:N55" si="71">M52/L52</f>
        <v>103.51190476190476</v>
      </c>
      <c r="O52" s="11">
        <f t="shared" ref="O52:O55" si="72">L52-I52</f>
        <v>0</v>
      </c>
      <c r="P52" s="12">
        <f t="shared" ref="P52:P55" si="73">N52-K52</f>
        <v>-7.5992063492063551</v>
      </c>
      <c r="Q52" s="311">
        <f t="shared" ref="Q52:Q55" si="74">N52/K52</f>
        <v>0.93160714285714286</v>
      </c>
      <c r="R52" s="533"/>
      <c r="S52" s="24">
        <v>0.36875000000000002</v>
      </c>
      <c r="T52" s="24">
        <v>0.4465277777777778</v>
      </c>
      <c r="U52" s="312">
        <f>IF(S52=TIME(17,0,0),"",(S52-T51)*24*60)</f>
        <v>4.9999999999999822</v>
      </c>
      <c r="V52" s="320">
        <f t="shared" si="70"/>
        <v>112</v>
      </c>
      <c r="W52" s="14"/>
      <c r="X52" s="14"/>
      <c r="Y52" s="528"/>
      <c r="Z52" s="528"/>
      <c r="AA52" s="11">
        <f t="shared" si="2"/>
        <v>-136.78571428571445</v>
      </c>
      <c r="AB52" s="311">
        <f t="shared" si="57"/>
        <v>0.93160714285714274</v>
      </c>
      <c r="AC52" s="533"/>
    </row>
    <row r="53" spans="1:29" ht="15.75" customHeight="1">
      <c r="A53" s="542" t="s">
        <v>1136</v>
      </c>
      <c r="B53" s="26" t="s">
        <v>13</v>
      </c>
      <c r="C53" s="534" t="s">
        <v>59</v>
      </c>
      <c r="D53" s="535"/>
      <c r="E53" s="26">
        <v>55.56</v>
      </c>
      <c r="F53" s="27">
        <v>2131</v>
      </c>
      <c r="G53" s="312">
        <f t="shared" si="67"/>
        <v>118398.36</v>
      </c>
      <c r="H53" s="323" t="s">
        <v>52</v>
      </c>
      <c r="I53" s="319">
        <v>17</v>
      </c>
      <c r="J53" s="18">
        <v>2000</v>
      </c>
      <c r="K53" s="9">
        <f t="shared" si="68"/>
        <v>117.64705882352941</v>
      </c>
      <c r="L53" s="319">
        <v>17</v>
      </c>
      <c r="M53" s="10">
        <f t="shared" si="69"/>
        <v>1880.2941176470613</v>
      </c>
      <c r="N53" s="10">
        <f t="shared" si="71"/>
        <v>110.60553633218008</v>
      </c>
      <c r="O53" s="11">
        <f t="shared" si="72"/>
        <v>0</v>
      </c>
      <c r="P53" s="12">
        <f t="shared" si="73"/>
        <v>-7.0415224913493262</v>
      </c>
      <c r="Q53" s="311">
        <f t="shared" si="74"/>
        <v>0.94014705882353078</v>
      </c>
      <c r="R53" s="533"/>
      <c r="S53" s="24">
        <v>0.70833333333333337</v>
      </c>
      <c r="T53" s="24">
        <v>0.75555555555555554</v>
      </c>
      <c r="U53" s="312" t="str">
        <f t="shared" ref="U53:U55" si="75">IF(S53=TIME(17,0,0),"",(S53-T52)*24*60)</f>
        <v/>
      </c>
      <c r="V53" s="320">
        <f t="shared" si="70"/>
        <v>67.999999999999915</v>
      </c>
      <c r="W53" s="14"/>
      <c r="X53" s="14"/>
      <c r="Y53" s="316"/>
      <c r="Z53" s="317"/>
      <c r="AA53" s="11">
        <f t="shared" si="2"/>
        <v>-119.70588235293872</v>
      </c>
      <c r="AB53" s="311">
        <f t="shared" si="57"/>
        <v>0.94014705882353067</v>
      </c>
      <c r="AC53" s="533"/>
    </row>
    <row r="54" spans="1:29" ht="15.75" customHeight="1">
      <c r="A54" s="542" t="s">
        <v>1136</v>
      </c>
      <c r="B54" s="26" t="s">
        <v>13</v>
      </c>
      <c r="C54" s="314" t="s">
        <v>58</v>
      </c>
      <c r="D54" s="315"/>
      <c r="E54" s="26">
        <v>55.32</v>
      </c>
      <c r="F54" s="27">
        <v>1586</v>
      </c>
      <c r="G54" s="312">
        <f t="shared" si="67"/>
        <v>87737.52</v>
      </c>
      <c r="H54" s="323" t="s">
        <v>52</v>
      </c>
      <c r="I54" s="319">
        <v>15</v>
      </c>
      <c r="J54" s="18">
        <v>2000</v>
      </c>
      <c r="K54" s="9">
        <f t="shared" si="68"/>
        <v>133.33333333333334</v>
      </c>
      <c r="L54" s="319">
        <v>15</v>
      </c>
      <c r="M54" s="10">
        <f t="shared" si="69"/>
        <v>1865.8823529411773</v>
      </c>
      <c r="N54" s="10">
        <f t="shared" si="71"/>
        <v>124.39215686274515</v>
      </c>
      <c r="O54" s="11">
        <f t="shared" si="72"/>
        <v>0</v>
      </c>
      <c r="P54" s="12">
        <f t="shared" si="73"/>
        <v>-8.9411764705881893</v>
      </c>
      <c r="Q54" s="311">
        <f t="shared" si="74"/>
        <v>0.93294117647058861</v>
      </c>
      <c r="R54" s="533"/>
      <c r="S54" s="24">
        <v>0.76041666666666663</v>
      </c>
      <c r="T54" s="24">
        <v>0.79583333333333328</v>
      </c>
      <c r="U54" s="312">
        <f t="shared" si="75"/>
        <v>6.9999999999999751</v>
      </c>
      <c r="V54" s="320">
        <f t="shared" si="70"/>
        <v>50.999999999999979</v>
      </c>
      <c r="W54" s="14"/>
      <c r="X54" s="14"/>
      <c r="Y54" s="316"/>
      <c r="Z54" s="317"/>
      <c r="AA54" s="11">
        <f t="shared" si="2"/>
        <v>-134.11764705882274</v>
      </c>
      <c r="AB54" s="311">
        <f t="shared" si="57"/>
        <v>0.93294117647058861</v>
      </c>
      <c r="AC54" s="533"/>
    </row>
    <row r="55" spans="1:29" ht="15.75" customHeight="1">
      <c r="A55" s="542" t="s">
        <v>1136</v>
      </c>
      <c r="B55" s="26" t="s">
        <v>13</v>
      </c>
      <c r="C55" s="314" t="s">
        <v>60</v>
      </c>
      <c r="D55" s="315"/>
      <c r="E55" s="26">
        <v>57.73</v>
      </c>
      <c r="F55" s="27">
        <v>1373</v>
      </c>
      <c r="G55" s="312">
        <f t="shared" si="67"/>
        <v>79263.289999999994</v>
      </c>
      <c r="H55" s="323" t="s">
        <v>52</v>
      </c>
      <c r="I55" s="319">
        <v>16</v>
      </c>
      <c r="J55" s="18">
        <v>1500</v>
      </c>
      <c r="K55" s="9">
        <f t="shared" si="68"/>
        <v>93.75</v>
      </c>
      <c r="L55" s="319">
        <v>16</v>
      </c>
      <c r="M55" s="10">
        <f t="shared" si="69"/>
        <v>1396.2711864406792</v>
      </c>
      <c r="N55" s="10">
        <f t="shared" si="71"/>
        <v>87.266949152542452</v>
      </c>
      <c r="O55" s="11">
        <f t="shared" si="72"/>
        <v>0</v>
      </c>
      <c r="P55" s="12">
        <f t="shared" si="73"/>
        <v>-6.4830508474575481</v>
      </c>
      <c r="Q55" s="311">
        <f t="shared" si="74"/>
        <v>0.93084745762711951</v>
      </c>
      <c r="R55" s="533"/>
      <c r="S55" s="24">
        <v>0.80138888888888882</v>
      </c>
      <c r="T55" s="24">
        <v>0.84236111111111101</v>
      </c>
      <c r="U55" s="312">
        <f t="shared" si="75"/>
        <v>7.9999999999999716</v>
      </c>
      <c r="V55" s="320">
        <f t="shared" si="70"/>
        <v>58.99999999999995</v>
      </c>
      <c r="W55" s="14"/>
      <c r="X55" s="14"/>
      <c r="Y55" s="316"/>
      <c r="Z55" s="317"/>
      <c r="AA55" s="11">
        <f t="shared" si="2"/>
        <v>-103.72881355932077</v>
      </c>
      <c r="AB55" s="311">
        <f t="shared" si="57"/>
        <v>0.93084745762711951</v>
      </c>
      <c r="AC55" s="533"/>
    </row>
    <row r="56" spans="1:29">
      <c r="A56" s="543" t="s">
        <v>1136</v>
      </c>
      <c r="B56" s="26" t="s">
        <v>1134</v>
      </c>
      <c r="C56" s="530"/>
      <c r="D56" s="530"/>
      <c r="E56" s="313"/>
      <c r="F56" s="16"/>
      <c r="G56" s="9"/>
      <c r="H56" s="322"/>
      <c r="I56" s="17">
        <v>16.600000000000001</v>
      </c>
      <c r="J56" s="18">
        <v>1900</v>
      </c>
      <c r="K56" s="9">
        <f>J56/I56</f>
        <v>114.4578313253012</v>
      </c>
      <c r="L56" s="17">
        <v>16.600000000000001</v>
      </c>
      <c r="M56" s="10">
        <f>AVERAGE(M51:M55)</f>
        <v>1773.3588036429803</v>
      </c>
      <c r="N56" s="9">
        <f>M56/L56</f>
        <v>106.82884359295062</v>
      </c>
      <c r="O56" s="11">
        <f>L56-I56</f>
        <v>0</v>
      </c>
      <c r="P56" s="12">
        <f>N56-K56</f>
        <v>-7.6289877323505806</v>
      </c>
      <c r="Q56" s="311">
        <f>N56/K56</f>
        <v>0.93334673875946339</v>
      </c>
      <c r="R56" s="533"/>
      <c r="S56" s="25"/>
      <c r="T56" s="24"/>
      <c r="U56" s="9"/>
      <c r="V56" s="320"/>
      <c r="W56" s="9"/>
      <c r="X56" s="9"/>
      <c r="Y56" s="528"/>
      <c r="Z56" s="528"/>
      <c r="AA56" s="11">
        <f t="shared" si="2"/>
        <v>-126.64119635701968</v>
      </c>
      <c r="AB56" s="311">
        <f t="shared" si="57"/>
        <v>0.93334673875946328</v>
      </c>
      <c r="AC56" s="533"/>
    </row>
    <row r="57" spans="1:29" ht="15.75" customHeight="1">
      <c r="A57" s="538" t="s">
        <v>1137</v>
      </c>
      <c r="B57" s="322" t="s">
        <v>1547</v>
      </c>
      <c r="C57" s="529" t="s">
        <v>1084</v>
      </c>
      <c r="D57" s="529"/>
      <c r="E57" s="26">
        <v>80.569999999999993</v>
      </c>
      <c r="F57" s="27">
        <v>5000</v>
      </c>
      <c r="G57" s="312">
        <f t="shared" ref="G57:G64" si="76">E57*F57</f>
        <v>402849.99999999994</v>
      </c>
      <c r="H57" s="323">
        <v>2</v>
      </c>
      <c r="I57" s="319">
        <v>17</v>
      </c>
      <c r="J57" s="18">
        <v>2400</v>
      </c>
      <c r="K57" s="9">
        <f t="shared" ref="K57:K64" si="77">J57/I57</f>
        <v>141.1764705882353</v>
      </c>
      <c r="L57" s="17">
        <v>17</v>
      </c>
      <c r="M57" s="10">
        <f t="shared" ref="M57:M64" si="78">F57/V57*60</f>
        <v>2222.2222222222222</v>
      </c>
      <c r="N57" s="9">
        <f>M57/L57</f>
        <v>130.718954248366</v>
      </c>
      <c r="O57" s="11">
        <f t="shared" ref="O57:O64" si="79">L57-I57</f>
        <v>0</v>
      </c>
      <c r="P57" s="12">
        <f t="shared" ref="P57:P64" si="80">N57-K57</f>
        <v>-10.457516339869301</v>
      </c>
      <c r="Q57" s="311">
        <f>N57/K57</f>
        <v>0.92592592592592582</v>
      </c>
      <c r="R57" s="533">
        <f>Q65</f>
        <v>0.93544653201695394</v>
      </c>
      <c r="S57" s="24">
        <v>0.125</v>
      </c>
      <c r="T57" s="24">
        <v>0.21875</v>
      </c>
      <c r="U57" s="312"/>
      <c r="V57" s="320">
        <f t="shared" ref="V57:V64" si="81">(T57-S57)*24*60</f>
        <v>135</v>
      </c>
      <c r="W57" s="15"/>
      <c r="X57" s="15"/>
      <c r="Y57" s="528"/>
      <c r="Z57" s="528"/>
      <c r="AA57" s="11">
        <f t="shared" si="2"/>
        <v>-177.77777777777783</v>
      </c>
      <c r="AB57" s="311">
        <f t="shared" si="57"/>
        <v>0.92592592592592593</v>
      </c>
      <c r="AC57" s="533">
        <f>AB65</f>
        <v>0.93544653201695382</v>
      </c>
    </row>
    <row r="58" spans="1:29" ht="15.75" customHeight="1">
      <c r="A58" s="538" t="s">
        <v>1137</v>
      </c>
      <c r="B58" s="322" t="s">
        <v>32</v>
      </c>
      <c r="C58" s="529" t="s">
        <v>35</v>
      </c>
      <c r="D58" s="529"/>
      <c r="E58" s="26">
        <v>26.78</v>
      </c>
      <c r="F58" s="27">
        <v>2594</v>
      </c>
      <c r="G58" s="312">
        <f t="shared" si="76"/>
        <v>69467.320000000007</v>
      </c>
      <c r="H58" s="323" t="s">
        <v>52</v>
      </c>
      <c r="I58" s="319">
        <v>10</v>
      </c>
      <c r="J58" s="18">
        <v>3000</v>
      </c>
      <c r="K58" s="9">
        <f t="shared" si="77"/>
        <v>300</v>
      </c>
      <c r="L58" s="17">
        <v>10</v>
      </c>
      <c r="M58" s="10">
        <f t="shared" si="78"/>
        <v>2829.8181818181815</v>
      </c>
      <c r="N58" s="9">
        <f t="shared" ref="N58:N64" si="82">M58/L58</f>
        <v>282.98181818181814</v>
      </c>
      <c r="O58" s="11">
        <f t="shared" si="79"/>
        <v>0</v>
      </c>
      <c r="P58" s="12">
        <f t="shared" si="80"/>
        <v>-17.018181818181858</v>
      </c>
      <c r="Q58" s="311">
        <f t="shared" ref="Q58:Q64" si="83">N58/K58</f>
        <v>0.94327272727272715</v>
      </c>
      <c r="R58" s="533"/>
      <c r="S58" s="24">
        <v>0.22291666666666668</v>
      </c>
      <c r="T58" s="24">
        <v>0.26111111111111113</v>
      </c>
      <c r="U58" s="312">
        <f>(S58-T57)*24*60</f>
        <v>6.0000000000000187</v>
      </c>
      <c r="V58" s="320">
        <f t="shared" si="81"/>
        <v>55.000000000000007</v>
      </c>
      <c r="W58" s="312"/>
      <c r="X58" s="312"/>
      <c r="Y58" s="528"/>
      <c r="Z58" s="528"/>
      <c r="AA58" s="11">
        <f t="shared" si="2"/>
        <v>-170.18181818181847</v>
      </c>
      <c r="AB58" s="311">
        <f t="shared" si="57"/>
        <v>0.94327272727272715</v>
      </c>
      <c r="AC58" s="533"/>
    </row>
    <row r="59" spans="1:29" ht="15.75" customHeight="1">
      <c r="A59" s="538" t="s">
        <v>1137</v>
      </c>
      <c r="B59" s="322" t="s">
        <v>32</v>
      </c>
      <c r="C59" s="529" t="s">
        <v>39</v>
      </c>
      <c r="D59" s="529"/>
      <c r="E59" s="26">
        <v>35.369999999999997</v>
      </c>
      <c r="F59" s="27">
        <v>1709</v>
      </c>
      <c r="G59" s="312">
        <f t="shared" si="76"/>
        <v>60447.329999999994</v>
      </c>
      <c r="H59" s="323" t="s">
        <v>52</v>
      </c>
      <c r="I59" s="319">
        <v>10</v>
      </c>
      <c r="J59" s="18">
        <v>3000</v>
      </c>
      <c r="K59" s="9">
        <f t="shared" si="77"/>
        <v>300</v>
      </c>
      <c r="L59" s="17">
        <v>10</v>
      </c>
      <c r="M59" s="10">
        <f t="shared" si="78"/>
        <v>2848.3333333333312</v>
      </c>
      <c r="N59" s="9">
        <f t="shared" si="82"/>
        <v>284.83333333333314</v>
      </c>
      <c r="O59" s="11">
        <f t="shared" si="79"/>
        <v>0</v>
      </c>
      <c r="P59" s="12">
        <f t="shared" si="80"/>
        <v>-15.166666666666856</v>
      </c>
      <c r="Q59" s="311">
        <f t="shared" si="83"/>
        <v>0.94944444444444376</v>
      </c>
      <c r="R59" s="533"/>
      <c r="S59" s="24">
        <v>0.26597222222222222</v>
      </c>
      <c r="T59" s="24">
        <v>0.29097222222222224</v>
      </c>
      <c r="U59" s="312">
        <f t="shared" ref="U59:U64" si="84">(S59-T58)*24*60</f>
        <v>6.9999999999999751</v>
      </c>
      <c r="V59" s="320">
        <f t="shared" si="81"/>
        <v>36.000000000000028</v>
      </c>
      <c r="W59" s="312"/>
      <c r="X59" s="312"/>
      <c r="Y59" s="528"/>
      <c r="Z59" s="528"/>
      <c r="AA59" s="11">
        <f t="shared" si="2"/>
        <v>-151.66666666666879</v>
      </c>
      <c r="AB59" s="311">
        <f t="shared" si="57"/>
        <v>0.94944444444444376</v>
      </c>
      <c r="AC59" s="533"/>
    </row>
    <row r="60" spans="1:29" ht="15.75" customHeight="1">
      <c r="A60" s="538" t="s">
        <v>1137</v>
      </c>
      <c r="B60" s="322" t="s">
        <v>32</v>
      </c>
      <c r="C60" s="529" t="s">
        <v>38</v>
      </c>
      <c r="D60" s="529"/>
      <c r="E60" s="26">
        <v>34.35</v>
      </c>
      <c r="F60" s="27">
        <v>1678</v>
      </c>
      <c r="G60" s="312">
        <f t="shared" si="76"/>
        <v>57639.3</v>
      </c>
      <c r="H60" s="323" t="s">
        <v>52</v>
      </c>
      <c r="I60" s="319">
        <v>10</v>
      </c>
      <c r="J60" s="18">
        <v>3000</v>
      </c>
      <c r="K60" s="9">
        <f t="shared" si="77"/>
        <v>300</v>
      </c>
      <c r="L60" s="17">
        <v>10</v>
      </c>
      <c r="M60" s="10">
        <f t="shared" si="78"/>
        <v>2796.6666666666642</v>
      </c>
      <c r="N60" s="9">
        <f t="shared" si="82"/>
        <v>279.6666666666664</v>
      </c>
      <c r="O60" s="11">
        <f t="shared" si="79"/>
        <v>0</v>
      </c>
      <c r="P60" s="12">
        <f t="shared" si="80"/>
        <v>-20.333333333333599</v>
      </c>
      <c r="Q60" s="311">
        <f t="shared" si="83"/>
        <v>0.93222222222222129</v>
      </c>
      <c r="R60" s="533"/>
      <c r="S60" s="24">
        <v>0.29652777777777778</v>
      </c>
      <c r="T60" s="24">
        <v>0.3215277777777778</v>
      </c>
      <c r="U60" s="312">
        <f t="shared" si="84"/>
        <v>7.9999999999999716</v>
      </c>
      <c r="V60" s="320">
        <f t="shared" si="81"/>
        <v>36.000000000000028</v>
      </c>
      <c r="W60" s="312"/>
      <c r="X60" s="312"/>
      <c r="Y60" s="528"/>
      <c r="Z60" s="528"/>
      <c r="AA60" s="11">
        <f t="shared" si="2"/>
        <v>-203.33333333333576</v>
      </c>
      <c r="AB60" s="311">
        <f t="shared" si="57"/>
        <v>0.9322222222222214</v>
      </c>
      <c r="AC60" s="533"/>
    </row>
    <row r="61" spans="1:29">
      <c r="A61" s="539" t="s">
        <v>1137</v>
      </c>
      <c r="B61" s="322" t="s">
        <v>15</v>
      </c>
      <c r="C61" s="529" t="s">
        <v>36</v>
      </c>
      <c r="D61" s="529"/>
      <c r="E61" s="26">
        <v>26.97</v>
      </c>
      <c r="F61" s="27">
        <v>3345</v>
      </c>
      <c r="G61" s="312">
        <f t="shared" si="76"/>
        <v>90214.65</v>
      </c>
      <c r="H61" s="323" t="s">
        <v>52</v>
      </c>
      <c r="I61" s="319">
        <v>8</v>
      </c>
      <c r="J61" s="18">
        <v>1500</v>
      </c>
      <c r="K61" s="9">
        <f t="shared" si="77"/>
        <v>187.5</v>
      </c>
      <c r="L61" s="17">
        <v>8</v>
      </c>
      <c r="M61" s="10">
        <f t="shared" si="78"/>
        <v>1393.7500000000002</v>
      </c>
      <c r="N61" s="9">
        <f t="shared" si="82"/>
        <v>174.21875000000003</v>
      </c>
      <c r="O61" s="11">
        <f t="shared" si="79"/>
        <v>0</v>
      </c>
      <c r="P61" s="12">
        <f t="shared" si="80"/>
        <v>-13.281249999999972</v>
      </c>
      <c r="Q61" s="311">
        <f t="shared" si="83"/>
        <v>0.92916666666666681</v>
      </c>
      <c r="R61" s="533"/>
      <c r="S61" s="24">
        <v>0.32569444444444445</v>
      </c>
      <c r="T61" s="24">
        <v>0.42569444444444443</v>
      </c>
      <c r="U61" s="312">
        <f t="shared" si="84"/>
        <v>5.9999999999999787</v>
      </c>
      <c r="V61" s="320">
        <f t="shared" si="81"/>
        <v>143.99999999999997</v>
      </c>
      <c r="W61" s="14"/>
      <c r="X61" s="14"/>
      <c r="Y61" s="528"/>
      <c r="Z61" s="528"/>
      <c r="AA61" s="11">
        <f t="shared" si="2"/>
        <v>-106.24999999999977</v>
      </c>
      <c r="AB61" s="311">
        <f t="shared" si="57"/>
        <v>0.92916666666666681</v>
      </c>
      <c r="AC61" s="533"/>
    </row>
    <row r="62" spans="1:29" ht="15" customHeight="1">
      <c r="A62" s="539" t="s">
        <v>1137</v>
      </c>
      <c r="B62" s="322" t="s">
        <v>32</v>
      </c>
      <c r="C62" s="534" t="s">
        <v>37</v>
      </c>
      <c r="D62" s="535"/>
      <c r="E62" s="26">
        <v>35.119999999999997</v>
      </c>
      <c r="F62" s="27">
        <v>1332</v>
      </c>
      <c r="G62" s="312">
        <f t="shared" si="76"/>
        <v>46779.839999999997</v>
      </c>
      <c r="H62" s="323" t="s">
        <v>52</v>
      </c>
      <c r="I62" s="319">
        <v>13</v>
      </c>
      <c r="J62" s="18">
        <v>2000</v>
      </c>
      <c r="K62" s="9">
        <f t="shared" si="77"/>
        <v>153.84615384615384</v>
      </c>
      <c r="L62" s="17">
        <v>13</v>
      </c>
      <c r="M62" s="10">
        <f t="shared" si="78"/>
        <v>1858.6046511627903</v>
      </c>
      <c r="N62" s="9">
        <f t="shared" si="82"/>
        <v>142.96958855098387</v>
      </c>
      <c r="O62" s="11">
        <f t="shared" si="79"/>
        <v>0</v>
      </c>
      <c r="P62" s="12">
        <f t="shared" si="80"/>
        <v>-10.876565295169968</v>
      </c>
      <c r="Q62" s="311">
        <f t="shared" si="83"/>
        <v>0.92930232558139525</v>
      </c>
      <c r="R62" s="533"/>
      <c r="S62" s="24">
        <v>0.43124999999999997</v>
      </c>
      <c r="T62" s="24">
        <v>0.46111111111111108</v>
      </c>
      <c r="U62" s="312">
        <f t="shared" si="84"/>
        <v>7.9999999999999716</v>
      </c>
      <c r="V62" s="320">
        <f t="shared" si="81"/>
        <v>43.000000000000007</v>
      </c>
      <c r="W62" s="312"/>
      <c r="X62" s="312"/>
      <c r="Y62" s="536"/>
      <c r="Z62" s="537"/>
      <c r="AA62" s="11">
        <f t="shared" si="2"/>
        <v>-141.39534883720967</v>
      </c>
      <c r="AB62" s="311">
        <f t="shared" si="57"/>
        <v>0.92930232558139514</v>
      </c>
      <c r="AC62" s="533"/>
    </row>
    <row r="63" spans="1:29">
      <c r="A63" s="539" t="s">
        <v>1137</v>
      </c>
      <c r="B63" s="322" t="s">
        <v>32</v>
      </c>
      <c r="C63" s="314" t="s">
        <v>84</v>
      </c>
      <c r="D63" s="315"/>
      <c r="E63" s="26">
        <v>35.869999999999997</v>
      </c>
      <c r="F63" s="27">
        <v>3026</v>
      </c>
      <c r="G63" s="312">
        <f t="shared" si="76"/>
        <v>108542.62</v>
      </c>
      <c r="H63" s="323" t="s">
        <v>52</v>
      </c>
      <c r="I63" s="319">
        <v>10</v>
      </c>
      <c r="J63" s="18">
        <v>3000</v>
      </c>
      <c r="K63" s="9">
        <f t="shared" si="77"/>
        <v>300</v>
      </c>
      <c r="L63" s="17">
        <v>10</v>
      </c>
      <c r="M63" s="10">
        <f t="shared" si="78"/>
        <v>2793.2307692307686</v>
      </c>
      <c r="N63" s="9">
        <f t="shared" si="82"/>
        <v>279.32307692307688</v>
      </c>
      <c r="O63" s="11">
        <f t="shared" si="79"/>
        <v>0</v>
      </c>
      <c r="P63" s="12">
        <f t="shared" si="80"/>
        <v>-20.676923076923117</v>
      </c>
      <c r="Q63" s="311">
        <f t="shared" si="83"/>
        <v>0.93107692307692291</v>
      </c>
      <c r="R63" s="533"/>
      <c r="S63" s="24">
        <v>0.46666666666666662</v>
      </c>
      <c r="T63" s="24">
        <v>0.51180555555555551</v>
      </c>
      <c r="U63" s="312">
        <f t="shared" si="84"/>
        <v>7.9999999999999716</v>
      </c>
      <c r="V63" s="320">
        <f t="shared" si="81"/>
        <v>65.000000000000014</v>
      </c>
      <c r="W63" s="14">
        <f>T63</f>
        <v>0.51180555555555551</v>
      </c>
      <c r="X63" s="14">
        <f>S64</f>
        <v>0.5527777777777777</v>
      </c>
      <c r="Y63" s="316"/>
      <c r="Z63" s="317"/>
      <c r="AA63" s="11">
        <f t="shared" si="2"/>
        <v>-206.7692307692314</v>
      </c>
      <c r="AB63" s="311">
        <f t="shared" si="57"/>
        <v>0.93107692307692291</v>
      </c>
      <c r="AC63" s="533"/>
    </row>
    <row r="64" spans="1:29">
      <c r="A64" s="539" t="s">
        <v>1137</v>
      </c>
      <c r="B64" s="404" t="s">
        <v>1546</v>
      </c>
      <c r="C64" s="314" t="s">
        <v>1084</v>
      </c>
      <c r="D64" s="315"/>
      <c r="E64" s="26">
        <v>80.569999999999993</v>
      </c>
      <c r="F64" s="27">
        <v>1835</v>
      </c>
      <c r="G64" s="312">
        <f t="shared" si="76"/>
        <v>147845.94999999998</v>
      </c>
      <c r="H64" s="323" t="s">
        <v>52</v>
      </c>
      <c r="I64" s="319">
        <v>17</v>
      </c>
      <c r="J64" s="18">
        <v>2400</v>
      </c>
      <c r="K64" s="9">
        <f t="shared" si="77"/>
        <v>141.1764705882353</v>
      </c>
      <c r="L64" s="17">
        <v>17</v>
      </c>
      <c r="M64" s="10">
        <f t="shared" si="78"/>
        <v>2246.9387755102048</v>
      </c>
      <c r="N64" s="9">
        <f t="shared" si="82"/>
        <v>132.1728691476591</v>
      </c>
      <c r="O64" s="11">
        <f t="shared" si="79"/>
        <v>0</v>
      </c>
      <c r="P64" s="12">
        <f t="shared" si="80"/>
        <v>-9.0036014405762046</v>
      </c>
      <c r="Q64" s="311">
        <f t="shared" si="83"/>
        <v>0.93622448979591855</v>
      </c>
      <c r="R64" s="533"/>
      <c r="S64" s="24">
        <v>0.5527777777777777</v>
      </c>
      <c r="T64" s="24">
        <v>0.58680555555555547</v>
      </c>
      <c r="U64" s="312">
        <f t="shared" si="84"/>
        <v>58.99999999999995</v>
      </c>
      <c r="V64" s="320">
        <f t="shared" si="81"/>
        <v>48.999999999999986</v>
      </c>
      <c r="W64" s="14"/>
      <c r="X64" s="14"/>
      <c r="Y64" s="536"/>
      <c r="Z64" s="537"/>
      <c r="AA64" s="11">
        <f t="shared" si="2"/>
        <v>-153.06122448979522</v>
      </c>
      <c r="AB64" s="311">
        <f t="shared" si="57"/>
        <v>0.93622448979591866</v>
      </c>
      <c r="AC64" s="533"/>
    </row>
    <row r="65" spans="1:29">
      <c r="A65" s="539" t="s">
        <v>1137</v>
      </c>
      <c r="B65" s="26" t="s">
        <v>1134</v>
      </c>
      <c r="C65" s="530"/>
      <c r="D65" s="530"/>
      <c r="E65" s="313"/>
      <c r="F65" s="16"/>
      <c r="G65" s="9"/>
      <c r="H65" s="322"/>
      <c r="I65" s="17">
        <v>11.875</v>
      </c>
      <c r="J65" s="18">
        <v>2537.5</v>
      </c>
      <c r="K65" s="9">
        <f>J65/I65</f>
        <v>213.68421052631578</v>
      </c>
      <c r="L65" s="17">
        <v>11.875</v>
      </c>
      <c r="M65" s="10">
        <f>AVERAGE(M57:M64)</f>
        <v>2373.6955749930203</v>
      </c>
      <c r="N65" s="9">
        <f>M65/L65</f>
        <v>199.89015368362277</v>
      </c>
      <c r="O65" s="11">
        <f>L65-I65</f>
        <v>0</v>
      </c>
      <c r="P65" s="12">
        <f>N65-K65</f>
        <v>-13.79405684269301</v>
      </c>
      <c r="Q65" s="311">
        <f>N65/K65</f>
        <v>0.93544653201695394</v>
      </c>
      <c r="R65" s="533"/>
      <c r="S65" s="24"/>
      <c r="T65" s="24"/>
      <c r="U65" s="9"/>
      <c r="V65" s="320"/>
      <c r="W65" s="9"/>
      <c r="X65" s="9"/>
      <c r="Y65" s="528"/>
      <c r="Z65" s="528"/>
      <c r="AA65" s="11">
        <f t="shared" si="2"/>
        <v>-163.80442500697973</v>
      </c>
      <c r="AB65" s="311">
        <f t="shared" si="57"/>
        <v>0.93544653201695382</v>
      </c>
      <c r="AC65" s="533"/>
    </row>
    <row r="66" spans="1:29" ht="15.75" customHeight="1">
      <c r="A66" s="531" t="s">
        <v>1138</v>
      </c>
      <c r="B66" s="322" t="s">
        <v>24</v>
      </c>
      <c r="C66" s="529" t="s">
        <v>67</v>
      </c>
      <c r="D66" s="529"/>
      <c r="E66" s="26">
        <v>32.03</v>
      </c>
      <c r="F66" s="322">
        <v>964</v>
      </c>
      <c r="G66" s="312">
        <f t="shared" ref="G66:G73" si="85">E66*F66</f>
        <v>30876.920000000002</v>
      </c>
      <c r="H66" s="323" t="s">
        <v>52</v>
      </c>
      <c r="I66" s="319">
        <v>19</v>
      </c>
      <c r="J66" s="18">
        <v>2400</v>
      </c>
      <c r="K66" s="9">
        <f t="shared" ref="K66:K68" si="86">J66/I66</f>
        <v>126.31578947368421</v>
      </c>
      <c r="L66" s="17">
        <v>19</v>
      </c>
      <c r="M66" s="10">
        <f>F66/V66*60</f>
        <v>2313.6000000000004</v>
      </c>
      <c r="N66" s="9">
        <f t="shared" ref="N66:N73" si="87">M66/L66</f>
        <v>121.7684210526316</v>
      </c>
      <c r="O66" s="11">
        <f t="shared" ref="O66:O73" si="88">L66-I66</f>
        <v>0</v>
      </c>
      <c r="P66" s="12">
        <f t="shared" ref="P66:P73" si="89">N66-K66</f>
        <v>-4.5473684210526102</v>
      </c>
      <c r="Q66" s="311">
        <f>N66/K66</f>
        <v>0.96400000000000019</v>
      </c>
      <c r="R66" s="533">
        <f>Q74</f>
        <v>0.93624233762041076</v>
      </c>
      <c r="S66" s="24">
        <v>0.125</v>
      </c>
      <c r="T66" s="24">
        <v>0.1423611111111111</v>
      </c>
      <c r="U66" s="15"/>
      <c r="V66" s="320">
        <f t="shared" ref="V66:V73" si="90">(T66-S66)*24*60</f>
        <v>24.999999999999993</v>
      </c>
      <c r="W66" s="14">
        <f>T66</f>
        <v>0.1423611111111111</v>
      </c>
      <c r="X66" s="14">
        <f>S67</f>
        <v>0.16041666666666665</v>
      </c>
      <c r="Y66" s="528"/>
      <c r="Z66" s="528"/>
      <c r="AA66" s="11">
        <f t="shared" si="2"/>
        <v>-86.399999999999636</v>
      </c>
      <c r="AB66" s="311">
        <f>M66/J66</f>
        <v>0.96400000000000019</v>
      </c>
      <c r="AC66" s="533">
        <f>AB74</f>
        <v>0.93624233762041076</v>
      </c>
    </row>
    <row r="67" spans="1:29" ht="15.75" customHeight="1">
      <c r="A67" s="531" t="s">
        <v>1138</v>
      </c>
      <c r="B67" s="322" t="s">
        <v>24</v>
      </c>
      <c r="C67" s="529" t="s">
        <v>51</v>
      </c>
      <c r="D67" s="529"/>
      <c r="E67" s="26">
        <v>20.2</v>
      </c>
      <c r="F67" s="322">
        <v>2984</v>
      </c>
      <c r="G67" s="312">
        <f t="shared" si="85"/>
        <v>60276.799999999996</v>
      </c>
      <c r="H67" s="323" t="s">
        <v>52</v>
      </c>
      <c r="I67" s="319">
        <v>19</v>
      </c>
      <c r="J67" s="18">
        <v>2400</v>
      </c>
      <c r="K67" s="9">
        <f t="shared" si="86"/>
        <v>126.31578947368421</v>
      </c>
      <c r="L67" s="17">
        <v>19</v>
      </c>
      <c r="M67" s="10">
        <f t="shared" ref="M67:M73" si="91">F67/V67*60</f>
        <v>2238</v>
      </c>
      <c r="N67" s="9">
        <f t="shared" si="87"/>
        <v>117.78947368421052</v>
      </c>
      <c r="O67" s="11">
        <f t="shared" si="88"/>
        <v>0</v>
      </c>
      <c r="P67" s="12">
        <f t="shared" si="89"/>
        <v>-8.526315789473685</v>
      </c>
      <c r="Q67" s="311">
        <f t="shared" ref="Q67:Q74" si="92">N67/K67</f>
        <v>0.9325</v>
      </c>
      <c r="R67" s="533"/>
      <c r="S67" s="24">
        <v>0.16041666666666665</v>
      </c>
      <c r="T67" s="24">
        <v>0.2159722222222222</v>
      </c>
      <c r="U67" s="312">
        <f>(S67-T66)*24*60</f>
        <v>25.999999999999986</v>
      </c>
      <c r="V67" s="320">
        <f t="shared" si="90"/>
        <v>80</v>
      </c>
      <c r="W67" s="14"/>
      <c r="X67" s="14"/>
      <c r="Y67" s="528"/>
      <c r="Z67" s="528"/>
      <c r="AA67" s="11">
        <f t="shared" si="2"/>
        <v>-162</v>
      </c>
      <c r="AB67" s="311">
        <f t="shared" ref="AB67:AB74" si="93">M67/J67</f>
        <v>0.9325</v>
      </c>
      <c r="AC67" s="533"/>
    </row>
    <row r="68" spans="1:29" ht="15.75" customHeight="1">
      <c r="A68" s="531" t="s">
        <v>1138</v>
      </c>
      <c r="B68" s="322" t="s">
        <v>24</v>
      </c>
      <c r="C68" s="529" t="s">
        <v>41</v>
      </c>
      <c r="D68" s="529"/>
      <c r="E68" s="26">
        <v>19.02</v>
      </c>
      <c r="F68" s="322">
        <v>4200</v>
      </c>
      <c r="G68" s="312">
        <f t="shared" si="85"/>
        <v>79884</v>
      </c>
      <c r="H68" s="323">
        <v>2</v>
      </c>
      <c r="I68" s="319">
        <v>15</v>
      </c>
      <c r="J68" s="18">
        <v>2400</v>
      </c>
      <c r="K68" s="9">
        <f t="shared" si="86"/>
        <v>160</v>
      </c>
      <c r="L68" s="17">
        <v>15</v>
      </c>
      <c r="M68" s="10">
        <f t="shared" si="91"/>
        <v>2230.0884955752213</v>
      </c>
      <c r="N68" s="9">
        <f t="shared" si="87"/>
        <v>148.67256637168143</v>
      </c>
      <c r="O68" s="11">
        <f t="shared" si="88"/>
        <v>0</v>
      </c>
      <c r="P68" s="12">
        <f t="shared" si="89"/>
        <v>-11.327433628318573</v>
      </c>
      <c r="Q68" s="311">
        <f t="shared" si="92"/>
        <v>0.92920353982300896</v>
      </c>
      <c r="R68" s="533"/>
      <c r="S68" s="24">
        <v>0.22083333333333333</v>
      </c>
      <c r="T68" s="24">
        <v>0.29930555555555555</v>
      </c>
      <c r="U68" s="312">
        <f t="shared" ref="U68:U73" si="94">(S68-T67)*24*60</f>
        <v>7.0000000000000151</v>
      </c>
      <c r="V68" s="320">
        <f t="shared" si="90"/>
        <v>113</v>
      </c>
      <c r="W68" s="14"/>
      <c r="X68" s="14"/>
      <c r="Y68" s="528"/>
      <c r="Z68" s="528"/>
      <c r="AA68" s="11">
        <f t="shared" si="2"/>
        <v>-169.91150442477874</v>
      </c>
      <c r="AB68" s="311">
        <f t="shared" si="93"/>
        <v>0.92920353982300885</v>
      </c>
      <c r="AC68" s="533"/>
    </row>
    <row r="69" spans="1:29" ht="15.75" customHeight="1">
      <c r="A69" s="531" t="s">
        <v>1138</v>
      </c>
      <c r="B69" s="322" t="s">
        <v>24</v>
      </c>
      <c r="C69" s="529" t="s">
        <v>42</v>
      </c>
      <c r="D69" s="529"/>
      <c r="E69" s="26">
        <v>25</v>
      </c>
      <c r="F69" s="322">
        <v>4048</v>
      </c>
      <c r="G69" s="312">
        <f t="shared" si="85"/>
        <v>101200</v>
      </c>
      <c r="H69" s="323" t="s">
        <v>52</v>
      </c>
      <c r="I69" s="319">
        <v>15</v>
      </c>
      <c r="J69" s="18">
        <v>2400</v>
      </c>
      <c r="K69" s="9">
        <f>J69/I69</f>
        <v>160</v>
      </c>
      <c r="L69" s="17">
        <v>15</v>
      </c>
      <c r="M69" s="10">
        <f t="shared" si="91"/>
        <v>2228.2568807339444</v>
      </c>
      <c r="N69" s="9">
        <f t="shared" si="87"/>
        <v>148.55045871559631</v>
      </c>
      <c r="O69" s="11">
        <f t="shared" si="88"/>
        <v>0</v>
      </c>
      <c r="P69" s="12">
        <f t="shared" si="89"/>
        <v>-11.449541284403693</v>
      </c>
      <c r="Q69" s="311">
        <f t="shared" si="92"/>
        <v>0.92844036697247689</v>
      </c>
      <c r="R69" s="533"/>
      <c r="S69" s="24">
        <v>0.3034722222222222</v>
      </c>
      <c r="T69" s="24">
        <v>0.37916666666666665</v>
      </c>
      <c r="U69" s="312">
        <f t="shared" si="94"/>
        <v>5.9999999999999787</v>
      </c>
      <c r="V69" s="320">
        <f t="shared" si="90"/>
        <v>109.00000000000001</v>
      </c>
      <c r="W69" s="14"/>
      <c r="X69" s="14"/>
      <c r="Y69" s="528"/>
      <c r="Z69" s="528"/>
      <c r="AA69" s="11">
        <f t="shared" ref="AA69:AA74" si="95">M69-J69</f>
        <v>-171.7431192660556</v>
      </c>
      <c r="AB69" s="311">
        <f t="shared" si="93"/>
        <v>0.92844036697247678</v>
      </c>
      <c r="AC69" s="533"/>
    </row>
    <row r="70" spans="1:29" ht="15.75" customHeight="1">
      <c r="A70" s="531" t="s">
        <v>1138</v>
      </c>
      <c r="B70" s="322" t="s">
        <v>24</v>
      </c>
      <c r="C70" s="529" t="s">
        <v>77</v>
      </c>
      <c r="D70" s="529"/>
      <c r="E70" s="26">
        <v>28.51</v>
      </c>
      <c r="F70" s="322">
        <v>3819</v>
      </c>
      <c r="G70" s="312">
        <f t="shared" si="85"/>
        <v>108879.69</v>
      </c>
      <c r="H70" s="323" t="s">
        <v>52</v>
      </c>
      <c r="I70" s="319">
        <v>19</v>
      </c>
      <c r="J70" s="18">
        <v>2400</v>
      </c>
      <c r="K70" s="9">
        <f t="shared" ref="K70:K74" si="96">J70/I70</f>
        <v>126.31578947368421</v>
      </c>
      <c r="L70" s="17">
        <v>19</v>
      </c>
      <c r="M70" s="10">
        <f t="shared" si="91"/>
        <v>2224.6601941747585</v>
      </c>
      <c r="N70" s="9">
        <f t="shared" si="87"/>
        <v>117.08737864077676</v>
      </c>
      <c r="O70" s="11">
        <f t="shared" si="88"/>
        <v>0</v>
      </c>
      <c r="P70" s="12">
        <f t="shared" si="89"/>
        <v>-9.2284108329074428</v>
      </c>
      <c r="Q70" s="311">
        <f t="shared" si="92"/>
        <v>0.92694174757281611</v>
      </c>
      <c r="R70" s="533"/>
      <c r="S70" s="24">
        <v>0.38402777777777775</v>
      </c>
      <c r="T70" s="24">
        <v>0.45555555555555549</v>
      </c>
      <c r="U70" s="312">
        <f t="shared" si="94"/>
        <v>6.9999999999999751</v>
      </c>
      <c r="V70" s="320">
        <f t="shared" si="90"/>
        <v>102.99999999999996</v>
      </c>
      <c r="W70" s="14"/>
      <c r="X70" s="14"/>
      <c r="Y70" s="528"/>
      <c r="Z70" s="528"/>
      <c r="AA70" s="11">
        <f t="shared" si="95"/>
        <v>-175.33980582524146</v>
      </c>
      <c r="AB70" s="311">
        <f t="shared" si="93"/>
        <v>0.92694174757281611</v>
      </c>
      <c r="AC70" s="533"/>
    </row>
    <row r="71" spans="1:29" ht="15.75" customHeight="1">
      <c r="A71" s="531" t="s">
        <v>1138</v>
      </c>
      <c r="B71" s="322" t="s">
        <v>24</v>
      </c>
      <c r="C71" s="529" t="s">
        <v>25</v>
      </c>
      <c r="D71" s="529"/>
      <c r="E71" s="26">
        <v>20.52</v>
      </c>
      <c r="F71" s="322">
        <v>2400</v>
      </c>
      <c r="G71" s="312">
        <f t="shared" si="85"/>
        <v>49248</v>
      </c>
      <c r="H71" s="323">
        <v>2</v>
      </c>
      <c r="I71" s="319">
        <v>18</v>
      </c>
      <c r="J71" s="18">
        <v>2400</v>
      </c>
      <c r="K71" s="9">
        <f t="shared" si="96"/>
        <v>133.33333333333334</v>
      </c>
      <c r="L71" s="17">
        <v>18</v>
      </c>
      <c r="M71" s="10">
        <f t="shared" si="91"/>
        <v>2250.0000000000027</v>
      </c>
      <c r="N71" s="9">
        <f t="shared" si="87"/>
        <v>125.00000000000016</v>
      </c>
      <c r="O71" s="11">
        <f t="shared" si="88"/>
        <v>0</v>
      </c>
      <c r="P71" s="12">
        <f t="shared" si="89"/>
        <v>-8.3333333333331865</v>
      </c>
      <c r="Q71" s="311">
        <f t="shared" si="92"/>
        <v>0.93750000000000111</v>
      </c>
      <c r="R71" s="533"/>
      <c r="S71" s="24">
        <v>0.46041666666666659</v>
      </c>
      <c r="T71" s="24">
        <v>0.50486111111111098</v>
      </c>
      <c r="U71" s="312">
        <f t="shared" si="94"/>
        <v>6.9999999999999751</v>
      </c>
      <c r="V71" s="320">
        <f t="shared" si="90"/>
        <v>63.999999999999929</v>
      </c>
      <c r="W71" s="14">
        <f>T71</f>
        <v>0.50486111111111098</v>
      </c>
      <c r="X71" s="14">
        <f>S72</f>
        <v>0.5430555555555554</v>
      </c>
      <c r="Y71" s="528"/>
      <c r="Z71" s="528"/>
      <c r="AA71" s="11">
        <f t="shared" si="95"/>
        <v>-149.99999999999727</v>
      </c>
      <c r="AB71" s="311">
        <f t="shared" si="93"/>
        <v>0.93750000000000111</v>
      </c>
      <c r="AC71" s="533"/>
    </row>
    <row r="72" spans="1:29" ht="15.75" customHeight="1">
      <c r="A72" s="531" t="s">
        <v>1138</v>
      </c>
      <c r="B72" s="322" t="s">
        <v>24</v>
      </c>
      <c r="C72" s="534" t="s">
        <v>41</v>
      </c>
      <c r="D72" s="535"/>
      <c r="E72" s="26">
        <v>19.02</v>
      </c>
      <c r="F72" s="322">
        <v>6921</v>
      </c>
      <c r="G72" s="312">
        <f t="shared" si="85"/>
        <v>131637.41999999998</v>
      </c>
      <c r="H72" s="323" t="s">
        <v>52</v>
      </c>
      <c r="I72" s="319">
        <v>15</v>
      </c>
      <c r="J72" s="18">
        <v>2400</v>
      </c>
      <c r="K72" s="9">
        <f t="shared" si="96"/>
        <v>160</v>
      </c>
      <c r="L72" s="17">
        <v>15</v>
      </c>
      <c r="M72" s="10">
        <f t="shared" si="91"/>
        <v>2232.5806451612907</v>
      </c>
      <c r="N72" s="9">
        <f t="shared" si="87"/>
        <v>148.83870967741939</v>
      </c>
      <c r="O72" s="11">
        <f t="shared" si="88"/>
        <v>0</v>
      </c>
      <c r="P72" s="12">
        <f t="shared" si="89"/>
        <v>-11.161290322580612</v>
      </c>
      <c r="Q72" s="311">
        <f t="shared" si="92"/>
        <v>0.93024193548387113</v>
      </c>
      <c r="R72" s="533"/>
      <c r="S72" s="24">
        <v>0.5430555555555554</v>
      </c>
      <c r="T72" s="24">
        <v>0.67222222222222205</v>
      </c>
      <c r="U72" s="312">
        <f t="shared" si="94"/>
        <v>54.999999999999964</v>
      </c>
      <c r="V72" s="320">
        <f t="shared" si="90"/>
        <v>185.99999999999997</v>
      </c>
      <c r="W72" s="14"/>
      <c r="X72" s="14"/>
      <c r="Y72" s="536"/>
      <c r="Z72" s="537"/>
      <c r="AA72" s="11">
        <f t="shared" si="95"/>
        <v>-167.4193548387093</v>
      </c>
      <c r="AB72" s="311">
        <f t="shared" si="93"/>
        <v>0.93024193548387113</v>
      </c>
      <c r="AC72" s="533"/>
    </row>
    <row r="73" spans="1:29" ht="15.75" customHeight="1">
      <c r="A73" s="531" t="s">
        <v>1138</v>
      </c>
      <c r="B73" s="322" t="s">
        <v>24</v>
      </c>
      <c r="C73" s="534" t="s">
        <v>25</v>
      </c>
      <c r="D73" s="535"/>
      <c r="E73" s="26">
        <v>20.52</v>
      </c>
      <c r="F73" s="322">
        <v>1694</v>
      </c>
      <c r="G73" s="312">
        <f t="shared" si="85"/>
        <v>34760.879999999997</v>
      </c>
      <c r="H73" s="323" t="s">
        <v>52</v>
      </c>
      <c r="I73" s="319">
        <v>18</v>
      </c>
      <c r="J73" s="18">
        <v>2400</v>
      </c>
      <c r="K73" s="9">
        <f t="shared" si="96"/>
        <v>133.33333333333334</v>
      </c>
      <c r="L73" s="17">
        <v>18</v>
      </c>
      <c r="M73" s="10">
        <f t="shared" si="91"/>
        <v>2258.666666666667</v>
      </c>
      <c r="N73" s="9">
        <f t="shared" si="87"/>
        <v>125.4814814814815</v>
      </c>
      <c r="O73" s="11">
        <f t="shared" si="88"/>
        <v>0</v>
      </c>
      <c r="P73" s="12">
        <f t="shared" si="89"/>
        <v>-7.8518518518518476</v>
      </c>
      <c r="Q73" s="311">
        <f t="shared" si="92"/>
        <v>0.94111111111111112</v>
      </c>
      <c r="R73" s="533"/>
      <c r="S73" s="24">
        <v>0.67777777777777759</v>
      </c>
      <c r="T73" s="24">
        <v>0.70902777777777759</v>
      </c>
      <c r="U73" s="312">
        <f t="shared" si="94"/>
        <v>7.9999999999999716</v>
      </c>
      <c r="V73" s="320">
        <f t="shared" si="90"/>
        <v>45</v>
      </c>
      <c r="W73" s="14"/>
      <c r="X73" s="14"/>
      <c r="Y73" s="536"/>
      <c r="Z73" s="537"/>
      <c r="AA73" s="11">
        <f t="shared" si="95"/>
        <v>-141.33333333333303</v>
      </c>
      <c r="AB73" s="311">
        <f t="shared" si="93"/>
        <v>0.94111111111111123</v>
      </c>
      <c r="AC73" s="533"/>
    </row>
    <row r="74" spans="1:29" ht="16.5" customHeight="1">
      <c r="A74" s="532" t="s">
        <v>1138</v>
      </c>
      <c r="B74" s="26" t="s">
        <v>1134</v>
      </c>
      <c r="C74" s="530"/>
      <c r="D74" s="530"/>
      <c r="E74" s="313"/>
      <c r="F74" s="16"/>
      <c r="G74" s="9"/>
      <c r="H74" s="322"/>
      <c r="I74" s="17">
        <v>17.25</v>
      </c>
      <c r="J74" s="18">
        <v>2400</v>
      </c>
      <c r="K74" s="9">
        <f t="shared" si="96"/>
        <v>139.13043478260869</v>
      </c>
      <c r="L74" s="17">
        <v>17.25</v>
      </c>
      <c r="M74" s="10">
        <f>AVERAGE(M66:M73)</f>
        <v>2246.9816102889858</v>
      </c>
      <c r="N74" s="9">
        <f>M74/L74</f>
        <v>130.25980349501367</v>
      </c>
      <c r="O74" s="11">
        <f>L74-I74</f>
        <v>0</v>
      </c>
      <c r="P74" s="12">
        <f>N74-K74</f>
        <v>-8.8706312875950175</v>
      </c>
      <c r="Q74" s="311">
        <f t="shared" si="92"/>
        <v>0.93624233762041076</v>
      </c>
      <c r="R74" s="533"/>
      <c r="S74" s="24"/>
      <c r="T74" s="24"/>
      <c r="U74" s="9"/>
      <c r="V74" s="320"/>
      <c r="W74" s="9"/>
      <c r="X74" s="9"/>
      <c r="Y74" s="528"/>
      <c r="Z74" s="528"/>
      <c r="AA74" s="11">
        <f t="shared" si="95"/>
        <v>-153.01838971101415</v>
      </c>
      <c r="AB74" s="311">
        <f t="shared" si="93"/>
        <v>0.93624233762041076</v>
      </c>
      <c r="AC74" s="533"/>
    </row>
    <row r="75" spans="1:29">
      <c r="D75" s="19"/>
      <c r="E75" s="19"/>
    </row>
  </sheetData>
  <mergeCells count="193">
    <mergeCell ref="AC66:AC74"/>
    <mergeCell ref="C67:D67"/>
    <mergeCell ref="Y67:Z67"/>
    <mergeCell ref="C68:D68"/>
    <mergeCell ref="Y68:Z68"/>
    <mergeCell ref="C69:D69"/>
    <mergeCell ref="Y69:Z69"/>
    <mergeCell ref="C70:D70"/>
    <mergeCell ref="Y70:Z70"/>
    <mergeCell ref="C71:D71"/>
    <mergeCell ref="A57:A65"/>
    <mergeCell ref="C57:D57"/>
    <mergeCell ref="R57:R65"/>
    <mergeCell ref="Y57:Z57"/>
    <mergeCell ref="C65:D65"/>
    <mergeCell ref="Y65:Z65"/>
    <mergeCell ref="A66:A74"/>
    <mergeCell ref="C66:D66"/>
    <mergeCell ref="R66:R74"/>
    <mergeCell ref="Y66:Z66"/>
    <mergeCell ref="Y71:Z71"/>
    <mergeCell ref="C72:D72"/>
    <mergeCell ref="Y72:Z72"/>
    <mergeCell ref="C73:D73"/>
    <mergeCell ref="Y73:Z73"/>
    <mergeCell ref="C74:D74"/>
    <mergeCell ref="Y74:Z74"/>
    <mergeCell ref="AC57:AC65"/>
    <mergeCell ref="C58:D58"/>
    <mergeCell ref="Y58:Z58"/>
    <mergeCell ref="C59:D59"/>
    <mergeCell ref="Y59:Z59"/>
    <mergeCell ref="C60:D60"/>
    <mergeCell ref="AC51:AC56"/>
    <mergeCell ref="C52:D52"/>
    <mergeCell ref="Y52:Z52"/>
    <mergeCell ref="C53:D53"/>
    <mergeCell ref="C56:D56"/>
    <mergeCell ref="Y56:Z56"/>
    <mergeCell ref="Y60:Z60"/>
    <mergeCell ref="C61:D61"/>
    <mergeCell ref="Y61:Z61"/>
    <mergeCell ref="C62:D62"/>
    <mergeCell ref="Y62:Z62"/>
    <mergeCell ref="Y64:Z64"/>
    <mergeCell ref="A51:A56"/>
    <mergeCell ref="C51:D51"/>
    <mergeCell ref="R51:R56"/>
    <mergeCell ref="Y51:Z51"/>
    <mergeCell ref="Y45:Z45"/>
    <mergeCell ref="C46:D46"/>
    <mergeCell ref="Y46:Z46"/>
    <mergeCell ref="C47:D47"/>
    <mergeCell ref="Y47:Z47"/>
    <mergeCell ref="C48:D48"/>
    <mergeCell ref="Y48:Z48"/>
    <mergeCell ref="A42:A50"/>
    <mergeCell ref="C42:D42"/>
    <mergeCell ref="R42:R50"/>
    <mergeCell ref="Y42:Z42"/>
    <mergeCell ref="AC42:AC50"/>
    <mergeCell ref="C43:D43"/>
    <mergeCell ref="Y43:Z43"/>
    <mergeCell ref="C44:D44"/>
    <mergeCell ref="Y44:Z44"/>
    <mergeCell ref="C45:D45"/>
    <mergeCell ref="C39:D39"/>
    <mergeCell ref="Y39:Z39"/>
    <mergeCell ref="C40:D40"/>
    <mergeCell ref="Y40:Z40"/>
    <mergeCell ref="C41:D41"/>
    <mergeCell ref="Y41:Z41"/>
    <mergeCell ref="AC32:AC41"/>
    <mergeCell ref="C49:D49"/>
    <mergeCell ref="Y49:Z49"/>
    <mergeCell ref="C50:D50"/>
    <mergeCell ref="Y50:Z50"/>
    <mergeCell ref="Y35:Z35"/>
    <mergeCell ref="C36:D36"/>
    <mergeCell ref="Y36:Z36"/>
    <mergeCell ref="C37:D37"/>
    <mergeCell ref="Y37:Z37"/>
    <mergeCell ref="C38:D38"/>
    <mergeCell ref="Y38:Z38"/>
    <mergeCell ref="A32:A41"/>
    <mergeCell ref="C32:D32"/>
    <mergeCell ref="R32:R41"/>
    <mergeCell ref="Y32:Z32"/>
    <mergeCell ref="C33:D33"/>
    <mergeCell ref="Y33:Z33"/>
    <mergeCell ref="C34:D34"/>
    <mergeCell ref="Y34:Z34"/>
    <mergeCell ref="C35:D35"/>
    <mergeCell ref="AC25:AC31"/>
    <mergeCell ref="C26:D26"/>
    <mergeCell ref="Y26:Z26"/>
    <mergeCell ref="C27:D27"/>
    <mergeCell ref="Y27:Z27"/>
    <mergeCell ref="C28:D28"/>
    <mergeCell ref="Y28:Z28"/>
    <mergeCell ref="C29:D29"/>
    <mergeCell ref="Y29:Z29"/>
    <mergeCell ref="C30:D30"/>
    <mergeCell ref="R18:R24"/>
    <mergeCell ref="Y18:Z18"/>
    <mergeCell ref="C24:D24"/>
    <mergeCell ref="Y24:Z24"/>
    <mergeCell ref="A25:A31"/>
    <mergeCell ref="C25:D25"/>
    <mergeCell ref="R25:R31"/>
    <mergeCell ref="Y25:Z25"/>
    <mergeCell ref="Y30:Z30"/>
    <mergeCell ref="C31:D31"/>
    <mergeCell ref="Y31:Z31"/>
    <mergeCell ref="AC18:AC24"/>
    <mergeCell ref="C19:D19"/>
    <mergeCell ref="Y19:Z19"/>
    <mergeCell ref="C20:D20"/>
    <mergeCell ref="Y20:Z20"/>
    <mergeCell ref="A14:A17"/>
    <mergeCell ref="C14:D14"/>
    <mergeCell ref="R14:R17"/>
    <mergeCell ref="Y14:Z14"/>
    <mergeCell ref="AC14:AC17"/>
    <mergeCell ref="C15:D15"/>
    <mergeCell ref="Y15:Z15"/>
    <mergeCell ref="C16:D16"/>
    <mergeCell ref="Y16:Z16"/>
    <mergeCell ref="C17:D17"/>
    <mergeCell ref="C21:D21"/>
    <mergeCell ref="Y21:Z21"/>
    <mergeCell ref="C22:D22"/>
    <mergeCell ref="Y22:Z22"/>
    <mergeCell ref="C23:D23"/>
    <mergeCell ref="Y23:Z23"/>
    <mergeCell ref="Y17:Z17"/>
    <mergeCell ref="A18:A24"/>
    <mergeCell ref="C18:D18"/>
    <mergeCell ref="AC9:AC13"/>
    <mergeCell ref="C10:D10"/>
    <mergeCell ref="Y10:Z10"/>
    <mergeCell ref="C11:D11"/>
    <mergeCell ref="Y11:Z11"/>
    <mergeCell ref="C12:D12"/>
    <mergeCell ref="Y12:Z12"/>
    <mergeCell ref="C13:D13"/>
    <mergeCell ref="Y13:Z13"/>
    <mergeCell ref="C8:D8"/>
    <mergeCell ref="Y8:Z8"/>
    <mergeCell ref="A9:A13"/>
    <mergeCell ref="C9:D9"/>
    <mergeCell ref="R9:R13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60:O71 O74 O5:O9 O13:O15 O50:O57 O17:O47">
    <cfRule type="cellIs" dxfId="1156" priority="55" operator="greaterThan">
      <formula>0</formula>
    </cfRule>
  </conditionalFormatting>
  <conditionalFormatting sqref="P5:P7 P60:P64 AA60:AA64 P66:P71 P25:P30 P57 P9 P13:P15 P18:P23 P51:P55 P32:P47 AA5:AA57 AA66:AA74">
    <cfRule type="cellIs" dxfId="1155" priority="59" operator="lessThan">
      <formula>0</formula>
    </cfRule>
  </conditionalFormatting>
  <conditionalFormatting sqref="AB60:AB64 Q60:Q71 Q74 Q5:Q9 Q13:Q15 Q50:Q57 Q17:Q47 AB5:AB57 AB66:AB74">
    <cfRule type="cellIs" dxfId="1154" priority="56" operator="greaterThan">
      <formula>1</formula>
    </cfRule>
    <cfRule type="cellIs" dxfId="1153" priority="57" operator="lessThan">
      <formula>0.8</formula>
    </cfRule>
  </conditionalFormatting>
  <conditionalFormatting sqref="AC14:AC15 R14:R15 AC60 R60:R71 R17:R39 AC17:AC39 R74 AC5:AC9 R5:R9 R41:R47 AC41:AC47 AC50:AC57 R50:R57">
    <cfRule type="cellIs" dxfId="1152" priority="61" operator="lessThan">
      <formula>0.8</formula>
    </cfRule>
  </conditionalFormatting>
  <conditionalFormatting sqref="AC42">
    <cfRule type="cellIs" dxfId="1151" priority="63" operator="lessThan">
      <formula>0.8</formula>
    </cfRule>
  </conditionalFormatting>
  <conditionalFormatting sqref="AC18:AC23">
    <cfRule type="cellIs" dxfId="1150" priority="60" operator="lessThan">
      <formula>0.8</formula>
    </cfRule>
  </conditionalFormatting>
  <conditionalFormatting sqref="AC25">
    <cfRule type="cellIs" dxfId="1149" priority="62" operator="lessThan">
      <formula>0.8</formula>
    </cfRule>
  </conditionalFormatting>
  <conditionalFormatting sqref="AC32:AC39">
    <cfRule type="cellIs" dxfId="1148" priority="58" operator="lessThan">
      <formula>0.8</formula>
    </cfRule>
  </conditionalFormatting>
  <conditionalFormatting sqref="AA65">
    <cfRule type="cellIs" dxfId="1147" priority="54" operator="lessThan">
      <formula>0</formula>
    </cfRule>
  </conditionalFormatting>
  <conditionalFormatting sqref="AB65">
    <cfRule type="cellIs" dxfId="1146" priority="52" operator="greaterThan">
      <formula>1</formula>
    </cfRule>
    <cfRule type="cellIs" dxfId="1145" priority="53" operator="lessThan">
      <formula>0.8</formula>
    </cfRule>
  </conditionalFormatting>
  <conditionalFormatting sqref="O16">
    <cfRule type="cellIs" dxfId="1144" priority="47" operator="greaterThan">
      <formula>0</formula>
    </cfRule>
  </conditionalFormatting>
  <conditionalFormatting sqref="P16">
    <cfRule type="cellIs" dxfId="1143" priority="50" operator="lessThan">
      <formula>0</formula>
    </cfRule>
  </conditionalFormatting>
  <conditionalFormatting sqref="Q16">
    <cfRule type="cellIs" dxfId="1142" priority="48" operator="greaterThan">
      <formula>1</formula>
    </cfRule>
    <cfRule type="cellIs" dxfId="1141" priority="49" operator="lessThan">
      <formula>0.8</formula>
    </cfRule>
  </conditionalFormatting>
  <conditionalFormatting sqref="R16 AC16">
    <cfRule type="cellIs" dxfId="1140" priority="51" operator="lessThan">
      <formula>0.8</formula>
    </cfRule>
  </conditionalFormatting>
  <conditionalFormatting sqref="O10:O12">
    <cfRule type="cellIs" dxfId="1139" priority="43" operator="greaterThan">
      <formula>0</formula>
    </cfRule>
  </conditionalFormatting>
  <conditionalFormatting sqref="P10:P12">
    <cfRule type="cellIs" dxfId="1138" priority="46" operator="lessThan">
      <formula>0</formula>
    </cfRule>
  </conditionalFormatting>
  <conditionalFormatting sqref="Q10:Q12">
    <cfRule type="cellIs" dxfId="1137" priority="44" operator="greaterThan">
      <formula>1</formula>
    </cfRule>
    <cfRule type="cellIs" dxfId="1136" priority="45" operator="lessThan">
      <formula>0.8</formula>
    </cfRule>
  </conditionalFormatting>
  <conditionalFormatting sqref="R40 AC40">
    <cfRule type="cellIs" dxfId="1135" priority="42" operator="lessThan">
      <formula>0.8</formula>
    </cfRule>
  </conditionalFormatting>
  <conditionalFormatting sqref="AC40">
    <cfRule type="cellIs" dxfId="1134" priority="41" operator="lessThan">
      <formula>0.8</formula>
    </cfRule>
  </conditionalFormatting>
  <conditionalFormatting sqref="O59">
    <cfRule type="cellIs" dxfId="1133" priority="36" operator="greaterThan">
      <formula>0</formula>
    </cfRule>
  </conditionalFormatting>
  <conditionalFormatting sqref="P59 AA59">
    <cfRule type="cellIs" dxfId="1132" priority="39" operator="lessThan">
      <formula>0</formula>
    </cfRule>
  </conditionalFormatting>
  <conditionalFormatting sqref="Q59 AB59">
    <cfRule type="cellIs" dxfId="1131" priority="37" operator="greaterThan">
      <formula>1</formula>
    </cfRule>
    <cfRule type="cellIs" dxfId="1130" priority="38" operator="lessThan">
      <formula>0.8</formula>
    </cfRule>
  </conditionalFormatting>
  <conditionalFormatting sqref="R59 AC59">
    <cfRule type="cellIs" dxfId="1129" priority="40" operator="lessThan">
      <formula>0.8</formula>
    </cfRule>
  </conditionalFormatting>
  <conditionalFormatting sqref="O72">
    <cfRule type="cellIs" dxfId="1128" priority="31" operator="greaterThan">
      <formula>0</formula>
    </cfRule>
  </conditionalFormatting>
  <conditionalFormatting sqref="P72">
    <cfRule type="cellIs" dxfId="1127" priority="34" operator="lessThan">
      <formula>0</formula>
    </cfRule>
  </conditionalFormatting>
  <conditionalFormatting sqref="Q72">
    <cfRule type="cellIs" dxfId="1126" priority="32" operator="greaterThan">
      <formula>1</formula>
    </cfRule>
    <cfRule type="cellIs" dxfId="1125" priority="33" operator="lessThan">
      <formula>0.8</formula>
    </cfRule>
  </conditionalFormatting>
  <conditionalFormatting sqref="R72">
    <cfRule type="cellIs" dxfId="1124" priority="35" operator="lessThan">
      <formula>0.8</formula>
    </cfRule>
  </conditionalFormatting>
  <conditionalFormatting sqref="O48">
    <cfRule type="cellIs" dxfId="1123" priority="25" operator="greaterThan">
      <formula>0</formula>
    </cfRule>
  </conditionalFormatting>
  <conditionalFormatting sqref="P48">
    <cfRule type="cellIs" dxfId="1122" priority="29" operator="lessThan">
      <formula>0</formula>
    </cfRule>
  </conditionalFormatting>
  <conditionalFormatting sqref="Q48">
    <cfRule type="cellIs" dxfId="1121" priority="26" operator="greaterThan">
      <formula>1</formula>
    </cfRule>
    <cfRule type="cellIs" dxfId="1120" priority="27" operator="lessThan">
      <formula>0.8</formula>
    </cfRule>
  </conditionalFormatting>
  <conditionalFormatting sqref="R48 AC48">
    <cfRule type="cellIs" dxfId="1119" priority="30" operator="lessThan">
      <formula>0.8</formula>
    </cfRule>
  </conditionalFormatting>
  <conditionalFormatting sqref="AC48">
    <cfRule type="cellIs" dxfId="1118" priority="28" operator="lessThan">
      <formula>0.8</formula>
    </cfRule>
  </conditionalFormatting>
  <conditionalFormatting sqref="O49">
    <cfRule type="cellIs" dxfId="1117" priority="19" operator="greaterThan">
      <formula>0</formula>
    </cfRule>
  </conditionalFormatting>
  <conditionalFormatting sqref="P49">
    <cfRule type="cellIs" dxfId="1116" priority="23" operator="lessThan">
      <formula>0</formula>
    </cfRule>
  </conditionalFormatting>
  <conditionalFormatting sqref="Q49">
    <cfRule type="cellIs" dxfId="1115" priority="20" operator="greaterThan">
      <formula>1</formula>
    </cfRule>
    <cfRule type="cellIs" dxfId="1114" priority="21" operator="lessThan">
      <formula>0.8</formula>
    </cfRule>
  </conditionalFormatting>
  <conditionalFormatting sqref="R49 AC49">
    <cfRule type="cellIs" dxfId="1113" priority="24" operator="lessThan">
      <formula>0.8</formula>
    </cfRule>
  </conditionalFormatting>
  <conditionalFormatting sqref="AC49">
    <cfRule type="cellIs" dxfId="1112" priority="22" operator="lessThan">
      <formula>0.8</formula>
    </cfRule>
  </conditionalFormatting>
  <conditionalFormatting sqref="O58">
    <cfRule type="cellIs" dxfId="1111" priority="14" operator="greaterThan">
      <formula>0</formula>
    </cfRule>
  </conditionalFormatting>
  <conditionalFormatting sqref="P58 AA58">
    <cfRule type="cellIs" dxfId="1110" priority="17" operator="lessThan">
      <formula>0</formula>
    </cfRule>
  </conditionalFormatting>
  <conditionalFormatting sqref="Q58 AB58">
    <cfRule type="cellIs" dxfId="1109" priority="15" operator="greaterThan">
      <formula>1</formula>
    </cfRule>
    <cfRule type="cellIs" dxfId="1108" priority="16" operator="lessThan">
      <formula>0.8</formula>
    </cfRule>
  </conditionalFormatting>
  <conditionalFormatting sqref="R58 AC58">
    <cfRule type="cellIs" dxfId="1107" priority="18" operator="lessThan">
      <formula>0.8</formula>
    </cfRule>
  </conditionalFormatting>
  <conditionalFormatting sqref="P8">
    <cfRule type="cellIs" dxfId="1106" priority="13" operator="lessThan">
      <formula>0</formula>
    </cfRule>
  </conditionalFormatting>
  <conditionalFormatting sqref="P17">
    <cfRule type="cellIs" dxfId="1105" priority="12" operator="lessThan">
      <formula>0</formula>
    </cfRule>
  </conditionalFormatting>
  <conditionalFormatting sqref="P24">
    <cfRule type="cellIs" dxfId="1104" priority="11" operator="lessThan">
      <formula>0</formula>
    </cfRule>
  </conditionalFormatting>
  <conditionalFormatting sqref="P31">
    <cfRule type="cellIs" dxfId="1103" priority="10" operator="lessThan">
      <formula>0</formula>
    </cfRule>
  </conditionalFormatting>
  <conditionalFormatting sqref="P50">
    <cfRule type="cellIs" dxfId="1102" priority="9" operator="lessThan">
      <formula>0</formula>
    </cfRule>
  </conditionalFormatting>
  <conditionalFormatting sqref="P56">
    <cfRule type="cellIs" dxfId="1101" priority="8" operator="lessThan">
      <formula>0</formula>
    </cfRule>
  </conditionalFormatting>
  <conditionalFormatting sqref="P65">
    <cfRule type="cellIs" dxfId="1100" priority="7" operator="lessThan">
      <formula>0</formula>
    </cfRule>
  </conditionalFormatting>
  <conditionalFormatting sqref="P74">
    <cfRule type="cellIs" dxfId="1099" priority="6" operator="lessThan">
      <formula>0</formula>
    </cfRule>
  </conditionalFormatting>
  <conditionalFormatting sqref="O73">
    <cfRule type="cellIs" dxfId="1098" priority="1" operator="greaterThan">
      <formula>0</formula>
    </cfRule>
  </conditionalFormatting>
  <conditionalFormatting sqref="P73">
    <cfRule type="cellIs" dxfId="1097" priority="4" operator="lessThan">
      <formula>0</formula>
    </cfRule>
  </conditionalFormatting>
  <conditionalFormatting sqref="Q73">
    <cfRule type="cellIs" dxfId="1096" priority="2" operator="greaterThan">
      <formula>1</formula>
    </cfRule>
    <cfRule type="cellIs" dxfId="1095" priority="3" operator="lessThan">
      <formula>0.8</formula>
    </cfRule>
  </conditionalFormatting>
  <conditionalFormatting sqref="R73">
    <cfRule type="cellIs" dxfId="1094" priority="5" operator="lessThan">
      <formula>0.8</formula>
    </cfRule>
  </conditionalFormatting>
  <dataValidations count="1">
    <dataValidation type="list" allowBlank="1" showInputMessage="1" showErrorMessage="1" sqref="Z8 Z61:Z64 Y5:Z7 Y8:Y64 Z10:Z57 Y65:Z74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3"/>
  <dimension ref="B1:Q68"/>
  <sheetViews>
    <sheetView zoomScale="70" zoomScaleNormal="70" workbookViewId="0">
      <selection activeCell="C3" sqref="C3:D3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521" t="s">
        <v>1086</v>
      </c>
      <c r="C1" s="521"/>
      <c r="D1" s="521"/>
      <c r="E1" s="521"/>
      <c r="F1" s="521"/>
      <c r="G1" s="521"/>
      <c r="H1" s="521"/>
      <c r="I1" s="521"/>
      <c r="J1" s="521"/>
      <c r="K1" s="28"/>
      <c r="L1" s="304"/>
      <c r="M1" s="28"/>
      <c r="N1" s="28"/>
      <c r="O1" s="28"/>
      <c r="P1" s="28"/>
    </row>
    <row r="2" spans="2:17" ht="27.75" customHeight="1">
      <c r="B2" s="522"/>
      <c r="C2" s="522"/>
      <c r="D2" s="522"/>
      <c r="E2" s="522"/>
      <c r="F2" s="522"/>
      <c r="G2" s="522"/>
      <c r="H2" s="522"/>
      <c r="I2" s="522"/>
      <c r="J2" s="522"/>
      <c r="K2" s="30"/>
      <c r="L2" s="305"/>
      <c r="M2" s="30"/>
      <c r="N2" s="28"/>
      <c r="O2" s="28"/>
      <c r="P2" s="28"/>
    </row>
    <row r="3" spans="2:17" ht="46.5" customHeight="1">
      <c r="B3" s="277" t="s">
        <v>1087</v>
      </c>
      <c r="C3" s="523" t="str">
        <f>TEXT('0819 4度C'!A2,"yyyy.mm.ddaaaa")</f>
        <v>2025.08.19星期二</v>
      </c>
      <c r="D3" s="523"/>
      <c r="E3" s="277" t="s">
        <v>1088</v>
      </c>
      <c r="F3" s="524">
        <f>'0819 4度C'!D1</f>
        <v>193634</v>
      </c>
      <c r="G3" s="524"/>
      <c r="H3" s="277" t="s">
        <v>1089</v>
      </c>
      <c r="I3" s="525">
        <f>'0819 4度C'!F1</f>
        <v>6939236.5499999998</v>
      </c>
      <c r="J3" s="525"/>
      <c r="K3" s="31"/>
      <c r="L3" s="306"/>
      <c r="M3" s="33"/>
      <c r="N3" s="33"/>
    </row>
    <row r="4" spans="2:17" ht="28.5" customHeight="1">
      <c r="B4" s="516" t="s">
        <v>1090</v>
      </c>
      <c r="C4" s="516" t="s">
        <v>1091</v>
      </c>
      <c r="D4" s="516"/>
      <c r="E4" s="526" t="s">
        <v>1092</v>
      </c>
      <c r="F4" s="526"/>
      <c r="G4" s="526" t="s">
        <v>1093</v>
      </c>
      <c r="H4" s="526"/>
      <c r="I4" s="527" t="s">
        <v>1094</v>
      </c>
      <c r="J4" s="527"/>
      <c r="L4" s="307"/>
      <c r="M4" s="33"/>
      <c r="N4" s="33"/>
    </row>
    <row r="5" spans="2:17" ht="28.5" customHeight="1">
      <c r="B5" s="516"/>
      <c r="C5" s="516" t="s">
        <v>1095</v>
      </c>
      <c r="D5" s="516"/>
      <c r="E5" s="516" t="s">
        <v>1096</v>
      </c>
      <c r="F5" s="516"/>
      <c r="G5" s="517" t="s">
        <v>1097</v>
      </c>
      <c r="H5" s="517"/>
      <c r="I5" s="518" t="s">
        <v>1098</v>
      </c>
      <c r="J5" s="518"/>
      <c r="K5" s="33"/>
      <c r="L5" s="307"/>
      <c r="M5" s="33"/>
      <c r="N5" s="33"/>
    </row>
    <row r="6" spans="2:17" ht="28.5" customHeight="1">
      <c r="B6" s="516"/>
      <c r="C6" s="516" t="s">
        <v>43</v>
      </c>
      <c r="D6" s="516"/>
      <c r="E6" s="519">
        <f>AVERAGE(D13:M13)</f>
        <v>144.86929782948806</v>
      </c>
      <c r="F6" s="516">
        <f>AVERAGE(D27:O27,D13:J13)</f>
        <v>148.40680390863753</v>
      </c>
      <c r="G6" s="520">
        <f>AVERAGE(D13:J13)</f>
        <v>148.40680390863753</v>
      </c>
      <c r="H6" s="520"/>
      <c r="I6" s="580">
        <f>AVERAGE(K13:M13)</f>
        <v>136.61511697813935</v>
      </c>
      <c r="J6" s="580"/>
      <c r="K6" s="33"/>
      <c r="L6" s="307"/>
      <c r="M6" s="33"/>
      <c r="N6" s="33"/>
    </row>
    <row r="7" spans="2:17" ht="28.5" customHeight="1">
      <c r="B7" s="516"/>
      <c r="C7" s="510" t="s">
        <v>44</v>
      </c>
      <c r="D7" s="510"/>
      <c r="E7" s="511">
        <f>AVERAGE(D14:M14)</f>
        <v>134.89633892397822</v>
      </c>
      <c r="F7" s="512">
        <f>AVERAGE(D28:O28,D14:J14)</f>
        <v>138.18796873590966</v>
      </c>
      <c r="G7" s="513">
        <f>AVERAGE(D14:J14)</f>
        <v>138.18796873590966</v>
      </c>
      <c r="H7" s="513"/>
      <c r="I7" s="513">
        <f>AVERAGE(K14:M14)</f>
        <v>127.21586936280487</v>
      </c>
      <c r="J7" s="513"/>
      <c r="K7" s="33"/>
      <c r="L7" s="307"/>
      <c r="M7" s="33"/>
      <c r="N7" s="33"/>
    </row>
    <row r="8" spans="2:17" ht="28.5" customHeight="1">
      <c r="B8" s="516"/>
      <c r="C8" s="510" t="s">
        <v>45</v>
      </c>
      <c r="D8" s="510"/>
      <c r="E8" s="514">
        <f>AVERAGE(D15:M15)</f>
        <v>0.93100502374057759</v>
      </c>
      <c r="F8" s="510">
        <f>AVERAGE(D15:J15,D29:O29)</f>
        <v>0.93093744795223621</v>
      </c>
      <c r="G8" s="515">
        <f>AVERAGE(D15:J15)</f>
        <v>0.93093744795223621</v>
      </c>
      <c r="H8" s="515"/>
      <c r="I8" s="515">
        <f>AVERAGE(K15:M15)</f>
        <v>0.93116270058004058</v>
      </c>
      <c r="J8" s="515"/>
      <c r="K8" s="34" t="s">
        <v>1099</v>
      </c>
      <c r="L8" s="307"/>
      <c r="M8" s="33"/>
      <c r="N8" s="33"/>
    </row>
    <row r="9" spans="2:17" ht="28.5" customHeight="1" thickBot="1">
      <c r="H9" s="36"/>
      <c r="I9" s="291"/>
      <c r="L9" s="308"/>
      <c r="N9" s="33"/>
      <c r="O9" s="33"/>
      <c r="P9" s="33"/>
      <c r="Q9" s="33"/>
    </row>
    <row r="10" spans="2:17" ht="30" customHeight="1">
      <c r="B10" s="501" t="s">
        <v>1100</v>
      </c>
      <c r="C10" s="502"/>
      <c r="D10" s="503" t="s">
        <v>1101</v>
      </c>
      <c r="E10" s="504"/>
      <c r="F10" s="504"/>
      <c r="G10" s="504"/>
      <c r="H10" s="504"/>
      <c r="I10" s="504"/>
      <c r="J10" s="505"/>
      <c r="K10" s="506" t="s">
        <v>1102</v>
      </c>
      <c r="L10" s="504"/>
      <c r="M10" s="507"/>
      <c r="P10" s="37"/>
      <c r="Q10" s="37"/>
    </row>
    <row r="11" spans="2:17" ht="17.25" customHeight="1">
      <c r="B11" s="493" t="s">
        <v>1103</v>
      </c>
      <c r="C11" s="494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292">
        <v>6</v>
      </c>
      <c r="J11" s="40">
        <v>7</v>
      </c>
      <c r="K11" s="38">
        <v>1</v>
      </c>
      <c r="L11" s="292">
        <v>2</v>
      </c>
      <c r="M11" s="40">
        <v>3</v>
      </c>
      <c r="P11" s="37"/>
      <c r="Q11" s="37"/>
    </row>
    <row r="12" spans="2:17" ht="34.15" customHeight="1">
      <c r="B12" s="493"/>
      <c r="C12" s="494"/>
      <c r="D12" s="41" t="s">
        <v>345</v>
      </c>
      <c r="E12" s="42" t="s">
        <v>346</v>
      </c>
      <c r="F12" s="42" t="s">
        <v>347</v>
      </c>
      <c r="G12" s="42" t="s">
        <v>348</v>
      </c>
      <c r="H12" s="42" t="s">
        <v>349</v>
      </c>
      <c r="I12" s="293" t="s">
        <v>350</v>
      </c>
      <c r="J12" s="43" t="s">
        <v>351</v>
      </c>
      <c r="K12" s="41" t="s">
        <v>352</v>
      </c>
      <c r="L12" s="293" t="s">
        <v>353</v>
      </c>
      <c r="M12" s="43" t="s">
        <v>354</v>
      </c>
    </row>
    <row r="13" spans="2:17" ht="40.15" customHeight="1">
      <c r="B13" s="508" t="s">
        <v>1061</v>
      </c>
      <c r="C13" s="44" t="s">
        <v>1104</v>
      </c>
      <c r="D13" s="45">
        <f>SUMIFS('0819 4度C'!$K:$K,'0819 4度C'!$A:$A,"新豐6線",'0819 4度C'!$B:$B,"平均")</f>
        <v>117.64705882352941</v>
      </c>
      <c r="E13" s="46">
        <f>SUMIFS('0819 4度C'!$K:$K,'0819 4度C'!$A:$A,"新豐2線",'0819 4度C'!$B:$B,"平均")</f>
        <v>83.333333333333329</v>
      </c>
      <c r="F13" s="47">
        <f>SUMIFS('0819 4度C'!$K:$K,'0819 4度C'!$A:$A,"新豐5線",'0819 4度C'!$B:$B,"平均")</f>
        <v>93.220338983050837</v>
      </c>
      <c r="G13" s="47">
        <f>SUMIFS('0819 4度C'!$K:$K,'0819 4度C'!$A:$A,"新豐7線",'0819 4度C'!$B:$B,"平均")</f>
        <v>116.50485436893203</v>
      </c>
      <c r="H13" s="47">
        <f>SUMIFS('0819 4度C'!$K:$K,'0819 4度C'!$A:$A,"新豐3線",'0819 4度C'!$B:$B,"平均")</f>
        <v>300</v>
      </c>
      <c r="I13" s="294">
        <f>SUMIFS('0819 4度C'!$K:$K,'0819 4度C'!$A:$A,"新豐1線",'0819 4度C'!$B:$B,"平均")</f>
        <v>114.4578313253012</v>
      </c>
      <c r="J13" s="48">
        <f>SUMIFS('0819 4度C'!$K:$K,'0819 4度C'!$A:$A,"新豐10線",'0819 4度C'!$B:$B,"平均")</f>
        <v>213.68421052631578</v>
      </c>
      <c r="K13" s="49">
        <f>SUMIFS('0819 4度C'!$K:$K,'0819 4度C'!$A:$A,"新豐8線",'0819 4度C'!$B:$B,"平均")</f>
        <v>139.80582524271844</v>
      </c>
      <c r="L13" s="301">
        <f>SUMIFS('0819 4度C'!$K:$K,'0819 4度C'!$A:$A,"新豐9線",'0819 4度C'!$B:$B,"平均")</f>
        <v>130.90909090909091</v>
      </c>
      <c r="M13" s="48">
        <f>SUMIFS('0819 4度C'!$K:$K,'0819 4度C'!$A:$A,"新豐4線",'0819 4度C'!$B:$B,"平均")</f>
        <v>139.13043478260869</v>
      </c>
    </row>
    <row r="14" spans="2:17" ht="39.6" customHeight="1">
      <c r="B14" s="508"/>
      <c r="C14" s="51" t="s">
        <v>1105</v>
      </c>
      <c r="D14" s="52">
        <f>SUMIFS('0819 4度C'!$N:$N,'0819 4度C'!$A:$A,"新豐6線",'0819 4度C'!$B:$B,"平均")</f>
        <v>109.59643143435177</v>
      </c>
      <c r="E14" s="53">
        <f>SUMIFS('0819 4度C'!$N:$N,'0819 4度C'!$A:$A,"新豐2線",'0819 4度C'!$B:$B,"平均")</f>
        <v>77.417817041399857</v>
      </c>
      <c r="F14" s="53">
        <f>SUMIFS('0819 4度C'!$N:$N,'0819 4度C'!$A:$A,"新豐5線",'0819 4度C'!$B:$B,"平均")</f>
        <v>86.704455936054686</v>
      </c>
      <c r="G14" s="53">
        <f>SUMIFS('0819 4度C'!$N:$N,'0819 4度C'!$A:$A,"新豐7線",'0819 4度C'!$B:$B,"平均")</f>
        <v>108.16692652142446</v>
      </c>
      <c r="H14" s="53">
        <f>SUMIFS('0819 4度C'!$N:$N,'0819 4度C'!$A:$A,"新豐3線",'0819 4度C'!$B:$B,"平均")</f>
        <v>279.68851806758528</v>
      </c>
      <c r="I14" s="295">
        <f>SUMIFS('0819 4度C'!$N:$N,'0819 4度C'!$A:$A,"新豐1線",'0819 4度C'!$B:$B,"平均")</f>
        <v>107.05784747361493</v>
      </c>
      <c r="J14" s="54">
        <f>SUMIFS('0819 4度C'!$N:$N,'0819 4度C'!$A:$A,"新豐10線",'0819 4度C'!$B:$B,"平均")</f>
        <v>198.68378467693663</v>
      </c>
      <c r="K14" s="55">
        <f>SUMIFS('0819 4度C'!$N:$N,'0819 4度C'!$A:$A,"新豐8線",'0819 4度C'!$B:$B,"平均")</f>
        <v>129.88983433527471</v>
      </c>
      <c r="L14" s="302">
        <f>SUMIFS('0819 4度C'!$N:$N,'0819 4度C'!$A:$A,"新豐9線",'0819 4度C'!$B:$B,"平均")</f>
        <v>121.63786847299778</v>
      </c>
      <c r="M14" s="54">
        <f>SUMIFS('0819 4度C'!$N:$N,'0819 4度C'!$A:$A,"新豐4線",'0819 4度C'!$B:$B,"平均")</f>
        <v>130.11990528014206</v>
      </c>
    </row>
    <row r="15" spans="2:17" ht="40.15" customHeight="1">
      <c r="B15" s="508"/>
      <c r="C15" s="57" t="s">
        <v>1106</v>
      </c>
      <c r="D15" s="58">
        <f>D14/D13</f>
        <v>0.93156966719199008</v>
      </c>
      <c r="E15" s="59">
        <f t="shared" ref="E15:M15" si="0">E14/E13</f>
        <v>0.92901380449679838</v>
      </c>
      <c r="F15" s="59">
        <f t="shared" si="0"/>
        <v>0.93010234549585946</v>
      </c>
      <c r="G15" s="59">
        <f t="shared" si="0"/>
        <v>0.92843278597556</v>
      </c>
      <c r="H15" s="59">
        <f>H14/H13</f>
        <v>0.9322950602252843</v>
      </c>
      <c r="I15" s="296">
        <f>I14/I13</f>
        <v>0.93534750950631995</v>
      </c>
      <c r="J15" s="60">
        <f>J14/J13</f>
        <v>0.92980096277384139</v>
      </c>
      <c r="K15" s="58">
        <f>K14/K13</f>
        <v>0.92907312059258995</v>
      </c>
      <c r="L15" s="296">
        <f>L14/L13</f>
        <v>0.92917816194651082</v>
      </c>
      <c r="M15" s="60">
        <f t="shared" si="0"/>
        <v>0.93523681920102109</v>
      </c>
    </row>
    <row r="16" spans="2:17" ht="17.25" customHeight="1">
      <c r="B16" s="509" t="s">
        <v>1107</v>
      </c>
      <c r="C16" s="276" t="s">
        <v>1108</v>
      </c>
      <c r="D16" s="61">
        <f>VLOOKUP("新豐6線",'0819 4度C'!$A:$T,19,0)</f>
        <v>0.70833333333333337</v>
      </c>
      <c r="E16" s="24">
        <f>VLOOKUP("新豐2線",'0819 4度C'!$A:$T,19,0)</f>
        <v>0.125</v>
      </c>
      <c r="F16" s="24">
        <f>VLOOKUP("新豐5線",'0819 4度C'!$A:$T,19,0)</f>
        <v>0.25</v>
      </c>
      <c r="G16" s="24">
        <f>VLOOKUP("新豐7線",'0819 4度C'!$A:$T,19,0)</f>
        <v>0.20833333333333334</v>
      </c>
      <c r="H16" s="24">
        <f>VLOOKUP("新豐3線",'0819 4度C'!$A:$T,19,0)</f>
        <v>0.125</v>
      </c>
      <c r="I16" s="297">
        <f>VLOOKUP("新豐1線",'0819 4度C'!$A:$T,19,0)</f>
        <v>0.29166666666666669</v>
      </c>
      <c r="J16" s="62">
        <f>VLOOKUP("新豐10線",'0819 4度C'!$A:$T,19,0)</f>
        <v>0.125</v>
      </c>
      <c r="K16" s="63">
        <f>VLOOKUP("新豐8線",'0819 4度C'!$A:$T,19,0)</f>
        <v>0.125</v>
      </c>
      <c r="L16" s="303">
        <f>VLOOKUP("新豐9線",'0819 4度C'!$A:$T,19,0)</f>
        <v>8.3333333333333329E-2</v>
      </c>
      <c r="M16" s="65">
        <f>VLOOKUP("新豐4線",'0819 4度C'!$A:$T,19,0)</f>
        <v>0.125</v>
      </c>
    </row>
    <row r="17" spans="2:13" ht="17.25" customHeight="1">
      <c r="B17" s="493"/>
      <c r="C17" s="276" t="s">
        <v>1109</v>
      </c>
      <c r="D17" s="63">
        <f>LOOKUP(2,1/(('0819 4度C'!$A:$A="新豐6線")*('0819 4度C'!$T:$T&lt;&gt;"")),'0819 4度C'!$T:$T)</f>
        <v>0.83819444444444446</v>
      </c>
      <c r="E17" s="24">
        <f>LOOKUP(2,1/(('0819 4度C'!$A:$A="新豐2線")*('0819 4度C'!$T:$T&lt;&gt;"")),'0819 4度C'!$T:$T)</f>
        <v>0.64513888888888882</v>
      </c>
      <c r="F17" s="24">
        <f>LOOKUP(2,1/(('0819 4度C'!$A:$A="新豐5線")*('0819 4度C'!$T:$T&lt;&gt;"")),'0819 4度C'!$T:$T)</f>
        <v>0.85069444444444442</v>
      </c>
      <c r="G17" s="24">
        <f>LOOKUP(2,1/(('0819 4度C'!$A:$A="新豐7線")*('0819 4度C'!$T:$T&lt;&gt;"")),'0819 4度C'!$T:$T)</f>
        <v>0.81527777777777777</v>
      </c>
      <c r="H17" s="24">
        <f>LOOKUP(2,1/(('0819 4度C'!$A:$A="新豐3線")*('0819 4度C'!$T:$T&lt;&gt;"")),'0819 4度C'!$T:$T)</f>
        <v>0.67222222222222217</v>
      </c>
      <c r="I17" s="297">
        <f>LOOKUP(2,1/(('0819 4度C'!$A:$A="新豐1線")*('0819 4度C'!$T:$T&lt;&gt;"")),'0819 4度C'!$T:$T)</f>
        <v>0.85347222222222219</v>
      </c>
      <c r="J17" s="62">
        <f>LOOKUP(2,1/(('0819 4度C'!$A:$A="新豐10線")*('0819 4度C'!$T:$T&lt;&gt;"")),'0819 4度C'!$T:$T)</f>
        <v>0.65694444444444422</v>
      </c>
      <c r="K17" s="61">
        <f>LOOKUP(2,1/(('0819 4度C'!$A:$A="新豐8線")*('0819 4度C'!$T:$T&lt;&gt;"")),'0819 4度C'!$T:$T)</f>
        <v>0.64722222222222214</v>
      </c>
      <c r="L17" s="297">
        <f>LOOKUP(2,1/(('0819 4度C'!$A:$A="新豐9線")*('0819 4度C'!$T:$T&lt;&gt;"")),'0819 4度C'!$T:$T)</f>
        <v>0.75972222222222208</v>
      </c>
      <c r="M17" s="62">
        <f>LOOKUP(2,1/(('0819 4度C'!$A:$A="新豐4線")*('0819 4度C'!$T:$T&lt;&gt;"")),'0819 4度C'!$T:$T)</f>
        <v>0.7305555555555554</v>
      </c>
    </row>
    <row r="18" spans="2:13" ht="17.25" customHeight="1">
      <c r="B18" s="493" t="s">
        <v>1110</v>
      </c>
      <c r="C18" s="494"/>
      <c r="D18" s="66">
        <f>SUMIFS('0819 4度C'!$I:$I,'0819 4度C'!$A:$A,"新豐6線",'0819 4度C'!$B:$B,"平均")</f>
        <v>17</v>
      </c>
      <c r="E18" s="67">
        <f>SUMIFS('0819 4度C'!$I:$I,'0819 4度C'!$A:$A,"新豐2線",'0819 4度C'!$B:$B,"平均")</f>
        <v>18</v>
      </c>
      <c r="F18" s="67">
        <f>SUMIFS('0819 4度C'!$I:$I,'0819 4度C'!$A:$A,"新豐5線",'0819 4度C'!$B:$B,"平均")</f>
        <v>19.666666666666668</v>
      </c>
      <c r="G18" s="67">
        <f>SUMIFS('0819 4度C'!$I:$I,'0819 4度C'!$A:$A,"新豐7線",'0819 4度C'!$B:$B,"平均")</f>
        <v>17.166666666666668</v>
      </c>
      <c r="H18" s="67">
        <f>SUMIFS('0819 4度C'!$I:$I,'0819 4度C'!$A:$A,"新豐3線",'0819 4度C'!$B:$B,"平均")</f>
        <v>10</v>
      </c>
      <c r="I18" s="298">
        <f>SUMIFS('0819 4度C'!$I:$I,'0819 4度C'!$A:$A,"新豐1線",'0819 4度C'!$B:$B,"平均")</f>
        <v>16.600000000000001</v>
      </c>
      <c r="J18" s="68">
        <f>SUMIFS('0819 4度C'!$I:$I,'0819 4度C'!$A:$A,"新豐10線",'0819 4度C'!$B:$B,"平均")</f>
        <v>11.875</v>
      </c>
      <c r="K18" s="66">
        <f>SUMIFS('0819 4度C'!$I:$I,'0819 4度C'!$A:$A,"新豐8線",'0819 4度C'!$B:$B,"平均")</f>
        <v>17.166666666666668</v>
      </c>
      <c r="L18" s="298">
        <f>SUMIFS('0819 4度C'!$I:$I,'0819 4度C'!$A:$A,"新豐9線",'0819 4度C'!$B:$B,"平均")</f>
        <v>18.333333333333332</v>
      </c>
      <c r="M18" s="68">
        <f>SUMIFS('0819 4度C'!$I:$I,'0819 4度C'!$A:$A,"新豐4線",'0819 4度C'!$B:$B,"平均")</f>
        <v>17.25</v>
      </c>
    </row>
    <row r="19" spans="2:13" ht="17.25" customHeight="1">
      <c r="B19" s="495" t="s">
        <v>1111</v>
      </c>
      <c r="C19" s="496"/>
      <c r="D19" s="69" t="s">
        <v>46</v>
      </c>
      <c r="E19" s="70" t="s">
        <v>47</v>
      </c>
      <c r="F19" s="70" t="s">
        <v>1112</v>
      </c>
      <c r="G19" s="70" t="s">
        <v>1112</v>
      </c>
      <c r="H19" s="70" t="s">
        <v>48</v>
      </c>
      <c r="I19" s="299" t="s">
        <v>46</v>
      </c>
      <c r="J19" s="71" t="s">
        <v>48</v>
      </c>
      <c r="K19" s="69" t="s">
        <v>1113</v>
      </c>
      <c r="L19" s="299" t="s">
        <v>1113</v>
      </c>
      <c r="M19" s="71" t="s">
        <v>1113</v>
      </c>
    </row>
    <row r="20" spans="2:13" ht="17.25" customHeight="1">
      <c r="B20" s="495" t="s">
        <v>1114</v>
      </c>
      <c r="C20" s="496"/>
      <c r="D20" s="69"/>
      <c r="E20" s="70"/>
      <c r="F20" s="70" t="s">
        <v>1115</v>
      </c>
      <c r="G20" s="70" t="s">
        <v>46</v>
      </c>
      <c r="H20" s="70"/>
      <c r="I20" s="299"/>
      <c r="J20" s="71"/>
      <c r="K20" s="69"/>
      <c r="L20" s="299"/>
      <c r="M20" s="71"/>
    </row>
    <row r="21" spans="2:13" ht="17.25" customHeight="1" thickBot="1">
      <c r="B21" s="497" t="s">
        <v>1116</v>
      </c>
      <c r="C21" s="498"/>
      <c r="D21" s="72"/>
      <c r="E21" s="73" t="s">
        <v>1117</v>
      </c>
      <c r="F21" s="499" t="s">
        <v>1118</v>
      </c>
      <c r="G21" s="500"/>
      <c r="H21" s="73" t="s">
        <v>1119</v>
      </c>
      <c r="I21" s="300" t="s">
        <v>1120</v>
      </c>
      <c r="J21" s="74" t="s">
        <v>1119</v>
      </c>
      <c r="K21" s="75"/>
      <c r="L21" s="300"/>
      <c r="M21" s="74"/>
    </row>
    <row r="22" spans="2:13" ht="17.25" customHeight="1">
      <c r="F22" s="291"/>
      <c r="G22" s="291"/>
      <c r="H22" s="291"/>
      <c r="I22" s="291"/>
      <c r="J22" s="291"/>
      <c r="K22" s="291"/>
      <c r="L22" s="291"/>
    </row>
    <row r="23" spans="2:13" ht="17.25" customHeight="1">
      <c r="F23" s="291"/>
      <c r="G23" s="291"/>
      <c r="H23" s="291"/>
      <c r="I23" s="291"/>
      <c r="J23" s="291"/>
      <c r="K23" s="291"/>
      <c r="L23" s="291"/>
    </row>
    <row r="24" spans="2:13" ht="17.25" customHeight="1">
      <c r="F24" s="291"/>
      <c r="G24" s="291"/>
      <c r="H24" s="291"/>
      <c r="I24" s="291"/>
      <c r="J24" s="291"/>
      <c r="K24" s="291"/>
      <c r="L24" s="291"/>
    </row>
    <row r="25" spans="2:13" ht="37.5" customHeight="1">
      <c r="F25" s="291"/>
      <c r="G25" s="291"/>
      <c r="H25" s="291"/>
      <c r="I25" s="291"/>
      <c r="J25" s="291"/>
      <c r="K25" s="291"/>
      <c r="L25" s="291"/>
    </row>
    <row r="26" spans="2:13" ht="35.25" customHeight="1">
      <c r="F26" s="291"/>
      <c r="G26" s="291"/>
      <c r="H26" s="291"/>
      <c r="I26" s="291"/>
      <c r="J26" s="291"/>
      <c r="K26" s="291"/>
      <c r="L26" s="291"/>
    </row>
    <row r="27" spans="2:13" ht="35.25" customHeight="1">
      <c r="F27" s="291"/>
      <c r="G27" s="291"/>
      <c r="H27" s="291"/>
      <c r="I27" s="291"/>
      <c r="J27" s="291"/>
      <c r="K27" s="291"/>
      <c r="L27" s="291"/>
    </row>
    <row r="28" spans="2:13" ht="39.75" customHeight="1">
      <c r="F28" s="291"/>
      <c r="G28" s="291"/>
      <c r="H28" s="291"/>
      <c r="I28" s="291"/>
      <c r="J28" s="291"/>
      <c r="K28" s="291"/>
      <c r="L28" s="291"/>
    </row>
    <row r="29" spans="2:13">
      <c r="F29" s="291"/>
      <c r="G29" s="291"/>
      <c r="H29" s="291"/>
      <c r="I29" s="291"/>
      <c r="J29" s="291"/>
      <c r="K29" s="291"/>
      <c r="L29" s="291"/>
    </row>
    <row r="30" spans="2:13">
      <c r="F30" s="291"/>
      <c r="G30" s="291"/>
      <c r="H30" s="291"/>
      <c r="I30" s="291"/>
      <c r="J30" s="291"/>
      <c r="K30" s="291"/>
      <c r="L30" s="291"/>
    </row>
    <row r="31" spans="2:13">
      <c r="F31" s="291"/>
      <c r="G31" s="291"/>
      <c r="H31" s="291"/>
      <c r="I31" s="291"/>
      <c r="J31" s="291"/>
      <c r="K31" s="291"/>
      <c r="L31" s="291"/>
    </row>
    <row r="32" spans="2:13">
      <c r="F32" s="291"/>
      <c r="G32" s="291"/>
      <c r="H32" s="291"/>
      <c r="I32" s="291"/>
      <c r="J32" s="291"/>
      <c r="K32" s="291"/>
      <c r="L32" s="291"/>
    </row>
    <row r="33" spans="6:12">
      <c r="F33" s="291"/>
      <c r="G33" s="291"/>
      <c r="H33" s="291"/>
      <c r="I33" s="291"/>
      <c r="J33" s="291"/>
      <c r="K33" s="291"/>
      <c r="L33" s="291"/>
    </row>
    <row r="34" spans="6:12">
      <c r="F34" s="291"/>
      <c r="G34" s="291"/>
      <c r="H34" s="291"/>
      <c r="I34" s="291"/>
      <c r="J34" s="291"/>
      <c r="K34" s="291"/>
      <c r="L34" s="291"/>
    </row>
    <row r="35" spans="6:12">
      <c r="F35" s="291"/>
      <c r="G35" s="291"/>
      <c r="H35" s="291"/>
      <c r="I35" s="291"/>
      <c r="J35" s="291"/>
      <c r="K35" s="291"/>
      <c r="L35" s="291"/>
    </row>
    <row r="36" spans="6:12">
      <c r="F36" s="291"/>
      <c r="G36" s="291"/>
      <c r="H36" s="291"/>
      <c r="I36" s="291"/>
      <c r="J36" s="291"/>
      <c r="K36" s="291"/>
      <c r="L36" s="291"/>
    </row>
    <row r="37" spans="6:12">
      <c r="F37" s="291"/>
      <c r="G37" s="291"/>
      <c r="H37" s="291"/>
      <c r="I37" s="291"/>
      <c r="J37" s="291"/>
      <c r="K37" s="291"/>
      <c r="L37" s="291"/>
    </row>
    <row r="38" spans="6:12">
      <c r="F38" s="291"/>
      <c r="G38" s="291"/>
      <c r="H38" s="291"/>
      <c r="I38" s="291"/>
      <c r="J38" s="291"/>
      <c r="K38" s="291"/>
      <c r="L38" s="291"/>
    </row>
    <row r="39" spans="6:12">
      <c r="F39" s="291"/>
      <c r="G39" s="291"/>
      <c r="H39" s="291"/>
      <c r="I39" s="291"/>
      <c r="J39" s="291"/>
      <c r="K39" s="291"/>
      <c r="L39" s="291"/>
    </row>
    <row r="40" spans="6:12">
      <c r="F40" s="291"/>
      <c r="G40" s="291"/>
      <c r="H40" s="291"/>
      <c r="I40" s="291"/>
      <c r="J40" s="291"/>
      <c r="K40" s="291"/>
      <c r="L40" s="291"/>
    </row>
    <row r="41" spans="6:12">
      <c r="F41" s="291"/>
      <c r="G41" s="291"/>
      <c r="H41" s="291"/>
      <c r="I41" s="291"/>
      <c r="J41" s="291"/>
      <c r="K41" s="291"/>
      <c r="L41" s="291"/>
    </row>
    <row r="42" spans="6:12">
      <c r="F42" s="291"/>
      <c r="G42" s="291"/>
      <c r="H42" s="291"/>
      <c r="I42" s="291"/>
      <c r="J42" s="291"/>
      <c r="K42" s="291"/>
      <c r="L42" s="291"/>
    </row>
    <row r="43" spans="6:12">
      <c r="F43" s="291"/>
      <c r="G43" s="291"/>
      <c r="H43" s="291"/>
      <c r="I43" s="291"/>
      <c r="J43" s="291"/>
      <c r="K43" s="291"/>
      <c r="L43" s="291"/>
    </row>
    <row r="44" spans="6:12">
      <c r="F44" s="291"/>
      <c r="G44" s="291"/>
      <c r="H44" s="291"/>
      <c r="I44" s="291"/>
      <c r="J44" s="291"/>
      <c r="K44" s="291"/>
      <c r="L44" s="291"/>
    </row>
    <row r="45" spans="6:12">
      <c r="F45" s="291"/>
      <c r="G45" s="291"/>
      <c r="H45" s="291"/>
      <c r="I45" s="291"/>
      <c r="J45" s="291"/>
      <c r="K45" s="291"/>
      <c r="L45" s="291"/>
    </row>
    <row r="46" spans="6:12">
      <c r="F46" s="291"/>
      <c r="G46" s="291"/>
      <c r="H46" s="291"/>
      <c r="I46" s="291"/>
      <c r="J46" s="291"/>
      <c r="K46" s="291"/>
      <c r="L46" s="291"/>
    </row>
    <row r="47" spans="6:12">
      <c r="F47" s="291"/>
      <c r="G47" s="291"/>
      <c r="H47" s="291"/>
      <c r="I47" s="291"/>
      <c r="J47" s="291"/>
      <c r="K47" s="291"/>
      <c r="L47" s="291"/>
    </row>
    <row r="48" spans="6:12">
      <c r="F48" s="291"/>
      <c r="G48" s="291"/>
      <c r="H48" s="291"/>
      <c r="I48" s="291"/>
      <c r="J48" s="291"/>
      <c r="K48" s="291"/>
      <c r="L48" s="291"/>
    </row>
    <row r="49" spans="6:12">
      <c r="F49" s="291"/>
      <c r="G49" s="291"/>
      <c r="H49" s="291"/>
      <c r="I49" s="291"/>
      <c r="J49" s="291"/>
      <c r="K49" s="291"/>
      <c r="L49" s="291"/>
    </row>
    <row r="50" spans="6:12">
      <c r="F50" s="291"/>
      <c r="G50" s="291"/>
      <c r="H50" s="291"/>
      <c r="I50" s="291"/>
      <c r="J50" s="291"/>
      <c r="K50" s="291"/>
      <c r="L50" s="291"/>
    </row>
    <row r="51" spans="6:12">
      <c r="F51" s="291"/>
      <c r="G51" s="291"/>
      <c r="H51" s="291"/>
      <c r="I51" s="291"/>
      <c r="J51" s="291"/>
      <c r="K51" s="291"/>
      <c r="L51" s="291"/>
    </row>
    <row r="52" spans="6:12">
      <c r="F52" s="291"/>
      <c r="G52" s="291"/>
      <c r="H52" s="291"/>
      <c r="I52" s="291"/>
      <c r="J52" s="291"/>
      <c r="K52" s="291"/>
      <c r="L52" s="291"/>
    </row>
    <row r="53" spans="6:12">
      <c r="F53" s="291"/>
      <c r="G53" s="291"/>
      <c r="H53" s="291"/>
      <c r="I53" s="291"/>
      <c r="J53" s="291"/>
      <c r="K53" s="291"/>
      <c r="L53" s="291"/>
    </row>
    <row r="54" spans="6:12">
      <c r="F54" s="291"/>
      <c r="G54" s="291"/>
      <c r="H54" s="291"/>
      <c r="I54" s="291"/>
      <c r="J54" s="291"/>
      <c r="K54" s="291"/>
      <c r="L54" s="291"/>
    </row>
    <row r="55" spans="6:12">
      <c r="F55" s="291"/>
      <c r="G55" s="291"/>
      <c r="H55" s="291"/>
      <c r="I55" s="291"/>
      <c r="J55" s="291"/>
      <c r="K55" s="291"/>
      <c r="L55" s="291"/>
    </row>
    <row r="56" spans="6:12">
      <c r="F56" s="291"/>
      <c r="G56" s="291"/>
      <c r="H56" s="291"/>
      <c r="I56" s="291"/>
      <c r="J56" s="291"/>
      <c r="K56" s="291"/>
      <c r="L56" s="291"/>
    </row>
    <row r="57" spans="6:12">
      <c r="F57" s="291"/>
      <c r="G57" s="291"/>
      <c r="H57" s="291"/>
      <c r="I57" s="291"/>
      <c r="J57" s="291"/>
      <c r="K57" s="291"/>
      <c r="L57" s="291"/>
    </row>
    <row r="58" spans="6:12">
      <c r="F58" s="291"/>
      <c r="G58" s="291"/>
      <c r="H58" s="291"/>
      <c r="I58" s="291"/>
      <c r="J58" s="291"/>
      <c r="K58" s="291"/>
      <c r="L58" s="291"/>
    </row>
    <row r="59" spans="6:12">
      <c r="F59" s="291"/>
      <c r="G59" s="291"/>
      <c r="H59" s="291"/>
      <c r="I59" s="291"/>
      <c r="J59" s="291"/>
      <c r="K59" s="291"/>
      <c r="L59" s="291"/>
    </row>
    <row r="60" spans="6:12">
      <c r="F60" s="291"/>
      <c r="G60" s="291"/>
      <c r="H60" s="291"/>
      <c r="I60" s="291"/>
      <c r="J60" s="291"/>
      <c r="K60" s="291"/>
      <c r="L60" s="291"/>
    </row>
    <row r="61" spans="6:12">
      <c r="F61" s="291"/>
      <c r="G61" s="291"/>
      <c r="H61" s="291"/>
      <c r="I61" s="291"/>
      <c r="J61" s="291"/>
      <c r="K61" s="291"/>
      <c r="L61" s="291"/>
    </row>
    <row r="62" spans="6:12">
      <c r="F62" s="291"/>
      <c r="G62" s="291"/>
      <c r="H62" s="291"/>
      <c r="I62" s="291"/>
      <c r="J62" s="291"/>
      <c r="K62" s="291"/>
      <c r="L62" s="291"/>
    </row>
    <row r="63" spans="6:12">
      <c r="F63" s="291"/>
      <c r="G63" s="291"/>
      <c r="H63" s="291"/>
      <c r="I63" s="291"/>
      <c r="J63" s="291"/>
      <c r="K63" s="291"/>
      <c r="L63" s="291"/>
    </row>
    <row r="64" spans="6:12">
      <c r="F64" s="291"/>
      <c r="G64" s="291"/>
      <c r="H64" s="291"/>
      <c r="I64" s="291"/>
      <c r="J64" s="291"/>
      <c r="K64" s="291"/>
      <c r="L64" s="291"/>
    </row>
    <row r="65" spans="6:12">
      <c r="F65" s="291"/>
      <c r="G65" s="291"/>
      <c r="H65" s="291"/>
      <c r="I65" s="291"/>
      <c r="J65" s="291"/>
      <c r="K65" s="291"/>
      <c r="L65" s="291"/>
    </row>
    <row r="66" spans="6:12">
      <c r="F66" s="291"/>
      <c r="G66" s="291"/>
      <c r="H66" s="291"/>
      <c r="I66" s="291"/>
      <c r="J66" s="291"/>
      <c r="K66" s="291"/>
      <c r="L66" s="291"/>
    </row>
    <row r="67" spans="6:12">
      <c r="F67" s="291"/>
      <c r="G67" s="291"/>
      <c r="H67" s="291"/>
      <c r="I67" s="291"/>
      <c r="J67" s="291"/>
      <c r="K67" s="291"/>
      <c r="L67" s="291"/>
    </row>
    <row r="68" spans="6:12">
      <c r="F68" s="291"/>
      <c r="G68" s="291"/>
      <c r="H68" s="291"/>
      <c r="I68" s="291"/>
      <c r="J68" s="291"/>
      <c r="K68" s="291"/>
      <c r="L68" s="291"/>
    </row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109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4">
    <pageSetUpPr fitToPage="1"/>
  </sheetPr>
  <dimension ref="A1:AC76"/>
  <sheetViews>
    <sheetView zoomScale="80" zoomScaleNormal="80" workbookViewId="0">
      <pane ySplit="4" topLeftCell="A50" activePane="bottomLeft" state="frozen"/>
      <selection activeCell="C24" sqref="C24:D24"/>
      <selection pane="bottomLeft" activeCell="B65" sqref="B65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5" bestFit="1" customWidth="1"/>
    <col min="20" max="20" width="7.625" style="5" bestFit="1" customWidth="1"/>
    <col min="21" max="21" width="10.25" style="5" bestFit="1" customWidth="1"/>
    <col min="22" max="22" width="8.75" style="21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1040</v>
      </c>
      <c r="B1" s="1"/>
      <c r="C1" s="2" t="s">
        <v>1041</v>
      </c>
      <c r="D1" s="3">
        <f>SUM(F5:F75)</f>
        <v>193634</v>
      </c>
      <c r="E1" s="281" t="s">
        <v>1042</v>
      </c>
      <c r="F1" s="1">
        <f>SUM(G5:G75)</f>
        <v>6939236.5499999998</v>
      </c>
      <c r="G1" s="1" t="s">
        <v>1043</v>
      </c>
      <c r="H1" s="4">
        <f>L8+L13+L51+L57+L17+L66+L31+L41+L24+L75</f>
        <v>163.05833333333334</v>
      </c>
      <c r="I1" s="572" t="s">
        <v>1044</v>
      </c>
      <c r="J1" s="572"/>
      <c r="K1" s="572"/>
      <c r="L1" s="572" t="s">
        <v>1045</v>
      </c>
      <c r="M1" s="572"/>
      <c r="N1" s="572"/>
      <c r="O1" s="572" t="s">
        <v>1046</v>
      </c>
      <c r="P1" s="572"/>
      <c r="Q1" s="572"/>
      <c r="R1" s="572"/>
      <c r="S1" s="572" t="s">
        <v>1047</v>
      </c>
      <c r="T1" s="572"/>
      <c r="U1" s="572"/>
      <c r="V1" s="572"/>
      <c r="W1" s="572"/>
      <c r="X1" s="572"/>
      <c r="Y1" s="572" t="s">
        <v>1048</v>
      </c>
      <c r="Z1" s="572"/>
      <c r="AA1" s="572" t="s">
        <v>1049</v>
      </c>
      <c r="AB1" s="573"/>
      <c r="AC1" s="573"/>
    </row>
    <row r="2" spans="1:29" ht="26.25" customHeight="1">
      <c r="A2" s="22">
        <v>45888</v>
      </c>
      <c r="B2" s="23" t="s">
        <v>322</v>
      </c>
      <c r="C2" s="2" t="s">
        <v>1050</v>
      </c>
      <c r="D2" s="6">
        <f>AVERAGE(N8,N13,N51,N57,N17,N66,N24,N31,N41,N75)</f>
        <v>134.89633892397822</v>
      </c>
      <c r="E2" s="7" t="s">
        <v>0</v>
      </c>
      <c r="F2" s="8">
        <f>F1/D1</f>
        <v>35.836870332689507</v>
      </c>
      <c r="G2" s="1" t="s">
        <v>1051</v>
      </c>
      <c r="H2" s="288">
        <f>COUNT(H5:H75)</f>
        <v>10</v>
      </c>
      <c r="I2" s="572"/>
      <c r="J2" s="572"/>
      <c r="K2" s="572"/>
      <c r="L2" s="572"/>
      <c r="M2" s="572"/>
      <c r="N2" s="572"/>
      <c r="O2" s="572"/>
      <c r="P2" s="572"/>
      <c r="Q2" s="572"/>
      <c r="R2" s="572"/>
      <c r="S2" s="572"/>
      <c r="T2" s="572"/>
      <c r="U2" s="572"/>
      <c r="V2" s="572"/>
      <c r="W2" s="572"/>
      <c r="X2" s="572"/>
      <c r="Y2" s="572"/>
      <c r="Z2" s="572"/>
      <c r="AA2" s="573"/>
      <c r="AB2" s="573"/>
      <c r="AC2" s="573"/>
    </row>
    <row r="3" spans="1:29" ht="23.25" customHeight="1">
      <c r="A3" s="528" t="s">
        <v>1052</v>
      </c>
      <c r="B3" s="528" t="s">
        <v>1053</v>
      </c>
      <c r="C3" s="528" t="s">
        <v>1054</v>
      </c>
      <c r="D3" s="528"/>
      <c r="E3" s="570" t="s">
        <v>1055</v>
      </c>
      <c r="F3" s="528" t="s">
        <v>1056</v>
      </c>
      <c r="G3" s="570" t="s">
        <v>1057</v>
      </c>
      <c r="H3" s="563" t="s">
        <v>1058</v>
      </c>
      <c r="I3" s="561" t="s">
        <v>1059</v>
      </c>
      <c r="J3" s="566" t="s">
        <v>1060</v>
      </c>
      <c r="K3" s="568" t="s">
        <v>1050</v>
      </c>
      <c r="L3" s="561" t="s">
        <v>1059</v>
      </c>
      <c r="M3" s="566" t="s">
        <v>1060</v>
      </c>
      <c r="N3" s="568" t="s">
        <v>1050</v>
      </c>
      <c r="O3" s="561" t="s">
        <v>1059</v>
      </c>
      <c r="P3" s="568" t="s">
        <v>1061</v>
      </c>
      <c r="Q3" s="567" t="s">
        <v>1062</v>
      </c>
      <c r="R3" s="542" t="s">
        <v>1063</v>
      </c>
      <c r="S3" s="528" t="s">
        <v>1</v>
      </c>
      <c r="T3" s="528"/>
      <c r="U3" s="563" t="s">
        <v>2</v>
      </c>
      <c r="V3" s="563" t="s">
        <v>1064</v>
      </c>
      <c r="W3" s="528" t="s">
        <v>1065</v>
      </c>
      <c r="X3" s="528"/>
      <c r="Y3" s="564" t="s">
        <v>1066</v>
      </c>
      <c r="Z3" s="565"/>
      <c r="AA3" s="566" t="s">
        <v>1067</v>
      </c>
      <c r="AB3" s="567" t="s">
        <v>1068</v>
      </c>
      <c r="AC3" s="542" t="s">
        <v>1063</v>
      </c>
    </row>
    <row r="4" spans="1:29">
      <c r="A4" s="528"/>
      <c r="B4" s="528"/>
      <c r="C4" s="528"/>
      <c r="D4" s="528"/>
      <c r="E4" s="571"/>
      <c r="F4" s="528"/>
      <c r="G4" s="571"/>
      <c r="H4" s="563"/>
      <c r="I4" s="561"/>
      <c r="J4" s="566"/>
      <c r="K4" s="568"/>
      <c r="L4" s="561"/>
      <c r="M4" s="566"/>
      <c r="N4" s="568"/>
      <c r="O4" s="561"/>
      <c r="P4" s="568"/>
      <c r="Q4" s="567"/>
      <c r="R4" s="542"/>
      <c r="S4" s="281" t="s">
        <v>3</v>
      </c>
      <c r="T4" s="281" t="s">
        <v>4</v>
      </c>
      <c r="U4" s="563"/>
      <c r="V4" s="563"/>
      <c r="W4" s="281" t="s">
        <v>1069</v>
      </c>
      <c r="X4" s="281" t="s">
        <v>1070</v>
      </c>
      <c r="Y4" s="565"/>
      <c r="Z4" s="565"/>
      <c r="AA4" s="566"/>
      <c r="AB4" s="567"/>
      <c r="AC4" s="542"/>
    </row>
    <row r="5" spans="1:29">
      <c r="A5" s="560" t="s">
        <v>1071</v>
      </c>
      <c r="B5" s="26" t="s">
        <v>13</v>
      </c>
      <c r="C5" s="562" t="s">
        <v>53</v>
      </c>
      <c r="D5" s="562"/>
      <c r="E5" s="26">
        <v>46.93</v>
      </c>
      <c r="F5" s="289">
        <v>1081</v>
      </c>
      <c r="G5" s="281">
        <f>E5*F5</f>
        <v>50731.33</v>
      </c>
      <c r="H5" s="290" t="s">
        <v>52</v>
      </c>
      <c r="I5" s="286">
        <v>17</v>
      </c>
      <c r="J5" s="18">
        <v>2000</v>
      </c>
      <c r="K5" s="9">
        <f>J5/I5</f>
        <v>117.64705882352941</v>
      </c>
      <c r="L5" s="286">
        <v>17</v>
      </c>
      <c r="M5" s="10">
        <f>F5/V5*60</f>
        <v>1853.1428571428553</v>
      </c>
      <c r="N5" s="9">
        <f>M5/L5</f>
        <v>109.00840336134443</v>
      </c>
      <c r="O5" s="11">
        <f t="shared" ref="O5:O7" si="0">L5-I5</f>
        <v>0</v>
      </c>
      <c r="P5" s="12">
        <f t="shared" ref="P5:P7" si="1">N5-K5</f>
        <v>-8.6386554621849712</v>
      </c>
      <c r="Q5" s="282">
        <f>N5/K5</f>
        <v>0.92657142857142771</v>
      </c>
      <c r="R5" s="533">
        <f>Q8</f>
        <v>0.93156966719199008</v>
      </c>
      <c r="S5" s="24">
        <v>0.70833333333333337</v>
      </c>
      <c r="T5" s="24">
        <v>0.73263888888888895</v>
      </c>
      <c r="U5" s="281"/>
      <c r="V5" s="287">
        <f>(T5-S5)*24*60</f>
        <v>35.000000000000036</v>
      </c>
      <c r="W5" s="14"/>
      <c r="X5" s="13"/>
      <c r="Y5" s="528"/>
      <c r="Z5" s="528"/>
      <c r="AA5" s="11">
        <f t="shared" ref="AA5:AA68" si="2">M5-J5</f>
        <v>-146.85714285714471</v>
      </c>
      <c r="AB5" s="282">
        <f t="shared" ref="AB5:AB7" si="3">M5/J5</f>
        <v>0.9265714285714276</v>
      </c>
      <c r="AC5" s="533">
        <f>AB8</f>
        <v>0.93156966719199008</v>
      </c>
    </row>
    <row r="6" spans="1:29">
      <c r="A6" s="561" t="s">
        <v>1072</v>
      </c>
      <c r="B6" s="26" t="s">
        <v>13</v>
      </c>
      <c r="C6" s="562" t="s">
        <v>55</v>
      </c>
      <c r="D6" s="562"/>
      <c r="E6" s="26">
        <v>50.49</v>
      </c>
      <c r="F6" s="289">
        <v>2133</v>
      </c>
      <c r="G6" s="281">
        <f t="shared" ref="G6:G7" si="4">E6*F6</f>
        <v>107695.17</v>
      </c>
      <c r="H6" s="290" t="s">
        <v>52</v>
      </c>
      <c r="I6" s="286">
        <v>16</v>
      </c>
      <c r="J6" s="18">
        <v>2000</v>
      </c>
      <c r="K6" s="9">
        <f t="shared" ref="K6:K7" si="5">J6/I6</f>
        <v>125</v>
      </c>
      <c r="L6" s="286">
        <v>16</v>
      </c>
      <c r="M6" s="10">
        <f>F6/V6*60</f>
        <v>1854.7826086956504</v>
      </c>
      <c r="N6" s="9">
        <f t="shared" ref="N6:N7" si="6">M6/L6</f>
        <v>115.92391304347815</v>
      </c>
      <c r="O6" s="11">
        <f t="shared" si="0"/>
        <v>0</v>
      </c>
      <c r="P6" s="12">
        <f t="shared" si="1"/>
        <v>-9.0760869565218485</v>
      </c>
      <c r="Q6" s="282">
        <f t="shared" ref="Q6:Q7" si="7">N6/K6</f>
        <v>0.92739130434782524</v>
      </c>
      <c r="R6" s="533"/>
      <c r="S6" s="24">
        <v>0.73819444444444449</v>
      </c>
      <c r="T6" s="24">
        <v>0.7861111111111112</v>
      </c>
      <c r="U6" s="281">
        <f>(S6-T5)*24*60</f>
        <v>7.9999999999999716</v>
      </c>
      <c r="V6" s="287">
        <f>(T6-S6)*24*60</f>
        <v>69.000000000000071</v>
      </c>
      <c r="W6" s="14"/>
      <c r="X6" s="14"/>
      <c r="Y6" s="528"/>
      <c r="Z6" s="528"/>
      <c r="AA6" s="11">
        <f t="shared" si="2"/>
        <v>-145.21739130434958</v>
      </c>
      <c r="AB6" s="282">
        <f t="shared" si="3"/>
        <v>0.92739130434782524</v>
      </c>
      <c r="AC6" s="533"/>
    </row>
    <row r="7" spans="1:29">
      <c r="A7" s="561" t="s">
        <v>1072</v>
      </c>
      <c r="B7" s="26" t="s">
        <v>13</v>
      </c>
      <c r="C7" s="558" t="s">
        <v>76</v>
      </c>
      <c r="D7" s="559"/>
      <c r="E7" s="26">
        <v>50.67</v>
      </c>
      <c r="F7" s="289">
        <v>2101</v>
      </c>
      <c r="G7" s="281">
        <f t="shared" si="4"/>
        <v>106457.67</v>
      </c>
      <c r="H7" s="290" t="s">
        <v>52</v>
      </c>
      <c r="I7" s="286">
        <v>18</v>
      </c>
      <c r="J7" s="18">
        <v>2000</v>
      </c>
      <c r="K7" s="9">
        <f t="shared" si="5"/>
        <v>111.11111111111111</v>
      </c>
      <c r="L7" s="286">
        <v>18</v>
      </c>
      <c r="M7" s="10">
        <f t="shared" ref="M7" si="8">F7/V7*60</f>
        <v>1881.4925373134352</v>
      </c>
      <c r="N7" s="9">
        <f t="shared" si="6"/>
        <v>104.52736318407973</v>
      </c>
      <c r="O7" s="11">
        <f t="shared" si="0"/>
        <v>0</v>
      </c>
      <c r="P7" s="12">
        <f t="shared" si="1"/>
        <v>-6.5837479270313821</v>
      </c>
      <c r="Q7" s="282">
        <f t="shared" si="7"/>
        <v>0.94074626865671751</v>
      </c>
      <c r="R7" s="533"/>
      <c r="S7" s="24">
        <v>0.79166666666666674</v>
      </c>
      <c r="T7" s="24">
        <v>0.83819444444444446</v>
      </c>
      <c r="U7" s="281">
        <f t="shared" ref="U7" si="9">(S7-T6)*24*60</f>
        <v>7.9999999999999716</v>
      </c>
      <c r="V7" s="287">
        <f t="shared" ref="V7" si="10">(T7-S7)*24*60</f>
        <v>66.999999999999915</v>
      </c>
      <c r="W7" s="14"/>
      <c r="X7" s="14"/>
      <c r="Y7" s="536"/>
      <c r="Z7" s="537"/>
      <c r="AA7" s="11">
        <f t="shared" si="2"/>
        <v>-118.50746268656485</v>
      </c>
      <c r="AB7" s="282">
        <f t="shared" si="3"/>
        <v>0.94074626865671762</v>
      </c>
      <c r="AC7" s="533"/>
    </row>
    <row r="8" spans="1:29">
      <c r="A8" s="561" t="s">
        <v>1072</v>
      </c>
      <c r="B8" s="26" t="s">
        <v>1073</v>
      </c>
      <c r="C8" s="530"/>
      <c r="D8" s="530"/>
      <c r="E8" s="280"/>
      <c r="F8" s="16"/>
      <c r="G8" s="9"/>
      <c r="H8" s="289"/>
      <c r="I8" s="17">
        <v>17</v>
      </c>
      <c r="J8" s="18">
        <v>2000</v>
      </c>
      <c r="K8" s="9">
        <f>J8/I8</f>
        <v>117.64705882352941</v>
      </c>
      <c r="L8" s="17">
        <v>17</v>
      </c>
      <c r="M8" s="10">
        <f>AVERAGE(M5:M7)</f>
        <v>1863.1393343839802</v>
      </c>
      <c r="N8" s="9">
        <f>M8/L8</f>
        <v>109.59643143435177</v>
      </c>
      <c r="O8" s="11">
        <f>L8-I8</f>
        <v>0</v>
      </c>
      <c r="P8" s="12">
        <f>N8-K8</f>
        <v>-8.0506273891776345</v>
      </c>
      <c r="Q8" s="282">
        <f>N8/K8</f>
        <v>0.93156966719199008</v>
      </c>
      <c r="R8" s="533"/>
      <c r="S8" s="24"/>
      <c r="T8" s="24"/>
      <c r="U8" s="281"/>
      <c r="V8" s="287"/>
      <c r="W8" s="9"/>
      <c r="X8" s="9"/>
      <c r="Y8" s="528"/>
      <c r="Z8" s="528"/>
      <c r="AA8" s="11">
        <f t="shared" si="2"/>
        <v>-136.86066561601979</v>
      </c>
      <c r="AB8" s="282">
        <f>M8/J8</f>
        <v>0.93156966719199008</v>
      </c>
      <c r="AC8" s="533"/>
    </row>
    <row r="9" spans="1:29" ht="15.75" customHeight="1">
      <c r="A9" s="531" t="s">
        <v>1074</v>
      </c>
      <c r="B9" s="26" t="s">
        <v>15</v>
      </c>
      <c r="C9" s="558" t="s">
        <v>16</v>
      </c>
      <c r="D9" s="559"/>
      <c r="E9" s="26">
        <v>39.619999999999997</v>
      </c>
      <c r="F9" s="289">
        <v>4782</v>
      </c>
      <c r="G9" s="281">
        <f t="shared" ref="G9:G12" si="11">E9*F9</f>
        <v>189462.84</v>
      </c>
      <c r="H9" s="290" t="s">
        <v>52</v>
      </c>
      <c r="I9" s="286">
        <v>19</v>
      </c>
      <c r="J9" s="18">
        <v>1500</v>
      </c>
      <c r="K9" s="9">
        <f t="shared" ref="K9:K12" si="12">J9/I9</f>
        <v>78.94736842105263</v>
      </c>
      <c r="L9" s="286">
        <v>19</v>
      </c>
      <c r="M9" s="10">
        <f t="shared" ref="M9:M12" si="13">F9/V9*60</f>
        <v>1392.8155339805826</v>
      </c>
      <c r="N9" s="9">
        <f t="shared" ref="N9:N12" si="14">M9/L9</f>
        <v>73.306080735820132</v>
      </c>
      <c r="O9" s="11">
        <f t="shared" ref="O9:O12" si="15">L9-I9</f>
        <v>0</v>
      </c>
      <c r="P9" s="12">
        <f>N9-K9</f>
        <v>-5.6412876852324985</v>
      </c>
      <c r="Q9" s="282">
        <f>N9/K9</f>
        <v>0.92854368932038833</v>
      </c>
      <c r="R9" s="533">
        <f>Q13</f>
        <v>0.92901380449679838</v>
      </c>
      <c r="S9" s="24">
        <v>0.125</v>
      </c>
      <c r="T9" s="24">
        <v>0.26805555555555555</v>
      </c>
      <c r="U9" s="281"/>
      <c r="V9" s="287">
        <f t="shared" ref="V9:V12" si="16">(T9-S9)*24*60</f>
        <v>206</v>
      </c>
      <c r="W9" s="14">
        <f>T9</f>
        <v>0.26805555555555555</v>
      </c>
      <c r="X9" s="14">
        <f>S10</f>
        <v>0.28680555555555554</v>
      </c>
      <c r="Y9" s="528"/>
      <c r="Z9" s="528"/>
      <c r="AA9" s="11">
        <f t="shared" si="2"/>
        <v>-107.18446601941741</v>
      </c>
      <c r="AB9" s="282">
        <f>M9/J9</f>
        <v>0.92854368932038844</v>
      </c>
      <c r="AC9" s="533">
        <f>AB13</f>
        <v>0.92901380449679827</v>
      </c>
    </row>
    <row r="10" spans="1:29" ht="15.75" customHeight="1">
      <c r="A10" s="531" t="s">
        <v>1074</v>
      </c>
      <c r="B10" s="26" t="s">
        <v>15</v>
      </c>
      <c r="C10" s="558" t="s">
        <v>17</v>
      </c>
      <c r="D10" s="559"/>
      <c r="E10" s="26">
        <v>39.799999999999997</v>
      </c>
      <c r="F10" s="289">
        <v>2700</v>
      </c>
      <c r="G10" s="281">
        <f t="shared" si="11"/>
        <v>107459.99999999999</v>
      </c>
      <c r="H10" s="290">
        <v>2</v>
      </c>
      <c r="I10" s="286">
        <v>17</v>
      </c>
      <c r="J10" s="18">
        <v>1500</v>
      </c>
      <c r="K10" s="9">
        <f t="shared" si="12"/>
        <v>88.235294117647058</v>
      </c>
      <c r="L10" s="286">
        <v>17</v>
      </c>
      <c r="M10" s="10">
        <f t="shared" si="13"/>
        <v>1396.5517241379312</v>
      </c>
      <c r="N10" s="9">
        <f t="shared" si="14"/>
        <v>82.150101419878297</v>
      </c>
      <c r="O10" s="11">
        <f t="shared" si="15"/>
        <v>0</v>
      </c>
      <c r="P10" s="12">
        <f t="shared" ref="P10:P12" si="17">N10-K10</f>
        <v>-6.0851926977687611</v>
      </c>
      <c r="Q10" s="282">
        <f t="shared" ref="Q10:Q12" si="18">N10/K10</f>
        <v>0.93103448275862066</v>
      </c>
      <c r="R10" s="533"/>
      <c r="S10" s="24">
        <v>0.28680555555555554</v>
      </c>
      <c r="T10" s="24">
        <v>0.36736111111111108</v>
      </c>
      <c r="U10" s="281">
        <f>(S10-T9)*24*60</f>
        <v>26.999999999999986</v>
      </c>
      <c r="V10" s="287">
        <f t="shared" si="16"/>
        <v>115.99999999999999</v>
      </c>
      <c r="W10" s="14"/>
      <c r="X10" s="14"/>
      <c r="Y10" s="528"/>
      <c r="Z10" s="528"/>
      <c r="AA10" s="11">
        <f t="shared" si="2"/>
        <v>-103.44827586206884</v>
      </c>
      <c r="AB10" s="282">
        <f t="shared" ref="AB10:AB24" si="19">M10/J10</f>
        <v>0.93103448275862077</v>
      </c>
      <c r="AC10" s="533"/>
    </row>
    <row r="11" spans="1:29" ht="15.75" customHeight="1">
      <c r="A11" s="531" t="s">
        <v>1074</v>
      </c>
      <c r="B11" s="26" t="s">
        <v>15</v>
      </c>
      <c r="C11" s="558" t="s">
        <v>80</v>
      </c>
      <c r="D11" s="559"/>
      <c r="E11" s="26">
        <v>39.29</v>
      </c>
      <c r="F11" s="289">
        <v>3875</v>
      </c>
      <c r="G11" s="281">
        <f t="shared" si="11"/>
        <v>152248.75</v>
      </c>
      <c r="H11" s="290" t="s">
        <v>52</v>
      </c>
      <c r="I11" s="286">
        <v>19</v>
      </c>
      <c r="J11" s="18">
        <v>1500</v>
      </c>
      <c r="K11" s="9">
        <f t="shared" si="12"/>
        <v>78.94736842105263</v>
      </c>
      <c r="L11" s="286">
        <v>19</v>
      </c>
      <c r="M11" s="10">
        <f t="shared" si="13"/>
        <v>1392.2155688622756</v>
      </c>
      <c r="N11" s="9">
        <f t="shared" si="14"/>
        <v>73.274503624330293</v>
      </c>
      <c r="O11" s="11">
        <f t="shared" si="15"/>
        <v>0</v>
      </c>
      <c r="P11" s="12">
        <f t="shared" si="17"/>
        <v>-5.6728647967223367</v>
      </c>
      <c r="Q11" s="282">
        <f t="shared" si="18"/>
        <v>0.9281437125748504</v>
      </c>
      <c r="R11" s="533"/>
      <c r="S11" s="24">
        <v>0.37152777777777773</v>
      </c>
      <c r="T11" s="24">
        <v>0.48749999999999993</v>
      </c>
      <c r="U11" s="281">
        <f t="shared" ref="U11:U12" si="20">(S11-T10)*24*60</f>
        <v>5.9999999999999787</v>
      </c>
      <c r="V11" s="287">
        <f t="shared" si="16"/>
        <v>166.99999999999997</v>
      </c>
      <c r="W11" s="14">
        <f>T11</f>
        <v>0.48749999999999993</v>
      </c>
      <c r="X11" s="14">
        <f>S12</f>
        <v>0.52847222222222212</v>
      </c>
      <c r="Y11" s="528"/>
      <c r="Z11" s="528"/>
      <c r="AA11" s="11">
        <f t="shared" si="2"/>
        <v>-107.78443113772437</v>
      </c>
      <c r="AB11" s="282">
        <f t="shared" si="19"/>
        <v>0.9281437125748504</v>
      </c>
      <c r="AC11" s="533"/>
    </row>
    <row r="12" spans="1:29" ht="15.75" customHeight="1">
      <c r="A12" s="531" t="s">
        <v>1074</v>
      </c>
      <c r="B12" s="26" t="s">
        <v>15</v>
      </c>
      <c r="C12" s="558" t="s">
        <v>17</v>
      </c>
      <c r="D12" s="559"/>
      <c r="E12" s="26">
        <v>39.799999999999997</v>
      </c>
      <c r="F12" s="289">
        <v>3899</v>
      </c>
      <c r="G12" s="281">
        <f t="shared" si="11"/>
        <v>155180.19999999998</v>
      </c>
      <c r="H12" s="290" t="s">
        <v>52</v>
      </c>
      <c r="I12" s="286">
        <v>17</v>
      </c>
      <c r="J12" s="18">
        <v>1500</v>
      </c>
      <c r="K12" s="9">
        <f t="shared" si="12"/>
        <v>88.235294117647058</v>
      </c>
      <c r="L12" s="286">
        <v>17</v>
      </c>
      <c r="M12" s="10">
        <f t="shared" si="13"/>
        <v>1392.4999999999995</v>
      </c>
      <c r="N12" s="9">
        <f t="shared" si="14"/>
        <v>81.91176470588232</v>
      </c>
      <c r="O12" s="11">
        <f t="shared" si="15"/>
        <v>0</v>
      </c>
      <c r="P12" s="12">
        <f t="shared" si="17"/>
        <v>-6.3235294117647385</v>
      </c>
      <c r="Q12" s="282">
        <f t="shared" si="18"/>
        <v>0.92833333333333301</v>
      </c>
      <c r="R12" s="533"/>
      <c r="S12" s="24">
        <v>0.52847222222222212</v>
      </c>
      <c r="T12" s="24">
        <v>0.64513888888888882</v>
      </c>
      <c r="U12" s="281">
        <f t="shared" si="20"/>
        <v>58.99999999999995</v>
      </c>
      <c r="V12" s="287">
        <f t="shared" si="16"/>
        <v>168.00000000000006</v>
      </c>
      <c r="W12" s="14"/>
      <c r="X12" s="14"/>
      <c r="Y12" s="528"/>
      <c r="Z12" s="528"/>
      <c r="AA12" s="11">
        <f t="shared" si="2"/>
        <v>-107.50000000000045</v>
      </c>
      <c r="AB12" s="282">
        <f t="shared" si="19"/>
        <v>0.92833333333333301</v>
      </c>
      <c r="AC12" s="533"/>
    </row>
    <row r="13" spans="1:29" ht="16.5" customHeight="1">
      <c r="A13" s="531" t="s">
        <v>1074</v>
      </c>
      <c r="B13" s="26" t="s">
        <v>1073</v>
      </c>
      <c r="C13" s="530"/>
      <c r="D13" s="530"/>
      <c r="E13" s="280"/>
      <c r="F13" s="18"/>
      <c r="G13" s="10"/>
      <c r="H13" s="289"/>
      <c r="I13" s="17">
        <v>18</v>
      </c>
      <c r="J13" s="18">
        <v>1500</v>
      </c>
      <c r="K13" s="9">
        <f>J13/I13</f>
        <v>83.333333333333329</v>
      </c>
      <c r="L13" s="17">
        <v>18</v>
      </c>
      <c r="M13" s="10">
        <f>AVERAGE(M9:M12)</f>
        <v>1393.5207067451975</v>
      </c>
      <c r="N13" s="9">
        <f>M13/L13</f>
        <v>77.417817041399857</v>
      </c>
      <c r="O13" s="11">
        <f>L13-I13</f>
        <v>0</v>
      </c>
      <c r="P13" s="12">
        <f>N13-K13</f>
        <v>-5.9155162919334714</v>
      </c>
      <c r="Q13" s="282">
        <f>N13/K13</f>
        <v>0.92901380449679838</v>
      </c>
      <c r="R13" s="533"/>
      <c r="S13" s="24"/>
      <c r="T13" s="24"/>
      <c r="U13" s="9"/>
      <c r="V13" s="287"/>
      <c r="W13" s="9"/>
      <c r="X13" s="9"/>
      <c r="Y13" s="528"/>
      <c r="Z13" s="528"/>
      <c r="AA13" s="11">
        <f t="shared" si="2"/>
        <v>-106.47929325480254</v>
      </c>
      <c r="AB13" s="282">
        <f t="shared" si="19"/>
        <v>0.92901380449679827</v>
      </c>
      <c r="AC13" s="533"/>
    </row>
    <row r="14" spans="1:29" ht="16.5" customHeight="1">
      <c r="A14" s="556" t="s">
        <v>1075</v>
      </c>
      <c r="B14" s="289" t="s">
        <v>21</v>
      </c>
      <c r="C14" s="552" t="s">
        <v>19</v>
      </c>
      <c r="D14" s="552"/>
      <c r="E14" s="26">
        <v>41</v>
      </c>
      <c r="F14" s="289">
        <v>1890</v>
      </c>
      <c r="G14" s="281">
        <f t="shared" ref="G14:G16" si="21">E14*F14</f>
        <v>77490</v>
      </c>
      <c r="H14" s="290" t="s">
        <v>52</v>
      </c>
      <c r="I14" s="286">
        <v>26</v>
      </c>
      <c r="J14" s="18">
        <v>1500</v>
      </c>
      <c r="K14" s="9">
        <f>J14/I14</f>
        <v>57.692307692307693</v>
      </c>
      <c r="L14" s="286">
        <v>26</v>
      </c>
      <c r="M14" s="10">
        <f>F14/V14*60</f>
        <v>1399.9999999999995</v>
      </c>
      <c r="N14" s="9">
        <f t="shared" ref="N14:N23" si="22">M14/L14</f>
        <v>53.846153846153825</v>
      </c>
      <c r="O14" s="11">
        <f t="shared" ref="O14" si="23">L14-I14</f>
        <v>0</v>
      </c>
      <c r="P14" s="12">
        <f t="shared" ref="P14" si="24">N14-K14</f>
        <v>-3.846153846153868</v>
      </c>
      <c r="Q14" s="282">
        <f>N14/K14</f>
        <v>0.9333333333333329</v>
      </c>
      <c r="R14" s="533">
        <f>Q17</f>
        <v>0.93010234549585946</v>
      </c>
      <c r="S14" s="24">
        <v>0.25</v>
      </c>
      <c r="T14" s="24">
        <v>0.30625000000000002</v>
      </c>
      <c r="U14" s="281"/>
      <c r="V14" s="287">
        <f>(T14-S14)*24*60</f>
        <v>81.000000000000028</v>
      </c>
      <c r="W14" s="15"/>
      <c r="X14" s="15"/>
      <c r="Y14" s="528"/>
      <c r="Z14" s="528"/>
      <c r="AA14" s="11">
        <f t="shared" si="2"/>
        <v>-100.00000000000045</v>
      </c>
      <c r="AB14" s="282">
        <f t="shared" si="19"/>
        <v>0.93333333333333302</v>
      </c>
      <c r="AC14" s="533">
        <f>AB17</f>
        <v>0.93010234549585935</v>
      </c>
    </row>
    <row r="15" spans="1:29" ht="16.5" customHeight="1">
      <c r="A15" s="557" t="s">
        <v>1075</v>
      </c>
      <c r="B15" s="289" t="s">
        <v>13</v>
      </c>
      <c r="C15" s="552" t="s">
        <v>57</v>
      </c>
      <c r="D15" s="552"/>
      <c r="E15" s="26">
        <v>50.98</v>
      </c>
      <c r="F15" s="289">
        <v>2918</v>
      </c>
      <c r="G15" s="281">
        <f t="shared" si="21"/>
        <v>148759.63999999998</v>
      </c>
      <c r="H15" s="290" t="s">
        <v>52</v>
      </c>
      <c r="I15" s="286">
        <v>17</v>
      </c>
      <c r="J15" s="18">
        <v>2000</v>
      </c>
      <c r="K15" s="9">
        <f>J15/I15</f>
        <v>117.64705882352941</v>
      </c>
      <c r="L15" s="286">
        <v>17</v>
      </c>
      <c r="M15" s="10">
        <f>F15/V15*60</f>
        <v>1862.5531914893618</v>
      </c>
      <c r="N15" s="9">
        <f t="shared" si="22"/>
        <v>109.5619524405507</v>
      </c>
      <c r="O15" s="11">
        <f>L15-I15</f>
        <v>0</v>
      </c>
      <c r="P15" s="12">
        <f>N15-K15</f>
        <v>-8.085106382978708</v>
      </c>
      <c r="Q15" s="282">
        <f>N15/K15</f>
        <v>0.93127659574468102</v>
      </c>
      <c r="R15" s="533"/>
      <c r="S15" s="24">
        <v>0.70833333333333337</v>
      </c>
      <c r="T15" s="24">
        <v>0.77361111111111114</v>
      </c>
      <c r="U15" s="281" t="str">
        <f>IF(S15=TIME(17,0,0),"",(S15-T14)*24*60)</f>
        <v/>
      </c>
      <c r="V15" s="287">
        <f>(T15-S15)*24*60</f>
        <v>93.999999999999986</v>
      </c>
      <c r="W15" s="14"/>
      <c r="X15" s="14"/>
      <c r="Y15" s="528"/>
      <c r="Z15" s="528"/>
      <c r="AA15" s="11">
        <f t="shared" si="2"/>
        <v>-137.44680851063822</v>
      </c>
      <c r="AB15" s="282">
        <f t="shared" si="19"/>
        <v>0.93127659574468091</v>
      </c>
      <c r="AC15" s="533"/>
    </row>
    <row r="16" spans="1:29" ht="16.5" customHeight="1">
      <c r="A16" s="557" t="s">
        <v>1075</v>
      </c>
      <c r="B16" s="289" t="s">
        <v>13</v>
      </c>
      <c r="C16" s="552" t="s">
        <v>54</v>
      </c>
      <c r="D16" s="552"/>
      <c r="E16" s="26">
        <v>50.92</v>
      </c>
      <c r="F16" s="289">
        <v>3181</v>
      </c>
      <c r="G16" s="281">
        <f t="shared" si="21"/>
        <v>161976.52000000002</v>
      </c>
      <c r="H16" s="290" t="s">
        <v>52</v>
      </c>
      <c r="I16" s="286">
        <v>16</v>
      </c>
      <c r="J16" s="18">
        <v>2000</v>
      </c>
      <c r="K16" s="9">
        <f t="shared" ref="K16" si="25">J16/I16</f>
        <v>125</v>
      </c>
      <c r="L16" s="286">
        <v>16</v>
      </c>
      <c r="M16" s="10">
        <f t="shared" ref="M16" si="26">F16/V16*60</f>
        <v>1853.0097087378649</v>
      </c>
      <c r="N16" s="9">
        <f t="shared" si="22"/>
        <v>115.81310679611656</v>
      </c>
      <c r="O16" s="11">
        <f t="shared" ref="O16" si="27">L16-I16</f>
        <v>0</v>
      </c>
      <c r="P16" s="12">
        <f t="shared" ref="P16" si="28">N16-K16</f>
        <v>-9.186893203883443</v>
      </c>
      <c r="Q16" s="282">
        <f t="shared" ref="Q16:Q23" si="29">N16/K16</f>
        <v>0.92650485436893248</v>
      </c>
      <c r="R16" s="533"/>
      <c r="S16" s="24">
        <v>0.77916666666666667</v>
      </c>
      <c r="T16" s="24">
        <v>0.85069444444444442</v>
      </c>
      <c r="U16" s="281">
        <f t="shared" ref="U16" si="30">IF(S16=TIME(17,0,0),"",(S16-T15)*24*60)</f>
        <v>7.9999999999999716</v>
      </c>
      <c r="V16" s="287">
        <f t="shared" ref="V16" si="31">(T16-S16)*24*60</f>
        <v>102.99999999999996</v>
      </c>
      <c r="W16" s="14"/>
      <c r="X16" s="14"/>
      <c r="Y16" s="528"/>
      <c r="Z16" s="528"/>
      <c r="AA16" s="11">
        <f t="shared" si="2"/>
        <v>-146.99029126213509</v>
      </c>
      <c r="AB16" s="282">
        <f t="shared" si="19"/>
        <v>0.92650485436893248</v>
      </c>
      <c r="AC16" s="533"/>
    </row>
    <row r="17" spans="1:29" ht="16.5" customHeight="1">
      <c r="A17" s="557" t="s">
        <v>1075</v>
      </c>
      <c r="B17" s="26" t="s">
        <v>1073</v>
      </c>
      <c r="C17" s="530"/>
      <c r="D17" s="530"/>
      <c r="E17" s="280"/>
      <c r="F17" s="16"/>
      <c r="G17" s="9"/>
      <c r="H17" s="289"/>
      <c r="I17" s="17">
        <v>19.666666666666668</v>
      </c>
      <c r="J17" s="18">
        <v>1833.3333333333333</v>
      </c>
      <c r="K17" s="9">
        <f>J17/I17</f>
        <v>93.220338983050837</v>
      </c>
      <c r="L17" s="17">
        <v>19.666666666666668</v>
      </c>
      <c r="M17" s="10">
        <f>AVERAGE(M14:M16)</f>
        <v>1705.1876334090755</v>
      </c>
      <c r="N17" s="9">
        <f t="shared" si="22"/>
        <v>86.704455936054686</v>
      </c>
      <c r="O17" s="11">
        <f>L17-I17</f>
        <v>0</v>
      </c>
      <c r="P17" s="12">
        <f>N17-K17</f>
        <v>-6.5158830469961515</v>
      </c>
      <c r="Q17" s="282">
        <f t="shared" si="29"/>
        <v>0.93010234549585946</v>
      </c>
      <c r="R17" s="533"/>
      <c r="S17" s="24"/>
      <c r="T17" s="24"/>
      <c r="U17" s="281"/>
      <c r="V17" s="287"/>
      <c r="W17" s="9"/>
      <c r="X17" s="9"/>
      <c r="Y17" s="528"/>
      <c r="Z17" s="528"/>
      <c r="AA17" s="11">
        <f t="shared" si="2"/>
        <v>-128.14569992425777</v>
      </c>
      <c r="AB17" s="282">
        <f t="shared" si="19"/>
        <v>0.93010234549585935</v>
      </c>
      <c r="AC17" s="533"/>
    </row>
    <row r="18" spans="1:29" ht="15.75" customHeight="1">
      <c r="A18" s="554" t="s">
        <v>1076</v>
      </c>
      <c r="B18" s="26" t="s">
        <v>21</v>
      </c>
      <c r="C18" s="552" t="s">
        <v>22</v>
      </c>
      <c r="D18" s="552"/>
      <c r="E18" s="26">
        <v>43.14</v>
      </c>
      <c r="F18" s="289">
        <v>1272</v>
      </c>
      <c r="G18" s="281">
        <f t="shared" ref="G18:G23" si="32">E18*F18</f>
        <v>54874.080000000002</v>
      </c>
      <c r="H18" s="290" t="s">
        <v>52</v>
      </c>
      <c r="I18" s="286">
        <v>17</v>
      </c>
      <c r="J18" s="18">
        <v>2000</v>
      </c>
      <c r="K18" s="9">
        <f t="shared" ref="K18:K24" si="33">J18/I18</f>
        <v>117.64705882352941</v>
      </c>
      <c r="L18" s="286">
        <v>17</v>
      </c>
      <c r="M18" s="10">
        <f t="shared" ref="M18:M23" si="34">F18/V18*60</f>
        <v>1861.4634146341457</v>
      </c>
      <c r="N18" s="9">
        <f t="shared" si="22"/>
        <v>109.49784791965563</v>
      </c>
      <c r="O18" s="11">
        <f t="shared" ref="O18:O23" si="35">L18-I18</f>
        <v>0</v>
      </c>
      <c r="P18" s="12">
        <f t="shared" ref="P18:P23" si="36">N18-K18</f>
        <v>-8.1492109038737794</v>
      </c>
      <c r="Q18" s="282">
        <f t="shared" si="29"/>
        <v>0.93073170731707289</v>
      </c>
      <c r="R18" s="533">
        <f>Q24</f>
        <v>0.92843278597556</v>
      </c>
      <c r="S18" s="24">
        <v>0.20833333333333334</v>
      </c>
      <c r="T18" s="24">
        <v>0.23680555555555557</v>
      </c>
      <c r="U18" s="281"/>
      <c r="V18" s="287">
        <f>(T18-S18)*24*60</f>
        <v>41.000000000000014</v>
      </c>
      <c r="W18" s="15"/>
      <c r="X18" s="15"/>
      <c r="Y18" s="528"/>
      <c r="Z18" s="528"/>
      <c r="AA18" s="11">
        <f t="shared" si="2"/>
        <v>-138.53658536585431</v>
      </c>
      <c r="AB18" s="282">
        <f t="shared" si="19"/>
        <v>0.93073170731707289</v>
      </c>
      <c r="AC18" s="533">
        <f>AB24</f>
        <v>0.92843278597556</v>
      </c>
    </row>
    <row r="19" spans="1:29" ht="15.75" customHeight="1">
      <c r="A19" s="555" t="s">
        <v>1076</v>
      </c>
      <c r="B19" s="26" t="s">
        <v>13</v>
      </c>
      <c r="C19" s="552" t="s">
        <v>23</v>
      </c>
      <c r="D19" s="552"/>
      <c r="E19" s="26">
        <v>57.73</v>
      </c>
      <c r="F19" s="289">
        <v>2998</v>
      </c>
      <c r="G19" s="281">
        <f t="shared" si="32"/>
        <v>173074.53999999998</v>
      </c>
      <c r="H19" s="290" t="s">
        <v>52</v>
      </c>
      <c r="I19" s="286">
        <v>16</v>
      </c>
      <c r="J19" s="18">
        <v>2000</v>
      </c>
      <c r="K19" s="9">
        <f t="shared" si="33"/>
        <v>125</v>
      </c>
      <c r="L19" s="286">
        <v>16</v>
      </c>
      <c r="M19" s="10">
        <f t="shared" si="34"/>
        <v>1854.432989690722</v>
      </c>
      <c r="N19" s="9">
        <f t="shared" si="22"/>
        <v>115.90206185567013</v>
      </c>
      <c r="O19" s="11">
        <f t="shared" si="35"/>
        <v>0</v>
      </c>
      <c r="P19" s="12">
        <f t="shared" si="36"/>
        <v>-9.0979381443298735</v>
      </c>
      <c r="Q19" s="282">
        <f t="shared" si="29"/>
        <v>0.92721649484536106</v>
      </c>
      <c r="R19" s="533"/>
      <c r="S19" s="24">
        <v>0.24097222222222225</v>
      </c>
      <c r="T19" s="24">
        <v>0.30833333333333335</v>
      </c>
      <c r="U19" s="281">
        <f>IF(S19=TIME(17,0,0),"",(S19-T18)*24*60)</f>
        <v>6.0000000000000187</v>
      </c>
      <c r="V19" s="287">
        <f t="shared" ref="V19:V23" si="37">(T19-S19)*24*60</f>
        <v>96.999999999999972</v>
      </c>
      <c r="W19" s="14"/>
      <c r="X19" s="281"/>
      <c r="Y19" s="528"/>
      <c r="Z19" s="528"/>
      <c r="AA19" s="11">
        <f t="shared" si="2"/>
        <v>-145.56701030927798</v>
      </c>
      <c r="AB19" s="282">
        <f t="shared" si="19"/>
        <v>0.92721649484536106</v>
      </c>
      <c r="AC19" s="533"/>
    </row>
    <row r="20" spans="1:29" ht="15.75" customHeight="1">
      <c r="A20" s="555" t="s">
        <v>1076</v>
      </c>
      <c r="B20" s="26" t="s">
        <v>13</v>
      </c>
      <c r="C20" s="552" t="s">
        <v>14</v>
      </c>
      <c r="D20" s="552"/>
      <c r="E20" s="26">
        <v>53.68</v>
      </c>
      <c r="F20" s="289">
        <v>1915</v>
      </c>
      <c r="G20" s="281">
        <f t="shared" si="32"/>
        <v>102797.2</v>
      </c>
      <c r="H20" s="290" t="s">
        <v>52</v>
      </c>
      <c r="I20" s="286">
        <v>17</v>
      </c>
      <c r="J20" s="18">
        <v>2000</v>
      </c>
      <c r="K20" s="9">
        <f t="shared" si="33"/>
        <v>117.64705882352941</v>
      </c>
      <c r="L20" s="286">
        <v>17</v>
      </c>
      <c r="M20" s="10">
        <f t="shared" si="34"/>
        <v>1853.2258064516122</v>
      </c>
      <c r="N20" s="9">
        <f t="shared" si="22"/>
        <v>109.01328273244778</v>
      </c>
      <c r="O20" s="11">
        <f t="shared" si="35"/>
        <v>0</v>
      </c>
      <c r="P20" s="12">
        <f t="shared" si="36"/>
        <v>-8.6337760910816286</v>
      </c>
      <c r="Q20" s="282">
        <f t="shared" si="29"/>
        <v>0.92661290322580614</v>
      </c>
      <c r="R20" s="533"/>
      <c r="S20" s="24">
        <v>0.31319444444444444</v>
      </c>
      <c r="T20" s="24">
        <v>0.35625000000000001</v>
      </c>
      <c r="U20" s="281">
        <f t="shared" ref="U20:U23" si="38">IF(S20=TIME(17,0,0),"",(S20-T19)*24*60)</f>
        <v>6.9999999999999751</v>
      </c>
      <c r="V20" s="287">
        <f t="shared" si="37"/>
        <v>62.000000000000021</v>
      </c>
      <c r="W20" s="14"/>
      <c r="X20" s="281"/>
      <c r="Y20" s="528"/>
      <c r="Z20" s="528"/>
      <c r="AA20" s="11">
        <f t="shared" si="2"/>
        <v>-146.77419354838776</v>
      </c>
      <c r="AB20" s="282">
        <f t="shared" si="19"/>
        <v>0.92661290322580614</v>
      </c>
      <c r="AC20" s="533"/>
    </row>
    <row r="21" spans="1:29" ht="15.75" customHeight="1">
      <c r="A21" s="555" t="s">
        <v>1076</v>
      </c>
      <c r="B21" s="26" t="s">
        <v>13</v>
      </c>
      <c r="C21" s="552" t="s">
        <v>81</v>
      </c>
      <c r="D21" s="552"/>
      <c r="E21" s="26">
        <v>58.17</v>
      </c>
      <c r="F21" s="289">
        <v>1981</v>
      </c>
      <c r="G21" s="281">
        <f t="shared" si="32"/>
        <v>115234.77</v>
      </c>
      <c r="H21" s="290" t="s">
        <v>52</v>
      </c>
      <c r="I21" s="286">
        <v>18</v>
      </c>
      <c r="J21" s="18">
        <v>2000</v>
      </c>
      <c r="K21" s="9">
        <f t="shared" si="33"/>
        <v>111.11111111111111</v>
      </c>
      <c r="L21" s="286">
        <v>18</v>
      </c>
      <c r="M21" s="10">
        <f t="shared" si="34"/>
        <v>1857.1874999999995</v>
      </c>
      <c r="N21" s="9">
        <f t="shared" si="22"/>
        <v>103.17708333333331</v>
      </c>
      <c r="O21" s="11">
        <f t="shared" si="35"/>
        <v>0</v>
      </c>
      <c r="P21" s="12">
        <f t="shared" si="36"/>
        <v>-7.9340277777777999</v>
      </c>
      <c r="Q21" s="282">
        <f t="shared" si="29"/>
        <v>0.92859374999999977</v>
      </c>
      <c r="R21" s="533"/>
      <c r="S21" s="24">
        <v>0.3611111111111111</v>
      </c>
      <c r="T21" s="24">
        <v>0.40555555555555556</v>
      </c>
      <c r="U21" s="281">
        <f t="shared" si="38"/>
        <v>6.9999999999999751</v>
      </c>
      <c r="V21" s="287">
        <f t="shared" si="37"/>
        <v>64.000000000000014</v>
      </c>
      <c r="W21" s="14"/>
      <c r="X21" s="281"/>
      <c r="Y21" s="528"/>
      <c r="Z21" s="528"/>
      <c r="AA21" s="11">
        <f t="shared" si="2"/>
        <v>-142.81250000000045</v>
      </c>
      <c r="AB21" s="282">
        <f t="shared" si="19"/>
        <v>0.92859374999999977</v>
      </c>
      <c r="AC21" s="533"/>
    </row>
    <row r="22" spans="1:29" ht="15.75" customHeight="1">
      <c r="A22" s="555" t="s">
        <v>1076</v>
      </c>
      <c r="B22" s="26" t="s">
        <v>13</v>
      </c>
      <c r="C22" s="552" t="s">
        <v>85</v>
      </c>
      <c r="D22" s="552"/>
      <c r="E22" s="26">
        <v>54.09</v>
      </c>
      <c r="F22" s="289">
        <v>3988</v>
      </c>
      <c r="G22" s="281">
        <f t="shared" si="32"/>
        <v>215710.92</v>
      </c>
      <c r="H22" s="290" t="s">
        <v>52</v>
      </c>
      <c r="I22" s="286">
        <v>20</v>
      </c>
      <c r="J22" s="18">
        <v>2000</v>
      </c>
      <c r="K22" s="9">
        <f t="shared" si="33"/>
        <v>100</v>
      </c>
      <c r="L22" s="286">
        <v>20</v>
      </c>
      <c r="M22" s="10">
        <f t="shared" si="34"/>
        <v>1854.8837209302321</v>
      </c>
      <c r="N22" s="9">
        <f t="shared" si="22"/>
        <v>92.744186046511601</v>
      </c>
      <c r="O22" s="11">
        <f t="shared" si="35"/>
        <v>0</v>
      </c>
      <c r="P22" s="12">
        <f t="shared" si="36"/>
        <v>-7.2558139534883992</v>
      </c>
      <c r="Q22" s="282">
        <f t="shared" si="29"/>
        <v>0.92744186046511601</v>
      </c>
      <c r="R22" s="533"/>
      <c r="S22" s="24">
        <v>0.70833333333333337</v>
      </c>
      <c r="T22" s="24">
        <v>0.79791666666666672</v>
      </c>
      <c r="U22" s="281" t="str">
        <f t="shared" si="38"/>
        <v/>
      </c>
      <c r="V22" s="287">
        <f t="shared" si="37"/>
        <v>129.00000000000003</v>
      </c>
      <c r="W22" s="14"/>
      <c r="X22" s="281"/>
      <c r="Y22" s="528"/>
      <c r="Z22" s="528"/>
      <c r="AA22" s="11">
        <f t="shared" si="2"/>
        <v>-145.11627906976787</v>
      </c>
      <c r="AB22" s="282">
        <f t="shared" si="19"/>
        <v>0.92744186046511612</v>
      </c>
      <c r="AC22" s="533"/>
    </row>
    <row r="23" spans="1:29" ht="15.75" customHeight="1">
      <c r="A23" s="555" t="s">
        <v>1076</v>
      </c>
      <c r="B23" s="26" t="s">
        <v>13</v>
      </c>
      <c r="C23" s="552" t="s">
        <v>56</v>
      </c>
      <c r="D23" s="552"/>
      <c r="E23" s="26">
        <v>53.27</v>
      </c>
      <c r="F23" s="289">
        <v>620</v>
      </c>
      <c r="G23" s="281">
        <f t="shared" si="32"/>
        <v>33027.4</v>
      </c>
      <c r="H23" s="290" t="s">
        <v>52</v>
      </c>
      <c r="I23" s="286">
        <v>15</v>
      </c>
      <c r="J23" s="18">
        <v>2000</v>
      </c>
      <c r="K23" s="9">
        <f t="shared" si="33"/>
        <v>133.33333333333334</v>
      </c>
      <c r="L23" s="286">
        <v>15</v>
      </c>
      <c r="M23" s="10">
        <f t="shared" si="34"/>
        <v>1860.0000000000066</v>
      </c>
      <c r="N23" s="9">
        <f t="shared" si="22"/>
        <v>124.00000000000044</v>
      </c>
      <c r="O23" s="11">
        <f t="shared" si="35"/>
        <v>0</v>
      </c>
      <c r="P23" s="12">
        <f t="shared" si="36"/>
        <v>-9.3333333333329023</v>
      </c>
      <c r="Q23" s="282">
        <f t="shared" si="29"/>
        <v>0.93000000000000327</v>
      </c>
      <c r="R23" s="533"/>
      <c r="S23" s="24">
        <v>0.80138888888888893</v>
      </c>
      <c r="T23" s="24">
        <v>0.81527777777777777</v>
      </c>
      <c r="U23" s="281">
        <f t="shared" si="38"/>
        <v>4.9999999999999822</v>
      </c>
      <c r="V23" s="287">
        <f t="shared" si="37"/>
        <v>19.999999999999929</v>
      </c>
      <c r="W23" s="14"/>
      <c r="X23" s="15"/>
      <c r="Y23" s="528"/>
      <c r="Z23" s="528"/>
      <c r="AA23" s="11">
        <f t="shared" si="2"/>
        <v>-139.99999999999341</v>
      </c>
      <c r="AB23" s="282">
        <f t="shared" si="19"/>
        <v>0.93000000000000327</v>
      </c>
      <c r="AC23" s="533"/>
    </row>
    <row r="24" spans="1:29" ht="15.75" customHeight="1">
      <c r="A24" s="555" t="s">
        <v>1076</v>
      </c>
      <c r="B24" s="26" t="s">
        <v>1073</v>
      </c>
      <c r="C24" s="530"/>
      <c r="D24" s="530"/>
      <c r="E24" s="280"/>
      <c r="F24" s="289"/>
      <c r="G24" s="281"/>
      <c r="H24" s="289"/>
      <c r="I24" s="17">
        <v>17.166666666666668</v>
      </c>
      <c r="J24" s="18">
        <v>2000</v>
      </c>
      <c r="K24" s="9">
        <f t="shared" si="33"/>
        <v>116.50485436893203</v>
      </c>
      <c r="L24" s="17">
        <v>17.166666666666668</v>
      </c>
      <c r="M24" s="10">
        <f>AVERAGE(M18:M23)</f>
        <v>1856.86557195112</v>
      </c>
      <c r="N24" s="9">
        <f>M24/L24</f>
        <v>108.16692652142446</v>
      </c>
      <c r="O24" s="11">
        <f>L24-I24</f>
        <v>0</v>
      </c>
      <c r="P24" s="12">
        <f>N24-K24</f>
        <v>-8.3379278475075722</v>
      </c>
      <c r="Q24" s="282">
        <f>N24/K24</f>
        <v>0.92843278597556</v>
      </c>
      <c r="R24" s="533"/>
      <c r="S24" s="24"/>
      <c r="T24" s="24"/>
      <c r="U24" s="9"/>
      <c r="V24" s="287"/>
      <c r="W24" s="9"/>
      <c r="X24" s="9"/>
      <c r="Y24" s="528"/>
      <c r="Z24" s="528"/>
      <c r="AA24" s="11">
        <f t="shared" si="2"/>
        <v>-143.13442804887995</v>
      </c>
      <c r="AB24" s="282">
        <f t="shared" si="19"/>
        <v>0.92843278597556</v>
      </c>
      <c r="AC24" s="533"/>
    </row>
    <row r="25" spans="1:29" ht="15.75" customHeight="1">
      <c r="A25" s="553" t="s">
        <v>1077</v>
      </c>
      <c r="B25" s="26" t="s">
        <v>24</v>
      </c>
      <c r="C25" s="552" t="s">
        <v>26</v>
      </c>
      <c r="D25" s="552"/>
      <c r="E25" s="26">
        <v>26.2</v>
      </c>
      <c r="F25" s="289">
        <v>3804</v>
      </c>
      <c r="G25" s="281">
        <f t="shared" ref="G25:G30" si="39">E25*F25</f>
        <v>99664.8</v>
      </c>
      <c r="H25" s="290" t="s">
        <v>52</v>
      </c>
      <c r="I25" s="286">
        <v>20</v>
      </c>
      <c r="J25" s="18">
        <v>2400</v>
      </c>
      <c r="K25" s="9">
        <f>J25/I25</f>
        <v>120</v>
      </c>
      <c r="L25" s="286">
        <v>20</v>
      </c>
      <c r="M25" s="10">
        <f t="shared" ref="M25:M30" si="40">F25/V25*60</f>
        <v>2237.6470588235297</v>
      </c>
      <c r="N25" s="9">
        <f t="shared" ref="N25:N30" si="41">M25/L25</f>
        <v>111.88235294117649</v>
      </c>
      <c r="O25" s="11">
        <f t="shared" ref="O25:O30" si="42">L25-I25</f>
        <v>0</v>
      </c>
      <c r="P25" s="12">
        <f t="shared" ref="P25:P30" si="43">N25-K25</f>
        <v>-8.1176470588235077</v>
      </c>
      <c r="Q25" s="282">
        <f t="shared" ref="Q25:Q30" si="44">N25/K25</f>
        <v>0.93235294117647072</v>
      </c>
      <c r="R25" s="533">
        <f>Q31</f>
        <v>0.92907312059258995</v>
      </c>
      <c r="S25" s="24">
        <v>0.125</v>
      </c>
      <c r="T25" s="24">
        <v>0.19583333333333333</v>
      </c>
      <c r="U25" s="281"/>
      <c r="V25" s="287">
        <f t="shared" ref="V25:V30" si="45">(T25-S25)*24*60</f>
        <v>102</v>
      </c>
      <c r="W25" s="14">
        <f>T25</f>
        <v>0.19583333333333333</v>
      </c>
      <c r="X25" s="14">
        <f>S26</f>
        <v>0.21458333333333335</v>
      </c>
      <c r="Y25" s="528"/>
      <c r="Z25" s="528"/>
      <c r="AA25" s="11">
        <f t="shared" si="2"/>
        <v>-162.35294117647027</v>
      </c>
      <c r="AB25" s="282">
        <f>M25/J25</f>
        <v>0.93235294117647072</v>
      </c>
      <c r="AC25" s="533">
        <f>AB31</f>
        <v>0.92907312059259006</v>
      </c>
    </row>
    <row r="26" spans="1:29" ht="15.75" customHeight="1">
      <c r="A26" s="553" t="s">
        <v>1077</v>
      </c>
      <c r="B26" s="26" t="s">
        <v>24</v>
      </c>
      <c r="C26" s="552" t="s">
        <v>79</v>
      </c>
      <c r="D26" s="552"/>
      <c r="E26" s="26">
        <v>31.29</v>
      </c>
      <c r="F26" s="289">
        <v>3600</v>
      </c>
      <c r="G26" s="281">
        <f t="shared" si="39"/>
        <v>112644</v>
      </c>
      <c r="H26" s="290">
        <v>2</v>
      </c>
      <c r="I26" s="286">
        <v>16</v>
      </c>
      <c r="J26" s="18">
        <v>2400</v>
      </c>
      <c r="K26" s="9">
        <f t="shared" ref="K26:K31" si="46">J26/I26</f>
        <v>150</v>
      </c>
      <c r="L26" s="286">
        <v>16</v>
      </c>
      <c r="M26" s="10">
        <f t="shared" si="40"/>
        <v>2226.8041237113407</v>
      </c>
      <c r="N26" s="9">
        <f t="shared" si="41"/>
        <v>139.17525773195879</v>
      </c>
      <c r="O26" s="11">
        <f t="shared" si="42"/>
        <v>0</v>
      </c>
      <c r="P26" s="12">
        <f t="shared" si="43"/>
        <v>-10.824742268041206</v>
      </c>
      <c r="Q26" s="282">
        <f t="shared" si="44"/>
        <v>0.92783505154639201</v>
      </c>
      <c r="R26" s="533"/>
      <c r="S26" s="24">
        <v>0.21458333333333335</v>
      </c>
      <c r="T26" s="24">
        <v>0.28194444444444444</v>
      </c>
      <c r="U26" s="281">
        <f>(S26-T25)*24*60</f>
        <v>27.000000000000025</v>
      </c>
      <c r="V26" s="287">
        <f t="shared" si="45"/>
        <v>96.999999999999972</v>
      </c>
      <c r="W26" s="14"/>
      <c r="X26" s="14"/>
      <c r="Y26" s="528"/>
      <c r="Z26" s="528"/>
      <c r="AA26" s="11">
        <f t="shared" si="2"/>
        <v>-173.19587628865929</v>
      </c>
      <c r="AB26" s="282">
        <f t="shared" ref="AB26:AB30" si="47">M26/J26</f>
        <v>0.92783505154639201</v>
      </c>
      <c r="AC26" s="533"/>
    </row>
    <row r="27" spans="1:29" ht="15.75" customHeight="1">
      <c r="A27" s="553" t="s">
        <v>1077</v>
      </c>
      <c r="B27" s="26" t="s">
        <v>24</v>
      </c>
      <c r="C27" s="552" t="s">
        <v>68</v>
      </c>
      <c r="D27" s="552"/>
      <c r="E27" s="26">
        <v>24.25</v>
      </c>
      <c r="F27" s="289">
        <v>4792</v>
      </c>
      <c r="G27" s="281">
        <f t="shared" si="39"/>
        <v>116206</v>
      </c>
      <c r="H27" s="290" t="s">
        <v>52</v>
      </c>
      <c r="I27" s="286">
        <v>18</v>
      </c>
      <c r="J27" s="18">
        <v>2400</v>
      </c>
      <c r="K27" s="9">
        <f t="shared" si="46"/>
        <v>133.33333333333334</v>
      </c>
      <c r="L27" s="286">
        <v>18</v>
      </c>
      <c r="M27" s="10">
        <f t="shared" si="40"/>
        <v>2228.8372093023254</v>
      </c>
      <c r="N27" s="9">
        <f t="shared" si="41"/>
        <v>123.82428940568474</v>
      </c>
      <c r="O27" s="11">
        <f t="shared" si="42"/>
        <v>0</v>
      </c>
      <c r="P27" s="12">
        <f t="shared" si="43"/>
        <v>-9.5090439276486052</v>
      </c>
      <c r="Q27" s="282">
        <f t="shared" si="44"/>
        <v>0.92868217054263547</v>
      </c>
      <c r="R27" s="533"/>
      <c r="S27" s="24">
        <v>0.28611111111111109</v>
      </c>
      <c r="T27" s="24">
        <v>0.37569444444444444</v>
      </c>
      <c r="U27" s="281">
        <f t="shared" ref="U27:U30" si="48">(S27-T26)*24*60</f>
        <v>5.9999999999999787</v>
      </c>
      <c r="V27" s="287">
        <f t="shared" si="45"/>
        <v>129.00000000000003</v>
      </c>
      <c r="W27" s="14"/>
      <c r="X27" s="14"/>
      <c r="Y27" s="528"/>
      <c r="Z27" s="528"/>
      <c r="AA27" s="11">
        <f t="shared" si="2"/>
        <v>-171.16279069767461</v>
      </c>
      <c r="AB27" s="282">
        <f t="shared" si="47"/>
        <v>0.92868217054263558</v>
      </c>
      <c r="AC27" s="533"/>
    </row>
    <row r="28" spans="1:29" ht="15.75" customHeight="1">
      <c r="A28" s="553" t="s">
        <v>1077</v>
      </c>
      <c r="B28" s="26" t="s">
        <v>24</v>
      </c>
      <c r="C28" s="552" t="s">
        <v>328</v>
      </c>
      <c r="D28" s="552"/>
      <c r="E28" s="26">
        <v>25.98</v>
      </c>
      <c r="F28" s="289">
        <v>4712</v>
      </c>
      <c r="G28" s="281">
        <f t="shared" si="39"/>
        <v>122417.76</v>
      </c>
      <c r="H28" s="290" t="s">
        <v>52</v>
      </c>
      <c r="I28" s="286">
        <v>17</v>
      </c>
      <c r="J28" s="18">
        <v>2400</v>
      </c>
      <c r="K28" s="9">
        <f t="shared" si="46"/>
        <v>141.1764705882353</v>
      </c>
      <c r="L28" s="286">
        <v>17</v>
      </c>
      <c r="M28" s="10">
        <f t="shared" si="40"/>
        <v>2226.1417322834641</v>
      </c>
      <c r="N28" s="9">
        <f t="shared" si="41"/>
        <v>130.94951366373317</v>
      </c>
      <c r="O28" s="11">
        <f t="shared" si="42"/>
        <v>0</v>
      </c>
      <c r="P28" s="12">
        <f t="shared" si="43"/>
        <v>-10.226956924502133</v>
      </c>
      <c r="Q28" s="282">
        <f t="shared" si="44"/>
        <v>0.92755905511810988</v>
      </c>
      <c r="R28" s="533"/>
      <c r="S28" s="24">
        <v>0.38055555555555554</v>
      </c>
      <c r="T28" s="24">
        <v>0.46875</v>
      </c>
      <c r="U28" s="281">
        <f t="shared" si="48"/>
        <v>6.9999999999999751</v>
      </c>
      <c r="V28" s="287">
        <f t="shared" si="45"/>
        <v>127.00000000000003</v>
      </c>
      <c r="W28" s="14"/>
      <c r="X28" s="14"/>
      <c r="Y28" s="528"/>
      <c r="Z28" s="528"/>
      <c r="AA28" s="11">
        <f t="shared" si="2"/>
        <v>-173.85826771653592</v>
      </c>
      <c r="AB28" s="282">
        <f t="shared" si="47"/>
        <v>0.92755905511810999</v>
      </c>
      <c r="AC28" s="533"/>
    </row>
    <row r="29" spans="1:29" ht="15.75" customHeight="1">
      <c r="A29" s="553" t="s">
        <v>1077</v>
      </c>
      <c r="B29" s="26" t="s">
        <v>24</v>
      </c>
      <c r="C29" s="552" t="s">
        <v>62</v>
      </c>
      <c r="D29" s="552"/>
      <c r="E29" s="26">
        <v>22.35</v>
      </c>
      <c r="F29" s="289">
        <v>1824</v>
      </c>
      <c r="G29" s="281">
        <f t="shared" si="39"/>
        <v>40766.400000000001</v>
      </c>
      <c r="H29" s="290" t="s">
        <v>52</v>
      </c>
      <c r="I29" s="286">
        <v>16</v>
      </c>
      <c r="J29" s="18">
        <v>2400</v>
      </c>
      <c r="K29" s="9">
        <f t="shared" si="46"/>
        <v>150</v>
      </c>
      <c r="L29" s="286">
        <v>16</v>
      </c>
      <c r="M29" s="10">
        <f t="shared" si="40"/>
        <v>2233.4693877551026</v>
      </c>
      <c r="N29" s="9">
        <f t="shared" si="41"/>
        <v>139.59183673469391</v>
      </c>
      <c r="O29" s="11">
        <f t="shared" si="42"/>
        <v>0</v>
      </c>
      <c r="P29" s="12">
        <f t="shared" si="43"/>
        <v>-10.408163265306086</v>
      </c>
      <c r="Q29" s="282">
        <f t="shared" si="44"/>
        <v>0.93061224489795946</v>
      </c>
      <c r="R29" s="533"/>
      <c r="S29" s="24">
        <v>0.47222222222222221</v>
      </c>
      <c r="T29" s="24">
        <v>0.50624999999999998</v>
      </c>
      <c r="U29" s="281">
        <f t="shared" si="48"/>
        <v>4.9999999999999822</v>
      </c>
      <c r="V29" s="287">
        <f t="shared" si="45"/>
        <v>48.999999999999986</v>
      </c>
      <c r="W29" s="14">
        <f>T29</f>
        <v>0.50624999999999998</v>
      </c>
      <c r="X29" s="14">
        <f>S30</f>
        <v>0.54583333333333328</v>
      </c>
      <c r="Y29" s="528"/>
      <c r="Z29" s="528"/>
      <c r="AA29" s="11">
        <f t="shared" si="2"/>
        <v>-166.53061224489738</v>
      </c>
      <c r="AB29" s="282">
        <f t="shared" si="47"/>
        <v>0.93061224489795946</v>
      </c>
      <c r="AC29" s="533"/>
    </row>
    <row r="30" spans="1:29" ht="15.75" customHeight="1">
      <c r="A30" s="553" t="s">
        <v>1077</v>
      </c>
      <c r="B30" s="26" t="s">
        <v>24</v>
      </c>
      <c r="C30" s="552" t="s">
        <v>79</v>
      </c>
      <c r="D30" s="552"/>
      <c r="E30" s="26">
        <v>31.29</v>
      </c>
      <c r="F30" s="289">
        <v>5416</v>
      </c>
      <c r="G30" s="281">
        <f t="shared" si="39"/>
        <v>169466.63999999998</v>
      </c>
      <c r="H30" s="290" t="s">
        <v>52</v>
      </c>
      <c r="I30" s="286">
        <v>16</v>
      </c>
      <c r="J30" s="18">
        <v>2400</v>
      </c>
      <c r="K30" s="9">
        <f t="shared" si="46"/>
        <v>150</v>
      </c>
      <c r="L30" s="286">
        <v>16</v>
      </c>
      <c r="M30" s="10">
        <f t="shared" si="40"/>
        <v>2225.7534246575347</v>
      </c>
      <c r="N30" s="9">
        <f t="shared" si="41"/>
        <v>139.10958904109592</v>
      </c>
      <c r="O30" s="11">
        <f t="shared" si="42"/>
        <v>0</v>
      </c>
      <c r="P30" s="12">
        <f t="shared" si="43"/>
        <v>-10.890410958904084</v>
      </c>
      <c r="Q30" s="282">
        <f t="shared" si="44"/>
        <v>0.92739726027397273</v>
      </c>
      <c r="R30" s="533"/>
      <c r="S30" s="24">
        <v>0.54583333333333328</v>
      </c>
      <c r="T30" s="24">
        <v>0.64722222222222214</v>
      </c>
      <c r="U30" s="281">
        <f t="shared" si="48"/>
        <v>56.999999999999957</v>
      </c>
      <c r="V30" s="287">
        <f t="shared" si="45"/>
        <v>145.99999999999997</v>
      </c>
      <c r="W30" s="14"/>
      <c r="X30" s="14"/>
      <c r="Y30" s="528"/>
      <c r="Z30" s="528"/>
      <c r="AA30" s="11">
        <f t="shared" si="2"/>
        <v>-174.24657534246535</v>
      </c>
      <c r="AB30" s="282">
        <f t="shared" si="47"/>
        <v>0.92739726027397273</v>
      </c>
      <c r="AC30" s="533"/>
    </row>
    <row r="31" spans="1:29" ht="15.75" customHeight="1">
      <c r="A31" s="553" t="s">
        <v>1077</v>
      </c>
      <c r="B31" s="26" t="s">
        <v>1073</v>
      </c>
      <c r="C31" s="530"/>
      <c r="D31" s="530"/>
      <c r="E31" s="280"/>
      <c r="F31" s="289"/>
      <c r="G31" s="281"/>
      <c r="H31" s="289"/>
      <c r="I31" s="17">
        <v>17.166666666666668</v>
      </c>
      <c r="J31" s="18">
        <v>2400</v>
      </c>
      <c r="K31" s="9">
        <f t="shared" si="46"/>
        <v>139.80582524271844</v>
      </c>
      <c r="L31" s="17">
        <v>17.166666666666668</v>
      </c>
      <c r="M31" s="10">
        <f>AVERAGE(M25:M30)</f>
        <v>2229.7754894222162</v>
      </c>
      <c r="N31" s="9">
        <f>M31/L31</f>
        <v>129.88983433527471</v>
      </c>
      <c r="O31" s="11">
        <f>L31-I31</f>
        <v>0</v>
      </c>
      <c r="P31" s="12">
        <f>N31-K31</f>
        <v>-9.915990907443728</v>
      </c>
      <c r="Q31" s="282">
        <f>N31/K31</f>
        <v>0.92907312059258995</v>
      </c>
      <c r="R31" s="533"/>
      <c r="S31" s="24"/>
      <c r="T31" s="24"/>
      <c r="U31" s="281"/>
      <c r="V31" s="287"/>
      <c r="W31" s="281"/>
      <c r="X31" s="281"/>
      <c r="Y31" s="528"/>
      <c r="Z31" s="528"/>
      <c r="AA31" s="11">
        <f t="shared" si="2"/>
        <v>-170.2245105777838</v>
      </c>
      <c r="AB31" s="282">
        <f>M31/J31</f>
        <v>0.92907312059259006</v>
      </c>
      <c r="AC31" s="533"/>
    </row>
    <row r="32" spans="1:29" ht="15.75" customHeight="1">
      <c r="A32" s="550" t="s">
        <v>1078</v>
      </c>
      <c r="B32" s="26" t="s">
        <v>24</v>
      </c>
      <c r="C32" s="529" t="s">
        <v>28</v>
      </c>
      <c r="D32" s="529"/>
      <c r="E32" s="26">
        <v>26.2</v>
      </c>
      <c r="F32" s="289">
        <v>3600</v>
      </c>
      <c r="G32" s="281">
        <f t="shared" ref="G32:G40" si="49">E32*F32</f>
        <v>94320</v>
      </c>
      <c r="H32" s="290">
        <v>2</v>
      </c>
      <c r="I32" s="286">
        <v>18</v>
      </c>
      <c r="J32" s="18">
        <v>2400</v>
      </c>
      <c r="K32" s="9">
        <f>J32/I32</f>
        <v>133.33333333333334</v>
      </c>
      <c r="L32" s="286">
        <v>18</v>
      </c>
      <c r="M32" s="10">
        <f>F32/V32*60</f>
        <v>2226.8041237113403</v>
      </c>
      <c r="N32" s="9">
        <f>M32/L32</f>
        <v>123.71134020618557</v>
      </c>
      <c r="O32" s="11">
        <f t="shared" ref="O32:O40" si="50">L32-I32</f>
        <v>0</v>
      </c>
      <c r="P32" s="12">
        <f t="shared" ref="P32:P51" si="51">N32-K32</f>
        <v>-9.6219931271477748</v>
      </c>
      <c r="Q32" s="282">
        <f t="shared" ref="Q32:Q45" si="52">N32/K32</f>
        <v>0.92783505154639168</v>
      </c>
      <c r="R32" s="533">
        <f>Q41</f>
        <v>0.92917816194651082</v>
      </c>
      <c r="S32" s="24">
        <v>8.3333333333333329E-2</v>
      </c>
      <c r="T32" s="24">
        <v>0.15069444444444444</v>
      </c>
      <c r="U32" s="281"/>
      <c r="V32" s="287">
        <f t="shared" ref="V32:V40" si="53">(T32-S32)*24*60</f>
        <v>97</v>
      </c>
      <c r="W32" s="15">
        <f>T32</f>
        <v>0.15069444444444444</v>
      </c>
      <c r="X32" s="15">
        <f>S33</f>
        <v>0.17152777777777778</v>
      </c>
      <c r="Y32" s="528"/>
      <c r="Z32" s="528"/>
      <c r="AA32" s="11">
        <f t="shared" si="2"/>
        <v>-173.19587628865975</v>
      </c>
      <c r="AB32" s="282">
        <f>M32/J32</f>
        <v>0.92783505154639179</v>
      </c>
      <c r="AC32" s="533">
        <f>AB41</f>
        <v>0.92917816194651082</v>
      </c>
    </row>
    <row r="33" spans="1:29" ht="15.75" customHeight="1">
      <c r="A33" s="550" t="s">
        <v>1078</v>
      </c>
      <c r="B33" s="26" t="s">
        <v>24</v>
      </c>
      <c r="C33" s="529" t="s">
        <v>30</v>
      </c>
      <c r="D33" s="529"/>
      <c r="E33" s="26">
        <v>24.45</v>
      </c>
      <c r="F33" s="289">
        <v>2415</v>
      </c>
      <c r="G33" s="281">
        <f t="shared" si="49"/>
        <v>59046.75</v>
      </c>
      <c r="H33" s="290" t="s">
        <v>52</v>
      </c>
      <c r="I33" s="286">
        <v>20</v>
      </c>
      <c r="J33" s="18">
        <v>2400</v>
      </c>
      <c r="K33" s="9">
        <f t="shared" ref="K33:K50" si="54">J33/I33</f>
        <v>120</v>
      </c>
      <c r="L33" s="286">
        <v>20</v>
      </c>
      <c r="M33" s="10">
        <f t="shared" ref="M33:M40" si="55">F33/V33*60</f>
        <v>2229.2307692307686</v>
      </c>
      <c r="N33" s="9">
        <f t="shared" ref="N33:N40" si="56">M33/L33</f>
        <v>111.46153846153842</v>
      </c>
      <c r="O33" s="11">
        <f t="shared" si="50"/>
        <v>0</v>
      </c>
      <c r="P33" s="12">
        <f t="shared" si="51"/>
        <v>-8.5384615384615756</v>
      </c>
      <c r="Q33" s="282">
        <f t="shared" si="52"/>
        <v>0.92884615384615354</v>
      </c>
      <c r="R33" s="533"/>
      <c r="S33" s="24">
        <v>0.17152777777777778</v>
      </c>
      <c r="T33" s="24">
        <v>0.21666666666666667</v>
      </c>
      <c r="U33" s="281">
        <f>(S33-T32)*24*60</f>
        <v>30.000000000000014</v>
      </c>
      <c r="V33" s="287">
        <f t="shared" si="53"/>
        <v>65.000000000000014</v>
      </c>
      <c r="W33" s="281"/>
      <c r="X33" s="281"/>
      <c r="Y33" s="528"/>
      <c r="Z33" s="528"/>
      <c r="AA33" s="11">
        <f t="shared" si="2"/>
        <v>-170.7692307692314</v>
      </c>
      <c r="AB33" s="282">
        <f t="shared" ref="AB33:AB66" si="57">M33/J33</f>
        <v>0.92884615384615354</v>
      </c>
      <c r="AC33" s="533"/>
    </row>
    <row r="34" spans="1:29">
      <c r="A34" s="551" t="s">
        <v>1078</v>
      </c>
      <c r="B34" s="26" t="s">
        <v>24</v>
      </c>
      <c r="C34" s="529" t="s">
        <v>29</v>
      </c>
      <c r="D34" s="529"/>
      <c r="E34" s="26">
        <v>26.39</v>
      </c>
      <c r="F34" s="289">
        <v>3300</v>
      </c>
      <c r="G34" s="281">
        <f t="shared" si="49"/>
        <v>87087</v>
      </c>
      <c r="H34" s="290">
        <v>2</v>
      </c>
      <c r="I34" s="286">
        <v>19</v>
      </c>
      <c r="J34" s="18">
        <v>2400</v>
      </c>
      <c r="K34" s="9">
        <f t="shared" si="54"/>
        <v>126.31578947368421</v>
      </c>
      <c r="L34" s="286">
        <v>19</v>
      </c>
      <c r="M34" s="10">
        <f t="shared" si="55"/>
        <v>2224.7191011235964</v>
      </c>
      <c r="N34" s="9">
        <f t="shared" si="56"/>
        <v>117.09047900650508</v>
      </c>
      <c r="O34" s="11">
        <f t="shared" si="50"/>
        <v>0</v>
      </c>
      <c r="P34" s="12">
        <f t="shared" si="51"/>
        <v>-9.2253104671791277</v>
      </c>
      <c r="Q34" s="282">
        <f t="shared" si="52"/>
        <v>0.92696629213483195</v>
      </c>
      <c r="R34" s="533"/>
      <c r="S34" s="24">
        <v>0.2215277777777778</v>
      </c>
      <c r="T34" s="24">
        <v>0.28333333333333333</v>
      </c>
      <c r="U34" s="281">
        <f t="shared" ref="U34:U40" si="58">(S34-T33)*24*60</f>
        <v>7.0000000000000151</v>
      </c>
      <c r="V34" s="287">
        <f t="shared" si="53"/>
        <v>88.999999999999957</v>
      </c>
      <c r="W34" s="281"/>
      <c r="X34" s="281"/>
      <c r="Y34" s="528"/>
      <c r="Z34" s="528"/>
      <c r="AA34" s="11">
        <f t="shared" si="2"/>
        <v>-175.28089887640363</v>
      </c>
      <c r="AB34" s="282">
        <f t="shared" si="57"/>
        <v>0.92696629213483184</v>
      </c>
      <c r="AC34" s="533"/>
    </row>
    <row r="35" spans="1:29">
      <c r="A35" s="551" t="s">
        <v>1078</v>
      </c>
      <c r="B35" s="26" t="s">
        <v>24</v>
      </c>
      <c r="C35" s="529" t="s">
        <v>27</v>
      </c>
      <c r="D35" s="529"/>
      <c r="E35" s="26">
        <v>20.52</v>
      </c>
      <c r="F35" s="289">
        <v>3205</v>
      </c>
      <c r="G35" s="281">
        <f t="shared" si="49"/>
        <v>65766.600000000006</v>
      </c>
      <c r="H35" s="290" t="s">
        <v>52</v>
      </c>
      <c r="I35" s="286">
        <v>18</v>
      </c>
      <c r="J35" s="18">
        <v>2400</v>
      </c>
      <c r="K35" s="9">
        <f t="shared" si="54"/>
        <v>133.33333333333334</v>
      </c>
      <c r="L35" s="286">
        <v>18</v>
      </c>
      <c r="M35" s="10">
        <f t="shared" si="55"/>
        <v>2236.0465116279065</v>
      </c>
      <c r="N35" s="9">
        <f t="shared" si="56"/>
        <v>124.22480620155036</v>
      </c>
      <c r="O35" s="11">
        <f t="shared" si="50"/>
        <v>0</v>
      </c>
      <c r="P35" s="12">
        <f t="shared" si="51"/>
        <v>-9.1085271317829779</v>
      </c>
      <c r="Q35" s="282">
        <f t="shared" si="52"/>
        <v>0.93168604651162767</v>
      </c>
      <c r="R35" s="533"/>
      <c r="S35" s="24">
        <v>0.28680555555555554</v>
      </c>
      <c r="T35" s="24">
        <v>0.34652777777777777</v>
      </c>
      <c r="U35" s="281">
        <f t="shared" si="58"/>
        <v>4.9999999999999822</v>
      </c>
      <c r="V35" s="287">
        <f t="shared" si="53"/>
        <v>86.000000000000014</v>
      </c>
      <c r="W35" s="14"/>
      <c r="X35" s="14"/>
      <c r="Y35" s="528"/>
      <c r="Z35" s="528"/>
      <c r="AA35" s="11">
        <f t="shared" si="2"/>
        <v>-163.95348837209349</v>
      </c>
      <c r="AB35" s="282">
        <f t="shared" si="57"/>
        <v>0.93168604651162767</v>
      </c>
      <c r="AC35" s="533"/>
    </row>
    <row r="36" spans="1:29">
      <c r="A36" s="551" t="s">
        <v>1078</v>
      </c>
      <c r="B36" s="26" t="s">
        <v>24</v>
      </c>
      <c r="C36" s="529" t="s">
        <v>50</v>
      </c>
      <c r="D36" s="529"/>
      <c r="E36" s="26">
        <v>26.2</v>
      </c>
      <c r="F36" s="289">
        <v>4594</v>
      </c>
      <c r="G36" s="281">
        <f t="shared" si="49"/>
        <v>120362.8</v>
      </c>
      <c r="H36" s="290" t="s">
        <v>52</v>
      </c>
      <c r="I36" s="286">
        <v>19</v>
      </c>
      <c r="J36" s="18">
        <v>2400</v>
      </c>
      <c r="K36" s="9">
        <f t="shared" si="54"/>
        <v>126.31578947368421</v>
      </c>
      <c r="L36" s="286">
        <v>19</v>
      </c>
      <c r="M36" s="10">
        <f t="shared" si="55"/>
        <v>2222.9032258064508</v>
      </c>
      <c r="N36" s="9">
        <f t="shared" si="56"/>
        <v>116.99490662139215</v>
      </c>
      <c r="O36" s="11">
        <f t="shared" si="50"/>
        <v>0</v>
      </c>
      <c r="P36" s="12">
        <f t="shared" si="51"/>
        <v>-9.3208828522920584</v>
      </c>
      <c r="Q36" s="282">
        <f t="shared" si="52"/>
        <v>0.92620967741935456</v>
      </c>
      <c r="R36" s="533"/>
      <c r="S36" s="24">
        <v>0.35138888888888886</v>
      </c>
      <c r="T36" s="24">
        <v>0.4375</v>
      </c>
      <c r="U36" s="281">
        <f t="shared" si="58"/>
        <v>6.9999999999999751</v>
      </c>
      <c r="V36" s="287">
        <f t="shared" si="53"/>
        <v>124.00000000000004</v>
      </c>
      <c r="W36" s="14"/>
      <c r="X36" s="14"/>
      <c r="Y36" s="528"/>
      <c r="Z36" s="528"/>
      <c r="AA36" s="11">
        <f t="shared" si="2"/>
        <v>-177.09677419354921</v>
      </c>
      <c r="AB36" s="282">
        <f t="shared" si="57"/>
        <v>0.92620967741935445</v>
      </c>
      <c r="AC36" s="533"/>
    </row>
    <row r="37" spans="1:29">
      <c r="A37" s="551" t="s">
        <v>1078</v>
      </c>
      <c r="B37" s="26" t="s">
        <v>24</v>
      </c>
      <c r="C37" s="529" t="s">
        <v>1079</v>
      </c>
      <c r="D37" s="529"/>
      <c r="E37" s="26">
        <v>24.82</v>
      </c>
      <c r="F37" s="289">
        <v>4000</v>
      </c>
      <c r="G37" s="281">
        <f t="shared" si="49"/>
        <v>99280</v>
      </c>
      <c r="H37" s="290">
        <v>2</v>
      </c>
      <c r="I37" s="286">
        <v>17</v>
      </c>
      <c r="J37" s="18">
        <v>2400</v>
      </c>
      <c r="K37" s="9">
        <f t="shared" si="54"/>
        <v>141.1764705882353</v>
      </c>
      <c r="L37" s="286">
        <v>17</v>
      </c>
      <c r="M37" s="10">
        <f t="shared" si="55"/>
        <v>2222.2222222222235</v>
      </c>
      <c r="N37" s="9">
        <f t="shared" si="56"/>
        <v>130.71895424836609</v>
      </c>
      <c r="O37" s="11">
        <f t="shared" si="50"/>
        <v>0</v>
      </c>
      <c r="P37" s="12">
        <f t="shared" si="51"/>
        <v>-10.457516339869215</v>
      </c>
      <c r="Q37" s="282">
        <f t="shared" si="52"/>
        <v>0.92592592592592637</v>
      </c>
      <c r="R37" s="533"/>
      <c r="S37" s="24">
        <v>0.44236111111111109</v>
      </c>
      <c r="T37" s="24">
        <v>0.51736111111111105</v>
      </c>
      <c r="U37" s="281">
        <f t="shared" si="58"/>
        <v>6.9999999999999751</v>
      </c>
      <c r="V37" s="287">
        <f t="shared" si="53"/>
        <v>107.99999999999994</v>
      </c>
      <c r="W37" s="14">
        <f>T37</f>
        <v>0.51736111111111105</v>
      </c>
      <c r="X37" s="14">
        <f>S38</f>
        <v>0.55694444444444435</v>
      </c>
      <c r="Y37" s="528"/>
      <c r="Z37" s="528"/>
      <c r="AA37" s="11">
        <f t="shared" si="2"/>
        <v>-177.77777777777646</v>
      </c>
      <c r="AB37" s="282">
        <f t="shared" si="57"/>
        <v>0.92592592592592649</v>
      </c>
      <c r="AC37" s="533"/>
    </row>
    <row r="38" spans="1:29">
      <c r="A38" s="551" t="s">
        <v>1078</v>
      </c>
      <c r="B38" s="26" t="s">
        <v>24</v>
      </c>
      <c r="C38" s="529" t="s">
        <v>1079</v>
      </c>
      <c r="D38" s="529"/>
      <c r="E38" s="26">
        <v>24.82</v>
      </c>
      <c r="F38" s="289">
        <v>5324</v>
      </c>
      <c r="G38" s="281">
        <f t="shared" si="49"/>
        <v>132141.68</v>
      </c>
      <c r="H38" s="290" t="s">
        <v>52</v>
      </c>
      <c r="I38" s="286">
        <v>17</v>
      </c>
      <c r="J38" s="18">
        <v>2400</v>
      </c>
      <c r="K38" s="9">
        <f t="shared" si="54"/>
        <v>141.1764705882353</v>
      </c>
      <c r="L38" s="286">
        <v>17</v>
      </c>
      <c r="M38" s="10">
        <f t="shared" si="55"/>
        <v>2233.8461538461543</v>
      </c>
      <c r="N38" s="9">
        <f t="shared" si="56"/>
        <v>131.40271493212671</v>
      </c>
      <c r="O38" s="11">
        <f t="shared" si="50"/>
        <v>0</v>
      </c>
      <c r="P38" s="12">
        <f t="shared" si="51"/>
        <v>-9.773755656108591</v>
      </c>
      <c r="Q38" s="282">
        <f t="shared" si="52"/>
        <v>0.93076923076923079</v>
      </c>
      <c r="R38" s="533"/>
      <c r="S38" s="24">
        <v>0.55694444444444435</v>
      </c>
      <c r="T38" s="24">
        <v>0.65624999999999989</v>
      </c>
      <c r="U38" s="281">
        <f t="shared" si="58"/>
        <v>56.999999999999957</v>
      </c>
      <c r="V38" s="287">
        <f t="shared" si="53"/>
        <v>142.99999999999997</v>
      </c>
      <c r="W38" s="14"/>
      <c r="X38" s="14"/>
      <c r="Y38" s="536"/>
      <c r="Z38" s="537"/>
      <c r="AA38" s="11">
        <f t="shared" si="2"/>
        <v>-166.15384615384573</v>
      </c>
      <c r="AB38" s="282">
        <f t="shared" si="57"/>
        <v>0.9307692307692309</v>
      </c>
      <c r="AC38" s="533"/>
    </row>
    <row r="39" spans="1:29">
      <c r="A39" s="551" t="s">
        <v>1078</v>
      </c>
      <c r="B39" s="26" t="s">
        <v>24</v>
      </c>
      <c r="C39" s="529" t="s">
        <v>28</v>
      </c>
      <c r="D39" s="529"/>
      <c r="E39" s="26">
        <v>26.2</v>
      </c>
      <c r="F39" s="289">
        <v>2780</v>
      </c>
      <c r="G39" s="281">
        <f t="shared" si="49"/>
        <v>72836</v>
      </c>
      <c r="H39" s="290" t="s">
        <v>52</v>
      </c>
      <c r="I39" s="286">
        <v>18</v>
      </c>
      <c r="J39" s="18">
        <v>2400</v>
      </c>
      <c r="K39" s="9">
        <f t="shared" si="54"/>
        <v>133.33333333333334</v>
      </c>
      <c r="L39" s="286">
        <v>18</v>
      </c>
      <c r="M39" s="10">
        <f t="shared" si="55"/>
        <v>2223.9999999999986</v>
      </c>
      <c r="N39" s="9">
        <f t="shared" si="56"/>
        <v>123.55555555555549</v>
      </c>
      <c r="O39" s="11">
        <f t="shared" si="50"/>
        <v>0</v>
      </c>
      <c r="P39" s="12">
        <f t="shared" si="51"/>
        <v>-9.7777777777778567</v>
      </c>
      <c r="Q39" s="282">
        <f t="shared" si="52"/>
        <v>0.92666666666666608</v>
      </c>
      <c r="R39" s="533"/>
      <c r="S39" s="24">
        <v>0.66041666666666654</v>
      </c>
      <c r="T39" s="24">
        <v>0.71249999999999991</v>
      </c>
      <c r="U39" s="281">
        <f t="shared" si="58"/>
        <v>5.9999999999999787</v>
      </c>
      <c r="V39" s="287">
        <f t="shared" si="53"/>
        <v>75.000000000000057</v>
      </c>
      <c r="W39" s="14"/>
      <c r="X39" s="14"/>
      <c r="Y39" s="536"/>
      <c r="Z39" s="537"/>
      <c r="AA39" s="11">
        <f t="shared" si="2"/>
        <v>-176.00000000000136</v>
      </c>
      <c r="AB39" s="282">
        <f t="shared" si="57"/>
        <v>0.92666666666666608</v>
      </c>
      <c r="AC39" s="533"/>
    </row>
    <row r="40" spans="1:29">
      <c r="A40" s="551" t="s">
        <v>1078</v>
      </c>
      <c r="B40" s="26" t="s">
        <v>24</v>
      </c>
      <c r="C40" s="529" t="s">
        <v>29</v>
      </c>
      <c r="D40" s="529"/>
      <c r="E40" s="26">
        <v>26.39</v>
      </c>
      <c r="F40" s="289">
        <v>2363</v>
      </c>
      <c r="G40" s="281">
        <f t="shared" si="49"/>
        <v>62359.57</v>
      </c>
      <c r="H40" s="290" t="s">
        <v>52</v>
      </c>
      <c r="I40" s="286">
        <v>19</v>
      </c>
      <c r="J40" s="18">
        <v>2400</v>
      </c>
      <c r="K40" s="9">
        <f t="shared" si="54"/>
        <v>126.31578947368421</v>
      </c>
      <c r="L40" s="286">
        <v>19</v>
      </c>
      <c r="M40" s="10">
        <f t="shared" si="55"/>
        <v>2250.4761904761931</v>
      </c>
      <c r="N40" s="9">
        <f t="shared" si="56"/>
        <v>118.4461152882207</v>
      </c>
      <c r="O40" s="11">
        <f t="shared" si="50"/>
        <v>0</v>
      </c>
      <c r="P40" s="12">
        <f t="shared" si="51"/>
        <v>-7.8696741854635093</v>
      </c>
      <c r="Q40" s="282">
        <f t="shared" si="52"/>
        <v>0.93769841269841392</v>
      </c>
      <c r="R40" s="533"/>
      <c r="S40" s="24">
        <v>0.71597222222222212</v>
      </c>
      <c r="T40" s="24">
        <v>0.75972222222222208</v>
      </c>
      <c r="U40" s="281">
        <f t="shared" si="58"/>
        <v>4.9999999999999822</v>
      </c>
      <c r="V40" s="287">
        <f t="shared" si="53"/>
        <v>62.999999999999936</v>
      </c>
      <c r="W40" s="14"/>
      <c r="X40" s="14"/>
      <c r="Y40" s="536"/>
      <c r="Z40" s="537"/>
      <c r="AA40" s="11">
        <f t="shared" si="2"/>
        <v>-149.5238095238069</v>
      </c>
      <c r="AB40" s="282">
        <f t="shared" si="57"/>
        <v>0.93769841269841381</v>
      </c>
      <c r="AC40" s="533"/>
    </row>
    <row r="41" spans="1:29">
      <c r="A41" s="551" t="s">
        <v>1078</v>
      </c>
      <c r="B41" s="16" t="s">
        <v>1073</v>
      </c>
      <c r="C41" s="530"/>
      <c r="D41" s="530"/>
      <c r="E41" s="280"/>
      <c r="F41" s="16"/>
      <c r="G41" s="9"/>
      <c r="H41" s="289"/>
      <c r="I41" s="17">
        <v>18.333333333333332</v>
      </c>
      <c r="J41" s="18">
        <v>2400</v>
      </c>
      <c r="K41" s="9">
        <f t="shared" si="54"/>
        <v>130.90909090909091</v>
      </c>
      <c r="L41" s="17">
        <v>18.333333333333332</v>
      </c>
      <c r="M41" s="10">
        <f>AVERAGE(M32:M40)</f>
        <v>2230.0275886716258</v>
      </c>
      <c r="N41" s="9">
        <f>M41/L41</f>
        <v>121.63786847299778</v>
      </c>
      <c r="O41" s="11">
        <f>L41-I41</f>
        <v>0</v>
      </c>
      <c r="P41" s="12">
        <f t="shared" si="51"/>
        <v>-9.2712224360931259</v>
      </c>
      <c r="Q41" s="282">
        <f t="shared" si="52"/>
        <v>0.92917816194651082</v>
      </c>
      <c r="R41" s="533"/>
      <c r="S41" s="24"/>
      <c r="T41" s="24"/>
      <c r="U41" s="9"/>
      <c r="V41" s="287"/>
      <c r="W41" s="9"/>
      <c r="X41" s="9"/>
      <c r="Y41" s="528"/>
      <c r="Z41" s="528"/>
      <c r="AA41" s="11">
        <f t="shared" si="2"/>
        <v>-169.97241132837416</v>
      </c>
      <c r="AB41" s="282">
        <f t="shared" si="57"/>
        <v>0.92917816194651082</v>
      </c>
      <c r="AC41" s="533"/>
    </row>
    <row r="42" spans="1:29" ht="15.75" customHeight="1">
      <c r="A42" s="544" t="s">
        <v>1080</v>
      </c>
      <c r="B42" s="26" t="s">
        <v>32</v>
      </c>
      <c r="C42" s="534" t="s">
        <v>33</v>
      </c>
      <c r="D42" s="535"/>
      <c r="E42" s="26">
        <v>27.17</v>
      </c>
      <c r="F42" s="289">
        <v>2600</v>
      </c>
      <c r="G42" s="281">
        <f t="shared" ref="G42:G50" si="59">E42*F42</f>
        <v>70642</v>
      </c>
      <c r="H42" s="290">
        <v>2</v>
      </c>
      <c r="I42" s="286">
        <v>10</v>
      </c>
      <c r="J42" s="18">
        <v>3000</v>
      </c>
      <c r="K42" s="9">
        <f t="shared" si="54"/>
        <v>300</v>
      </c>
      <c r="L42" s="286">
        <v>10</v>
      </c>
      <c r="M42" s="10">
        <f t="shared" ref="M42:M43" si="60">F42/V42*60</f>
        <v>2785.7142857142858</v>
      </c>
      <c r="N42" s="10">
        <f t="shared" ref="N42:N51" si="61">M42/L42</f>
        <v>278.57142857142856</v>
      </c>
      <c r="O42" s="11">
        <f t="shared" ref="O42:O51" si="62">L42-I42</f>
        <v>0</v>
      </c>
      <c r="P42" s="12">
        <f t="shared" si="51"/>
        <v>-21.428571428571445</v>
      </c>
      <c r="Q42" s="282">
        <f t="shared" si="52"/>
        <v>0.92857142857142849</v>
      </c>
      <c r="R42" s="547">
        <f>Q51</f>
        <v>0.9322950602252843</v>
      </c>
      <c r="S42" s="24">
        <v>0.125</v>
      </c>
      <c r="T42" s="24">
        <v>0.16388888888888889</v>
      </c>
      <c r="U42" s="15"/>
      <c r="V42" s="287">
        <f t="shared" ref="V42:V50" si="63">(T42-S42)*24*60</f>
        <v>56</v>
      </c>
      <c r="W42" s="281"/>
      <c r="X42" s="281"/>
      <c r="Y42" s="536"/>
      <c r="Z42" s="537"/>
      <c r="AA42" s="11">
        <f t="shared" si="2"/>
        <v>-214.28571428571422</v>
      </c>
      <c r="AB42" s="282">
        <f t="shared" si="57"/>
        <v>0.9285714285714286</v>
      </c>
      <c r="AC42" s="547">
        <f>AB51</f>
        <v>0.9322950602252843</v>
      </c>
    </row>
    <row r="43" spans="1:29" ht="15.75" customHeight="1">
      <c r="A43" s="545" t="s">
        <v>1080</v>
      </c>
      <c r="B43" s="26" t="s">
        <v>32</v>
      </c>
      <c r="C43" s="534" t="s">
        <v>34</v>
      </c>
      <c r="D43" s="535"/>
      <c r="E43" s="26">
        <v>21.13</v>
      </c>
      <c r="F43" s="289">
        <v>5023</v>
      </c>
      <c r="G43" s="281">
        <f t="shared" si="59"/>
        <v>106135.98999999999</v>
      </c>
      <c r="H43" s="290" t="s">
        <v>52</v>
      </c>
      <c r="I43" s="286">
        <v>10</v>
      </c>
      <c r="J43" s="18">
        <v>3000</v>
      </c>
      <c r="K43" s="9">
        <f t="shared" si="54"/>
        <v>300</v>
      </c>
      <c r="L43" s="286">
        <v>10</v>
      </c>
      <c r="M43" s="10">
        <f t="shared" si="60"/>
        <v>2790.5555555555552</v>
      </c>
      <c r="N43" s="10">
        <f t="shared" si="61"/>
        <v>279.05555555555554</v>
      </c>
      <c r="O43" s="11">
        <f t="shared" si="62"/>
        <v>0</v>
      </c>
      <c r="P43" s="12">
        <f t="shared" si="51"/>
        <v>-20.944444444444457</v>
      </c>
      <c r="Q43" s="282">
        <f t="shared" si="52"/>
        <v>0.93018518518518511</v>
      </c>
      <c r="R43" s="548"/>
      <c r="S43" s="24">
        <v>0.16805555555555557</v>
      </c>
      <c r="T43" s="24">
        <v>0.24305555555555558</v>
      </c>
      <c r="U43" s="281">
        <f>(S43-T42)*24*60</f>
        <v>6.0000000000000187</v>
      </c>
      <c r="V43" s="287">
        <f t="shared" si="63"/>
        <v>108.00000000000001</v>
      </c>
      <c r="W43" s="14"/>
      <c r="X43" s="14"/>
      <c r="Y43" s="536"/>
      <c r="Z43" s="537"/>
      <c r="AA43" s="11">
        <f t="shared" si="2"/>
        <v>-209.4444444444448</v>
      </c>
      <c r="AB43" s="282">
        <f t="shared" si="57"/>
        <v>0.93018518518518511</v>
      </c>
      <c r="AC43" s="548"/>
    </row>
    <row r="44" spans="1:29" ht="15.75" customHeight="1">
      <c r="A44" s="545" t="s">
        <v>1080</v>
      </c>
      <c r="B44" s="26" t="s">
        <v>32</v>
      </c>
      <c r="C44" s="534" t="s">
        <v>40</v>
      </c>
      <c r="D44" s="535"/>
      <c r="E44" s="26">
        <v>35.119999999999997</v>
      </c>
      <c r="F44" s="289">
        <v>4972</v>
      </c>
      <c r="G44" s="281">
        <f t="shared" si="59"/>
        <v>174616.63999999998</v>
      </c>
      <c r="H44" s="290" t="s">
        <v>52</v>
      </c>
      <c r="I44" s="286">
        <v>10</v>
      </c>
      <c r="J44" s="18">
        <v>3000</v>
      </c>
      <c r="K44" s="9">
        <f t="shared" si="54"/>
        <v>300</v>
      </c>
      <c r="L44" s="286">
        <v>10</v>
      </c>
      <c r="M44" s="10">
        <f>F44/V44*60</f>
        <v>2788.0373831775705</v>
      </c>
      <c r="N44" s="10">
        <f t="shared" si="61"/>
        <v>278.80373831775705</v>
      </c>
      <c r="O44" s="11">
        <f t="shared" si="62"/>
        <v>0</v>
      </c>
      <c r="P44" s="12">
        <f t="shared" si="51"/>
        <v>-21.196261682242948</v>
      </c>
      <c r="Q44" s="282">
        <f t="shared" si="52"/>
        <v>0.92934579439252352</v>
      </c>
      <c r="R44" s="548"/>
      <c r="S44" s="24">
        <v>0.24861111111111114</v>
      </c>
      <c r="T44" s="24">
        <v>0.32291666666666669</v>
      </c>
      <c r="U44" s="281">
        <f t="shared" ref="U44:U50" si="64">(S44-T43)*24*60</f>
        <v>8.0000000000000107</v>
      </c>
      <c r="V44" s="287">
        <f t="shared" si="63"/>
        <v>106.99999999999999</v>
      </c>
      <c r="W44" s="14"/>
      <c r="X44" s="14"/>
      <c r="Y44" s="536"/>
      <c r="Z44" s="537"/>
      <c r="AA44" s="11">
        <f t="shared" si="2"/>
        <v>-211.96261682242948</v>
      </c>
      <c r="AB44" s="282">
        <f t="shared" si="57"/>
        <v>0.92934579439252352</v>
      </c>
      <c r="AC44" s="548"/>
    </row>
    <row r="45" spans="1:29" ht="15.75" customHeight="1">
      <c r="A45" s="545" t="s">
        <v>1080</v>
      </c>
      <c r="B45" s="26" t="s">
        <v>32</v>
      </c>
      <c r="C45" s="534" t="s">
        <v>61</v>
      </c>
      <c r="D45" s="535"/>
      <c r="E45" s="26">
        <v>40.18</v>
      </c>
      <c r="F45" s="289">
        <v>1930</v>
      </c>
      <c r="G45" s="281">
        <f t="shared" si="59"/>
        <v>77547.399999999994</v>
      </c>
      <c r="H45" s="290" t="s">
        <v>52</v>
      </c>
      <c r="I45" s="286">
        <v>10</v>
      </c>
      <c r="J45" s="18">
        <v>3000</v>
      </c>
      <c r="K45" s="9">
        <f t="shared" si="54"/>
        <v>300</v>
      </c>
      <c r="L45" s="286">
        <v>10</v>
      </c>
      <c r="M45" s="10">
        <f t="shared" ref="M45:M50" si="65">F45/V45*60</f>
        <v>2824.3902439024382</v>
      </c>
      <c r="N45" s="10">
        <f t="shared" si="61"/>
        <v>282.43902439024384</v>
      </c>
      <c r="O45" s="11">
        <f t="shared" si="62"/>
        <v>0</v>
      </c>
      <c r="P45" s="12">
        <f t="shared" si="51"/>
        <v>-17.560975609756156</v>
      </c>
      <c r="Q45" s="282">
        <f t="shared" si="52"/>
        <v>0.94146341463414618</v>
      </c>
      <c r="R45" s="548"/>
      <c r="S45" s="24">
        <v>0.32777777777777778</v>
      </c>
      <c r="T45" s="24">
        <v>0.35625000000000001</v>
      </c>
      <c r="U45" s="281">
        <f t="shared" si="64"/>
        <v>6.9999999999999751</v>
      </c>
      <c r="V45" s="287">
        <f t="shared" si="63"/>
        <v>41.000000000000014</v>
      </c>
      <c r="W45" s="14"/>
      <c r="X45" s="14"/>
      <c r="Y45" s="536"/>
      <c r="Z45" s="537"/>
      <c r="AA45" s="11">
        <f t="shared" si="2"/>
        <v>-175.60975609756179</v>
      </c>
      <c r="AB45" s="282">
        <f t="shared" si="57"/>
        <v>0.94146341463414607</v>
      </c>
      <c r="AC45" s="548"/>
    </row>
    <row r="46" spans="1:29" ht="15.75" customHeight="1">
      <c r="A46" s="545" t="s">
        <v>1080</v>
      </c>
      <c r="B46" s="26" t="s">
        <v>32</v>
      </c>
      <c r="C46" s="534" t="s">
        <v>64</v>
      </c>
      <c r="D46" s="535"/>
      <c r="E46" s="26">
        <v>28.5</v>
      </c>
      <c r="F46" s="289">
        <v>1168</v>
      </c>
      <c r="G46" s="281">
        <f t="shared" si="59"/>
        <v>33288</v>
      </c>
      <c r="H46" s="290" t="s">
        <v>52</v>
      </c>
      <c r="I46" s="286">
        <v>10</v>
      </c>
      <c r="J46" s="18">
        <v>3000</v>
      </c>
      <c r="K46" s="9">
        <f t="shared" si="54"/>
        <v>300</v>
      </c>
      <c r="L46" s="286">
        <v>10</v>
      </c>
      <c r="M46" s="10">
        <f t="shared" si="65"/>
        <v>2803.2000000000007</v>
      </c>
      <c r="N46" s="10">
        <f t="shared" si="61"/>
        <v>280.32000000000005</v>
      </c>
      <c r="O46" s="11">
        <f t="shared" si="62"/>
        <v>0</v>
      </c>
      <c r="P46" s="12">
        <f t="shared" si="51"/>
        <v>-19.67999999999995</v>
      </c>
      <c r="Q46" s="282">
        <f>N46/K46</f>
        <v>0.93440000000000012</v>
      </c>
      <c r="R46" s="548"/>
      <c r="S46" s="24">
        <v>0.36041666666666666</v>
      </c>
      <c r="T46" s="24">
        <v>0.37777777777777777</v>
      </c>
      <c r="U46" s="281">
        <f t="shared" si="64"/>
        <v>5.9999999999999787</v>
      </c>
      <c r="V46" s="287">
        <f t="shared" si="63"/>
        <v>24.999999999999993</v>
      </c>
      <c r="W46" s="14"/>
      <c r="X46" s="14"/>
      <c r="Y46" s="536"/>
      <c r="Z46" s="537"/>
      <c r="AA46" s="11">
        <f t="shared" si="2"/>
        <v>-196.79999999999927</v>
      </c>
      <c r="AB46" s="282">
        <f t="shared" si="57"/>
        <v>0.93440000000000023</v>
      </c>
      <c r="AC46" s="548"/>
    </row>
    <row r="47" spans="1:29" ht="15.75" customHeight="1">
      <c r="A47" s="545" t="s">
        <v>1080</v>
      </c>
      <c r="B47" s="26" t="s">
        <v>32</v>
      </c>
      <c r="C47" s="534" t="s">
        <v>78</v>
      </c>
      <c r="D47" s="535"/>
      <c r="E47" s="26">
        <v>35.869999999999997</v>
      </c>
      <c r="F47" s="289">
        <v>3466</v>
      </c>
      <c r="G47" s="281">
        <f t="shared" si="59"/>
        <v>124325.42</v>
      </c>
      <c r="H47" s="290" t="s">
        <v>52</v>
      </c>
      <c r="I47" s="286">
        <v>10</v>
      </c>
      <c r="J47" s="18">
        <v>3000</v>
      </c>
      <c r="K47" s="9">
        <f t="shared" si="54"/>
        <v>300</v>
      </c>
      <c r="L47" s="286">
        <v>10</v>
      </c>
      <c r="M47" s="10">
        <f t="shared" si="65"/>
        <v>2810.2702702702713</v>
      </c>
      <c r="N47" s="10">
        <f t="shared" si="61"/>
        <v>281.02702702702715</v>
      </c>
      <c r="O47" s="11">
        <f t="shared" si="62"/>
        <v>0</v>
      </c>
      <c r="P47" s="12">
        <f t="shared" si="51"/>
        <v>-18.972972972972855</v>
      </c>
      <c r="Q47" s="282">
        <f t="shared" ref="Q47:Q51" si="66">N47/K47</f>
        <v>0.93675675675675718</v>
      </c>
      <c r="R47" s="548"/>
      <c r="S47" s="24">
        <v>0.38124999999999998</v>
      </c>
      <c r="T47" s="24">
        <v>0.43263888888888885</v>
      </c>
      <c r="U47" s="281">
        <f t="shared" si="64"/>
        <v>4.9999999999999822</v>
      </c>
      <c r="V47" s="287">
        <f t="shared" si="63"/>
        <v>73.999999999999972</v>
      </c>
      <c r="W47" s="14"/>
      <c r="X47" s="14"/>
      <c r="Y47" s="536"/>
      <c r="Z47" s="537"/>
      <c r="AA47" s="11">
        <f t="shared" si="2"/>
        <v>-189.72972972972866</v>
      </c>
      <c r="AB47" s="282">
        <f t="shared" si="57"/>
        <v>0.93675675675675707</v>
      </c>
      <c r="AC47" s="548"/>
    </row>
    <row r="48" spans="1:29" ht="15.75" customHeight="1">
      <c r="A48" s="545" t="s">
        <v>1080</v>
      </c>
      <c r="B48" s="26" t="s">
        <v>32</v>
      </c>
      <c r="C48" s="534" t="s">
        <v>1081</v>
      </c>
      <c r="D48" s="535"/>
      <c r="E48" s="26">
        <v>34.53</v>
      </c>
      <c r="F48" s="289">
        <v>5300</v>
      </c>
      <c r="G48" s="281">
        <f t="shared" si="59"/>
        <v>183009</v>
      </c>
      <c r="H48" s="290">
        <v>2</v>
      </c>
      <c r="I48" s="286">
        <v>10</v>
      </c>
      <c r="J48" s="18">
        <v>3000</v>
      </c>
      <c r="K48" s="9">
        <f t="shared" si="54"/>
        <v>300</v>
      </c>
      <c r="L48" s="286">
        <v>10</v>
      </c>
      <c r="M48" s="10">
        <f t="shared" si="65"/>
        <v>2789.4736842105262</v>
      </c>
      <c r="N48" s="10">
        <f t="shared" si="61"/>
        <v>278.9473684210526</v>
      </c>
      <c r="O48" s="11">
        <f t="shared" si="62"/>
        <v>0</v>
      </c>
      <c r="P48" s="12">
        <f t="shared" si="51"/>
        <v>-21.052631578947398</v>
      </c>
      <c r="Q48" s="282">
        <f t="shared" si="66"/>
        <v>0.92982456140350866</v>
      </c>
      <c r="R48" s="548"/>
      <c r="S48" s="24">
        <v>0.43611111111111106</v>
      </c>
      <c r="T48" s="24">
        <v>0.51527777777777772</v>
      </c>
      <c r="U48" s="281">
        <f t="shared" si="64"/>
        <v>4.9999999999999822</v>
      </c>
      <c r="V48" s="287">
        <f t="shared" si="63"/>
        <v>114</v>
      </c>
      <c r="W48" s="14">
        <f>T48</f>
        <v>0.51527777777777772</v>
      </c>
      <c r="X48" s="14">
        <f>S49</f>
        <v>0.55486111111111103</v>
      </c>
      <c r="Y48" s="536"/>
      <c r="Z48" s="537"/>
      <c r="AA48" s="11">
        <f t="shared" si="2"/>
        <v>-210.52631578947376</v>
      </c>
      <c r="AB48" s="282">
        <f t="shared" si="57"/>
        <v>0.92982456140350878</v>
      </c>
      <c r="AC48" s="548"/>
    </row>
    <row r="49" spans="1:29" ht="15.75" customHeight="1">
      <c r="A49" s="545" t="s">
        <v>1080</v>
      </c>
      <c r="B49" s="26" t="s">
        <v>32</v>
      </c>
      <c r="C49" s="534" t="s">
        <v>33</v>
      </c>
      <c r="D49" s="535"/>
      <c r="E49" s="26">
        <v>27.17</v>
      </c>
      <c r="F49" s="289">
        <v>3818</v>
      </c>
      <c r="G49" s="281">
        <f t="shared" si="59"/>
        <v>103735.06000000001</v>
      </c>
      <c r="H49" s="290" t="s">
        <v>52</v>
      </c>
      <c r="I49" s="286">
        <v>10</v>
      </c>
      <c r="J49" s="18">
        <v>3000</v>
      </c>
      <c r="K49" s="9">
        <f t="shared" si="54"/>
        <v>300</v>
      </c>
      <c r="L49" s="286">
        <v>10</v>
      </c>
      <c r="M49" s="10">
        <f t="shared" si="65"/>
        <v>2793.6585365853653</v>
      </c>
      <c r="N49" s="10">
        <f t="shared" si="61"/>
        <v>279.36585365853654</v>
      </c>
      <c r="O49" s="11">
        <f t="shared" si="62"/>
        <v>0</v>
      </c>
      <c r="P49" s="12">
        <f t="shared" si="51"/>
        <v>-20.634146341463463</v>
      </c>
      <c r="Q49" s="282">
        <f t="shared" si="66"/>
        <v>0.93121951219512178</v>
      </c>
      <c r="R49" s="548"/>
      <c r="S49" s="24">
        <v>0.55486111111111103</v>
      </c>
      <c r="T49" s="24">
        <v>0.61180555555555549</v>
      </c>
      <c r="U49" s="281">
        <f t="shared" si="64"/>
        <v>56.999999999999957</v>
      </c>
      <c r="V49" s="287">
        <f t="shared" si="63"/>
        <v>82.000000000000028</v>
      </c>
      <c r="W49" s="14"/>
      <c r="X49" s="14"/>
      <c r="Y49" s="536"/>
      <c r="Z49" s="537"/>
      <c r="AA49" s="11">
        <f t="shared" si="2"/>
        <v>-206.34146341463475</v>
      </c>
      <c r="AB49" s="282">
        <f t="shared" si="57"/>
        <v>0.93121951219512178</v>
      </c>
      <c r="AC49" s="548"/>
    </row>
    <row r="50" spans="1:29" ht="15.75" customHeight="1">
      <c r="A50" s="545" t="s">
        <v>1080</v>
      </c>
      <c r="B50" s="26" t="s">
        <v>32</v>
      </c>
      <c r="C50" s="534" t="s">
        <v>1081</v>
      </c>
      <c r="D50" s="535"/>
      <c r="E50" s="26">
        <v>34.53</v>
      </c>
      <c r="F50" s="289">
        <v>3762</v>
      </c>
      <c r="G50" s="281">
        <f t="shared" si="59"/>
        <v>129901.86</v>
      </c>
      <c r="H50" s="290" t="s">
        <v>52</v>
      </c>
      <c r="I50" s="286">
        <v>10</v>
      </c>
      <c r="J50" s="18">
        <v>3000</v>
      </c>
      <c r="K50" s="9">
        <f t="shared" si="54"/>
        <v>300</v>
      </c>
      <c r="L50" s="286">
        <v>10</v>
      </c>
      <c r="M50" s="10">
        <f t="shared" si="65"/>
        <v>2786.6666666666656</v>
      </c>
      <c r="N50" s="10">
        <f t="shared" si="61"/>
        <v>278.66666666666657</v>
      </c>
      <c r="O50" s="11">
        <f t="shared" si="62"/>
        <v>0</v>
      </c>
      <c r="P50" s="12">
        <f t="shared" si="51"/>
        <v>-21.333333333333428</v>
      </c>
      <c r="Q50" s="282">
        <f t="shared" si="66"/>
        <v>0.92888888888888854</v>
      </c>
      <c r="R50" s="548"/>
      <c r="S50" s="24">
        <v>0.61597222222222214</v>
      </c>
      <c r="T50" s="24">
        <v>0.67222222222222217</v>
      </c>
      <c r="U50" s="281">
        <f t="shared" si="64"/>
        <v>5.9999999999999787</v>
      </c>
      <c r="V50" s="287">
        <f t="shared" si="63"/>
        <v>81.000000000000028</v>
      </c>
      <c r="W50" s="14"/>
      <c r="X50" s="14"/>
      <c r="Y50" s="536"/>
      <c r="Z50" s="537"/>
      <c r="AA50" s="11">
        <f t="shared" si="2"/>
        <v>-213.33333333333439</v>
      </c>
      <c r="AB50" s="282">
        <f t="shared" si="57"/>
        <v>0.92888888888888854</v>
      </c>
      <c r="AC50" s="548"/>
    </row>
    <row r="51" spans="1:29" ht="15.75" customHeight="1">
      <c r="A51" s="546" t="s">
        <v>1080</v>
      </c>
      <c r="B51" s="26" t="s">
        <v>1073</v>
      </c>
      <c r="C51" s="540"/>
      <c r="D51" s="541"/>
      <c r="E51" s="285"/>
      <c r="F51" s="289"/>
      <c r="G51" s="281"/>
      <c r="H51" s="289"/>
      <c r="I51" s="17">
        <v>10</v>
      </c>
      <c r="J51" s="18">
        <v>3000</v>
      </c>
      <c r="K51" s="9">
        <f>J51/I51</f>
        <v>300</v>
      </c>
      <c r="L51" s="17">
        <v>10</v>
      </c>
      <c r="M51" s="10">
        <f>AVERAGE(M42:M50)</f>
        <v>2796.885180675853</v>
      </c>
      <c r="N51" s="9">
        <f t="shared" si="61"/>
        <v>279.68851806758528</v>
      </c>
      <c r="O51" s="11">
        <f t="shared" si="62"/>
        <v>0</v>
      </c>
      <c r="P51" s="12">
        <f t="shared" si="51"/>
        <v>-20.311481932414722</v>
      </c>
      <c r="Q51" s="282">
        <f t="shared" si="66"/>
        <v>0.9322950602252843</v>
      </c>
      <c r="R51" s="549"/>
      <c r="S51" s="24"/>
      <c r="T51" s="24"/>
      <c r="U51" s="281"/>
      <c r="V51" s="287"/>
      <c r="W51" s="14"/>
      <c r="X51" s="14"/>
      <c r="Y51" s="536"/>
      <c r="Z51" s="537"/>
      <c r="AA51" s="11">
        <f t="shared" si="2"/>
        <v>-203.11481932414699</v>
      </c>
      <c r="AB51" s="282">
        <f t="shared" si="57"/>
        <v>0.9322950602252843</v>
      </c>
      <c r="AC51" s="549"/>
    </row>
    <row r="52" spans="1:29" ht="15.75" customHeight="1">
      <c r="A52" s="542" t="s">
        <v>1082</v>
      </c>
      <c r="B52" s="26" t="s">
        <v>15</v>
      </c>
      <c r="C52" s="529" t="s">
        <v>20</v>
      </c>
      <c r="D52" s="529"/>
      <c r="E52" s="26">
        <v>46</v>
      </c>
      <c r="F52" s="27">
        <v>3203</v>
      </c>
      <c r="G52" s="281">
        <f t="shared" ref="G52:G56" si="67">E52*F52</f>
        <v>147338</v>
      </c>
      <c r="H52" s="290" t="s">
        <v>52</v>
      </c>
      <c r="I52" s="286">
        <v>17</v>
      </c>
      <c r="J52" s="18">
        <v>2000</v>
      </c>
      <c r="K52" s="9">
        <f t="shared" ref="K52:K56" si="68">J52/I52</f>
        <v>117.64705882352941</v>
      </c>
      <c r="L52" s="286">
        <v>17</v>
      </c>
      <c r="M52" s="10">
        <f t="shared" ref="M52:M56" si="69">F52/V52*60</f>
        <v>1865.8252427184461</v>
      </c>
      <c r="N52" s="10">
        <f>M52/L52</f>
        <v>109.75442604226154</v>
      </c>
      <c r="O52" s="11">
        <f>L52-I52</f>
        <v>0</v>
      </c>
      <c r="P52" s="12">
        <f>N52-K52</f>
        <v>-7.8926327812678636</v>
      </c>
      <c r="Q52" s="282">
        <f>N52/K52</f>
        <v>0.93291262135922315</v>
      </c>
      <c r="R52" s="533">
        <f>Q57</f>
        <v>0.93534750950631995</v>
      </c>
      <c r="S52" s="24">
        <v>0.29166666666666669</v>
      </c>
      <c r="T52" s="24">
        <v>0.36319444444444449</v>
      </c>
      <c r="U52" s="15"/>
      <c r="V52" s="287">
        <f t="shared" ref="V52:V56" si="70">(T52-S52)*24*60</f>
        <v>103.00000000000003</v>
      </c>
      <c r="W52" s="15"/>
      <c r="X52" s="15"/>
      <c r="Y52" s="528"/>
      <c r="Z52" s="528"/>
      <c r="AA52" s="11">
        <f t="shared" si="2"/>
        <v>-134.17475728155387</v>
      </c>
      <c r="AB52" s="282">
        <f t="shared" si="57"/>
        <v>0.93291262135922304</v>
      </c>
      <c r="AC52" s="533">
        <f>AB57</f>
        <v>0.93534750950631995</v>
      </c>
    </row>
    <row r="53" spans="1:29" ht="15.75" customHeight="1">
      <c r="A53" s="542" t="s">
        <v>1082</v>
      </c>
      <c r="B53" s="26" t="s">
        <v>15</v>
      </c>
      <c r="C53" s="529" t="s">
        <v>65</v>
      </c>
      <c r="D53" s="529"/>
      <c r="E53" s="26">
        <v>46</v>
      </c>
      <c r="F53" s="27">
        <v>3417</v>
      </c>
      <c r="G53" s="281">
        <f t="shared" si="67"/>
        <v>157182</v>
      </c>
      <c r="H53" s="290" t="s">
        <v>52</v>
      </c>
      <c r="I53" s="286">
        <v>18</v>
      </c>
      <c r="J53" s="18">
        <v>2000</v>
      </c>
      <c r="K53" s="9">
        <f t="shared" si="68"/>
        <v>111.11111111111111</v>
      </c>
      <c r="L53" s="286">
        <v>18</v>
      </c>
      <c r="M53" s="10">
        <f t="shared" si="69"/>
        <v>1863.8181818181815</v>
      </c>
      <c r="N53" s="10">
        <f t="shared" ref="N53:N56" si="71">M53/L53</f>
        <v>103.54545454545453</v>
      </c>
      <c r="O53" s="11">
        <f t="shared" ref="O53:O56" si="72">L53-I53</f>
        <v>0</v>
      </c>
      <c r="P53" s="12">
        <f t="shared" ref="P53:P56" si="73">N53-K53</f>
        <v>-7.5656565656565817</v>
      </c>
      <c r="Q53" s="282">
        <f t="shared" ref="Q53:Q56" si="74">N53/K53</f>
        <v>0.9319090909090908</v>
      </c>
      <c r="R53" s="533"/>
      <c r="S53" s="24">
        <v>0.36805555555555558</v>
      </c>
      <c r="T53" s="24">
        <v>0.44444444444444448</v>
      </c>
      <c r="U53" s="281">
        <f>IF(S53=TIME(17,0,0),"",(S53-T52)*24*60)</f>
        <v>6.9999999999999751</v>
      </c>
      <c r="V53" s="287">
        <f t="shared" si="70"/>
        <v>110.00000000000001</v>
      </c>
      <c r="W53" s="14"/>
      <c r="X53" s="14"/>
      <c r="Y53" s="528"/>
      <c r="Z53" s="528"/>
      <c r="AA53" s="11">
        <f t="shared" si="2"/>
        <v>-136.18181818181847</v>
      </c>
      <c r="AB53" s="282">
        <f t="shared" si="57"/>
        <v>0.9319090909090908</v>
      </c>
      <c r="AC53" s="533"/>
    </row>
    <row r="54" spans="1:29" ht="15.75" customHeight="1">
      <c r="A54" s="542" t="s">
        <v>1082</v>
      </c>
      <c r="B54" s="26" t="s">
        <v>13</v>
      </c>
      <c r="C54" s="534" t="s">
        <v>59</v>
      </c>
      <c r="D54" s="535"/>
      <c r="E54" s="26">
        <v>55.56</v>
      </c>
      <c r="F54" s="27">
        <v>2281</v>
      </c>
      <c r="G54" s="281">
        <f t="shared" si="67"/>
        <v>126732.36</v>
      </c>
      <c r="H54" s="290" t="s">
        <v>52</v>
      </c>
      <c r="I54" s="286">
        <v>17</v>
      </c>
      <c r="J54" s="18">
        <v>2000</v>
      </c>
      <c r="K54" s="9">
        <f t="shared" si="68"/>
        <v>117.64705882352941</v>
      </c>
      <c r="L54" s="286">
        <v>17</v>
      </c>
      <c r="M54" s="10">
        <f t="shared" si="69"/>
        <v>1874.7945205479436</v>
      </c>
      <c r="N54" s="10">
        <f t="shared" si="71"/>
        <v>110.28203062046727</v>
      </c>
      <c r="O54" s="11">
        <f t="shared" si="72"/>
        <v>0</v>
      </c>
      <c r="P54" s="12">
        <f t="shared" si="73"/>
        <v>-7.3650282030621383</v>
      </c>
      <c r="Q54" s="282">
        <f t="shared" si="74"/>
        <v>0.93739726027397186</v>
      </c>
      <c r="R54" s="533"/>
      <c r="S54" s="24">
        <v>0.70833333333333337</v>
      </c>
      <c r="T54" s="24">
        <v>0.75902777777777786</v>
      </c>
      <c r="U54" s="281" t="str">
        <f t="shared" ref="U54:U56" si="75">IF(S54=TIME(17,0,0),"",(S54-T53)*24*60)</f>
        <v/>
      </c>
      <c r="V54" s="287">
        <f t="shared" si="70"/>
        <v>73.000000000000057</v>
      </c>
      <c r="W54" s="14"/>
      <c r="X54" s="14"/>
      <c r="Y54" s="278"/>
      <c r="Z54" s="279"/>
      <c r="AA54" s="11">
        <f t="shared" si="2"/>
        <v>-125.20547945205635</v>
      </c>
      <c r="AB54" s="282">
        <f t="shared" si="57"/>
        <v>0.93739726027397186</v>
      </c>
      <c r="AC54" s="533"/>
    </row>
    <row r="55" spans="1:29" ht="15.75" customHeight="1">
      <c r="A55" s="542" t="s">
        <v>1082</v>
      </c>
      <c r="B55" s="26" t="s">
        <v>13</v>
      </c>
      <c r="C55" s="283" t="s">
        <v>58</v>
      </c>
      <c r="D55" s="284"/>
      <c r="E55" s="26">
        <v>55.32</v>
      </c>
      <c r="F55" s="27">
        <v>1813</v>
      </c>
      <c r="G55" s="281">
        <f t="shared" si="67"/>
        <v>100295.16</v>
      </c>
      <c r="H55" s="290" t="s">
        <v>52</v>
      </c>
      <c r="I55" s="286">
        <v>15</v>
      </c>
      <c r="J55" s="18">
        <v>2000</v>
      </c>
      <c r="K55" s="9">
        <f t="shared" si="68"/>
        <v>133.33333333333334</v>
      </c>
      <c r="L55" s="286">
        <v>15</v>
      </c>
      <c r="M55" s="10">
        <f t="shared" si="69"/>
        <v>1875.5172413793118</v>
      </c>
      <c r="N55" s="10">
        <f t="shared" si="71"/>
        <v>125.03448275862078</v>
      </c>
      <c r="O55" s="11">
        <f t="shared" si="72"/>
        <v>0</v>
      </c>
      <c r="P55" s="12">
        <f t="shared" si="73"/>
        <v>-8.29885057471256</v>
      </c>
      <c r="Q55" s="282">
        <f t="shared" si="74"/>
        <v>0.93775862068965576</v>
      </c>
      <c r="R55" s="533"/>
      <c r="S55" s="24">
        <v>0.76250000000000007</v>
      </c>
      <c r="T55" s="24">
        <v>0.80277777777777781</v>
      </c>
      <c r="U55" s="281">
        <f t="shared" si="75"/>
        <v>4.9999999999999822</v>
      </c>
      <c r="V55" s="287">
        <f t="shared" si="70"/>
        <v>57.999999999999957</v>
      </c>
      <c r="W55" s="14"/>
      <c r="X55" s="14"/>
      <c r="Y55" s="278"/>
      <c r="Z55" s="279"/>
      <c r="AA55" s="11">
        <f t="shared" si="2"/>
        <v>-124.48275862068817</v>
      </c>
      <c r="AB55" s="282">
        <f t="shared" si="57"/>
        <v>0.93775862068965588</v>
      </c>
      <c r="AC55" s="533"/>
    </row>
    <row r="56" spans="1:29" ht="15.75" customHeight="1">
      <c r="A56" s="542" t="s">
        <v>1082</v>
      </c>
      <c r="B56" s="26" t="s">
        <v>13</v>
      </c>
      <c r="C56" s="283" t="s">
        <v>60</v>
      </c>
      <c r="D56" s="284"/>
      <c r="E56" s="26">
        <v>57.73</v>
      </c>
      <c r="F56" s="27">
        <v>1523</v>
      </c>
      <c r="G56" s="281">
        <f t="shared" si="67"/>
        <v>87922.79</v>
      </c>
      <c r="H56" s="290" t="s">
        <v>52</v>
      </c>
      <c r="I56" s="286">
        <v>16</v>
      </c>
      <c r="J56" s="18">
        <v>1500</v>
      </c>
      <c r="K56" s="9">
        <f t="shared" si="68"/>
        <v>93.75</v>
      </c>
      <c r="L56" s="286">
        <v>16</v>
      </c>
      <c r="M56" s="10">
        <f t="shared" si="69"/>
        <v>1405.8461538461554</v>
      </c>
      <c r="N56" s="10">
        <f t="shared" si="71"/>
        <v>87.865384615384713</v>
      </c>
      <c r="O56" s="11">
        <f t="shared" si="72"/>
        <v>0</v>
      </c>
      <c r="P56" s="12">
        <f t="shared" si="73"/>
        <v>-5.8846153846152873</v>
      </c>
      <c r="Q56" s="282">
        <f t="shared" si="74"/>
        <v>0.93723076923077031</v>
      </c>
      <c r="R56" s="533"/>
      <c r="S56" s="24">
        <v>0.80833333333333335</v>
      </c>
      <c r="T56" s="24">
        <v>0.85347222222222219</v>
      </c>
      <c r="U56" s="281">
        <f t="shared" si="75"/>
        <v>7.9999999999999716</v>
      </c>
      <c r="V56" s="287">
        <f t="shared" si="70"/>
        <v>64.999999999999929</v>
      </c>
      <c r="W56" s="14"/>
      <c r="X56" s="14"/>
      <c r="Y56" s="278"/>
      <c r="Z56" s="279"/>
      <c r="AA56" s="11">
        <f t="shared" si="2"/>
        <v>-94.153846153844597</v>
      </c>
      <c r="AB56" s="282">
        <f t="shared" si="57"/>
        <v>0.93723076923077031</v>
      </c>
      <c r="AC56" s="533"/>
    </row>
    <row r="57" spans="1:29">
      <c r="A57" s="543" t="s">
        <v>1082</v>
      </c>
      <c r="B57" s="26" t="s">
        <v>1073</v>
      </c>
      <c r="C57" s="530"/>
      <c r="D57" s="530"/>
      <c r="E57" s="280"/>
      <c r="F57" s="16"/>
      <c r="G57" s="9"/>
      <c r="H57" s="289"/>
      <c r="I57" s="17">
        <v>16.600000000000001</v>
      </c>
      <c r="J57" s="18">
        <v>1900</v>
      </c>
      <c r="K57" s="9">
        <f>J57/I57</f>
        <v>114.4578313253012</v>
      </c>
      <c r="L57" s="17">
        <v>16.600000000000001</v>
      </c>
      <c r="M57" s="10">
        <f>AVERAGE(M52:M56)</f>
        <v>1777.1602680620078</v>
      </c>
      <c r="N57" s="9">
        <f>M57/L57</f>
        <v>107.05784747361493</v>
      </c>
      <c r="O57" s="11">
        <f>L57-I57</f>
        <v>0</v>
      </c>
      <c r="P57" s="12">
        <f>N57-K57</f>
        <v>-7.3999838516862724</v>
      </c>
      <c r="Q57" s="282">
        <f>N57/K57</f>
        <v>0.93534750950631995</v>
      </c>
      <c r="R57" s="533"/>
      <c r="S57" s="25"/>
      <c r="T57" s="24"/>
      <c r="U57" s="9"/>
      <c r="V57" s="287"/>
      <c r="W57" s="9"/>
      <c r="X57" s="9"/>
      <c r="Y57" s="528"/>
      <c r="Z57" s="528"/>
      <c r="AA57" s="11">
        <f t="shared" si="2"/>
        <v>-122.83973193799216</v>
      </c>
      <c r="AB57" s="282">
        <f t="shared" si="57"/>
        <v>0.93534750950631995</v>
      </c>
      <c r="AC57" s="533"/>
    </row>
    <row r="58" spans="1:29" ht="15.75" customHeight="1">
      <c r="A58" s="538" t="s">
        <v>1083</v>
      </c>
      <c r="B58" s="289" t="s">
        <v>1547</v>
      </c>
      <c r="C58" s="529" t="s">
        <v>1084</v>
      </c>
      <c r="D58" s="529"/>
      <c r="E58" s="26">
        <v>80.569999999999993</v>
      </c>
      <c r="F58" s="27">
        <v>5000</v>
      </c>
      <c r="G58" s="281">
        <f t="shared" ref="G58:G65" si="76">E58*F58</f>
        <v>402849.99999999994</v>
      </c>
      <c r="H58" s="290">
        <v>2</v>
      </c>
      <c r="I58" s="286">
        <v>17</v>
      </c>
      <c r="J58" s="18">
        <v>2400</v>
      </c>
      <c r="K58" s="9">
        <f t="shared" ref="K58:K65" si="77">J58/I58</f>
        <v>141.1764705882353</v>
      </c>
      <c r="L58" s="17">
        <v>17</v>
      </c>
      <c r="M58" s="10">
        <f t="shared" ref="M58:M65" si="78">F58/V58*60</f>
        <v>2222.2222222222222</v>
      </c>
      <c r="N58" s="9">
        <f>M58/L58</f>
        <v>130.718954248366</v>
      </c>
      <c r="O58" s="11">
        <f t="shared" ref="O58:O65" si="79">L58-I58</f>
        <v>0</v>
      </c>
      <c r="P58" s="12">
        <f t="shared" ref="P58:P65" si="80">N58-K58</f>
        <v>-10.457516339869301</v>
      </c>
      <c r="Q58" s="282">
        <f>N58/K58</f>
        <v>0.92592592592592582</v>
      </c>
      <c r="R58" s="533">
        <f>Q66</f>
        <v>0.92980096277384139</v>
      </c>
      <c r="S58" s="24">
        <v>0.125</v>
      </c>
      <c r="T58" s="24">
        <v>0.21875</v>
      </c>
      <c r="U58" s="281"/>
      <c r="V58" s="287">
        <f t="shared" ref="V58:V65" si="81">(T58-S58)*24*60</f>
        <v>135</v>
      </c>
      <c r="W58" s="15"/>
      <c r="X58" s="15"/>
      <c r="Y58" s="528"/>
      <c r="Z58" s="528"/>
      <c r="AA58" s="11">
        <f t="shared" si="2"/>
        <v>-177.77777777777783</v>
      </c>
      <c r="AB58" s="282">
        <f t="shared" si="57"/>
        <v>0.92592592592592593</v>
      </c>
      <c r="AC58" s="533">
        <f>AB66</f>
        <v>0.92980096277384128</v>
      </c>
    </row>
    <row r="59" spans="1:29" ht="15.75" customHeight="1">
      <c r="A59" s="538" t="s">
        <v>1083</v>
      </c>
      <c r="B59" s="289" t="s">
        <v>32</v>
      </c>
      <c r="C59" s="529" t="s">
        <v>35</v>
      </c>
      <c r="D59" s="529"/>
      <c r="E59" s="26">
        <v>26.78</v>
      </c>
      <c r="F59" s="27">
        <v>2517</v>
      </c>
      <c r="G59" s="281">
        <f t="shared" si="76"/>
        <v>67405.260000000009</v>
      </c>
      <c r="H59" s="290" t="s">
        <v>52</v>
      </c>
      <c r="I59" s="286">
        <v>10</v>
      </c>
      <c r="J59" s="18">
        <v>3000</v>
      </c>
      <c r="K59" s="9">
        <f t="shared" si="77"/>
        <v>300</v>
      </c>
      <c r="L59" s="17">
        <v>10</v>
      </c>
      <c r="M59" s="10">
        <f t="shared" si="78"/>
        <v>2796.6666666666683</v>
      </c>
      <c r="N59" s="9">
        <f t="shared" ref="N59:N65" si="82">M59/L59</f>
        <v>279.66666666666686</v>
      </c>
      <c r="O59" s="11">
        <f t="shared" si="79"/>
        <v>0</v>
      </c>
      <c r="P59" s="12">
        <f t="shared" si="80"/>
        <v>-20.333333333333144</v>
      </c>
      <c r="Q59" s="282">
        <f t="shared" ref="Q59:Q65" si="83">N59/K59</f>
        <v>0.93222222222222284</v>
      </c>
      <c r="R59" s="533"/>
      <c r="S59" s="24">
        <v>0.22222222222222221</v>
      </c>
      <c r="T59" s="24">
        <v>0.25972222222222219</v>
      </c>
      <c r="U59" s="281">
        <f>(S59-T58)*24*60</f>
        <v>4.9999999999999822</v>
      </c>
      <c r="V59" s="287">
        <f t="shared" si="81"/>
        <v>53.999999999999972</v>
      </c>
      <c r="W59" s="281"/>
      <c r="X59" s="281"/>
      <c r="Y59" s="528"/>
      <c r="Z59" s="528"/>
      <c r="AA59" s="11">
        <f t="shared" si="2"/>
        <v>-203.33333333333167</v>
      </c>
      <c r="AB59" s="282">
        <f t="shared" si="57"/>
        <v>0.93222222222222273</v>
      </c>
      <c r="AC59" s="533"/>
    </row>
    <row r="60" spans="1:29" ht="15.75" customHeight="1">
      <c r="A60" s="538" t="s">
        <v>1083</v>
      </c>
      <c r="B60" s="289" t="s">
        <v>32</v>
      </c>
      <c r="C60" s="529" t="s">
        <v>39</v>
      </c>
      <c r="D60" s="529"/>
      <c r="E60" s="26">
        <v>35.369999999999997</v>
      </c>
      <c r="F60" s="27">
        <v>1676</v>
      </c>
      <c r="G60" s="281">
        <f t="shared" si="76"/>
        <v>59280.119999999995</v>
      </c>
      <c r="H60" s="290" t="s">
        <v>52</v>
      </c>
      <c r="I60" s="286">
        <v>10</v>
      </c>
      <c r="J60" s="18">
        <v>3000</v>
      </c>
      <c r="K60" s="9">
        <f t="shared" si="77"/>
        <v>300</v>
      </c>
      <c r="L60" s="17">
        <v>10</v>
      </c>
      <c r="M60" s="10">
        <f t="shared" si="78"/>
        <v>2793.3333333333312</v>
      </c>
      <c r="N60" s="9">
        <f t="shared" si="82"/>
        <v>279.33333333333314</v>
      </c>
      <c r="O60" s="11">
        <f t="shared" si="79"/>
        <v>0</v>
      </c>
      <c r="P60" s="12">
        <f t="shared" si="80"/>
        <v>-20.666666666666856</v>
      </c>
      <c r="Q60" s="282">
        <f t="shared" si="83"/>
        <v>0.93111111111111045</v>
      </c>
      <c r="R60" s="533"/>
      <c r="S60" s="24">
        <v>0.2631944444444444</v>
      </c>
      <c r="T60" s="24">
        <v>0.28819444444444442</v>
      </c>
      <c r="U60" s="281">
        <f t="shared" ref="U60:U65" si="84">(S60-T59)*24*60</f>
        <v>4.9999999999999822</v>
      </c>
      <c r="V60" s="287">
        <f t="shared" si="81"/>
        <v>36.000000000000028</v>
      </c>
      <c r="W60" s="281"/>
      <c r="X60" s="281"/>
      <c r="Y60" s="528"/>
      <c r="Z60" s="528"/>
      <c r="AA60" s="11">
        <f t="shared" si="2"/>
        <v>-206.66666666666879</v>
      </c>
      <c r="AB60" s="282">
        <f t="shared" si="57"/>
        <v>0.93111111111111045</v>
      </c>
      <c r="AC60" s="533"/>
    </row>
    <row r="61" spans="1:29" ht="15.75" customHeight="1">
      <c r="A61" s="538" t="s">
        <v>1083</v>
      </c>
      <c r="B61" s="289" t="s">
        <v>32</v>
      </c>
      <c r="C61" s="529" t="s">
        <v>38</v>
      </c>
      <c r="D61" s="529"/>
      <c r="E61" s="26">
        <v>34.35</v>
      </c>
      <c r="F61" s="27">
        <v>1634</v>
      </c>
      <c r="G61" s="281">
        <f t="shared" si="76"/>
        <v>56127.9</v>
      </c>
      <c r="H61" s="290" t="s">
        <v>52</v>
      </c>
      <c r="I61" s="286">
        <v>10</v>
      </c>
      <c r="J61" s="18">
        <v>3000</v>
      </c>
      <c r="K61" s="9">
        <f t="shared" si="77"/>
        <v>300</v>
      </c>
      <c r="L61" s="17">
        <v>10</v>
      </c>
      <c r="M61" s="10">
        <f t="shared" si="78"/>
        <v>2801.1428571428546</v>
      </c>
      <c r="N61" s="9">
        <f t="shared" si="82"/>
        <v>280.11428571428547</v>
      </c>
      <c r="O61" s="11">
        <f t="shared" si="79"/>
        <v>0</v>
      </c>
      <c r="P61" s="12">
        <f t="shared" si="80"/>
        <v>-19.885714285714528</v>
      </c>
      <c r="Q61" s="282">
        <f t="shared" si="83"/>
        <v>0.93371428571428494</v>
      </c>
      <c r="R61" s="533"/>
      <c r="S61" s="24">
        <v>0.29305555555555551</v>
      </c>
      <c r="T61" s="24">
        <v>0.31736111111111109</v>
      </c>
      <c r="U61" s="281">
        <f t="shared" si="84"/>
        <v>6.9999999999999751</v>
      </c>
      <c r="V61" s="287">
        <f t="shared" si="81"/>
        <v>35.000000000000036</v>
      </c>
      <c r="W61" s="281"/>
      <c r="X61" s="281"/>
      <c r="Y61" s="528"/>
      <c r="Z61" s="528"/>
      <c r="AA61" s="11">
        <f t="shared" si="2"/>
        <v>-198.85714285714539</v>
      </c>
      <c r="AB61" s="282">
        <f t="shared" si="57"/>
        <v>0.93371428571428483</v>
      </c>
      <c r="AC61" s="533"/>
    </row>
    <row r="62" spans="1:29">
      <c r="A62" s="539" t="s">
        <v>1083</v>
      </c>
      <c r="B62" s="289" t="s">
        <v>15</v>
      </c>
      <c r="C62" s="529" t="s">
        <v>36</v>
      </c>
      <c r="D62" s="529"/>
      <c r="E62" s="26">
        <v>26.97</v>
      </c>
      <c r="F62" s="27">
        <v>3323</v>
      </c>
      <c r="G62" s="281">
        <f t="shared" si="76"/>
        <v>89621.31</v>
      </c>
      <c r="H62" s="290" t="s">
        <v>52</v>
      </c>
      <c r="I62" s="286">
        <v>8</v>
      </c>
      <c r="J62" s="18">
        <v>1500</v>
      </c>
      <c r="K62" s="9">
        <f t="shared" si="77"/>
        <v>187.5</v>
      </c>
      <c r="L62" s="17">
        <v>8</v>
      </c>
      <c r="M62" s="10">
        <f t="shared" si="78"/>
        <v>1394.2657342657346</v>
      </c>
      <c r="N62" s="9">
        <f t="shared" si="82"/>
        <v>174.28321678321683</v>
      </c>
      <c r="O62" s="11">
        <f t="shared" si="79"/>
        <v>0</v>
      </c>
      <c r="P62" s="12">
        <f t="shared" si="80"/>
        <v>-13.21678321678317</v>
      </c>
      <c r="Q62" s="282">
        <f t="shared" si="83"/>
        <v>0.92951048951048976</v>
      </c>
      <c r="R62" s="533"/>
      <c r="S62" s="24">
        <v>0.32291666666666663</v>
      </c>
      <c r="T62" s="24">
        <v>0.42222222222222217</v>
      </c>
      <c r="U62" s="281">
        <f t="shared" si="84"/>
        <v>7.9999999999999716</v>
      </c>
      <c r="V62" s="287">
        <f t="shared" si="81"/>
        <v>142.99999999999997</v>
      </c>
      <c r="W62" s="14"/>
      <c r="X62" s="14"/>
      <c r="Y62" s="528"/>
      <c r="Z62" s="528"/>
      <c r="AA62" s="11">
        <f t="shared" si="2"/>
        <v>-105.73426573426536</v>
      </c>
      <c r="AB62" s="282">
        <f t="shared" si="57"/>
        <v>0.92951048951048976</v>
      </c>
      <c r="AC62" s="533"/>
    </row>
    <row r="63" spans="1:29" ht="15" customHeight="1">
      <c r="A63" s="539" t="s">
        <v>1083</v>
      </c>
      <c r="B63" s="289" t="s">
        <v>32</v>
      </c>
      <c r="C63" s="534" t="s">
        <v>37</v>
      </c>
      <c r="D63" s="535"/>
      <c r="E63" s="26">
        <v>35.119999999999997</v>
      </c>
      <c r="F63" s="27">
        <v>1359</v>
      </c>
      <c r="G63" s="281">
        <f t="shared" si="76"/>
        <v>47728.079999999994</v>
      </c>
      <c r="H63" s="290" t="s">
        <v>52</v>
      </c>
      <c r="I63" s="286">
        <v>13</v>
      </c>
      <c r="J63" s="18">
        <v>2000</v>
      </c>
      <c r="K63" s="9">
        <f t="shared" si="77"/>
        <v>153.84615384615384</v>
      </c>
      <c r="L63" s="17">
        <v>13</v>
      </c>
      <c r="M63" s="10">
        <f t="shared" si="78"/>
        <v>1853.1818181818182</v>
      </c>
      <c r="N63" s="9">
        <f t="shared" si="82"/>
        <v>142.55244755244755</v>
      </c>
      <c r="O63" s="11">
        <f t="shared" si="79"/>
        <v>0</v>
      </c>
      <c r="P63" s="12">
        <f t="shared" si="80"/>
        <v>-11.293706293706293</v>
      </c>
      <c r="Q63" s="282">
        <f t="shared" si="83"/>
        <v>0.92659090909090913</v>
      </c>
      <c r="R63" s="533"/>
      <c r="S63" s="24">
        <v>0.4277777777777777</v>
      </c>
      <c r="T63" s="24">
        <v>0.45833333333333326</v>
      </c>
      <c r="U63" s="281">
        <f t="shared" si="84"/>
        <v>7.9999999999999716</v>
      </c>
      <c r="V63" s="287">
        <f t="shared" si="81"/>
        <v>44</v>
      </c>
      <c r="W63" s="281"/>
      <c r="X63" s="281"/>
      <c r="Y63" s="536"/>
      <c r="Z63" s="537"/>
      <c r="AA63" s="11">
        <f t="shared" si="2"/>
        <v>-146.81818181818176</v>
      </c>
      <c r="AB63" s="282">
        <f t="shared" si="57"/>
        <v>0.92659090909090913</v>
      </c>
      <c r="AC63" s="533"/>
    </row>
    <row r="64" spans="1:29">
      <c r="A64" s="539" t="s">
        <v>1083</v>
      </c>
      <c r="B64" s="289" t="s">
        <v>32</v>
      </c>
      <c r="C64" s="283" t="s">
        <v>84</v>
      </c>
      <c r="D64" s="284"/>
      <c r="E64" s="26">
        <v>35.869999999999997</v>
      </c>
      <c r="F64" s="27">
        <v>3114</v>
      </c>
      <c r="G64" s="281">
        <f t="shared" si="76"/>
        <v>111699.18</v>
      </c>
      <c r="H64" s="290" t="s">
        <v>52</v>
      </c>
      <c r="I64" s="286">
        <v>10</v>
      </c>
      <c r="J64" s="18">
        <v>3000</v>
      </c>
      <c r="K64" s="9">
        <f t="shared" si="77"/>
        <v>300</v>
      </c>
      <c r="L64" s="17">
        <v>10</v>
      </c>
      <c r="M64" s="10">
        <f t="shared" si="78"/>
        <v>2788.6567164179141</v>
      </c>
      <c r="N64" s="9">
        <f t="shared" si="82"/>
        <v>278.86567164179144</v>
      </c>
      <c r="O64" s="11">
        <f t="shared" si="79"/>
        <v>0</v>
      </c>
      <c r="P64" s="12">
        <f t="shared" si="80"/>
        <v>-21.134328358208563</v>
      </c>
      <c r="Q64" s="282">
        <f t="shared" si="83"/>
        <v>0.92955223880597149</v>
      </c>
      <c r="R64" s="533"/>
      <c r="S64" s="24">
        <v>0.4638888888888888</v>
      </c>
      <c r="T64" s="24">
        <v>0.51041666666666652</v>
      </c>
      <c r="U64" s="281">
        <f t="shared" si="84"/>
        <v>7.9999999999999716</v>
      </c>
      <c r="V64" s="287">
        <f t="shared" si="81"/>
        <v>66.999999999999915</v>
      </c>
      <c r="W64" s="14">
        <f>T64</f>
        <v>0.51041666666666652</v>
      </c>
      <c r="X64" s="14">
        <f>S65</f>
        <v>0.55069444444444426</v>
      </c>
      <c r="Y64" s="278"/>
      <c r="Z64" s="279"/>
      <c r="AA64" s="11">
        <f t="shared" si="2"/>
        <v>-211.34328358208586</v>
      </c>
      <c r="AB64" s="282">
        <f t="shared" si="57"/>
        <v>0.92955223880597138</v>
      </c>
      <c r="AC64" s="533"/>
    </row>
    <row r="65" spans="1:29">
      <c r="A65" s="539" t="s">
        <v>1083</v>
      </c>
      <c r="B65" s="404" t="s">
        <v>1549</v>
      </c>
      <c r="C65" s="283" t="s">
        <v>1084</v>
      </c>
      <c r="D65" s="284"/>
      <c r="E65" s="26">
        <v>80.569999999999993</v>
      </c>
      <c r="F65" s="27">
        <v>5675</v>
      </c>
      <c r="G65" s="281">
        <f t="shared" si="76"/>
        <v>457234.74999999994</v>
      </c>
      <c r="H65" s="290" t="s">
        <v>52</v>
      </c>
      <c r="I65" s="286">
        <v>17</v>
      </c>
      <c r="J65" s="18">
        <v>2400</v>
      </c>
      <c r="K65" s="9">
        <f t="shared" si="77"/>
        <v>141.1764705882353</v>
      </c>
      <c r="L65" s="17">
        <v>17</v>
      </c>
      <c r="M65" s="10">
        <f t="shared" si="78"/>
        <v>2225.4901960784323</v>
      </c>
      <c r="N65" s="9">
        <f t="shared" si="82"/>
        <v>130.91118800461368</v>
      </c>
      <c r="O65" s="11">
        <f t="shared" si="79"/>
        <v>0</v>
      </c>
      <c r="P65" s="12">
        <f t="shared" si="80"/>
        <v>-10.265282583621627</v>
      </c>
      <c r="Q65" s="282">
        <f t="shared" si="83"/>
        <v>0.92728758169934677</v>
      </c>
      <c r="R65" s="533"/>
      <c r="S65" s="24">
        <v>0.55069444444444426</v>
      </c>
      <c r="T65" s="24">
        <v>0.65694444444444422</v>
      </c>
      <c r="U65" s="281">
        <f t="shared" si="84"/>
        <v>57.999999999999957</v>
      </c>
      <c r="V65" s="287">
        <f t="shared" si="81"/>
        <v>152.99999999999994</v>
      </c>
      <c r="W65" s="14"/>
      <c r="X65" s="14"/>
      <c r="Y65" s="536"/>
      <c r="Z65" s="537"/>
      <c r="AA65" s="11">
        <f t="shared" si="2"/>
        <v>-174.50980392156771</v>
      </c>
      <c r="AB65" s="282">
        <f t="shared" si="57"/>
        <v>0.92728758169934677</v>
      </c>
      <c r="AC65" s="533"/>
    </row>
    <row r="66" spans="1:29">
      <c r="A66" s="539" t="s">
        <v>1083</v>
      </c>
      <c r="B66" s="26" t="s">
        <v>1073</v>
      </c>
      <c r="C66" s="530"/>
      <c r="D66" s="530"/>
      <c r="E66" s="280"/>
      <c r="F66" s="16"/>
      <c r="G66" s="9"/>
      <c r="H66" s="289"/>
      <c r="I66" s="17">
        <v>11.875</v>
      </c>
      <c r="J66" s="18">
        <v>2537.5</v>
      </c>
      <c r="K66" s="9">
        <f>J66/I66</f>
        <v>213.68421052631578</v>
      </c>
      <c r="L66" s="17">
        <v>11.875</v>
      </c>
      <c r="M66" s="10">
        <f>AVERAGE(M58:M65)</f>
        <v>2359.3699430386223</v>
      </c>
      <c r="N66" s="9">
        <f>M66/L66</f>
        <v>198.68378467693663</v>
      </c>
      <c r="O66" s="11">
        <f>L66-I66</f>
        <v>0</v>
      </c>
      <c r="P66" s="12">
        <f>N66-K66</f>
        <v>-15.000425849379155</v>
      </c>
      <c r="Q66" s="282">
        <f>N66/K66</f>
        <v>0.92980096277384139</v>
      </c>
      <c r="R66" s="533"/>
      <c r="S66" s="24"/>
      <c r="T66" s="24"/>
      <c r="U66" s="9"/>
      <c r="V66" s="287"/>
      <c r="W66" s="9"/>
      <c r="X66" s="9"/>
      <c r="Y66" s="528"/>
      <c r="Z66" s="528"/>
      <c r="AA66" s="11">
        <f t="shared" si="2"/>
        <v>-178.1300569613777</v>
      </c>
      <c r="AB66" s="282">
        <f t="shared" si="57"/>
        <v>0.92980096277384128</v>
      </c>
      <c r="AC66" s="533"/>
    </row>
    <row r="67" spans="1:29" ht="15.75" customHeight="1">
      <c r="A67" s="531" t="s">
        <v>1085</v>
      </c>
      <c r="B67" s="289" t="s">
        <v>24</v>
      </c>
      <c r="C67" s="529" t="s">
        <v>67</v>
      </c>
      <c r="D67" s="529"/>
      <c r="E67" s="26">
        <v>32.03</v>
      </c>
      <c r="F67" s="289">
        <v>954</v>
      </c>
      <c r="G67" s="281">
        <f t="shared" ref="G67:G74" si="85">E67*F67</f>
        <v>30556.620000000003</v>
      </c>
      <c r="H67" s="290" t="s">
        <v>52</v>
      </c>
      <c r="I67" s="286">
        <v>19</v>
      </c>
      <c r="J67" s="18">
        <v>2400</v>
      </c>
      <c r="K67" s="9">
        <f t="shared" ref="K67:K69" si="86">J67/I67</f>
        <v>126.31578947368421</v>
      </c>
      <c r="L67" s="17">
        <v>19</v>
      </c>
      <c r="M67" s="10">
        <f>F67/V67*60</f>
        <v>2289.6000000000008</v>
      </c>
      <c r="N67" s="9">
        <f t="shared" ref="N67:N74" si="87">M67/L67</f>
        <v>120.50526315789477</v>
      </c>
      <c r="O67" s="11">
        <f t="shared" ref="O67:O74" si="88">L67-I67</f>
        <v>0</v>
      </c>
      <c r="P67" s="12">
        <f t="shared" ref="P67:P74" si="89">N67-K67</f>
        <v>-5.8105263157894314</v>
      </c>
      <c r="Q67" s="282">
        <f>N67/K67</f>
        <v>0.95400000000000029</v>
      </c>
      <c r="R67" s="533">
        <f>Q75</f>
        <v>0.93523681920102109</v>
      </c>
      <c r="S67" s="24">
        <v>0.125</v>
      </c>
      <c r="T67" s="24">
        <v>0.1423611111111111</v>
      </c>
      <c r="U67" s="15"/>
      <c r="V67" s="287">
        <f t="shared" ref="V67:V74" si="90">(T67-S67)*24*60</f>
        <v>24.999999999999993</v>
      </c>
      <c r="W67" s="14">
        <f>T67</f>
        <v>0.1423611111111111</v>
      </c>
      <c r="X67" s="14">
        <f>S68</f>
        <v>0.16180555555555556</v>
      </c>
      <c r="Y67" s="528"/>
      <c r="Z67" s="528"/>
      <c r="AA67" s="11">
        <f t="shared" si="2"/>
        <v>-110.39999999999918</v>
      </c>
      <c r="AB67" s="282">
        <f>M67/J67</f>
        <v>0.95400000000000029</v>
      </c>
      <c r="AC67" s="533">
        <f>AB75</f>
        <v>0.93523681920102109</v>
      </c>
    </row>
    <row r="68" spans="1:29" ht="15.75" customHeight="1">
      <c r="A68" s="531" t="s">
        <v>1085</v>
      </c>
      <c r="B68" s="289" t="s">
        <v>24</v>
      </c>
      <c r="C68" s="529" t="s">
        <v>51</v>
      </c>
      <c r="D68" s="529"/>
      <c r="E68" s="26">
        <v>20.2</v>
      </c>
      <c r="F68" s="289">
        <v>3079</v>
      </c>
      <c r="G68" s="281">
        <f t="shared" si="85"/>
        <v>62195.799999999996</v>
      </c>
      <c r="H68" s="290" t="s">
        <v>52</v>
      </c>
      <c r="I68" s="286">
        <v>19</v>
      </c>
      <c r="J68" s="18">
        <v>2400</v>
      </c>
      <c r="K68" s="9">
        <f t="shared" si="86"/>
        <v>126.31578947368421</v>
      </c>
      <c r="L68" s="17">
        <v>19</v>
      </c>
      <c r="M68" s="10">
        <f t="shared" ref="M68:M74" si="91">F68/V68*60</f>
        <v>2225.7831325301208</v>
      </c>
      <c r="N68" s="9">
        <f t="shared" si="87"/>
        <v>117.14648065948005</v>
      </c>
      <c r="O68" s="11">
        <f t="shared" si="88"/>
        <v>0</v>
      </c>
      <c r="P68" s="12">
        <f t="shared" si="89"/>
        <v>-9.1693088142041574</v>
      </c>
      <c r="Q68" s="282">
        <f t="shared" ref="Q68:Q75" si="92">N68/K68</f>
        <v>0.9274096385542171</v>
      </c>
      <c r="R68" s="533"/>
      <c r="S68" s="24">
        <v>0.16180555555555556</v>
      </c>
      <c r="T68" s="24">
        <v>0.21944444444444444</v>
      </c>
      <c r="U68" s="281">
        <f>(S68-T67)*24*60</f>
        <v>28.000000000000021</v>
      </c>
      <c r="V68" s="287">
        <f t="shared" si="90"/>
        <v>82.999999999999986</v>
      </c>
      <c r="W68" s="14"/>
      <c r="X68" s="14"/>
      <c r="Y68" s="528"/>
      <c r="Z68" s="528"/>
      <c r="AA68" s="11">
        <f t="shared" si="2"/>
        <v>-174.21686746987916</v>
      </c>
      <c r="AB68" s="282">
        <f t="shared" ref="AB68:AB75" si="93">M68/J68</f>
        <v>0.92740963855421699</v>
      </c>
      <c r="AC68" s="533"/>
    </row>
    <row r="69" spans="1:29" ht="15.75" customHeight="1">
      <c r="A69" s="531" t="s">
        <v>1085</v>
      </c>
      <c r="B69" s="289" t="s">
        <v>24</v>
      </c>
      <c r="C69" s="529" t="s">
        <v>41</v>
      </c>
      <c r="D69" s="529"/>
      <c r="E69" s="26">
        <v>19.02</v>
      </c>
      <c r="F69" s="289">
        <v>4200</v>
      </c>
      <c r="G69" s="281">
        <f t="shared" si="85"/>
        <v>79884</v>
      </c>
      <c r="H69" s="290">
        <v>2</v>
      </c>
      <c r="I69" s="286">
        <v>15</v>
      </c>
      <c r="J69" s="18">
        <v>2400</v>
      </c>
      <c r="K69" s="9">
        <f t="shared" si="86"/>
        <v>160</v>
      </c>
      <c r="L69" s="17">
        <v>15</v>
      </c>
      <c r="M69" s="10">
        <f t="shared" si="91"/>
        <v>2230.0884955752203</v>
      </c>
      <c r="N69" s="9">
        <f t="shared" si="87"/>
        <v>148.67256637168137</v>
      </c>
      <c r="O69" s="11">
        <f t="shared" si="88"/>
        <v>0</v>
      </c>
      <c r="P69" s="12">
        <f t="shared" si="89"/>
        <v>-11.32743362831863</v>
      </c>
      <c r="Q69" s="282">
        <f t="shared" si="92"/>
        <v>0.92920353982300852</v>
      </c>
      <c r="R69" s="533"/>
      <c r="S69" s="24">
        <v>0.22500000000000001</v>
      </c>
      <c r="T69" s="24">
        <v>0.30347222222222225</v>
      </c>
      <c r="U69" s="281">
        <f t="shared" ref="U69:U74" si="94">(S69-T68)*24*60</f>
        <v>8.0000000000000107</v>
      </c>
      <c r="V69" s="287">
        <f t="shared" si="90"/>
        <v>113.00000000000004</v>
      </c>
      <c r="W69" s="14"/>
      <c r="X69" s="14"/>
      <c r="Y69" s="528"/>
      <c r="Z69" s="528"/>
      <c r="AA69" s="11">
        <f t="shared" ref="AA69:AA75" si="95">M69-J69</f>
        <v>-169.91150442477965</v>
      </c>
      <c r="AB69" s="282">
        <f t="shared" si="93"/>
        <v>0.92920353982300852</v>
      </c>
      <c r="AC69" s="533"/>
    </row>
    <row r="70" spans="1:29" ht="15.75" customHeight="1">
      <c r="A70" s="531" t="s">
        <v>1085</v>
      </c>
      <c r="B70" s="289" t="s">
        <v>24</v>
      </c>
      <c r="C70" s="529" t="s">
        <v>42</v>
      </c>
      <c r="D70" s="529"/>
      <c r="E70" s="26">
        <v>25</v>
      </c>
      <c r="F70" s="289">
        <v>4176</v>
      </c>
      <c r="G70" s="281">
        <f t="shared" si="85"/>
        <v>104400</v>
      </c>
      <c r="H70" s="290" t="s">
        <v>52</v>
      </c>
      <c r="I70" s="286">
        <v>15</v>
      </c>
      <c r="J70" s="18">
        <v>2400</v>
      </c>
      <c r="K70" s="9">
        <f>J70/I70</f>
        <v>160</v>
      </c>
      <c r="L70" s="17">
        <v>15</v>
      </c>
      <c r="M70" s="10">
        <f t="shared" si="91"/>
        <v>2237.1428571428569</v>
      </c>
      <c r="N70" s="9">
        <f t="shared" si="87"/>
        <v>149.14285714285714</v>
      </c>
      <c r="O70" s="11">
        <f t="shared" si="88"/>
        <v>0</v>
      </c>
      <c r="P70" s="12">
        <f t="shared" si="89"/>
        <v>-10.857142857142861</v>
      </c>
      <c r="Q70" s="282">
        <f t="shared" si="92"/>
        <v>0.93214285714285716</v>
      </c>
      <c r="R70" s="533"/>
      <c r="S70" s="24">
        <v>0.30763888888888891</v>
      </c>
      <c r="T70" s="24">
        <v>0.38541666666666669</v>
      </c>
      <c r="U70" s="281">
        <f t="shared" si="94"/>
        <v>5.9999999999999787</v>
      </c>
      <c r="V70" s="287">
        <f t="shared" si="90"/>
        <v>112</v>
      </c>
      <c r="W70" s="14"/>
      <c r="X70" s="14"/>
      <c r="Y70" s="528"/>
      <c r="Z70" s="528"/>
      <c r="AA70" s="11">
        <f t="shared" si="95"/>
        <v>-162.85714285714312</v>
      </c>
      <c r="AB70" s="282">
        <f t="shared" si="93"/>
        <v>0.93214285714285705</v>
      </c>
      <c r="AC70" s="533"/>
    </row>
    <row r="71" spans="1:29" ht="15.75" customHeight="1">
      <c r="A71" s="531" t="s">
        <v>1085</v>
      </c>
      <c r="B71" s="289" t="s">
        <v>24</v>
      </c>
      <c r="C71" s="529" t="s">
        <v>77</v>
      </c>
      <c r="D71" s="529"/>
      <c r="E71" s="26">
        <v>28.51</v>
      </c>
      <c r="F71" s="289">
        <v>3994</v>
      </c>
      <c r="G71" s="281">
        <f t="shared" si="85"/>
        <v>113868.94</v>
      </c>
      <c r="H71" s="290" t="s">
        <v>52</v>
      </c>
      <c r="I71" s="286">
        <v>19</v>
      </c>
      <c r="J71" s="18">
        <v>2400</v>
      </c>
      <c r="K71" s="9">
        <f t="shared" ref="K71:K75" si="96">J71/I71</f>
        <v>126.31578947368421</v>
      </c>
      <c r="L71" s="17">
        <v>19</v>
      </c>
      <c r="M71" s="10">
        <f t="shared" si="91"/>
        <v>2239.6261682242989</v>
      </c>
      <c r="N71" s="9">
        <f t="shared" si="87"/>
        <v>117.87506148548941</v>
      </c>
      <c r="O71" s="11">
        <f t="shared" si="88"/>
        <v>0</v>
      </c>
      <c r="P71" s="12">
        <f t="shared" si="89"/>
        <v>-8.4407279881947943</v>
      </c>
      <c r="Q71" s="282">
        <f t="shared" si="92"/>
        <v>0.93317757009345792</v>
      </c>
      <c r="R71" s="533"/>
      <c r="S71" s="24">
        <v>0.3888888888888889</v>
      </c>
      <c r="T71" s="24">
        <v>0.46319444444444446</v>
      </c>
      <c r="U71" s="281">
        <f t="shared" si="94"/>
        <v>4.9999999999999822</v>
      </c>
      <c r="V71" s="287">
        <f t="shared" si="90"/>
        <v>107.00000000000001</v>
      </c>
      <c r="W71" s="14"/>
      <c r="X71" s="14"/>
      <c r="Y71" s="528"/>
      <c r="Z71" s="528"/>
      <c r="AA71" s="11">
        <f t="shared" si="95"/>
        <v>-160.37383177570109</v>
      </c>
      <c r="AB71" s="282">
        <f t="shared" si="93"/>
        <v>0.93317757009345792</v>
      </c>
      <c r="AC71" s="533"/>
    </row>
    <row r="72" spans="1:29" ht="15.75" customHeight="1">
      <c r="A72" s="531" t="s">
        <v>1085</v>
      </c>
      <c r="B72" s="289" t="s">
        <v>24</v>
      </c>
      <c r="C72" s="529" t="s">
        <v>25</v>
      </c>
      <c r="D72" s="529"/>
      <c r="E72" s="26">
        <v>20.52</v>
      </c>
      <c r="F72" s="289">
        <v>2400</v>
      </c>
      <c r="G72" s="281">
        <f t="shared" si="85"/>
        <v>49248</v>
      </c>
      <c r="H72" s="290">
        <v>2</v>
      </c>
      <c r="I72" s="286">
        <v>18</v>
      </c>
      <c r="J72" s="18">
        <v>2400</v>
      </c>
      <c r="K72" s="9">
        <f t="shared" si="96"/>
        <v>133.33333333333334</v>
      </c>
      <c r="L72" s="17">
        <v>18</v>
      </c>
      <c r="M72" s="10">
        <f t="shared" si="91"/>
        <v>2250.0000000000027</v>
      </c>
      <c r="N72" s="9">
        <f t="shared" si="87"/>
        <v>125.00000000000016</v>
      </c>
      <c r="O72" s="11">
        <f t="shared" si="88"/>
        <v>0</v>
      </c>
      <c r="P72" s="12">
        <f t="shared" si="89"/>
        <v>-8.3333333333331865</v>
      </c>
      <c r="Q72" s="282">
        <f t="shared" si="92"/>
        <v>0.93750000000000111</v>
      </c>
      <c r="R72" s="533"/>
      <c r="S72" s="24">
        <v>0.46666666666666667</v>
      </c>
      <c r="T72" s="24">
        <v>0.51111111111111107</v>
      </c>
      <c r="U72" s="281">
        <f t="shared" si="94"/>
        <v>4.9999999999999822</v>
      </c>
      <c r="V72" s="287">
        <f t="shared" si="90"/>
        <v>63.999999999999929</v>
      </c>
      <c r="W72" s="14">
        <f>T72</f>
        <v>0.51111111111111107</v>
      </c>
      <c r="X72" s="14">
        <f>S73</f>
        <v>0.55347222222222214</v>
      </c>
      <c r="Y72" s="528"/>
      <c r="Z72" s="528"/>
      <c r="AA72" s="11">
        <f t="shared" si="95"/>
        <v>-149.99999999999727</v>
      </c>
      <c r="AB72" s="282">
        <f t="shared" si="93"/>
        <v>0.93750000000000111</v>
      </c>
      <c r="AC72" s="533"/>
    </row>
    <row r="73" spans="1:29" ht="15.75" customHeight="1">
      <c r="A73" s="531" t="s">
        <v>1085</v>
      </c>
      <c r="B73" s="289" t="s">
        <v>24</v>
      </c>
      <c r="C73" s="534" t="s">
        <v>41</v>
      </c>
      <c r="D73" s="535"/>
      <c r="E73" s="26">
        <v>19.02</v>
      </c>
      <c r="F73" s="289">
        <v>7162</v>
      </c>
      <c r="G73" s="281">
        <f t="shared" si="85"/>
        <v>136221.24</v>
      </c>
      <c r="H73" s="290" t="s">
        <v>52</v>
      </c>
      <c r="I73" s="286">
        <v>15</v>
      </c>
      <c r="J73" s="18">
        <v>2400</v>
      </c>
      <c r="K73" s="9">
        <f t="shared" si="96"/>
        <v>160</v>
      </c>
      <c r="L73" s="17">
        <v>15</v>
      </c>
      <c r="M73" s="10">
        <f t="shared" si="91"/>
        <v>2226.528497409327</v>
      </c>
      <c r="N73" s="9">
        <f t="shared" si="87"/>
        <v>148.43523316062181</v>
      </c>
      <c r="O73" s="11">
        <f t="shared" si="88"/>
        <v>0</v>
      </c>
      <c r="P73" s="12">
        <f t="shared" si="89"/>
        <v>-11.564766839378194</v>
      </c>
      <c r="Q73" s="282">
        <f t="shared" si="92"/>
        <v>0.92772020725388626</v>
      </c>
      <c r="R73" s="533"/>
      <c r="S73" s="24">
        <v>0.55347222222222214</v>
      </c>
      <c r="T73" s="24">
        <v>0.68749999999999989</v>
      </c>
      <c r="U73" s="281">
        <f t="shared" si="94"/>
        <v>60.999999999999943</v>
      </c>
      <c r="V73" s="287">
        <f t="shared" si="90"/>
        <v>192.99999999999994</v>
      </c>
      <c r="W73" s="14"/>
      <c r="X73" s="14"/>
      <c r="Y73" s="536"/>
      <c r="Z73" s="537"/>
      <c r="AA73" s="11">
        <f t="shared" si="95"/>
        <v>-173.47150259067303</v>
      </c>
      <c r="AB73" s="282">
        <f t="shared" si="93"/>
        <v>0.92772020725388626</v>
      </c>
      <c r="AC73" s="533"/>
    </row>
    <row r="74" spans="1:29" ht="15.75" customHeight="1">
      <c r="A74" s="531" t="s">
        <v>1085</v>
      </c>
      <c r="B74" s="289" t="s">
        <v>24</v>
      </c>
      <c r="C74" s="534" t="s">
        <v>25</v>
      </c>
      <c r="D74" s="535"/>
      <c r="E74" s="26">
        <v>20.52</v>
      </c>
      <c r="F74" s="289">
        <v>2032</v>
      </c>
      <c r="G74" s="281">
        <f t="shared" si="85"/>
        <v>41696.639999999999</v>
      </c>
      <c r="H74" s="290" t="s">
        <v>52</v>
      </c>
      <c r="I74" s="286">
        <v>18</v>
      </c>
      <c r="J74" s="18">
        <v>2400</v>
      </c>
      <c r="K74" s="9">
        <f t="shared" si="96"/>
        <v>133.33333333333334</v>
      </c>
      <c r="L74" s="17">
        <v>18</v>
      </c>
      <c r="M74" s="10">
        <f t="shared" si="91"/>
        <v>2257.7777777777787</v>
      </c>
      <c r="N74" s="9">
        <f t="shared" si="87"/>
        <v>125.43209876543216</v>
      </c>
      <c r="O74" s="11">
        <f t="shared" si="88"/>
        <v>0</v>
      </c>
      <c r="P74" s="12">
        <f t="shared" si="89"/>
        <v>-7.9012345679011844</v>
      </c>
      <c r="Q74" s="282">
        <f t="shared" si="92"/>
        <v>0.9407407407407411</v>
      </c>
      <c r="R74" s="533"/>
      <c r="S74" s="24">
        <v>0.69305555555555542</v>
      </c>
      <c r="T74" s="24">
        <v>0.7305555555555554</v>
      </c>
      <c r="U74" s="281">
        <f t="shared" si="94"/>
        <v>7.9999999999999716</v>
      </c>
      <c r="V74" s="287">
        <f t="shared" si="90"/>
        <v>53.999999999999972</v>
      </c>
      <c r="W74" s="14"/>
      <c r="X74" s="14"/>
      <c r="Y74" s="536"/>
      <c r="Z74" s="537"/>
      <c r="AA74" s="11">
        <f t="shared" si="95"/>
        <v>-142.22222222222126</v>
      </c>
      <c r="AB74" s="282">
        <f t="shared" si="93"/>
        <v>0.9407407407407411</v>
      </c>
      <c r="AC74" s="533"/>
    </row>
    <row r="75" spans="1:29" ht="16.5" customHeight="1">
      <c r="A75" s="532" t="s">
        <v>1085</v>
      </c>
      <c r="B75" s="26" t="s">
        <v>1073</v>
      </c>
      <c r="C75" s="530"/>
      <c r="D75" s="530"/>
      <c r="E75" s="280"/>
      <c r="F75" s="16"/>
      <c r="G75" s="9"/>
      <c r="H75" s="289"/>
      <c r="I75" s="17">
        <v>17.25</v>
      </c>
      <c r="J75" s="18">
        <v>2400</v>
      </c>
      <c r="K75" s="9">
        <f t="shared" si="96"/>
        <v>139.13043478260869</v>
      </c>
      <c r="L75" s="17">
        <v>17.25</v>
      </c>
      <c r="M75" s="10">
        <f>AVERAGE(M67:M74)</f>
        <v>2244.5683660824507</v>
      </c>
      <c r="N75" s="9">
        <f>M75/L75</f>
        <v>130.11990528014206</v>
      </c>
      <c r="O75" s="11">
        <f>L75-I75</f>
        <v>0</v>
      </c>
      <c r="P75" s="12">
        <f>N75-K75</f>
        <v>-9.0105295024666248</v>
      </c>
      <c r="Q75" s="282">
        <f t="shared" si="92"/>
        <v>0.93523681920102109</v>
      </c>
      <c r="R75" s="533"/>
      <c r="S75" s="24"/>
      <c r="T75" s="24"/>
      <c r="U75" s="9"/>
      <c r="V75" s="287"/>
      <c r="W75" s="9"/>
      <c r="X75" s="9"/>
      <c r="Y75" s="528"/>
      <c r="Z75" s="528"/>
      <c r="AA75" s="11">
        <f t="shared" si="95"/>
        <v>-155.43163391754933</v>
      </c>
      <c r="AB75" s="282">
        <f t="shared" si="93"/>
        <v>0.93523681920102109</v>
      </c>
      <c r="AC75" s="533"/>
    </row>
    <row r="76" spans="1:29">
      <c r="D76" s="19"/>
      <c r="E76" s="19"/>
    </row>
  </sheetData>
  <mergeCells count="195">
    <mergeCell ref="AC67:AC75"/>
    <mergeCell ref="C68:D68"/>
    <mergeCell ref="Y68:Z68"/>
    <mergeCell ref="C69:D69"/>
    <mergeCell ref="Y69:Z69"/>
    <mergeCell ref="C70:D70"/>
    <mergeCell ref="Y70:Z70"/>
    <mergeCell ref="C71:D71"/>
    <mergeCell ref="Y71:Z71"/>
    <mergeCell ref="C72:D72"/>
    <mergeCell ref="R58:R66"/>
    <mergeCell ref="Y58:Z58"/>
    <mergeCell ref="C66:D66"/>
    <mergeCell ref="Y66:Z66"/>
    <mergeCell ref="A67:A75"/>
    <mergeCell ref="C67:D67"/>
    <mergeCell ref="R67:R75"/>
    <mergeCell ref="Y67:Z67"/>
    <mergeCell ref="Y72:Z72"/>
    <mergeCell ref="C73:D73"/>
    <mergeCell ref="Y73:Z73"/>
    <mergeCell ref="C74:D74"/>
    <mergeCell ref="Y74:Z74"/>
    <mergeCell ref="C75:D75"/>
    <mergeCell ref="Y75:Z75"/>
    <mergeCell ref="AC58:AC66"/>
    <mergeCell ref="C59:D59"/>
    <mergeCell ref="Y59:Z59"/>
    <mergeCell ref="C60:D60"/>
    <mergeCell ref="Y60:Z60"/>
    <mergeCell ref="C61:D61"/>
    <mergeCell ref="A52:A57"/>
    <mergeCell ref="C52:D52"/>
    <mergeCell ref="R52:R57"/>
    <mergeCell ref="Y52:Z52"/>
    <mergeCell ref="AC52:AC57"/>
    <mergeCell ref="C53:D53"/>
    <mergeCell ref="Y53:Z53"/>
    <mergeCell ref="C54:D54"/>
    <mergeCell ref="C57:D57"/>
    <mergeCell ref="Y57:Z57"/>
    <mergeCell ref="Y61:Z61"/>
    <mergeCell ref="C62:D62"/>
    <mergeCell ref="Y62:Z62"/>
    <mergeCell ref="C63:D63"/>
    <mergeCell ref="Y63:Z63"/>
    <mergeCell ref="Y65:Z65"/>
    <mergeCell ref="A58:A66"/>
    <mergeCell ref="C58:D58"/>
    <mergeCell ref="A42:A51"/>
    <mergeCell ref="C42:D42"/>
    <mergeCell ref="R42:R51"/>
    <mergeCell ref="Y42:Z42"/>
    <mergeCell ref="AC42:AC51"/>
    <mergeCell ref="C43:D43"/>
    <mergeCell ref="Y43:Z43"/>
    <mergeCell ref="C44:D44"/>
    <mergeCell ref="Y44:Z44"/>
    <mergeCell ref="C45:D45"/>
    <mergeCell ref="C49:D49"/>
    <mergeCell ref="Y49:Z49"/>
    <mergeCell ref="C50:D50"/>
    <mergeCell ref="Y50:Z50"/>
    <mergeCell ref="C51:D51"/>
    <mergeCell ref="Y51:Z51"/>
    <mergeCell ref="Y45:Z45"/>
    <mergeCell ref="C46:D46"/>
    <mergeCell ref="Y46:Z46"/>
    <mergeCell ref="C47:D47"/>
    <mergeCell ref="Y47:Z47"/>
    <mergeCell ref="C48:D48"/>
    <mergeCell ref="Y48:Z48"/>
    <mergeCell ref="A32:A41"/>
    <mergeCell ref="C32:D32"/>
    <mergeCell ref="R32:R41"/>
    <mergeCell ref="Y32:Z32"/>
    <mergeCell ref="AC32:AC41"/>
    <mergeCell ref="C33:D33"/>
    <mergeCell ref="Y33:Z33"/>
    <mergeCell ref="C34:D34"/>
    <mergeCell ref="Y34:Z34"/>
    <mergeCell ref="C35:D35"/>
    <mergeCell ref="C39:D39"/>
    <mergeCell ref="Y39:Z39"/>
    <mergeCell ref="C40:D40"/>
    <mergeCell ref="Y40:Z40"/>
    <mergeCell ref="C41:D41"/>
    <mergeCell ref="Y41:Z41"/>
    <mergeCell ref="Y35:Z35"/>
    <mergeCell ref="C36:D36"/>
    <mergeCell ref="Y36:Z36"/>
    <mergeCell ref="C37:D37"/>
    <mergeCell ref="Y37:Z37"/>
    <mergeCell ref="C38:D38"/>
    <mergeCell ref="Y38:Z38"/>
    <mergeCell ref="AC25:AC31"/>
    <mergeCell ref="C26:D26"/>
    <mergeCell ref="Y26:Z26"/>
    <mergeCell ref="C27:D27"/>
    <mergeCell ref="Y27:Z27"/>
    <mergeCell ref="C28:D28"/>
    <mergeCell ref="Y28:Z28"/>
    <mergeCell ref="C29:D29"/>
    <mergeCell ref="Y29:Z29"/>
    <mergeCell ref="C30:D30"/>
    <mergeCell ref="R18:R24"/>
    <mergeCell ref="Y18:Z18"/>
    <mergeCell ref="C24:D24"/>
    <mergeCell ref="Y24:Z24"/>
    <mergeCell ref="A25:A31"/>
    <mergeCell ref="C25:D25"/>
    <mergeCell ref="R25:R31"/>
    <mergeCell ref="Y25:Z25"/>
    <mergeCell ref="Y30:Z30"/>
    <mergeCell ref="C31:D31"/>
    <mergeCell ref="Y31:Z31"/>
    <mergeCell ref="AC18:AC24"/>
    <mergeCell ref="C19:D19"/>
    <mergeCell ref="Y19:Z19"/>
    <mergeCell ref="C20:D20"/>
    <mergeCell ref="Y20:Z20"/>
    <mergeCell ref="A14:A17"/>
    <mergeCell ref="C14:D14"/>
    <mergeCell ref="R14:R17"/>
    <mergeCell ref="Y14:Z14"/>
    <mergeCell ref="AC14:AC17"/>
    <mergeCell ref="C15:D15"/>
    <mergeCell ref="Y15:Z15"/>
    <mergeCell ref="C16:D16"/>
    <mergeCell ref="Y16:Z16"/>
    <mergeCell ref="C17:D17"/>
    <mergeCell ref="C21:D21"/>
    <mergeCell ref="Y21:Z21"/>
    <mergeCell ref="C22:D22"/>
    <mergeCell ref="Y22:Z22"/>
    <mergeCell ref="C23:D23"/>
    <mergeCell ref="Y23:Z23"/>
    <mergeCell ref="Y17:Z17"/>
    <mergeCell ref="A18:A24"/>
    <mergeCell ref="C18:D18"/>
    <mergeCell ref="AC9:AC13"/>
    <mergeCell ref="C10:D10"/>
    <mergeCell ref="Y10:Z10"/>
    <mergeCell ref="C11:D11"/>
    <mergeCell ref="Y11:Z11"/>
    <mergeCell ref="C12:D12"/>
    <mergeCell ref="Y12:Z12"/>
    <mergeCell ref="C13:D13"/>
    <mergeCell ref="Y13:Z13"/>
    <mergeCell ref="C8:D8"/>
    <mergeCell ref="Y8:Z8"/>
    <mergeCell ref="A9:A13"/>
    <mergeCell ref="C9:D9"/>
    <mergeCell ref="R9:R13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61:O72 O75 O5:O9 O13:O15 O51:O58 O17:O47">
    <cfRule type="cellIs" dxfId="1092" priority="61" operator="greaterThan">
      <formula>0</formula>
    </cfRule>
  </conditionalFormatting>
  <conditionalFormatting sqref="P5:P7 P61:P65 AA61:AA65 P67:P72 P25:P30 P58 P9 P13:P15 P18:P23 P52:P56 P32:P47 AA5:AA58 AA67:AA75">
    <cfRule type="cellIs" dxfId="1091" priority="65" operator="lessThan">
      <formula>0</formula>
    </cfRule>
  </conditionalFormatting>
  <conditionalFormatting sqref="AB61:AB65 Q61:Q72 Q75 Q5:Q9 Q13:Q15 Q51:Q58 Q17:Q47 AB5:AB58 AB67:AB75">
    <cfRule type="cellIs" dxfId="1090" priority="62" operator="greaterThan">
      <formula>1</formula>
    </cfRule>
    <cfRule type="cellIs" dxfId="1089" priority="63" operator="lessThan">
      <formula>0.8</formula>
    </cfRule>
  </conditionalFormatting>
  <conditionalFormatting sqref="AC14:AC15 R14:R15 AC61 R61:R72 R17:R39 AC17:AC39 R75 AC5:AC9 R5:R9 R41:R47 AC41:AC47 AC51:AC58 R51:R58">
    <cfRule type="cellIs" dxfId="1088" priority="67" operator="lessThan">
      <formula>0.8</formula>
    </cfRule>
  </conditionalFormatting>
  <conditionalFormatting sqref="AC42">
    <cfRule type="cellIs" dxfId="1087" priority="69" operator="lessThan">
      <formula>0.8</formula>
    </cfRule>
  </conditionalFormatting>
  <conditionalFormatting sqref="AC18:AC23">
    <cfRule type="cellIs" dxfId="1086" priority="66" operator="lessThan">
      <formula>0.8</formula>
    </cfRule>
  </conditionalFormatting>
  <conditionalFormatting sqref="AC25">
    <cfRule type="cellIs" dxfId="1085" priority="68" operator="lessThan">
      <formula>0.8</formula>
    </cfRule>
  </conditionalFormatting>
  <conditionalFormatting sqref="AC32:AC39">
    <cfRule type="cellIs" dxfId="1084" priority="64" operator="lessThan">
      <formula>0.8</formula>
    </cfRule>
  </conditionalFormatting>
  <conditionalFormatting sqref="AA66">
    <cfRule type="cellIs" dxfId="1083" priority="60" operator="lessThan">
      <formula>0</formula>
    </cfRule>
  </conditionalFormatting>
  <conditionalFormatting sqref="AB66">
    <cfRule type="cellIs" dxfId="1082" priority="58" operator="greaterThan">
      <formula>1</formula>
    </cfRule>
    <cfRule type="cellIs" dxfId="1081" priority="59" operator="lessThan">
      <formula>0.8</formula>
    </cfRule>
  </conditionalFormatting>
  <conditionalFormatting sqref="O16">
    <cfRule type="cellIs" dxfId="1080" priority="53" operator="greaterThan">
      <formula>0</formula>
    </cfRule>
  </conditionalFormatting>
  <conditionalFormatting sqref="P16">
    <cfRule type="cellIs" dxfId="1079" priority="56" operator="lessThan">
      <formula>0</formula>
    </cfRule>
  </conditionalFormatting>
  <conditionalFormatting sqref="Q16">
    <cfRule type="cellIs" dxfId="1078" priority="54" operator="greaterThan">
      <formula>1</formula>
    </cfRule>
    <cfRule type="cellIs" dxfId="1077" priority="55" operator="lessThan">
      <formula>0.8</formula>
    </cfRule>
  </conditionalFormatting>
  <conditionalFormatting sqref="R16 AC16">
    <cfRule type="cellIs" dxfId="1076" priority="57" operator="lessThan">
      <formula>0.8</formula>
    </cfRule>
  </conditionalFormatting>
  <conditionalFormatting sqref="O10:O12">
    <cfRule type="cellIs" dxfId="1075" priority="49" operator="greaterThan">
      <formula>0</formula>
    </cfRule>
  </conditionalFormatting>
  <conditionalFormatting sqref="P10:P12">
    <cfRule type="cellIs" dxfId="1074" priority="52" operator="lessThan">
      <formula>0</formula>
    </cfRule>
  </conditionalFormatting>
  <conditionalFormatting sqref="Q10:Q12">
    <cfRule type="cellIs" dxfId="1073" priority="50" operator="greaterThan">
      <formula>1</formula>
    </cfRule>
    <cfRule type="cellIs" dxfId="1072" priority="51" operator="lessThan">
      <formula>0.8</formula>
    </cfRule>
  </conditionalFormatting>
  <conditionalFormatting sqref="R40 AC40">
    <cfRule type="cellIs" dxfId="1071" priority="48" operator="lessThan">
      <formula>0.8</formula>
    </cfRule>
  </conditionalFormatting>
  <conditionalFormatting sqref="AC40">
    <cfRule type="cellIs" dxfId="1070" priority="47" operator="lessThan">
      <formula>0.8</formula>
    </cfRule>
  </conditionalFormatting>
  <conditionalFormatting sqref="O60">
    <cfRule type="cellIs" dxfId="1069" priority="42" operator="greaterThan">
      <formula>0</formula>
    </cfRule>
  </conditionalFormatting>
  <conditionalFormatting sqref="P60 AA60">
    <cfRule type="cellIs" dxfId="1068" priority="45" operator="lessThan">
      <formula>0</formula>
    </cfRule>
  </conditionalFormatting>
  <conditionalFormatting sqref="Q60 AB60">
    <cfRule type="cellIs" dxfId="1067" priority="43" operator="greaterThan">
      <formula>1</formula>
    </cfRule>
    <cfRule type="cellIs" dxfId="1066" priority="44" operator="lessThan">
      <formula>0.8</formula>
    </cfRule>
  </conditionalFormatting>
  <conditionalFormatting sqref="R60 AC60">
    <cfRule type="cellIs" dxfId="1065" priority="46" operator="lessThan">
      <formula>0.8</formula>
    </cfRule>
  </conditionalFormatting>
  <conditionalFormatting sqref="O73">
    <cfRule type="cellIs" dxfId="1064" priority="37" operator="greaterThan">
      <formula>0</formula>
    </cfRule>
  </conditionalFormatting>
  <conditionalFormatting sqref="P73">
    <cfRule type="cellIs" dxfId="1063" priority="40" operator="lessThan">
      <formula>0</formula>
    </cfRule>
  </conditionalFormatting>
  <conditionalFormatting sqref="Q73">
    <cfRule type="cellIs" dxfId="1062" priority="38" operator="greaterThan">
      <formula>1</formula>
    </cfRule>
    <cfRule type="cellIs" dxfId="1061" priority="39" operator="lessThan">
      <formula>0.8</formula>
    </cfRule>
  </conditionalFormatting>
  <conditionalFormatting sqref="R73">
    <cfRule type="cellIs" dxfId="1060" priority="41" operator="lessThan">
      <formula>0.8</formula>
    </cfRule>
  </conditionalFormatting>
  <conditionalFormatting sqref="O48">
    <cfRule type="cellIs" dxfId="1059" priority="31" operator="greaterThan">
      <formula>0</formula>
    </cfRule>
  </conditionalFormatting>
  <conditionalFormatting sqref="P48">
    <cfRule type="cellIs" dxfId="1058" priority="35" operator="lessThan">
      <formula>0</formula>
    </cfRule>
  </conditionalFormatting>
  <conditionalFormatting sqref="Q48">
    <cfRule type="cellIs" dxfId="1057" priority="32" operator="greaterThan">
      <formula>1</formula>
    </cfRule>
    <cfRule type="cellIs" dxfId="1056" priority="33" operator="lessThan">
      <formula>0.8</formula>
    </cfRule>
  </conditionalFormatting>
  <conditionalFormatting sqref="R48 AC48">
    <cfRule type="cellIs" dxfId="1055" priority="36" operator="lessThan">
      <formula>0.8</formula>
    </cfRule>
  </conditionalFormatting>
  <conditionalFormatting sqref="AC48">
    <cfRule type="cellIs" dxfId="1054" priority="34" operator="lessThan">
      <formula>0.8</formula>
    </cfRule>
  </conditionalFormatting>
  <conditionalFormatting sqref="O49">
    <cfRule type="cellIs" dxfId="1053" priority="25" operator="greaterThan">
      <formula>0</formula>
    </cfRule>
  </conditionalFormatting>
  <conditionalFormatting sqref="P49">
    <cfRule type="cellIs" dxfId="1052" priority="29" operator="lessThan">
      <formula>0</formula>
    </cfRule>
  </conditionalFormatting>
  <conditionalFormatting sqref="Q49">
    <cfRule type="cellIs" dxfId="1051" priority="26" operator="greaterThan">
      <formula>1</formula>
    </cfRule>
    <cfRule type="cellIs" dxfId="1050" priority="27" operator="lessThan">
      <formula>0.8</formula>
    </cfRule>
  </conditionalFormatting>
  <conditionalFormatting sqref="R49 AC49">
    <cfRule type="cellIs" dxfId="1049" priority="30" operator="lessThan">
      <formula>0.8</formula>
    </cfRule>
  </conditionalFormatting>
  <conditionalFormatting sqref="AC49">
    <cfRule type="cellIs" dxfId="1048" priority="28" operator="lessThan">
      <formula>0.8</formula>
    </cfRule>
  </conditionalFormatting>
  <conditionalFormatting sqref="O50">
    <cfRule type="cellIs" dxfId="1047" priority="19" operator="greaterThan">
      <formula>0</formula>
    </cfRule>
  </conditionalFormatting>
  <conditionalFormatting sqref="P50">
    <cfRule type="cellIs" dxfId="1046" priority="23" operator="lessThan">
      <formula>0</formula>
    </cfRule>
  </conditionalFormatting>
  <conditionalFormatting sqref="Q50">
    <cfRule type="cellIs" dxfId="1045" priority="20" operator="greaterThan">
      <formula>1</formula>
    </cfRule>
    <cfRule type="cellIs" dxfId="1044" priority="21" operator="lessThan">
      <formula>0.8</formula>
    </cfRule>
  </conditionalFormatting>
  <conditionalFormatting sqref="R50 AC50">
    <cfRule type="cellIs" dxfId="1043" priority="24" operator="lessThan">
      <formula>0.8</formula>
    </cfRule>
  </conditionalFormatting>
  <conditionalFormatting sqref="AC50">
    <cfRule type="cellIs" dxfId="1042" priority="22" operator="lessThan">
      <formula>0.8</formula>
    </cfRule>
  </conditionalFormatting>
  <conditionalFormatting sqref="O59">
    <cfRule type="cellIs" dxfId="1041" priority="14" operator="greaterThan">
      <formula>0</formula>
    </cfRule>
  </conditionalFormatting>
  <conditionalFormatting sqref="P59 AA59">
    <cfRule type="cellIs" dxfId="1040" priority="17" operator="lessThan">
      <formula>0</formula>
    </cfRule>
  </conditionalFormatting>
  <conditionalFormatting sqref="Q59 AB59">
    <cfRule type="cellIs" dxfId="1039" priority="15" operator="greaterThan">
      <formula>1</formula>
    </cfRule>
    <cfRule type="cellIs" dxfId="1038" priority="16" operator="lessThan">
      <formula>0.8</formula>
    </cfRule>
  </conditionalFormatting>
  <conditionalFormatting sqref="R59 AC59">
    <cfRule type="cellIs" dxfId="1037" priority="18" operator="lessThan">
      <formula>0.8</formula>
    </cfRule>
  </conditionalFormatting>
  <conditionalFormatting sqref="P8">
    <cfRule type="cellIs" dxfId="1036" priority="13" operator="lessThan">
      <formula>0</formula>
    </cfRule>
  </conditionalFormatting>
  <conditionalFormatting sqref="P17">
    <cfRule type="cellIs" dxfId="1035" priority="12" operator="lessThan">
      <formula>0</formula>
    </cfRule>
  </conditionalFormatting>
  <conditionalFormatting sqref="P24">
    <cfRule type="cellIs" dxfId="1034" priority="11" operator="lessThan">
      <formula>0</formula>
    </cfRule>
  </conditionalFormatting>
  <conditionalFormatting sqref="P31">
    <cfRule type="cellIs" dxfId="1033" priority="10" operator="lessThan">
      <formula>0</formula>
    </cfRule>
  </conditionalFormatting>
  <conditionalFormatting sqref="P51">
    <cfRule type="cellIs" dxfId="1032" priority="9" operator="lessThan">
      <formula>0</formula>
    </cfRule>
  </conditionalFormatting>
  <conditionalFormatting sqref="P57">
    <cfRule type="cellIs" dxfId="1031" priority="8" operator="lessThan">
      <formula>0</formula>
    </cfRule>
  </conditionalFormatting>
  <conditionalFormatting sqref="P66">
    <cfRule type="cellIs" dxfId="1030" priority="7" operator="lessThan">
      <formula>0</formula>
    </cfRule>
  </conditionalFormatting>
  <conditionalFormatting sqref="P75">
    <cfRule type="cellIs" dxfId="1029" priority="6" operator="lessThan">
      <formula>0</formula>
    </cfRule>
  </conditionalFormatting>
  <conditionalFormatting sqref="O74">
    <cfRule type="cellIs" dxfId="1028" priority="1" operator="greaterThan">
      <formula>0</formula>
    </cfRule>
  </conditionalFormatting>
  <conditionalFormatting sqref="P74">
    <cfRule type="cellIs" dxfId="1027" priority="4" operator="lessThan">
      <formula>0</formula>
    </cfRule>
  </conditionalFormatting>
  <conditionalFormatting sqref="Q74">
    <cfRule type="cellIs" dxfId="1026" priority="2" operator="greaterThan">
      <formula>1</formula>
    </cfRule>
    <cfRule type="cellIs" dxfId="1025" priority="3" operator="lessThan">
      <formula>0.8</formula>
    </cfRule>
  </conditionalFormatting>
  <conditionalFormatting sqref="R74">
    <cfRule type="cellIs" dxfId="1024" priority="5" operator="lessThan">
      <formula>0.8</formula>
    </cfRule>
  </conditionalFormatting>
  <dataValidations count="1">
    <dataValidation type="list" allowBlank="1" showInputMessage="1" showErrorMessage="1" sqref="Z8 Z62:Z65 Y5:Z7 Y8:Y65 Z10:Z58 Y66:Z75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5"/>
  <dimension ref="B1:Q28"/>
  <sheetViews>
    <sheetView zoomScale="70" zoomScaleNormal="70" workbookViewId="0">
      <selection activeCell="E14" sqref="E14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521" t="s">
        <v>1003</v>
      </c>
      <c r="C1" s="521"/>
      <c r="D1" s="521"/>
      <c r="E1" s="521"/>
      <c r="F1" s="521"/>
      <c r="G1" s="521"/>
      <c r="H1" s="521"/>
      <c r="I1" s="521"/>
      <c r="J1" s="521"/>
      <c r="K1" s="28"/>
      <c r="L1" s="28"/>
      <c r="M1" s="28"/>
      <c r="N1" s="28"/>
      <c r="O1" s="28"/>
      <c r="P1" s="28"/>
    </row>
    <row r="2" spans="2:17" ht="27.75" customHeight="1">
      <c r="B2" s="522"/>
      <c r="C2" s="522"/>
      <c r="D2" s="522"/>
      <c r="E2" s="522"/>
      <c r="F2" s="522"/>
      <c r="G2" s="522"/>
      <c r="H2" s="522"/>
      <c r="I2" s="522"/>
      <c r="J2" s="522"/>
      <c r="K2" s="30"/>
      <c r="L2" s="30"/>
      <c r="M2" s="30"/>
      <c r="N2" s="28"/>
      <c r="O2" s="28"/>
      <c r="P2" s="28"/>
    </row>
    <row r="3" spans="2:17" ht="46.5" customHeight="1">
      <c r="B3" s="261" t="s">
        <v>1004</v>
      </c>
      <c r="C3" s="523" t="str">
        <f>TEXT('0818 4度C'!A2,"yyyy.mm.ddaaaa")</f>
        <v>2025.08.18星期一</v>
      </c>
      <c r="D3" s="523"/>
      <c r="E3" s="261" t="s">
        <v>1005</v>
      </c>
      <c r="F3" s="524">
        <f>'0818 4度C'!D1</f>
        <v>169838</v>
      </c>
      <c r="G3" s="524"/>
      <c r="H3" s="261" t="s">
        <v>1006</v>
      </c>
      <c r="I3" s="581">
        <f>'0818 4度C'!F1</f>
        <v>5701317.8199999994</v>
      </c>
      <c r="J3" s="581"/>
      <c r="K3" s="31"/>
      <c r="L3" s="32"/>
      <c r="M3" s="33"/>
      <c r="N3" s="33"/>
    </row>
    <row r="4" spans="2:17" ht="28.5" customHeight="1">
      <c r="B4" s="516" t="s">
        <v>1007</v>
      </c>
      <c r="C4" s="516" t="s">
        <v>1008</v>
      </c>
      <c r="D4" s="516"/>
      <c r="E4" s="526" t="s">
        <v>1009</v>
      </c>
      <c r="F4" s="526"/>
      <c r="G4" s="526" t="s">
        <v>1010</v>
      </c>
      <c r="H4" s="526"/>
      <c r="I4" s="526" t="s">
        <v>1011</v>
      </c>
      <c r="J4" s="526"/>
      <c r="L4" s="33"/>
      <c r="M4" s="33"/>
      <c r="N4" s="33"/>
    </row>
    <row r="5" spans="2:17" ht="28.5" customHeight="1">
      <c r="B5" s="516"/>
      <c r="C5" s="516" t="s">
        <v>1012</v>
      </c>
      <c r="D5" s="516"/>
      <c r="E5" s="516" t="s">
        <v>1013</v>
      </c>
      <c r="F5" s="516"/>
      <c r="G5" s="517" t="s">
        <v>1014</v>
      </c>
      <c r="H5" s="517"/>
      <c r="I5" s="582" t="s">
        <v>1015</v>
      </c>
      <c r="J5" s="582"/>
      <c r="K5" s="33"/>
      <c r="L5" s="33"/>
      <c r="M5" s="33"/>
      <c r="N5" s="33"/>
    </row>
    <row r="6" spans="2:17" ht="28.5" customHeight="1">
      <c r="B6" s="516"/>
      <c r="C6" s="516" t="s">
        <v>43</v>
      </c>
      <c r="D6" s="516"/>
      <c r="E6" s="519">
        <f>AVERAGE(D13:M13)</f>
        <v>148.67694660866403</v>
      </c>
      <c r="F6" s="516">
        <f>AVERAGE(D27:O27,D13:J13)</f>
        <v>154.18025392712636</v>
      </c>
      <c r="G6" s="520">
        <f>AVERAGE(D13:J13)</f>
        <v>154.18025392712636</v>
      </c>
      <c r="H6" s="520"/>
      <c r="I6" s="520">
        <f>AVERAGE(K13:M13)</f>
        <v>135.83589619891856</v>
      </c>
      <c r="J6" s="520"/>
      <c r="K6" s="33"/>
      <c r="L6" s="33"/>
      <c r="M6" s="33"/>
      <c r="N6" s="33"/>
    </row>
    <row r="7" spans="2:17" ht="28.5" customHeight="1">
      <c r="B7" s="516"/>
      <c r="C7" s="510" t="s">
        <v>44</v>
      </c>
      <c r="D7" s="510"/>
      <c r="E7" s="511">
        <f>AVERAGE(D14:M14)</f>
        <v>138.0231015323713</v>
      </c>
      <c r="F7" s="512">
        <f>AVERAGE(D28:O28,D14:J14)</f>
        <v>143.27066038338717</v>
      </c>
      <c r="G7" s="513">
        <f>AVERAGE(D14:J14)</f>
        <v>143.27066038338717</v>
      </c>
      <c r="H7" s="513"/>
      <c r="I7" s="513">
        <f>AVERAGE(K14:M14)</f>
        <v>125.77879754666769</v>
      </c>
      <c r="J7" s="513"/>
      <c r="K7" s="33"/>
      <c r="L7" s="33"/>
      <c r="M7" s="33"/>
      <c r="N7" s="33"/>
    </row>
    <row r="8" spans="2:17" ht="28.5" customHeight="1">
      <c r="B8" s="516"/>
      <c r="C8" s="510" t="s">
        <v>45</v>
      </c>
      <c r="D8" s="510"/>
      <c r="E8" s="514">
        <f>AVERAGE(D15:M15)</f>
        <v>0.92770072073654064</v>
      </c>
      <c r="F8" s="510">
        <f>AVERAGE(D15:J15,D29:O29)</f>
        <v>0.92844103042324855</v>
      </c>
      <c r="G8" s="515">
        <f>AVERAGE(D15:J15)</f>
        <v>0.92844103042324855</v>
      </c>
      <c r="H8" s="515"/>
      <c r="I8" s="515">
        <f>AVERAGE(K15:M15)</f>
        <v>0.92597333146755556</v>
      </c>
      <c r="J8" s="515"/>
      <c r="K8" s="34" t="s">
        <v>1016</v>
      </c>
      <c r="L8" s="33"/>
      <c r="M8" s="33"/>
      <c r="N8" s="33"/>
    </row>
    <row r="9" spans="2:17" ht="28.5" customHeight="1" thickBot="1">
      <c r="H9" s="36"/>
      <c r="N9" s="33"/>
      <c r="O9" s="33"/>
      <c r="P9" s="33"/>
      <c r="Q9" s="33"/>
    </row>
    <row r="10" spans="2:17" ht="30" customHeight="1">
      <c r="B10" s="501" t="s">
        <v>1017</v>
      </c>
      <c r="C10" s="502"/>
      <c r="D10" s="503" t="s">
        <v>1018</v>
      </c>
      <c r="E10" s="504"/>
      <c r="F10" s="504"/>
      <c r="G10" s="504"/>
      <c r="H10" s="504"/>
      <c r="I10" s="504"/>
      <c r="J10" s="505"/>
      <c r="K10" s="506" t="s">
        <v>1019</v>
      </c>
      <c r="L10" s="583"/>
      <c r="M10" s="507"/>
      <c r="P10" s="37"/>
      <c r="Q10" s="37"/>
    </row>
    <row r="11" spans="2:17" ht="17.25" customHeight="1">
      <c r="B11" s="493" t="s">
        <v>1020</v>
      </c>
      <c r="C11" s="494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39">
        <v>6</v>
      </c>
      <c r="J11" s="40">
        <v>7</v>
      </c>
      <c r="K11" s="38">
        <v>1</v>
      </c>
      <c r="L11" s="39">
        <v>2</v>
      </c>
      <c r="M11" s="40">
        <v>3</v>
      </c>
      <c r="P11" s="37"/>
      <c r="Q11" s="37"/>
    </row>
    <row r="12" spans="2:17" ht="34.15" customHeight="1">
      <c r="B12" s="493"/>
      <c r="C12" s="494"/>
      <c r="D12" s="41" t="s">
        <v>345</v>
      </c>
      <c r="E12" s="42" t="s">
        <v>346</v>
      </c>
      <c r="F12" s="42" t="s">
        <v>347</v>
      </c>
      <c r="G12" s="42" t="s">
        <v>348</v>
      </c>
      <c r="H12" s="42" t="s">
        <v>349</v>
      </c>
      <c r="I12" s="42" t="s">
        <v>350</v>
      </c>
      <c r="J12" s="43" t="s">
        <v>351</v>
      </c>
      <c r="K12" s="41" t="s">
        <v>352</v>
      </c>
      <c r="L12" s="42" t="s">
        <v>353</v>
      </c>
      <c r="M12" s="43" t="s">
        <v>354</v>
      </c>
    </row>
    <row r="13" spans="2:17" ht="40.15" customHeight="1">
      <c r="B13" s="508" t="s">
        <v>1021</v>
      </c>
      <c r="C13" s="44" t="s">
        <v>1022</v>
      </c>
      <c r="D13" s="45">
        <f>SUMIFS('0818 4度C'!$K:$K,'0818 4度C'!$A:$A,"新豐6線",'0818 4度C'!$B:$B,"平均")</f>
        <v>117.64705882352941</v>
      </c>
      <c r="E13" s="46">
        <f>SUMIFS('0818 4度C'!$K:$K,'0818 4度C'!$A:$A,"新豐2線",'0818 4度C'!$B:$B,"平均")</f>
        <v>83.333333333333329</v>
      </c>
      <c r="F13" s="47">
        <f>SUMIFS('0818 4度C'!$K:$K,'0818 4度C'!$A:$A,"新豐5線",'0818 4度C'!$B:$B,"平均")</f>
        <v>93.220338983050837</v>
      </c>
      <c r="G13" s="47">
        <f>SUMIFS('0818 4度C'!$K:$K,'0818 4度C'!$A:$A,"新豐7線",'0818 4度C'!$B:$B,"平均")</f>
        <v>116.50485436893203</v>
      </c>
      <c r="H13" s="47">
        <f>SUMIFS('0818 4度C'!$K:$K,'0818 4度C'!$A:$A,"新豐3線",'0818 4度C'!$B:$B,"平均")</f>
        <v>300</v>
      </c>
      <c r="I13" s="47">
        <f>SUMIFS('0818 4度C'!$K:$K,'0818 4度C'!$A:$A,"新豐1線",'0818 4度C'!$B:$B,"平均")</f>
        <v>114.4578313253012</v>
      </c>
      <c r="J13" s="48">
        <f>SUMIFS('0818 4度C'!$K:$K,'0818 4度C'!$A:$A,"新豐10線",'0818 4度C'!$B:$B,"平均")</f>
        <v>254.09836065573774</v>
      </c>
      <c r="K13" s="49">
        <f>SUMIFS('0818 4度C'!$K:$K,'0818 4度C'!$A:$A,"新豐8線",'0818 4度C'!$B:$B,"平均")</f>
        <v>139.80582524271844</v>
      </c>
      <c r="L13" s="50">
        <f>SUMIFS('0818 4度C'!$K:$K,'0818 4度C'!$A:$A,"新豐9線",'0818 4度C'!$B:$B,"平均")</f>
        <v>128.57142857142856</v>
      </c>
      <c r="M13" s="48">
        <f>SUMIFS('0818 4度C'!$K:$K,'0818 4度C'!$A:$A,"新豐4線",'0818 4度C'!$B:$B,"平均")</f>
        <v>139.13043478260869</v>
      </c>
    </row>
    <row r="14" spans="2:17" ht="39.6" customHeight="1">
      <c r="B14" s="508"/>
      <c r="C14" s="51" t="s">
        <v>1023</v>
      </c>
      <c r="D14" s="52">
        <f>SUMIFS('0818 4度C'!$N:$N,'0818 4度C'!$A:$A,"新豐6線",'0818 4度C'!$B:$B,"平均")</f>
        <v>109.25138533674334</v>
      </c>
      <c r="E14" s="53">
        <f>SUMIFS('0818 4度C'!$N:$N,'0818 4度C'!$A:$A,"新豐2線",'0818 4度C'!$B:$B,"平均")</f>
        <v>76.988249921204954</v>
      </c>
      <c r="F14" s="53">
        <f>SUMIFS('0818 4度C'!$N:$N,'0818 4度C'!$A:$A,"新豐5線",'0818 4度C'!$B:$B,"平均")</f>
        <v>86.496683688364911</v>
      </c>
      <c r="G14" s="53">
        <f>SUMIFS('0818 4度C'!$N:$N,'0818 4度C'!$A:$A,"新豐7線",'0818 4度C'!$B:$B,"平均")</f>
        <v>108.34437139782487</v>
      </c>
      <c r="H14" s="53">
        <f>SUMIFS('0818 4度C'!$N:$N,'0818 4度C'!$A:$A,"新豐3線",'0818 4度C'!$B:$B,"平均")</f>
        <v>278.86035323401546</v>
      </c>
      <c r="I14" s="53">
        <f>SUMIFS('0818 4度C'!$N:$N,'0818 4度C'!$A:$A,"新豐1線",'0818 4度C'!$B:$B,"平均")</f>
        <v>106.1239868831357</v>
      </c>
      <c r="J14" s="54">
        <f>SUMIFS('0818 4度C'!$N:$N,'0818 4度C'!$A:$A,"新豐10線",'0818 4度C'!$B:$B,"平均")</f>
        <v>236.82959222242101</v>
      </c>
      <c r="K14" s="55">
        <f>SUMIFS('0818 4度C'!$N:$N,'0818 4度C'!$A:$A,"新豐8線",'0818 4度C'!$B:$B,"平均")</f>
        <v>129.55018094749522</v>
      </c>
      <c r="L14" s="56">
        <f>SUMIFS('0818 4度C'!$N:$N,'0818 4度C'!$A:$A,"新豐9線",'0818 4度C'!$B:$B,"平均")</f>
        <v>119.118396662569</v>
      </c>
      <c r="M14" s="54">
        <f>SUMIFS('0818 4度C'!$N:$N,'0818 4度C'!$A:$A,"新豐4線",'0818 4度C'!$B:$B,"平均")</f>
        <v>128.66781502993879</v>
      </c>
    </row>
    <row r="15" spans="2:17" ht="40.15" customHeight="1">
      <c r="B15" s="508"/>
      <c r="C15" s="57" t="s">
        <v>1024</v>
      </c>
      <c r="D15" s="58">
        <f>D14/D13</f>
        <v>0.92863677536231848</v>
      </c>
      <c r="E15" s="59">
        <f t="shared" ref="E15:M15" si="0">E14/E13</f>
        <v>0.92385899905445945</v>
      </c>
      <c r="F15" s="59">
        <f t="shared" si="0"/>
        <v>0.92787351592973277</v>
      </c>
      <c r="G15" s="59">
        <f t="shared" si="0"/>
        <v>0.92995585449799689</v>
      </c>
      <c r="H15" s="59">
        <f>H14/H13</f>
        <v>0.92953451078005156</v>
      </c>
      <c r="I15" s="59">
        <f>I14/I13</f>
        <v>0.92718851697897509</v>
      </c>
      <c r="J15" s="60">
        <f>J14/J13</f>
        <v>0.93203904035920515</v>
      </c>
      <c r="K15" s="58">
        <f>K14/K13</f>
        <v>0.92664365538833393</v>
      </c>
      <c r="L15" s="59">
        <f>L14/L13</f>
        <v>0.92647641848664786</v>
      </c>
      <c r="M15" s="60">
        <f t="shared" si="0"/>
        <v>0.92479992052768512</v>
      </c>
    </row>
    <row r="16" spans="2:17" ht="17.25" customHeight="1">
      <c r="B16" s="509" t="s">
        <v>1025</v>
      </c>
      <c r="C16" s="262" t="s">
        <v>1026</v>
      </c>
      <c r="D16" s="61">
        <f>VLOOKUP("新豐6線",'0818 4度C'!$A:$T,19,0)</f>
        <v>0.70833333333333337</v>
      </c>
      <c r="E16" s="24">
        <f>VLOOKUP("新豐2線",'0818 4度C'!$A:$T,19,0)</f>
        <v>0.125</v>
      </c>
      <c r="F16" s="24">
        <f>VLOOKUP("新豐5線",'0818 4度C'!$A:$T,19,0)</f>
        <v>0.25</v>
      </c>
      <c r="G16" s="24">
        <f>VLOOKUP("新豐7線",'0818 4度C'!$A:$T,19,0)</f>
        <v>0.20833333333333334</v>
      </c>
      <c r="H16" s="24">
        <f>VLOOKUP("新豐3線",'0818 4度C'!$A:$T,19,0)</f>
        <v>0.20833333333333334</v>
      </c>
      <c r="I16" s="24">
        <f>VLOOKUP("新豐1線",'0818 4度C'!$A:$T,19,0)</f>
        <v>0.29166666666666669</v>
      </c>
      <c r="J16" s="62">
        <f>VLOOKUP("新豐10線",'0818 4度C'!$A:$T,19,0)</f>
        <v>0.20833333333333334</v>
      </c>
      <c r="K16" s="63">
        <f>VLOOKUP("新豐8線",'0818 4度C'!$A:$T,19,0)</f>
        <v>0.125</v>
      </c>
      <c r="L16" s="64">
        <f>VLOOKUP("新豐9線",'0818 4度C'!$A:$T,19,0)</f>
        <v>0.125</v>
      </c>
      <c r="M16" s="65">
        <f>VLOOKUP("新豐4線",'0818 4度C'!$A:$T,19,0)</f>
        <v>0.125</v>
      </c>
    </row>
    <row r="17" spans="2:13" ht="17.25" customHeight="1">
      <c r="B17" s="493"/>
      <c r="C17" s="262" t="s">
        <v>1027</v>
      </c>
      <c r="D17" s="63">
        <f>LOOKUP(2,1/(('0818 4度C'!$A:$A="新豐6線")*('0818 4度C'!$T:$T&lt;&gt;"")),'0818 4度C'!$T:$T)</f>
        <v>0.8354166666666667</v>
      </c>
      <c r="E17" s="24">
        <f>LOOKUP(2,1/(('0818 4度C'!$A:$A="新豐2線")*('0818 4度C'!$T:$T&lt;&gt;"")),'0818 4度C'!$T:$T)</f>
        <v>0.68541666666666656</v>
      </c>
      <c r="F17" s="24">
        <f>LOOKUP(2,1/(('0818 4度C'!$A:$A="新豐5線")*('0818 4度C'!$T:$T&lt;&gt;"")),'0818 4度C'!$T:$T)</f>
        <v>0.84791666666666665</v>
      </c>
      <c r="G17" s="24">
        <f>LOOKUP(2,1/(('0818 4度C'!$A:$A="新豐7線")*('0818 4度C'!$T:$T&lt;&gt;"")),'0818 4度C'!$T:$T)</f>
        <v>0.81666666666666665</v>
      </c>
      <c r="H17" s="24">
        <f>LOOKUP(2,1/(('0818 4度C'!$A:$A="新豐3線")*('0818 4度C'!$T:$T&lt;&gt;"")),'0818 4度C'!$T:$T)</f>
        <v>0.63402777777777763</v>
      </c>
      <c r="I17" s="24">
        <f>LOOKUP(2,1/(('0818 4度C'!$A:$A="新豐1線")*('0818 4度C'!$T:$T&lt;&gt;"")),'0818 4度C'!$T:$T)</f>
        <v>0.8486111111111112</v>
      </c>
      <c r="J17" s="62">
        <f>LOOKUP(2,1/(('0818 4度C'!$A:$A="新豐10線")*('0818 4度C'!$T:$T&lt;&gt;"")),'0818 4度C'!$T:$T)</f>
        <v>0.49722222222222218</v>
      </c>
      <c r="K17" s="61">
        <f>LOOKUP(2,1/(('0818 4度C'!$A:$A="新豐8線")*('0818 4度C'!$T:$T&lt;&gt;"")),'0818 4度C'!$T:$T)</f>
        <v>0.6826388888888888</v>
      </c>
      <c r="L17" s="24">
        <f>LOOKUP(2,1/(('0818 4度C'!$A:$A="新豐9線")*('0818 4度C'!$T:$T&lt;&gt;"")),'0818 4度C'!$T:$T)</f>
        <v>0.6201388888888888</v>
      </c>
      <c r="M17" s="62">
        <f>LOOKUP(2,1/(('0818 4度C'!$A:$A="新豐4線")*('0818 4度C'!$T:$T&lt;&gt;"")),'0818 4度C'!$T:$T)</f>
        <v>0.74861111111111089</v>
      </c>
    </row>
    <row r="18" spans="2:13" ht="17.25" customHeight="1">
      <c r="B18" s="493" t="s">
        <v>1028</v>
      </c>
      <c r="C18" s="494"/>
      <c r="D18" s="66">
        <f>SUMIFS('0818 4度C'!$I:$I,'0818 4度C'!$A:$A,"新豐6線",'0818 4度C'!$B:$B,"平均")</f>
        <v>17</v>
      </c>
      <c r="E18" s="67">
        <f>SUMIFS('0818 4度C'!$I:$I,'0818 4度C'!$A:$A,"新豐2線",'0818 4度C'!$B:$B,"平均")</f>
        <v>18</v>
      </c>
      <c r="F18" s="67">
        <f>SUMIFS('0818 4度C'!$I:$I,'0818 4度C'!$A:$A,"新豐5線",'0818 4度C'!$B:$B,"平均")</f>
        <v>19.666666666666668</v>
      </c>
      <c r="G18" s="67">
        <f>SUMIFS('0818 4度C'!$I:$I,'0818 4度C'!$A:$A,"新豐7線",'0818 4度C'!$B:$B,"平均")</f>
        <v>17.166666666666668</v>
      </c>
      <c r="H18" s="67">
        <f>SUMIFS('0818 4度C'!$I:$I,'0818 4度C'!$A:$A,"新豐3線",'0818 4度C'!$B:$B,"平均")</f>
        <v>10</v>
      </c>
      <c r="I18" s="67">
        <f>SUMIFS('0818 4度C'!$I:$I,'0818 4度C'!$A:$A,"新豐1線",'0818 4度C'!$B:$B,"平均")</f>
        <v>16.600000000000001</v>
      </c>
      <c r="J18" s="68">
        <f>SUMIFS('0818 4度C'!$I:$I,'0818 4度C'!$A:$A,"新豐10線",'0818 4度C'!$B:$B,"平均")</f>
        <v>10.166666666666666</v>
      </c>
      <c r="K18" s="66">
        <f>SUMIFS('0818 4度C'!$I:$I,'0818 4度C'!$A:$A,"新豐8線",'0818 4度C'!$B:$B,"平均")</f>
        <v>17.166666666666668</v>
      </c>
      <c r="L18" s="67">
        <f>SUMIFS('0818 4度C'!$I:$I,'0818 4度C'!$A:$A,"新豐9線",'0818 4度C'!$B:$B,"平均")</f>
        <v>18.666666666666668</v>
      </c>
      <c r="M18" s="68">
        <f>SUMIFS('0818 4度C'!$I:$I,'0818 4度C'!$A:$A,"新豐4線",'0818 4度C'!$B:$B,"平均")</f>
        <v>17.25</v>
      </c>
    </row>
    <row r="19" spans="2:13" ht="17.25" customHeight="1">
      <c r="B19" s="495" t="s">
        <v>1029</v>
      </c>
      <c r="C19" s="496"/>
      <c r="D19" s="69" t="s">
        <v>46</v>
      </c>
      <c r="E19" s="70" t="s">
        <v>47</v>
      </c>
      <c r="F19" s="70" t="s">
        <v>1030</v>
      </c>
      <c r="G19" s="70" t="s">
        <v>1030</v>
      </c>
      <c r="H19" s="70" t="s">
        <v>48</v>
      </c>
      <c r="I19" s="70" t="s">
        <v>46</v>
      </c>
      <c r="J19" s="71" t="s">
        <v>48</v>
      </c>
      <c r="K19" s="69" t="s">
        <v>1031</v>
      </c>
      <c r="L19" s="70" t="s">
        <v>1032</v>
      </c>
      <c r="M19" s="71" t="s">
        <v>1031</v>
      </c>
    </row>
    <row r="20" spans="2:13" ht="17.25" customHeight="1">
      <c r="B20" s="495" t="s">
        <v>1033</v>
      </c>
      <c r="C20" s="496"/>
      <c r="D20" s="69"/>
      <c r="E20" s="70"/>
      <c r="F20" s="70" t="s">
        <v>1034</v>
      </c>
      <c r="G20" s="70" t="s">
        <v>46</v>
      </c>
      <c r="H20" s="70"/>
      <c r="I20" s="70"/>
      <c r="J20" s="71"/>
      <c r="K20" s="69"/>
      <c r="L20" s="70"/>
      <c r="M20" s="71"/>
    </row>
    <row r="21" spans="2:13" ht="17.25" customHeight="1" thickBot="1">
      <c r="B21" s="497" t="s">
        <v>1035</v>
      </c>
      <c r="C21" s="498"/>
      <c r="D21" s="72"/>
      <c r="E21" s="73" t="s">
        <v>1036</v>
      </c>
      <c r="F21" s="499" t="s">
        <v>1037</v>
      </c>
      <c r="G21" s="500"/>
      <c r="H21" s="73" t="s">
        <v>1038</v>
      </c>
      <c r="I21" s="73" t="s">
        <v>1039</v>
      </c>
      <c r="J21" s="74" t="s">
        <v>1038</v>
      </c>
      <c r="K21" s="75"/>
      <c r="L21" s="73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102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6">
    <pageSetUpPr fitToPage="1"/>
  </sheetPr>
  <dimension ref="A1:AC69"/>
  <sheetViews>
    <sheetView zoomScale="80" zoomScaleNormal="80" workbookViewId="0">
      <pane ySplit="4" topLeftCell="A35" activePane="bottomLeft" state="frozen"/>
      <selection activeCell="AO33" activeCellId="2" sqref="AO26 AO28:AO31 AO33:AO35"/>
      <selection pane="bottomLeft" activeCell="B42" sqref="B42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20" customWidth="1"/>
    <col min="10" max="10" width="10.625" style="20" customWidth="1"/>
    <col min="11" max="11" width="14.625" style="5" customWidth="1"/>
    <col min="12" max="12" width="7.25" style="20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112</v>
      </c>
      <c r="B1" s="1"/>
      <c r="C1" s="2" t="s">
        <v>969</v>
      </c>
      <c r="D1" s="3">
        <f>SUM(F5:F68)</f>
        <v>169838</v>
      </c>
      <c r="E1" s="266" t="s">
        <v>970</v>
      </c>
      <c r="F1" s="1">
        <f>SUM(G5:G68)</f>
        <v>5701317.8199999994</v>
      </c>
      <c r="G1" s="1" t="s">
        <v>153</v>
      </c>
      <c r="H1" s="4">
        <f>L8+L13+L46+L52+L17+L59+L31+L38+L24+L68</f>
        <v>161.68333333333334</v>
      </c>
      <c r="I1" s="572" t="s">
        <v>114</v>
      </c>
      <c r="J1" s="572"/>
      <c r="K1" s="572"/>
      <c r="L1" s="572" t="s">
        <v>154</v>
      </c>
      <c r="M1" s="572"/>
      <c r="N1" s="572"/>
      <c r="O1" s="572" t="s">
        <v>97</v>
      </c>
      <c r="P1" s="572"/>
      <c r="Q1" s="572"/>
      <c r="R1" s="572"/>
      <c r="S1" s="572" t="s">
        <v>971</v>
      </c>
      <c r="T1" s="572"/>
      <c r="U1" s="572"/>
      <c r="V1" s="572"/>
      <c r="W1" s="572"/>
      <c r="X1" s="572"/>
      <c r="Y1" s="572" t="s">
        <v>972</v>
      </c>
      <c r="Z1" s="572"/>
      <c r="AA1" s="572" t="s">
        <v>155</v>
      </c>
      <c r="AB1" s="573"/>
      <c r="AC1" s="573"/>
    </row>
    <row r="2" spans="1:29" ht="26.25" customHeight="1">
      <c r="A2" s="22">
        <v>45887</v>
      </c>
      <c r="B2" s="23" t="s">
        <v>280</v>
      </c>
      <c r="C2" s="2" t="s">
        <v>973</v>
      </c>
      <c r="D2" s="6">
        <f>AVERAGE(N8,N13,N46,N52,N17,N59,N24,N31,N38,N68)</f>
        <v>138.02310153237133</v>
      </c>
      <c r="E2" s="7" t="s">
        <v>0</v>
      </c>
      <c r="F2" s="8">
        <f>F1/D1</f>
        <v>33.569153075283502</v>
      </c>
      <c r="G2" s="1" t="s">
        <v>117</v>
      </c>
      <c r="H2" s="263">
        <f>COUNT(H5:H68)</f>
        <v>6</v>
      </c>
      <c r="I2" s="572"/>
      <c r="J2" s="572"/>
      <c r="K2" s="572"/>
      <c r="L2" s="572"/>
      <c r="M2" s="572"/>
      <c r="N2" s="572"/>
      <c r="O2" s="572"/>
      <c r="P2" s="572"/>
      <c r="Q2" s="572"/>
      <c r="R2" s="572"/>
      <c r="S2" s="572"/>
      <c r="T2" s="572"/>
      <c r="U2" s="572"/>
      <c r="V2" s="572"/>
      <c r="W2" s="572"/>
      <c r="X2" s="572"/>
      <c r="Y2" s="572"/>
      <c r="Z2" s="572"/>
      <c r="AA2" s="573"/>
      <c r="AB2" s="573"/>
      <c r="AC2" s="573"/>
    </row>
    <row r="3" spans="1:29" ht="23.25" customHeight="1">
      <c r="A3" s="528" t="s">
        <v>974</v>
      </c>
      <c r="B3" s="528" t="s">
        <v>118</v>
      </c>
      <c r="C3" s="528" t="s">
        <v>975</v>
      </c>
      <c r="D3" s="528"/>
      <c r="E3" s="570" t="s">
        <v>157</v>
      </c>
      <c r="F3" s="528" t="s">
        <v>976</v>
      </c>
      <c r="G3" s="570" t="s">
        <v>158</v>
      </c>
      <c r="H3" s="563" t="s">
        <v>99</v>
      </c>
      <c r="I3" s="561" t="s">
        <v>977</v>
      </c>
      <c r="J3" s="566" t="s">
        <v>978</v>
      </c>
      <c r="K3" s="568" t="s">
        <v>116</v>
      </c>
      <c r="L3" s="561" t="s">
        <v>979</v>
      </c>
      <c r="M3" s="566" t="s">
        <v>100</v>
      </c>
      <c r="N3" s="568" t="s">
        <v>973</v>
      </c>
      <c r="O3" s="561" t="s">
        <v>980</v>
      </c>
      <c r="P3" s="568" t="s">
        <v>973</v>
      </c>
      <c r="Q3" s="567" t="s">
        <v>981</v>
      </c>
      <c r="R3" s="542" t="s">
        <v>86</v>
      </c>
      <c r="S3" s="569" t="s">
        <v>1</v>
      </c>
      <c r="T3" s="569"/>
      <c r="U3" s="563" t="s">
        <v>2</v>
      </c>
      <c r="V3" s="563" t="s">
        <v>982</v>
      </c>
      <c r="W3" s="528" t="s">
        <v>983</v>
      </c>
      <c r="X3" s="528"/>
      <c r="Y3" s="564" t="s">
        <v>161</v>
      </c>
      <c r="Z3" s="565"/>
      <c r="AA3" s="566" t="s">
        <v>100</v>
      </c>
      <c r="AB3" s="567" t="s">
        <v>159</v>
      </c>
      <c r="AC3" s="542" t="s">
        <v>86</v>
      </c>
    </row>
    <row r="4" spans="1:29">
      <c r="A4" s="528"/>
      <c r="B4" s="528"/>
      <c r="C4" s="528"/>
      <c r="D4" s="528"/>
      <c r="E4" s="571"/>
      <c r="F4" s="528"/>
      <c r="G4" s="571"/>
      <c r="H4" s="563"/>
      <c r="I4" s="561"/>
      <c r="J4" s="566"/>
      <c r="K4" s="568"/>
      <c r="L4" s="561"/>
      <c r="M4" s="566"/>
      <c r="N4" s="568"/>
      <c r="O4" s="561"/>
      <c r="P4" s="568"/>
      <c r="Q4" s="567"/>
      <c r="R4" s="542"/>
      <c r="S4" s="264" t="s">
        <v>3</v>
      </c>
      <c r="T4" s="264" t="s">
        <v>4</v>
      </c>
      <c r="U4" s="563"/>
      <c r="V4" s="563"/>
      <c r="W4" s="266" t="s">
        <v>103</v>
      </c>
      <c r="X4" s="266" t="s">
        <v>984</v>
      </c>
      <c r="Y4" s="565"/>
      <c r="Z4" s="565"/>
      <c r="AA4" s="566"/>
      <c r="AB4" s="567"/>
      <c r="AC4" s="542"/>
    </row>
    <row r="5" spans="1:29">
      <c r="A5" s="560" t="s">
        <v>985</v>
      </c>
      <c r="B5" s="26" t="s">
        <v>13</v>
      </c>
      <c r="C5" s="562" t="s">
        <v>53</v>
      </c>
      <c r="D5" s="562"/>
      <c r="E5" s="26">
        <v>46.93</v>
      </c>
      <c r="F5" s="264">
        <v>983</v>
      </c>
      <c r="G5" s="266">
        <f>E5*F5</f>
        <v>46132.19</v>
      </c>
      <c r="H5" s="265" t="s">
        <v>52</v>
      </c>
      <c r="I5" s="275">
        <v>17</v>
      </c>
      <c r="J5" s="18">
        <v>2000</v>
      </c>
      <c r="K5" s="9">
        <f>J5/I5</f>
        <v>117.64705882352941</v>
      </c>
      <c r="L5" s="275">
        <v>17</v>
      </c>
      <c r="M5" s="10">
        <f>F5/V5*60</f>
        <v>1843.1249999999975</v>
      </c>
      <c r="N5" s="9">
        <f>M5/L5</f>
        <v>108.41911764705867</v>
      </c>
      <c r="O5" s="11">
        <f t="shared" ref="O5:O7" si="0">L5-I5</f>
        <v>0</v>
      </c>
      <c r="P5" s="12">
        <f t="shared" ref="P5:P7" si="1">N5-K5</f>
        <v>-9.2279411764707362</v>
      </c>
      <c r="Q5" s="267">
        <f>N5/K5</f>
        <v>0.92156249999999873</v>
      </c>
      <c r="R5" s="533">
        <f>Q8</f>
        <v>0.92863677536231848</v>
      </c>
      <c r="S5" s="24">
        <v>0.70833333333333337</v>
      </c>
      <c r="T5" s="24">
        <v>0.73055555555555562</v>
      </c>
      <c r="U5" s="266"/>
      <c r="V5" s="270">
        <f>(T5-S5)*24*60</f>
        <v>32.000000000000043</v>
      </c>
      <c r="W5" s="14"/>
      <c r="X5" s="13"/>
      <c r="Y5" s="528"/>
      <c r="Z5" s="528"/>
      <c r="AA5" s="11">
        <f t="shared" ref="AA5:AA68" si="2">M5-J5</f>
        <v>-156.8750000000025</v>
      </c>
      <c r="AB5" s="267">
        <f t="shared" ref="AB5:AB7" si="3">M5/J5</f>
        <v>0.92156249999999873</v>
      </c>
      <c r="AC5" s="533">
        <f>AB8</f>
        <v>0.92863677536231837</v>
      </c>
    </row>
    <row r="6" spans="1:29">
      <c r="A6" s="561" t="s">
        <v>986</v>
      </c>
      <c r="B6" s="26" t="s">
        <v>13</v>
      </c>
      <c r="C6" s="562" t="s">
        <v>55</v>
      </c>
      <c r="D6" s="562"/>
      <c r="E6" s="26">
        <v>50.49</v>
      </c>
      <c r="F6" s="264">
        <v>2149</v>
      </c>
      <c r="G6" s="266">
        <f t="shared" ref="G6:G7" si="4">E6*F6</f>
        <v>108503.01000000001</v>
      </c>
      <c r="H6" s="265" t="s">
        <v>52</v>
      </c>
      <c r="I6" s="275">
        <v>16</v>
      </c>
      <c r="J6" s="18">
        <v>2000</v>
      </c>
      <c r="K6" s="9">
        <f t="shared" ref="K6:K7" si="5">J6/I6</f>
        <v>125</v>
      </c>
      <c r="L6" s="275">
        <v>16</v>
      </c>
      <c r="M6" s="10">
        <f>F6/V6*60</f>
        <v>1868.695652173911</v>
      </c>
      <c r="N6" s="9">
        <f t="shared" ref="N6:N7" si="6">M6/L6</f>
        <v>116.79347826086943</v>
      </c>
      <c r="O6" s="11">
        <f t="shared" si="0"/>
        <v>0</v>
      </c>
      <c r="P6" s="12">
        <f t="shared" si="1"/>
        <v>-8.2065217391305652</v>
      </c>
      <c r="Q6" s="267">
        <f t="shared" ref="Q6:Q7" si="7">N6/K6</f>
        <v>0.93434782608695544</v>
      </c>
      <c r="R6" s="533"/>
      <c r="S6" s="24">
        <v>0.73541666666666672</v>
      </c>
      <c r="T6" s="24">
        <v>0.78333333333333344</v>
      </c>
      <c r="U6" s="266">
        <f>(S6-T5)*24*60</f>
        <v>6.9999999999999751</v>
      </c>
      <c r="V6" s="270">
        <f>(T6-S6)*24*60</f>
        <v>69.000000000000071</v>
      </c>
      <c r="W6" s="14"/>
      <c r="X6" s="14"/>
      <c r="Y6" s="528"/>
      <c r="Z6" s="528"/>
      <c r="AA6" s="11">
        <f t="shared" si="2"/>
        <v>-131.30434782608904</v>
      </c>
      <c r="AB6" s="267">
        <f t="shared" si="3"/>
        <v>0.93434782608695544</v>
      </c>
      <c r="AC6" s="533"/>
    </row>
    <row r="7" spans="1:29">
      <c r="A7" s="561" t="s">
        <v>366</v>
      </c>
      <c r="B7" s="26" t="s">
        <v>13</v>
      </c>
      <c r="C7" s="558" t="s">
        <v>76</v>
      </c>
      <c r="D7" s="559"/>
      <c r="E7" s="26">
        <v>50.67</v>
      </c>
      <c r="F7" s="264">
        <v>2108</v>
      </c>
      <c r="G7" s="266">
        <f t="shared" si="4"/>
        <v>106812.36</v>
      </c>
      <c r="H7" s="265" t="s">
        <v>52</v>
      </c>
      <c r="I7" s="275">
        <v>18</v>
      </c>
      <c r="J7" s="18">
        <v>2000</v>
      </c>
      <c r="K7" s="9">
        <f t="shared" si="5"/>
        <v>111.11111111111111</v>
      </c>
      <c r="L7" s="275">
        <v>18</v>
      </c>
      <c r="M7" s="10">
        <f t="shared" ref="M7" si="8">F7/V7*60</f>
        <v>1860.0000000000023</v>
      </c>
      <c r="N7" s="9">
        <f t="shared" si="6"/>
        <v>103.33333333333346</v>
      </c>
      <c r="O7" s="11">
        <f t="shared" si="0"/>
        <v>0</v>
      </c>
      <c r="P7" s="12">
        <f t="shared" si="1"/>
        <v>-7.7777777777776578</v>
      </c>
      <c r="Q7" s="267">
        <f t="shared" si="7"/>
        <v>0.93000000000000105</v>
      </c>
      <c r="R7" s="533"/>
      <c r="S7" s="24">
        <v>0.78819444444444453</v>
      </c>
      <c r="T7" s="24">
        <v>0.8354166666666667</v>
      </c>
      <c r="U7" s="266">
        <f t="shared" ref="U7" si="9">(S7-T6)*24*60</f>
        <v>6.9999999999999751</v>
      </c>
      <c r="V7" s="270">
        <f t="shared" ref="V7" si="10">(T7-S7)*24*60</f>
        <v>67.999999999999915</v>
      </c>
      <c r="W7" s="14"/>
      <c r="X7" s="14"/>
      <c r="Y7" s="536"/>
      <c r="Z7" s="537"/>
      <c r="AA7" s="11">
        <f t="shared" si="2"/>
        <v>-139.99999999999773</v>
      </c>
      <c r="AB7" s="267">
        <f t="shared" si="3"/>
        <v>0.93000000000000116</v>
      </c>
      <c r="AC7" s="533"/>
    </row>
    <row r="8" spans="1:29">
      <c r="A8" s="561" t="s">
        <v>987</v>
      </c>
      <c r="B8" s="26" t="s">
        <v>82</v>
      </c>
      <c r="C8" s="530"/>
      <c r="D8" s="530"/>
      <c r="E8" s="271"/>
      <c r="F8" s="16"/>
      <c r="G8" s="9"/>
      <c r="H8" s="264"/>
      <c r="I8" s="17">
        <v>17</v>
      </c>
      <c r="J8" s="18">
        <v>2000</v>
      </c>
      <c r="K8" s="9">
        <f>J8/I8</f>
        <v>117.64705882352941</v>
      </c>
      <c r="L8" s="17">
        <v>17</v>
      </c>
      <c r="M8" s="10">
        <f>AVERAGE(M5:M7)</f>
        <v>1857.2735507246368</v>
      </c>
      <c r="N8" s="9">
        <f>M8/L8</f>
        <v>109.25138533674334</v>
      </c>
      <c r="O8" s="11">
        <f>L8-I8</f>
        <v>0</v>
      </c>
      <c r="P8" s="12">
        <f>N8-K8</f>
        <v>-8.3956734867860661</v>
      </c>
      <c r="Q8" s="267">
        <f>N8/K8</f>
        <v>0.92863677536231848</v>
      </c>
      <c r="R8" s="533"/>
      <c r="S8" s="24"/>
      <c r="T8" s="24"/>
      <c r="U8" s="266"/>
      <c r="V8" s="270"/>
      <c r="W8" s="9"/>
      <c r="X8" s="9"/>
      <c r="Y8" s="528"/>
      <c r="Z8" s="528"/>
      <c r="AA8" s="11">
        <f t="shared" si="2"/>
        <v>-142.72644927536317</v>
      </c>
      <c r="AB8" s="267">
        <f>M8/J8</f>
        <v>0.92863677536231837</v>
      </c>
      <c r="AC8" s="533"/>
    </row>
    <row r="9" spans="1:29" ht="15.75" customHeight="1">
      <c r="A9" s="531" t="s">
        <v>369</v>
      </c>
      <c r="B9" s="26" t="s">
        <v>15</v>
      </c>
      <c r="C9" s="558" t="s">
        <v>16</v>
      </c>
      <c r="D9" s="559"/>
      <c r="E9" s="26">
        <v>39.619999999999997</v>
      </c>
      <c r="F9" s="264">
        <v>5145</v>
      </c>
      <c r="G9" s="266">
        <f t="shared" ref="G9:G12" si="11">E9*F9</f>
        <v>203844.9</v>
      </c>
      <c r="H9" s="265" t="s">
        <v>52</v>
      </c>
      <c r="I9" s="275">
        <v>19</v>
      </c>
      <c r="J9" s="18">
        <v>1500</v>
      </c>
      <c r="K9" s="9">
        <f t="shared" ref="K9:K12" si="12">J9/I9</f>
        <v>78.94736842105263</v>
      </c>
      <c r="L9" s="275">
        <v>19</v>
      </c>
      <c r="M9" s="10">
        <f t="shared" ref="M9:M12" si="13">F9/V9*60</f>
        <v>1384.3049327354261</v>
      </c>
      <c r="N9" s="9">
        <f t="shared" ref="N9:N12" si="14">M9/L9</f>
        <v>72.858154354496108</v>
      </c>
      <c r="O9" s="11">
        <f t="shared" ref="O9:O12" si="15">L9-I9</f>
        <v>0</v>
      </c>
      <c r="P9" s="12">
        <f>N9-K9</f>
        <v>-6.0892140665565222</v>
      </c>
      <c r="Q9" s="267">
        <f>N9/K9</f>
        <v>0.92286995515695069</v>
      </c>
      <c r="R9" s="533">
        <f>Q13</f>
        <v>0.92385899905445945</v>
      </c>
      <c r="S9" s="24">
        <v>0.125</v>
      </c>
      <c r="T9" s="24">
        <v>0.27986111111111112</v>
      </c>
      <c r="U9" s="266"/>
      <c r="V9" s="270">
        <f t="shared" ref="V9:V12" si="16">(T9-S9)*24*60</f>
        <v>223</v>
      </c>
      <c r="W9" s="14">
        <f>T9</f>
        <v>0.27986111111111112</v>
      </c>
      <c r="X9" s="14">
        <f>S10</f>
        <v>0.29930555555555555</v>
      </c>
      <c r="Y9" s="528"/>
      <c r="Z9" s="528"/>
      <c r="AA9" s="11">
        <f t="shared" si="2"/>
        <v>-115.69506726457394</v>
      </c>
      <c r="AB9" s="267">
        <f>M9/J9</f>
        <v>0.92286995515695069</v>
      </c>
      <c r="AC9" s="533">
        <f>AB13</f>
        <v>0.92385899905445934</v>
      </c>
    </row>
    <row r="10" spans="1:29" ht="15.75" customHeight="1">
      <c r="A10" s="531" t="s">
        <v>369</v>
      </c>
      <c r="B10" s="26" t="s">
        <v>15</v>
      </c>
      <c r="C10" s="558" t="s">
        <v>17</v>
      </c>
      <c r="D10" s="559"/>
      <c r="E10" s="26">
        <v>39.799999999999997</v>
      </c>
      <c r="F10" s="264">
        <v>2700</v>
      </c>
      <c r="G10" s="266">
        <f t="shared" si="11"/>
        <v>107459.99999999999</v>
      </c>
      <c r="H10" s="265">
        <v>2</v>
      </c>
      <c r="I10" s="275">
        <v>17</v>
      </c>
      <c r="J10" s="18">
        <v>1500</v>
      </c>
      <c r="K10" s="9">
        <f t="shared" si="12"/>
        <v>88.235294117647058</v>
      </c>
      <c r="L10" s="275">
        <v>17</v>
      </c>
      <c r="M10" s="10">
        <f t="shared" si="13"/>
        <v>1384.6153846153848</v>
      </c>
      <c r="N10" s="9">
        <f t="shared" si="14"/>
        <v>81.447963800904986</v>
      </c>
      <c r="O10" s="11">
        <f t="shared" si="15"/>
        <v>0</v>
      </c>
      <c r="P10" s="12">
        <f t="shared" ref="P10:P12" si="17">N10-K10</f>
        <v>-6.7873303167420715</v>
      </c>
      <c r="Q10" s="267">
        <f t="shared" ref="Q10:Q12" si="18">N10/K10</f>
        <v>0.92307692307692324</v>
      </c>
      <c r="R10" s="533"/>
      <c r="S10" s="24">
        <v>0.29930555555555555</v>
      </c>
      <c r="T10" s="24">
        <v>0.38055555555555554</v>
      </c>
      <c r="U10" s="266">
        <f>(S10-T9)*24*60</f>
        <v>27.999999999999979</v>
      </c>
      <c r="V10" s="270">
        <f t="shared" si="16"/>
        <v>116.99999999999999</v>
      </c>
      <c r="W10" s="14"/>
      <c r="X10" s="14"/>
      <c r="Y10" s="528"/>
      <c r="Z10" s="528"/>
      <c r="AA10" s="11">
        <f t="shared" si="2"/>
        <v>-115.38461538461524</v>
      </c>
      <c r="AB10" s="267">
        <f t="shared" ref="AB10:AB24" si="19">M10/J10</f>
        <v>0.92307692307692313</v>
      </c>
      <c r="AC10" s="533"/>
    </row>
    <row r="11" spans="1:29" ht="15.75" customHeight="1">
      <c r="A11" s="531" t="s">
        <v>369</v>
      </c>
      <c r="B11" s="26" t="s">
        <v>15</v>
      </c>
      <c r="C11" s="558" t="s">
        <v>80</v>
      </c>
      <c r="D11" s="559"/>
      <c r="E11" s="26">
        <v>39.29</v>
      </c>
      <c r="F11" s="264">
        <v>4166</v>
      </c>
      <c r="G11" s="266">
        <f t="shared" si="11"/>
        <v>163682.13999999998</v>
      </c>
      <c r="H11" s="265" t="s">
        <v>52</v>
      </c>
      <c r="I11" s="275">
        <v>19</v>
      </c>
      <c r="J11" s="18">
        <v>1500</v>
      </c>
      <c r="K11" s="9">
        <f t="shared" si="12"/>
        <v>78.94736842105263</v>
      </c>
      <c r="L11" s="275">
        <v>19</v>
      </c>
      <c r="M11" s="10">
        <f t="shared" si="13"/>
        <v>1388.6666666666667</v>
      </c>
      <c r="N11" s="9">
        <f t="shared" si="14"/>
        <v>73.087719298245617</v>
      </c>
      <c r="O11" s="11">
        <f t="shared" si="15"/>
        <v>0</v>
      </c>
      <c r="P11" s="12">
        <f t="shared" si="17"/>
        <v>-5.8596491228070136</v>
      </c>
      <c r="Q11" s="267">
        <f t="shared" si="18"/>
        <v>0.92577777777777781</v>
      </c>
      <c r="R11" s="533"/>
      <c r="S11" s="24">
        <v>0.38472222222222219</v>
      </c>
      <c r="T11" s="24">
        <v>0.50972222222222219</v>
      </c>
      <c r="U11" s="266">
        <f t="shared" ref="U11:U12" si="20">(S11-T10)*24*60</f>
        <v>5.9999999999999787</v>
      </c>
      <c r="V11" s="270">
        <f t="shared" si="16"/>
        <v>180</v>
      </c>
      <c r="W11" s="14">
        <f>T11</f>
        <v>0.50972222222222219</v>
      </c>
      <c r="X11" s="14">
        <f>S12</f>
        <v>0.55069444444444438</v>
      </c>
      <c r="Y11" s="528"/>
      <c r="Z11" s="528"/>
      <c r="AA11" s="11">
        <f t="shared" si="2"/>
        <v>-111.33333333333326</v>
      </c>
      <c r="AB11" s="267">
        <f t="shared" si="19"/>
        <v>0.92577777777777781</v>
      </c>
      <c r="AC11" s="533"/>
    </row>
    <row r="12" spans="1:29" ht="15.75" customHeight="1">
      <c r="A12" s="531" t="s">
        <v>369</v>
      </c>
      <c r="B12" s="26" t="s">
        <v>15</v>
      </c>
      <c r="C12" s="558" t="s">
        <v>17</v>
      </c>
      <c r="D12" s="559"/>
      <c r="E12" s="26">
        <v>39.799999999999997</v>
      </c>
      <c r="F12" s="264">
        <v>4480</v>
      </c>
      <c r="G12" s="266">
        <f t="shared" si="11"/>
        <v>178304</v>
      </c>
      <c r="H12" s="265" t="s">
        <v>52</v>
      </c>
      <c r="I12" s="275">
        <v>17</v>
      </c>
      <c r="J12" s="18">
        <v>1500</v>
      </c>
      <c r="K12" s="9">
        <f t="shared" si="12"/>
        <v>88.235294117647058</v>
      </c>
      <c r="L12" s="275">
        <v>17</v>
      </c>
      <c r="M12" s="10">
        <f t="shared" si="13"/>
        <v>1385.5670103092787</v>
      </c>
      <c r="N12" s="9">
        <f t="shared" si="14"/>
        <v>81.50394178289875</v>
      </c>
      <c r="O12" s="11">
        <f t="shared" si="15"/>
        <v>0</v>
      </c>
      <c r="P12" s="12">
        <f t="shared" si="17"/>
        <v>-6.7313523347483084</v>
      </c>
      <c r="Q12" s="267">
        <f t="shared" si="18"/>
        <v>0.92371134020618584</v>
      </c>
      <c r="R12" s="533"/>
      <c r="S12" s="24">
        <v>0.55069444444444438</v>
      </c>
      <c r="T12" s="24">
        <v>0.68541666666666656</v>
      </c>
      <c r="U12" s="266">
        <f t="shared" si="20"/>
        <v>58.99999999999995</v>
      </c>
      <c r="V12" s="270">
        <f t="shared" si="16"/>
        <v>193.99999999999994</v>
      </c>
      <c r="W12" s="14"/>
      <c r="X12" s="14"/>
      <c r="Y12" s="528"/>
      <c r="Z12" s="528"/>
      <c r="AA12" s="11">
        <f t="shared" si="2"/>
        <v>-114.43298969072134</v>
      </c>
      <c r="AB12" s="267">
        <f t="shared" si="19"/>
        <v>0.92371134020618573</v>
      </c>
      <c r="AC12" s="533"/>
    </row>
    <row r="13" spans="1:29" ht="16.5" customHeight="1">
      <c r="A13" s="531" t="s">
        <v>369</v>
      </c>
      <c r="B13" s="26" t="s">
        <v>82</v>
      </c>
      <c r="C13" s="530"/>
      <c r="D13" s="530"/>
      <c r="E13" s="271"/>
      <c r="F13" s="18"/>
      <c r="G13" s="10"/>
      <c r="H13" s="264"/>
      <c r="I13" s="17">
        <v>18</v>
      </c>
      <c r="J13" s="18">
        <v>1500</v>
      </c>
      <c r="K13" s="9">
        <f>J13/I13</f>
        <v>83.333333333333329</v>
      </c>
      <c r="L13" s="17">
        <v>18</v>
      </c>
      <c r="M13" s="10">
        <f>AVERAGE(M9:M12)</f>
        <v>1385.7884985816891</v>
      </c>
      <c r="N13" s="9">
        <f>M13/L13</f>
        <v>76.988249921204954</v>
      </c>
      <c r="O13" s="11">
        <f>L13-I13</f>
        <v>0</v>
      </c>
      <c r="P13" s="12">
        <f>N13-K13</f>
        <v>-6.3450834121283748</v>
      </c>
      <c r="Q13" s="267">
        <f>N13/K13</f>
        <v>0.92385899905445945</v>
      </c>
      <c r="R13" s="533"/>
      <c r="S13" s="24"/>
      <c r="T13" s="24"/>
      <c r="U13" s="9"/>
      <c r="V13" s="270"/>
      <c r="W13" s="9"/>
      <c r="X13" s="9"/>
      <c r="Y13" s="528"/>
      <c r="Z13" s="528"/>
      <c r="AA13" s="11">
        <f t="shared" si="2"/>
        <v>-114.21150141831095</v>
      </c>
      <c r="AB13" s="267">
        <f t="shared" si="19"/>
        <v>0.92385899905445934</v>
      </c>
      <c r="AC13" s="533"/>
    </row>
    <row r="14" spans="1:29" ht="16.5" customHeight="1">
      <c r="A14" s="556" t="s">
        <v>373</v>
      </c>
      <c r="B14" s="264" t="s">
        <v>21</v>
      </c>
      <c r="C14" s="552" t="s">
        <v>19</v>
      </c>
      <c r="D14" s="552"/>
      <c r="E14" s="26">
        <v>41</v>
      </c>
      <c r="F14" s="264">
        <v>1857</v>
      </c>
      <c r="G14" s="266">
        <f t="shared" ref="G14:G16" si="21">E14*F14</f>
        <v>76137</v>
      </c>
      <c r="H14" s="265" t="s">
        <v>52</v>
      </c>
      <c r="I14" s="275">
        <v>26</v>
      </c>
      <c r="J14" s="18">
        <v>1500</v>
      </c>
      <c r="K14" s="9">
        <f>J14/I14</f>
        <v>57.692307692307693</v>
      </c>
      <c r="L14" s="275">
        <v>26</v>
      </c>
      <c r="M14" s="10">
        <f>F14/V14*60</f>
        <v>1392.7499999999995</v>
      </c>
      <c r="N14" s="9">
        <f t="shared" ref="N14:N23" si="22">M14/L14</f>
        <v>53.567307692307672</v>
      </c>
      <c r="O14" s="11">
        <f t="shared" ref="O14" si="23">L14-I14</f>
        <v>0</v>
      </c>
      <c r="P14" s="12">
        <f t="shared" ref="P14" si="24">N14-K14</f>
        <v>-4.1250000000000213</v>
      </c>
      <c r="Q14" s="267">
        <f>N14/K14</f>
        <v>0.92849999999999966</v>
      </c>
      <c r="R14" s="533">
        <f>Q17</f>
        <v>0.92787351592973277</v>
      </c>
      <c r="S14" s="24">
        <v>0.25</v>
      </c>
      <c r="T14" s="24">
        <v>0.30555555555555558</v>
      </c>
      <c r="U14" s="266"/>
      <c r="V14" s="270">
        <f>(T14-S14)*24*60</f>
        <v>80.000000000000028</v>
      </c>
      <c r="W14" s="15"/>
      <c r="X14" s="15"/>
      <c r="Y14" s="528"/>
      <c r="Z14" s="528"/>
      <c r="AA14" s="11">
        <f t="shared" si="2"/>
        <v>-107.25000000000045</v>
      </c>
      <c r="AB14" s="267">
        <f t="shared" si="19"/>
        <v>0.92849999999999966</v>
      </c>
      <c r="AC14" s="533">
        <f>AB17</f>
        <v>0.92787351592973288</v>
      </c>
    </row>
    <row r="15" spans="1:29" ht="16.5" customHeight="1">
      <c r="A15" s="557" t="s">
        <v>373</v>
      </c>
      <c r="B15" s="264" t="s">
        <v>13</v>
      </c>
      <c r="C15" s="552" t="s">
        <v>57</v>
      </c>
      <c r="D15" s="552"/>
      <c r="E15" s="26">
        <v>50.98</v>
      </c>
      <c r="F15" s="264">
        <v>2881</v>
      </c>
      <c r="G15" s="266">
        <f t="shared" si="21"/>
        <v>146873.38</v>
      </c>
      <c r="H15" s="265" t="s">
        <v>52</v>
      </c>
      <c r="I15" s="275">
        <v>17</v>
      </c>
      <c r="J15" s="18">
        <v>2000</v>
      </c>
      <c r="K15" s="9">
        <f>J15/I15</f>
        <v>117.64705882352941</v>
      </c>
      <c r="L15" s="275">
        <v>17</v>
      </c>
      <c r="M15" s="10">
        <f>F15/V15*60</f>
        <v>1858.7096774193551</v>
      </c>
      <c r="N15" s="9">
        <f t="shared" si="22"/>
        <v>109.33586337760913</v>
      </c>
      <c r="O15" s="11">
        <f>L15-I15</f>
        <v>0</v>
      </c>
      <c r="P15" s="12">
        <f>N15-K15</f>
        <v>-8.3111954459202764</v>
      </c>
      <c r="Q15" s="267">
        <f>N15/K15</f>
        <v>0.92935483870967761</v>
      </c>
      <c r="R15" s="533"/>
      <c r="S15" s="24">
        <v>0.70833333333333337</v>
      </c>
      <c r="T15" s="24">
        <v>0.7729166666666667</v>
      </c>
      <c r="U15" s="266" t="str">
        <f>IF(S15=TIME(17,0,0),"",(S15-T14)*24*60)</f>
        <v/>
      </c>
      <c r="V15" s="270">
        <f>(T15-S15)*24*60</f>
        <v>92.999999999999986</v>
      </c>
      <c r="W15" s="14"/>
      <c r="X15" s="14"/>
      <c r="Y15" s="528"/>
      <c r="Z15" s="528"/>
      <c r="AA15" s="11">
        <f t="shared" si="2"/>
        <v>-141.2903225806449</v>
      </c>
      <c r="AB15" s="267">
        <f t="shared" si="19"/>
        <v>0.9293548387096775</v>
      </c>
      <c r="AC15" s="533"/>
    </row>
    <row r="16" spans="1:29" ht="16.5" customHeight="1">
      <c r="A16" s="557" t="s">
        <v>373</v>
      </c>
      <c r="B16" s="264" t="s">
        <v>13</v>
      </c>
      <c r="C16" s="552" t="s">
        <v>54</v>
      </c>
      <c r="D16" s="552"/>
      <c r="E16" s="26">
        <v>50.92</v>
      </c>
      <c r="F16" s="264">
        <v>3179</v>
      </c>
      <c r="G16" s="266">
        <f t="shared" si="21"/>
        <v>161874.68</v>
      </c>
      <c r="H16" s="265" t="s">
        <v>52</v>
      </c>
      <c r="I16" s="275">
        <v>16</v>
      </c>
      <c r="J16" s="18">
        <v>2000</v>
      </c>
      <c r="K16" s="9">
        <f t="shared" ref="K16" si="25">J16/I16</f>
        <v>125</v>
      </c>
      <c r="L16" s="275">
        <v>16</v>
      </c>
      <c r="M16" s="10">
        <f t="shared" ref="M16" si="26">F16/V16*60</f>
        <v>1851.8446601941755</v>
      </c>
      <c r="N16" s="9">
        <f t="shared" si="22"/>
        <v>115.74029126213597</v>
      </c>
      <c r="O16" s="11">
        <f t="shared" ref="O16" si="27">L16-I16</f>
        <v>0</v>
      </c>
      <c r="P16" s="12">
        <f t="shared" ref="P16" si="28">N16-K16</f>
        <v>-9.259708737864031</v>
      </c>
      <c r="Q16" s="267">
        <f t="shared" ref="Q16:Q23" si="29">N16/K16</f>
        <v>0.9259223300970878</v>
      </c>
      <c r="R16" s="533"/>
      <c r="S16" s="24">
        <v>0.77638888888888891</v>
      </c>
      <c r="T16" s="24">
        <v>0.84791666666666665</v>
      </c>
      <c r="U16" s="266">
        <f t="shared" ref="U16" si="30">IF(S16=TIME(17,0,0),"",(S16-T15)*24*60)</f>
        <v>4.9999999999999822</v>
      </c>
      <c r="V16" s="270">
        <f t="shared" ref="V16" si="31">(T16-S16)*24*60</f>
        <v>102.99999999999996</v>
      </c>
      <c r="W16" s="14"/>
      <c r="X16" s="14"/>
      <c r="Y16" s="528"/>
      <c r="Z16" s="528"/>
      <c r="AA16" s="11">
        <f t="shared" si="2"/>
        <v>-148.1553398058245</v>
      </c>
      <c r="AB16" s="267">
        <f t="shared" si="19"/>
        <v>0.9259223300970878</v>
      </c>
      <c r="AC16" s="533"/>
    </row>
    <row r="17" spans="1:29" ht="16.5" customHeight="1">
      <c r="A17" s="557" t="s">
        <v>373</v>
      </c>
      <c r="B17" s="26" t="s">
        <v>82</v>
      </c>
      <c r="C17" s="530"/>
      <c r="D17" s="530"/>
      <c r="E17" s="271"/>
      <c r="F17" s="16"/>
      <c r="G17" s="9"/>
      <c r="H17" s="264"/>
      <c r="I17" s="17">
        <v>19.666666666666668</v>
      </c>
      <c r="J17" s="18">
        <v>1833.3333333333333</v>
      </c>
      <c r="K17" s="9">
        <f>J17/I17</f>
        <v>93.220338983050837</v>
      </c>
      <c r="L17" s="17">
        <v>19.666666666666668</v>
      </c>
      <c r="M17" s="10">
        <f>AVERAGE(M14:M16)</f>
        <v>1701.1014458711768</v>
      </c>
      <c r="N17" s="9">
        <f t="shared" si="22"/>
        <v>86.496683688364911</v>
      </c>
      <c r="O17" s="11">
        <f>L17-I17</f>
        <v>0</v>
      </c>
      <c r="P17" s="12">
        <f>N17-K17</f>
        <v>-6.7236552946859263</v>
      </c>
      <c r="Q17" s="267">
        <f t="shared" si="29"/>
        <v>0.92787351592973277</v>
      </c>
      <c r="R17" s="533"/>
      <c r="S17" s="24"/>
      <c r="T17" s="24"/>
      <c r="U17" s="266"/>
      <c r="V17" s="270"/>
      <c r="W17" s="9"/>
      <c r="X17" s="9"/>
      <c r="Y17" s="528"/>
      <c r="Z17" s="528"/>
      <c r="AA17" s="11">
        <f t="shared" si="2"/>
        <v>-132.23188746215646</v>
      </c>
      <c r="AB17" s="267">
        <f t="shared" si="19"/>
        <v>0.92787351592973288</v>
      </c>
      <c r="AC17" s="533"/>
    </row>
    <row r="18" spans="1:29" ht="15.75" customHeight="1">
      <c r="A18" s="554" t="s">
        <v>375</v>
      </c>
      <c r="B18" s="26" t="s">
        <v>21</v>
      </c>
      <c r="C18" s="552" t="s">
        <v>22</v>
      </c>
      <c r="D18" s="552"/>
      <c r="E18" s="26">
        <v>43.14</v>
      </c>
      <c r="F18" s="264">
        <v>1230</v>
      </c>
      <c r="G18" s="266">
        <f t="shared" ref="G18:G23" si="32">E18*F18</f>
        <v>53062.2</v>
      </c>
      <c r="H18" s="265" t="s">
        <v>52</v>
      </c>
      <c r="I18" s="275">
        <v>17</v>
      </c>
      <c r="J18" s="18">
        <v>2000</v>
      </c>
      <c r="K18" s="9">
        <f t="shared" ref="K18:K24" si="33">J18/I18</f>
        <v>117.64705882352941</v>
      </c>
      <c r="L18" s="275">
        <v>17</v>
      </c>
      <c r="M18" s="10">
        <f t="shared" ref="M18:M23" si="34">F18/V18*60</f>
        <v>1845.0000000000011</v>
      </c>
      <c r="N18" s="9">
        <f t="shared" si="22"/>
        <v>108.52941176470596</v>
      </c>
      <c r="O18" s="11">
        <f t="shared" ref="O18:O23" si="35">L18-I18</f>
        <v>0</v>
      </c>
      <c r="P18" s="12">
        <f t="shared" ref="P18:P23" si="36">N18-K18</f>
        <v>-9.1176470588234508</v>
      </c>
      <c r="Q18" s="267">
        <f t="shared" si="29"/>
        <v>0.92250000000000065</v>
      </c>
      <c r="R18" s="533">
        <f>Q24</f>
        <v>0.92995585449799689</v>
      </c>
      <c r="S18" s="24">
        <v>0.20833333333333334</v>
      </c>
      <c r="T18" s="24">
        <v>0.2361111111111111</v>
      </c>
      <c r="U18" s="266"/>
      <c r="V18" s="270">
        <f>(T18-S18)*24*60</f>
        <v>39.999999999999979</v>
      </c>
      <c r="W18" s="15"/>
      <c r="X18" s="15"/>
      <c r="Y18" s="528"/>
      <c r="Z18" s="528"/>
      <c r="AA18" s="11">
        <f t="shared" si="2"/>
        <v>-154.99999999999886</v>
      </c>
      <c r="AB18" s="267">
        <f t="shared" si="19"/>
        <v>0.92250000000000054</v>
      </c>
      <c r="AC18" s="533">
        <f>AB24</f>
        <v>0.92995585449799678</v>
      </c>
    </row>
    <row r="19" spans="1:29" ht="15.75" customHeight="1">
      <c r="A19" s="555" t="s">
        <v>375</v>
      </c>
      <c r="B19" s="26" t="s">
        <v>13</v>
      </c>
      <c r="C19" s="552" t="s">
        <v>23</v>
      </c>
      <c r="D19" s="552"/>
      <c r="E19" s="26">
        <v>57.73</v>
      </c>
      <c r="F19" s="264">
        <v>3013</v>
      </c>
      <c r="G19" s="266">
        <f t="shared" si="32"/>
        <v>173940.49</v>
      </c>
      <c r="H19" s="265" t="s">
        <v>52</v>
      </c>
      <c r="I19" s="275">
        <v>16</v>
      </c>
      <c r="J19" s="18">
        <v>2000</v>
      </c>
      <c r="K19" s="9">
        <f t="shared" si="33"/>
        <v>125</v>
      </c>
      <c r="L19" s="275">
        <v>16</v>
      </c>
      <c r="M19" s="10">
        <f t="shared" si="34"/>
        <v>1844.69387755102</v>
      </c>
      <c r="N19" s="9">
        <f t="shared" si="22"/>
        <v>115.29336734693875</v>
      </c>
      <c r="O19" s="11">
        <f t="shared" si="35"/>
        <v>0</v>
      </c>
      <c r="P19" s="12">
        <f t="shared" si="36"/>
        <v>-9.7066326530612486</v>
      </c>
      <c r="Q19" s="267">
        <f t="shared" si="29"/>
        <v>0.92234693877550999</v>
      </c>
      <c r="R19" s="533"/>
      <c r="S19" s="24">
        <v>0.24027777777777778</v>
      </c>
      <c r="T19" s="24">
        <v>0.30833333333333335</v>
      </c>
      <c r="U19" s="266">
        <f>IF(S19=TIME(17,0,0),"",(S19-T18)*24*60)</f>
        <v>6.0000000000000187</v>
      </c>
      <c r="V19" s="270">
        <f t="shared" ref="V19:V23" si="37">(T19-S19)*24*60</f>
        <v>98.000000000000014</v>
      </c>
      <c r="W19" s="14"/>
      <c r="X19" s="266"/>
      <c r="Y19" s="528"/>
      <c r="Z19" s="528"/>
      <c r="AA19" s="11">
        <f t="shared" si="2"/>
        <v>-155.30612244897998</v>
      </c>
      <c r="AB19" s="267">
        <f t="shared" si="19"/>
        <v>0.92234693877550999</v>
      </c>
      <c r="AC19" s="533"/>
    </row>
    <row r="20" spans="1:29" ht="15.75" customHeight="1">
      <c r="A20" s="555" t="s">
        <v>375</v>
      </c>
      <c r="B20" s="26" t="s">
        <v>13</v>
      </c>
      <c r="C20" s="552" t="s">
        <v>14</v>
      </c>
      <c r="D20" s="552"/>
      <c r="E20" s="26">
        <v>53.68</v>
      </c>
      <c r="F20" s="264">
        <v>1928</v>
      </c>
      <c r="G20" s="266">
        <f t="shared" si="32"/>
        <v>103495.03999999999</v>
      </c>
      <c r="H20" s="265" t="s">
        <v>52</v>
      </c>
      <c r="I20" s="275">
        <v>17</v>
      </c>
      <c r="J20" s="18">
        <v>2000</v>
      </c>
      <c r="K20" s="9">
        <f t="shared" si="33"/>
        <v>117.64705882352941</v>
      </c>
      <c r="L20" s="275">
        <v>17</v>
      </c>
      <c r="M20" s="10">
        <f t="shared" si="34"/>
        <v>1865.8064516129027</v>
      </c>
      <c r="N20" s="9">
        <f t="shared" si="22"/>
        <v>109.75332068311192</v>
      </c>
      <c r="O20" s="11">
        <f t="shared" si="35"/>
        <v>0</v>
      </c>
      <c r="P20" s="12">
        <f t="shared" si="36"/>
        <v>-7.8937381404174829</v>
      </c>
      <c r="Q20" s="267">
        <f t="shared" si="29"/>
        <v>0.93290322580645135</v>
      </c>
      <c r="R20" s="533"/>
      <c r="S20" s="24">
        <v>0.31180555555555556</v>
      </c>
      <c r="T20" s="24">
        <v>0.35486111111111113</v>
      </c>
      <c r="U20" s="266">
        <f t="shared" ref="U20:U23" si="38">IF(S20=TIME(17,0,0),"",(S20-T19)*24*60)</f>
        <v>4.9999999999999822</v>
      </c>
      <c r="V20" s="270">
        <f t="shared" si="37"/>
        <v>62.000000000000021</v>
      </c>
      <c r="W20" s="14"/>
      <c r="X20" s="266"/>
      <c r="Y20" s="528"/>
      <c r="Z20" s="528"/>
      <c r="AA20" s="11">
        <f t="shared" si="2"/>
        <v>-134.19354838709728</v>
      </c>
      <c r="AB20" s="267">
        <f t="shared" si="19"/>
        <v>0.93290322580645135</v>
      </c>
      <c r="AC20" s="533"/>
    </row>
    <row r="21" spans="1:29" ht="15.75" customHeight="1">
      <c r="A21" s="555" t="s">
        <v>375</v>
      </c>
      <c r="B21" s="26" t="s">
        <v>13</v>
      </c>
      <c r="C21" s="552" t="s">
        <v>81</v>
      </c>
      <c r="D21" s="552"/>
      <c r="E21" s="26">
        <v>58.17</v>
      </c>
      <c r="F21" s="264">
        <v>2164</v>
      </c>
      <c r="G21" s="266">
        <f t="shared" si="32"/>
        <v>125879.88</v>
      </c>
      <c r="H21" s="265" t="s">
        <v>52</v>
      </c>
      <c r="I21" s="275">
        <v>18</v>
      </c>
      <c r="J21" s="18">
        <v>2000</v>
      </c>
      <c r="K21" s="9">
        <f t="shared" si="33"/>
        <v>111.11111111111111</v>
      </c>
      <c r="L21" s="275">
        <v>18</v>
      </c>
      <c r="M21" s="10">
        <f t="shared" si="34"/>
        <v>1854.8571428571433</v>
      </c>
      <c r="N21" s="9">
        <f t="shared" si="22"/>
        <v>103.04761904761908</v>
      </c>
      <c r="O21" s="11">
        <f t="shared" si="35"/>
        <v>0</v>
      </c>
      <c r="P21" s="12">
        <f t="shared" si="36"/>
        <v>-8.0634920634920348</v>
      </c>
      <c r="Q21" s="267">
        <f t="shared" si="29"/>
        <v>0.92742857142857171</v>
      </c>
      <c r="R21" s="533"/>
      <c r="S21" s="24">
        <v>0.35902777777777778</v>
      </c>
      <c r="T21" s="24">
        <v>0.40763888888888888</v>
      </c>
      <c r="U21" s="266">
        <f t="shared" si="38"/>
        <v>5.9999999999999787</v>
      </c>
      <c r="V21" s="270">
        <f t="shared" si="37"/>
        <v>69.999999999999986</v>
      </c>
      <c r="W21" s="14"/>
      <c r="X21" s="266"/>
      <c r="Y21" s="528"/>
      <c r="Z21" s="528"/>
      <c r="AA21" s="11">
        <f t="shared" si="2"/>
        <v>-145.14285714285666</v>
      </c>
      <c r="AB21" s="267">
        <f t="shared" si="19"/>
        <v>0.92742857142857171</v>
      </c>
      <c r="AC21" s="533"/>
    </row>
    <row r="22" spans="1:29" ht="15.75" customHeight="1">
      <c r="A22" s="555" t="s">
        <v>375</v>
      </c>
      <c r="B22" s="26" t="s">
        <v>13</v>
      </c>
      <c r="C22" s="552" t="s">
        <v>85</v>
      </c>
      <c r="D22" s="552"/>
      <c r="E22" s="26">
        <v>54.09</v>
      </c>
      <c r="F22" s="264">
        <v>4090</v>
      </c>
      <c r="G22" s="266">
        <f t="shared" si="32"/>
        <v>221228.1</v>
      </c>
      <c r="H22" s="265" t="s">
        <v>52</v>
      </c>
      <c r="I22" s="275">
        <v>20</v>
      </c>
      <c r="J22" s="18">
        <v>2000</v>
      </c>
      <c r="K22" s="9">
        <f t="shared" si="33"/>
        <v>100</v>
      </c>
      <c r="L22" s="275">
        <v>20</v>
      </c>
      <c r="M22" s="10">
        <f t="shared" si="34"/>
        <v>1845.1127819548874</v>
      </c>
      <c r="N22" s="9">
        <f t="shared" si="22"/>
        <v>92.255639097744364</v>
      </c>
      <c r="O22" s="11">
        <f t="shared" si="35"/>
        <v>0</v>
      </c>
      <c r="P22" s="12">
        <f t="shared" si="36"/>
        <v>-7.7443609022556359</v>
      </c>
      <c r="Q22" s="267">
        <f t="shared" si="29"/>
        <v>0.92255639097744369</v>
      </c>
      <c r="R22" s="533"/>
      <c r="S22" s="24">
        <v>0.70833333333333337</v>
      </c>
      <c r="T22" s="24">
        <v>0.80069444444444449</v>
      </c>
      <c r="U22" s="266" t="str">
        <f t="shared" si="38"/>
        <v/>
      </c>
      <c r="V22" s="270">
        <f t="shared" si="37"/>
        <v>133</v>
      </c>
      <c r="W22" s="14"/>
      <c r="X22" s="266"/>
      <c r="Y22" s="528"/>
      <c r="Z22" s="528"/>
      <c r="AA22" s="11">
        <f t="shared" si="2"/>
        <v>-154.8872180451126</v>
      </c>
      <c r="AB22" s="267">
        <f t="shared" si="19"/>
        <v>0.92255639097744369</v>
      </c>
      <c r="AC22" s="533"/>
    </row>
    <row r="23" spans="1:29" ht="15.75" customHeight="1">
      <c r="A23" s="555" t="s">
        <v>375</v>
      </c>
      <c r="B23" s="26" t="s">
        <v>13</v>
      </c>
      <c r="C23" s="552" t="s">
        <v>56</v>
      </c>
      <c r="D23" s="552"/>
      <c r="E23" s="26">
        <v>53.27</v>
      </c>
      <c r="F23" s="264">
        <v>476</v>
      </c>
      <c r="G23" s="266">
        <f t="shared" si="32"/>
        <v>25356.52</v>
      </c>
      <c r="H23" s="265" t="s">
        <v>52</v>
      </c>
      <c r="I23" s="275">
        <v>15</v>
      </c>
      <c r="J23" s="18">
        <v>2000</v>
      </c>
      <c r="K23" s="9">
        <f t="shared" si="33"/>
        <v>133.33333333333334</v>
      </c>
      <c r="L23" s="275">
        <v>15</v>
      </c>
      <c r="M23" s="10">
        <f t="shared" si="34"/>
        <v>1904.0000000000066</v>
      </c>
      <c r="N23" s="9">
        <f t="shared" si="22"/>
        <v>126.93333333333378</v>
      </c>
      <c r="O23" s="11">
        <f t="shared" si="35"/>
        <v>0</v>
      </c>
      <c r="P23" s="12">
        <f t="shared" si="36"/>
        <v>-6.3999999999995651</v>
      </c>
      <c r="Q23" s="267">
        <f t="shared" si="29"/>
        <v>0.95200000000000329</v>
      </c>
      <c r="R23" s="533"/>
      <c r="S23" s="24">
        <v>0.80625000000000002</v>
      </c>
      <c r="T23" s="24">
        <v>0.81666666666666665</v>
      </c>
      <c r="U23" s="266">
        <f t="shared" si="38"/>
        <v>7.9999999999999716</v>
      </c>
      <c r="V23" s="270">
        <f t="shared" si="37"/>
        <v>14.999999999999947</v>
      </c>
      <c r="W23" s="14"/>
      <c r="X23" s="15"/>
      <c r="Y23" s="528"/>
      <c r="Z23" s="528"/>
      <c r="AA23" s="11">
        <f t="shared" si="2"/>
        <v>-95.999999999993406</v>
      </c>
      <c r="AB23" s="267">
        <f t="shared" si="19"/>
        <v>0.95200000000000329</v>
      </c>
      <c r="AC23" s="533"/>
    </row>
    <row r="24" spans="1:29" ht="15.75" customHeight="1">
      <c r="A24" s="555" t="s">
        <v>375</v>
      </c>
      <c r="B24" s="26" t="s">
        <v>82</v>
      </c>
      <c r="C24" s="530"/>
      <c r="D24" s="530"/>
      <c r="E24" s="271"/>
      <c r="F24" s="264"/>
      <c r="G24" s="266"/>
      <c r="H24" s="264"/>
      <c r="I24" s="17">
        <v>17.166666666666668</v>
      </c>
      <c r="J24" s="18">
        <v>2000</v>
      </c>
      <c r="K24" s="9">
        <f t="shared" si="33"/>
        <v>116.50485436893203</v>
      </c>
      <c r="L24" s="17">
        <v>17.166666666666668</v>
      </c>
      <c r="M24" s="10">
        <f>AVERAGE(M18:M23)</f>
        <v>1859.9117089959936</v>
      </c>
      <c r="N24" s="9">
        <f>M24/L24</f>
        <v>108.34437139782487</v>
      </c>
      <c r="O24" s="11">
        <f>L24-I24</f>
        <v>0</v>
      </c>
      <c r="P24" s="12">
        <f>N24-K24</f>
        <v>-8.1604829711071574</v>
      </c>
      <c r="Q24" s="267">
        <f>N24/K24</f>
        <v>0.92995585449799689</v>
      </c>
      <c r="R24" s="533"/>
      <c r="S24" s="24"/>
      <c r="T24" s="24"/>
      <c r="U24" s="9"/>
      <c r="V24" s="270"/>
      <c r="W24" s="9"/>
      <c r="X24" s="9"/>
      <c r="Y24" s="528"/>
      <c r="Z24" s="528"/>
      <c r="AA24" s="11">
        <f t="shared" si="2"/>
        <v>-140.08829100400635</v>
      </c>
      <c r="AB24" s="267">
        <f t="shared" si="19"/>
        <v>0.92995585449799678</v>
      </c>
      <c r="AC24" s="533"/>
    </row>
    <row r="25" spans="1:29" ht="15.75" customHeight="1">
      <c r="A25" s="553" t="s">
        <v>377</v>
      </c>
      <c r="B25" s="26" t="s">
        <v>24</v>
      </c>
      <c r="C25" s="552" t="s">
        <v>26</v>
      </c>
      <c r="D25" s="552"/>
      <c r="E25" s="26">
        <v>26.2</v>
      </c>
      <c r="F25" s="264">
        <v>4010</v>
      </c>
      <c r="G25" s="266">
        <f t="shared" ref="G25:G30" si="39">E25*F25</f>
        <v>105062</v>
      </c>
      <c r="H25" s="265" t="s">
        <v>52</v>
      </c>
      <c r="I25" s="275">
        <v>20</v>
      </c>
      <c r="J25" s="18">
        <v>2400</v>
      </c>
      <c r="K25" s="9">
        <f>J25/I25</f>
        <v>120</v>
      </c>
      <c r="L25" s="275">
        <v>20</v>
      </c>
      <c r="M25" s="10">
        <f t="shared" ref="M25:M30" si="40">F25/V25*60</f>
        <v>2227.7777777777774</v>
      </c>
      <c r="N25" s="9">
        <f t="shared" ref="N25:N30" si="41">M25/L25</f>
        <v>111.38888888888887</v>
      </c>
      <c r="O25" s="11">
        <f t="shared" ref="O25:O30" si="42">L25-I25</f>
        <v>0</v>
      </c>
      <c r="P25" s="12">
        <f t="shared" ref="P25:P30" si="43">N25-K25</f>
        <v>-8.6111111111111285</v>
      </c>
      <c r="Q25" s="267">
        <f t="shared" ref="Q25:Q30" si="44">N25/K25</f>
        <v>0.92824074074074059</v>
      </c>
      <c r="R25" s="533">
        <f>Q31</f>
        <v>0.92664365538833393</v>
      </c>
      <c r="S25" s="24">
        <v>0.125</v>
      </c>
      <c r="T25" s="24">
        <v>0.2</v>
      </c>
      <c r="U25" s="266"/>
      <c r="V25" s="270">
        <f t="shared" ref="V25:V30" si="45">(T25-S25)*24*60</f>
        <v>108.00000000000001</v>
      </c>
      <c r="W25" s="14">
        <f>T25</f>
        <v>0.2</v>
      </c>
      <c r="X25" s="14">
        <f>S26</f>
        <v>0.22083333333333335</v>
      </c>
      <c r="Y25" s="528"/>
      <c r="Z25" s="528"/>
      <c r="AA25" s="11">
        <f t="shared" si="2"/>
        <v>-172.22222222222263</v>
      </c>
      <c r="AB25" s="267">
        <f>M25/J25</f>
        <v>0.92824074074074059</v>
      </c>
      <c r="AC25" s="533">
        <f>AB31</f>
        <v>0.92664365538833393</v>
      </c>
    </row>
    <row r="26" spans="1:29" ht="15.75" customHeight="1">
      <c r="A26" s="553" t="s">
        <v>377</v>
      </c>
      <c r="B26" s="26" t="s">
        <v>24</v>
      </c>
      <c r="C26" s="552" t="s">
        <v>79</v>
      </c>
      <c r="D26" s="552"/>
      <c r="E26" s="26">
        <v>31.29</v>
      </c>
      <c r="F26" s="264">
        <v>3600</v>
      </c>
      <c r="G26" s="266">
        <f t="shared" si="39"/>
        <v>112644</v>
      </c>
      <c r="H26" s="265">
        <v>2</v>
      </c>
      <c r="I26" s="275">
        <v>16</v>
      </c>
      <c r="J26" s="18">
        <v>2400</v>
      </c>
      <c r="K26" s="9">
        <f t="shared" ref="K26:K31" si="46">J26/I26</f>
        <v>150</v>
      </c>
      <c r="L26" s="275">
        <v>16</v>
      </c>
      <c r="M26" s="10">
        <f t="shared" si="40"/>
        <v>2226.8041237113398</v>
      </c>
      <c r="N26" s="9">
        <f t="shared" si="41"/>
        <v>139.17525773195874</v>
      </c>
      <c r="O26" s="11">
        <f t="shared" si="42"/>
        <v>0</v>
      </c>
      <c r="P26" s="12">
        <f t="shared" si="43"/>
        <v>-10.824742268041263</v>
      </c>
      <c r="Q26" s="267">
        <f t="shared" si="44"/>
        <v>0.92783505154639156</v>
      </c>
      <c r="R26" s="533"/>
      <c r="S26" s="24">
        <v>0.22083333333333335</v>
      </c>
      <c r="T26" s="24">
        <v>0.28819444444444448</v>
      </c>
      <c r="U26" s="266">
        <f>(S26-T25)*24*60</f>
        <v>30.000000000000014</v>
      </c>
      <c r="V26" s="270">
        <f t="shared" si="45"/>
        <v>97.000000000000014</v>
      </c>
      <c r="W26" s="14"/>
      <c r="X26" s="14"/>
      <c r="Y26" s="528"/>
      <c r="Z26" s="528"/>
      <c r="AA26" s="11">
        <f t="shared" si="2"/>
        <v>-173.1958762886602</v>
      </c>
      <c r="AB26" s="267">
        <f t="shared" ref="AB26:AB30" si="47">M26/J26</f>
        <v>0.92783505154639156</v>
      </c>
      <c r="AC26" s="533"/>
    </row>
    <row r="27" spans="1:29" ht="15.75" customHeight="1">
      <c r="A27" s="553" t="s">
        <v>377</v>
      </c>
      <c r="B27" s="26" t="s">
        <v>24</v>
      </c>
      <c r="C27" s="552" t="s">
        <v>68</v>
      </c>
      <c r="D27" s="552"/>
      <c r="E27" s="26">
        <v>24.25</v>
      </c>
      <c r="F27" s="264">
        <v>5178</v>
      </c>
      <c r="G27" s="266">
        <f t="shared" si="39"/>
        <v>125566.5</v>
      </c>
      <c r="H27" s="265" t="s">
        <v>52</v>
      </c>
      <c r="I27" s="275">
        <v>18</v>
      </c>
      <c r="J27" s="18">
        <v>2400</v>
      </c>
      <c r="K27" s="9">
        <f t="shared" si="46"/>
        <v>133.33333333333334</v>
      </c>
      <c r="L27" s="275">
        <v>18</v>
      </c>
      <c r="M27" s="10">
        <f t="shared" si="40"/>
        <v>2219.1428571428578</v>
      </c>
      <c r="N27" s="9">
        <f t="shared" si="41"/>
        <v>123.28571428571432</v>
      </c>
      <c r="O27" s="11">
        <f t="shared" si="42"/>
        <v>0</v>
      </c>
      <c r="P27" s="12">
        <f t="shared" si="43"/>
        <v>-10.047619047619023</v>
      </c>
      <c r="Q27" s="267">
        <f t="shared" si="44"/>
        <v>0.92464285714285732</v>
      </c>
      <c r="R27" s="533"/>
      <c r="S27" s="24">
        <v>0.29375000000000001</v>
      </c>
      <c r="T27" s="24">
        <v>0.39097222222222222</v>
      </c>
      <c r="U27" s="266">
        <f t="shared" ref="U27:U30" si="48">(S27-T26)*24*60</f>
        <v>7.9999999999999716</v>
      </c>
      <c r="V27" s="270">
        <f t="shared" si="45"/>
        <v>139.99999999999997</v>
      </c>
      <c r="W27" s="14"/>
      <c r="X27" s="14"/>
      <c r="Y27" s="528"/>
      <c r="Z27" s="528"/>
      <c r="AA27" s="11">
        <f t="shared" si="2"/>
        <v>-180.85714285714221</v>
      </c>
      <c r="AB27" s="267">
        <f t="shared" si="47"/>
        <v>0.92464285714285743</v>
      </c>
      <c r="AC27" s="533"/>
    </row>
    <row r="28" spans="1:29" ht="15.75" customHeight="1">
      <c r="A28" s="553" t="s">
        <v>377</v>
      </c>
      <c r="B28" s="26" t="s">
        <v>24</v>
      </c>
      <c r="C28" s="552" t="s">
        <v>328</v>
      </c>
      <c r="D28" s="552"/>
      <c r="E28" s="26">
        <v>25.98</v>
      </c>
      <c r="F28" s="264">
        <v>5251</v>
      </c>
      <c r="G28" s="266">
        <f t="shared" si="39"/>
        <v>136420.98000000001</v>
      </c>
      <c r="H28" s="265" t="s">
        <v>52</v>
      </c>
      <c r="I28" s="275">
        <v>17</v>
      </c>
      <c r="J28" s="18">
        <v>2400</v>
      </c>
      <c r="K28" s="9">
        <f t="shared" si="46"/>
        <v>141.1764705882353</v>
      </c>
      <c r="L28" s="275">
        <v>17</v>
      </c>
      <c r="M28" s="10">
        <f t="shared" si="40"/>
        <v>2218.7323943661977</v>
      </c>
      <c r="N28" s="9">
        <f t="shared" si="41"/>
        <v>130.51367025683516</v>
      </c>
      <c r="O28" s="11">
        <f t="shared" si="42"/>
        <v>0</v>
      </c>
      <c r="P28" s="12">
        <f t="shared" si="43"/>
        <v>-10.662800331400149</v>
      </c>
      <c r="Q28" s="267">
        <f t="shared" si="44"/>
        <v>0.92447183098591557</v>
      </c>
      <c r="R28" s="533"/>
      <c r="S28" s="24">
        <v>0.39583333333333331</v>
      </c>
      <c r="T28" s="24">
        <v>0.49444444444444441</v>
      </c>
      <c r="U28" s="266">
        <f t="shared" si="48"/>
        <v>6.9999999999999751</v>
      </c>
      <c r="V28" s="270">
        <f t="shared" si="45"/>
        <v>141.99999999999997</v>
      </c>
      <c r="W28" s="14"/>
      <c r="X28" s="14"/>
      <c r="Y28" s="528"/>
      <c r="Z28" s="528"/>
      <c r="AA28" s="11">
        <f t="shared" si="2"/>
        <v>-181.2676056338023</v>
      </c>
      <c r="AB28" s="267">
        <f t="shared" si="47"/>
        <v>0.92447183098591568</v>
      </c>
      <c r="AC28" s="533"/>
    </row>
    <row r="29" spans="1:29" ht="15.75" customHeight="1">
      <c r="A29" s="553" t="s">
        <v>377</v>
      </c>
      <c r="B29" s="26" t="s">
        <v>24</v>
      </c>
      <c r="C29" s="552" t="s">
        <v>62</v>
      </c>
      <c r="D29" s="552"/>
      <c r="E29" s="26">
        <v>22.35</v>
      </c>
      <c r="F29" s="264">
        <v>2081</v>
      </c>
      <c r="G29" s="266">
        <f t="shared" si="39"/>
        <v>46510.350000000006</v>
      </c>
      <c r="H29" s="265" t="s">
        <v>52</v>
      </c>
      <c r="I29" s="275">
        <v>16</v>
      </c>
      <c r="J29" s="18">
        <v>2400</v>
      </c>
      <c r="K29" s="9">
        <f t="shared" si="46"/>
        <v>150</v>
      </c>
      <c r="L29" s="275">
        <v>16</v>
      </c>
      <c r="M29" s="10">
        <f t="shared" si="40"/>
        <v>2229.6428571428555</v>
      </c>
      <c r="N29" s="9">
        <f t="shared" si="41"/>
        <v>139.35267857142847</v>
      </c>
      <c r="O29" s="11">
        <f t="shared" si="42"/>
        <v>0</v>
      </c>
      <c r="P29" s="12">
        <f t="shared" si="43"/>
        <v>-10.64732142857153</v>
      </c>
      <c r="Q29" s="267">
        <f t="shared" si="44"/>
        <v>0.92901785714285645</v>
      </c>
      <c r="R29" s="533"/>
      <c r="S29" s="24">
        <v>0.49791666666666662</v>
      </c>
      <c r="T29" s="24">
        <v>0.53680555555555554</v>
      </c>
      <c r="U29" s="266">
        <f t="shared" si="48"/>
        <v>4.9999999999999822</v>
      </c>
      <c r="V29" s="270">
        <f t="shared" si="45"/>
        <v>56.000000000000043</v>
      </c>
      <c r="W29" s="14">
        <f>T29</f>
        <v>0.53680555555555554</v>
      </c>
      <c r="X29" s="14">
        <f>S30</f>
        <v>0.57638888888888884</v>
      </c>
      <c r="Y29" s="528"/>
      <c r="Z29" s="528"/>
      <c r="AA29" s="11">
        <f t="shared" si="2"/>
        <v>-170.35714285714448</v>
      </c>
      <c r="AB29" s="267">
        <f t="shared" si="47"/>
        <v>0.92901785714285645</v>
      </c>
      <c r="AC29" s="533"/>
    </row>
    <row r="30" spans="1:29" ht="15.75" customHeight="1">
      <c r="A30" s="553" t="s">
        <v>377</v>
      </c>
      <c r="B30" s="26" t="s">
        <v>24</v>
      </c>
      <c r="C30" s="552" t="s">
        <v>79</v>
      </c>
      <c r="D30" s="552"/>
      <c r="E30" s="26">
        <v>31.29</v>
      </c>
      <c r="F30" s="264">
        <v>5665</v>
      </c>
      <c r="G30" s="266">
        <f t="shared" si="39"/>
        <v>177257.85</v>
      </c>
      <c r="H30" s="265" t="s">
        <v>52</v>
      </c>
      <c r="I30" s="275">
        <v>16</v>
      </c>
      <c r="J30" s="18">
        <v>2400</v>
      </c>
      <c r="K30" s="9">
        <f t="shared" si="46"/>
        <v>150</v>
      </c>
      <c r="L30" s="275">
        <v>16</v>
      </c>
      <c r="M30" s="10">
        <f t="shared" si="40"/>
        <v>2221.5686274509812</v>
      </c>
      <c r="N30" s="9">
        <f t="shared" si="41"/>
        <v>138.84803921568633</v>
      </c>
      <c r="O30" s="11">
        <f t="shared" si="42"/>
        <v>0</v>
      </c>
      <c r="P30" s="12">
        <f t="shared" si="43"/>
        <v>-11.151960784313673</v>
      </c>
      <c r="Q30" s="267">
        <f t="shared" si="44"/>
        <v>0.92565359477124221</v>
      </c>
      <c r="R30" s="533"/>
      <c r="S30" s="24">
        <v>0.57638888888888884</v>
      </c>
      <c r="T30" s="24">
        <v>0.6826388888888888</v>
      </c>
      <c r="U30" s="266">
        <f t="shared" si="48"/>
        <v>56.999999999999957</v>
      </c>
      <c r="V30" s="270">
        <f t="shared" si="45"/>
        <v>152.99999999999994</v>
      </c>
      <c r="W30" s="14"/>
      <c r="X30" s="14"/>
      <c r="Y30" s="528"/>
      <c r="Z30" s="528"/>
      <c r="AA30" s="11">
        <f t="shared" si="2"/>
        <v>-178.43137254901876</v>
      </c>
      <c r="AB30" s="267">
        <f t="shared" si="47"/>
        <v>0.92565359477124221</v>
      </c>
      <c r="AC30" s="533"/>
    </row>
    <row r="31" spans="1:29" ht="15.75" customHeight="1">
      <c r="A31" s="553" t="s">
        <v>988</v>
      </c>
      <c r="B31" s="26" t="s">
        <v>82</v>
      </c>
      <c r="C31" s="530"/>
      <c r="D31" s="530"/>
      <c r="E31" s="271"/>
      <c r="F31" s="264"/>
      <c r="G31" s="266"/>
      <c r="H31" s="264"/>
      <c r="I31" s="17">
        <v>17.166666666666668</v>
      </c>
      <c r="J31" s="18">
        <v>2400</v>
      </c>
      <c r="K31" s="9">
        <f t="shared" si="46"/>
        <v>139.80582524271844</v>
      </c>
      <c r="L31" s="17">
        <v>17.166666666666668</v>
      </c>
      <c r="M31" s="10">
        <f>AVERAGE(M25:M30)</f>
        <v>2223.9447729320013</v>
      </c>
      <c r="N31" s="9">
        <f>M31/L31</f>
        <v>129.55018094749522</v>
      </c>
      <c r="O31" s="11">
        <f>L31-I31</f>
        <v>0</v>
      </c>
      <c r="P31" s="12">
        <f>N31-K31</f>
        <v>-10.25564429522322</v>
      </c>
      <c r="Q31" s="267">
        <f>N31/K31</f>
        <v>0.92664365538833393</v>
      </c>
      <c r="R31" s="533"/>
      <c r="S31" s="24"/>
      <c r="T31" s="24"/>
      <c r="U31" s="266"/>
      <c r="V31" s="270"/>
      <c r="W31" s="266"/>
      <c r="X31" s="266"/>
      <c r="Y31" s="528"/>
      <c r="Z31" s="528"/>
      <c r="AA31" s="11">
        <f t="shared" si="2"/>
        <v>-176.05522706799866</v>
      </c>
      <c r="AB31" s="267">
        <f>M31/J31</f>
        <v>0.92664365538833393</v>
      </c>
      <c r="AC31" s="533"/>
    </row>
    <row r="32" spans="1:29" ht="15.75" customHeight="1">
      <c r="A32" s="550" t="s">
        <v>379</v>
      </c>
      <c r="B32" s="26" t="s">
        <v>24</v>
      </c>
      <c r="C32" s="529" t="s">
        <v>28</v>
      </c>
      <c r="D32" s="529"/>
      <c r="E32" s="26">
        <v>26.2</v>
      </c>
      <c r="F32" s="264">
        <v>2500</v>
      </c>
      <c r="G32" s="266">
        <f t="shared" ref="G32:G37" si="49">E32*F32</f>
        <v>65500</v>
      </c>
      <c r="H32" s="265">
        <v>2</v>
      </c>
      <c r="I32" s="275">
        <v>18</v>
      </c>
      <c r="J32" s="18">
        <v>2400</v>
      </c>
      <c r="K32" s="9">
        <f>J32/I32</f>
        <v>133.33333333333334</v>
      </c>
      <c r="L32" s="275">
        <v>18</v>
      </c>
      <c r="M32" s="10">
        <f>F32/V32*60</f>
        <v>2238.8059701492539</v>
      </c>
      <c r="N32" s="9">
        <f>M32/L32</f>
        <v>124.37810945273633</v>
      </c>
      <c r="O32" s="11">
        <f t="shared" ref="O32:O37" si="50">L32-I32</f>
        <v>0</v>
      </c>
      <c r="P32" s="12">
        <f t="shared" ref="P32:P46" si="51">N32-K32</f>
        <v>-8.9552238805970177</v>
      </c>
      <c r="Q32" s="267">
        <f t="shared" ref="Q32:Q42" si="52">N32/K32</f>
        <v>0.93283582089552242</v>
      </c>
      <c r="R32" s="533">
        <f>Q38</f>
        <v>0.92647641848664786</v>
      </c>
      <c r="S32" s="24">
        <v>0.125</v>
      </c>
      <c r="T32" s="24">
        <v>0.17152777777777778</v>
      </c>
      <c r="U32" s="266"/>
      <c r="V32" s="270">
        <f t="shared" ref="V32:V37" si="53">(T32-S32)*24*60</f>
        <v>67</v>
      </c>
      <c r="W32" s="15">
        <f>T32</f>
        <v>0.17152777777777778</v>
      </c>
      <c r="X32" s="15">
        <f>S33</f>
        <v>0.19236111111111112</v>
      </c>
      <c r="Y32" s="528"/>
      <c r="Z32" s="528"/>
      <c r="AA32" s="11">
        <f t="shared" si="2"/>
        <v>-161.19402985074612</v>
      </c>
      <c r="AB32" s="267">
        <f>M32/J32</f>
        <v>0.93283582089552242</v>
      </c>
      <c r="AC32" s="533">
        <f>AB38</f>
        <v>0.92647641848664786</v>
      </c>
    </row>
    <row r="33" spans="1:29" ht="15.75" customHeight="1">
      <c r="A33" s="550" t="s">
        <v>379</v>
      </c>
      <c r="B33" s="26" t="s">
        <v>24</v>
      </c>
      <c r="C33" s="529" t="s">
        <v>30</v>
      </c>
      <c r="D33" s="529"/>
      <c r="E33" s="26">
        <v>24.45</v>
      </c>
      <c r="F33" s="264">
        <v>2201</v>
      </c>
      <c r="G33" s="266">
        <f t="shared" si="49"/>
        <v>53814.45</v>
      </c>
      <c r="H33" s="265" t="s">
        <v>52</v>
      </c>
      <c r="I33" s="275">
        <v>20</v>
      </c>
      <c r="J33" s="18">
        <v>2400</v>
      </c>
      <c r="K33" s="9">
        <f t="shared" ref="K33:K45" si="54">J33/I33</f>
        <v>120</v>
      </c>
      <c r="L33" s="275">
        <v>20</v>
      </c>
      <c r="M33" s="10">
        <f t="shared" ref="M33:M37" si="55">F33/V33*60</f>
        <v>2238.3050847457625</v>
      </c>
      <c r="N33" s="9">
        <f t="shared" ref="N33:N37" si="56">M33/L33</f>
        <v>111.91525423728812</v>
      </c>
      <c r="O33" s="11">
        <f t="shared" si="50"/>
        <v>0</v>
      </c>
      <c r="P33" s="12">
        <f t="shared" si="51"/>
        <v>-8.0847457627118757</v>
      </c>
      <c r="Q33" s="267">
        <f t="shared" si="52"/>
        <v>0.93262711864406767</v>
      </c>
      <c r="R33" s="533"/>
      <c r="S33" s="24">
        <v>0.19236111111111112</v>
      </c>
      <c r="T33" s="24">
        <v>0.23333333333333334</v>
      </c>
      <c r="U33" s="266">
        <f>(S33-T32)*24*60</f>
        <v>30.000000000000014</v>
      </c>
      <c r="V33" s="270">
        <f t="shared" si="53"/>
        <v>58.999999999999993</v>
      </c>
      <c r="W33" s="266"/>
      <c r="X33" s="266"/>
      <c r="Y33" s="528"/>
      <c r="Z33" s="528"/>
      <c r="AA33" s="11">
        <f t="shared" si="2"/>
        <v>-161.69491525423746</v>
      </c>
      <c r="AB33" s="267">
        <f t="shared" ref="AB33:AB59" si="57">M33/J33</f>
        <v>0.93262711864406778</v>
      </c>
      <c r="AC33" s="533"/>
    </row>
    <row r="34" spans="1:29">
      <c r="A34" s="551" t="s">
        <v>379</v>
      </c>
      <c r="B34" s="26" t="s">
        <v>24</v>
      </c>
      <c r="C34" s="529" t="s">
        <v>29</v>
      </c>
      <c r="D34" s="529"/>
      <c r="E34" s="26">
        <v>26.39</v>
      </c>
      <c r="F34" s="264">
        <v>5848</v>
      </c>
      <c r="G34" s="266">
        <f t="shared" si="49"/>
        <v>154328.72</v>
      </c>
      <c r="H34" s="265" t="s">
        <v>52</v>
      </c>
      <c r="I34" s="275">
        <v>19</v>
      </c>
      <c r="J34" s="18">
        <v>2400</v>
      </c>
      <c r="K34" s="9">
        <f t="shared" si="54"/>
        <v>126.31578947368421</v>
      </c>
      <c r="L34" s="275">
        <v>19</v>
      </c>
      <c r="M34" s="10">
        <f t="shared" si="55"/>
        <v>2220.7594936708865</v>
      </c>
      <c r="N34" s="9">
        <f t="shared" si="56"/>
        <v>116.88207861425718</v>
      </c>
      <c r="O34" s="11">
        <f t="shared" si="50"/>
        <v>0</v>
      </c>
      <c r="P34" s="12">
        <f t="shared" si="51"/>
        <v>-9.4337108594270234</v>
      </c>
      <c r="Q34" s="267">
        <f t="shared" si="52"/>
        <v>0.92531645569620269</v>
      </c>
      <c r="R34" s="533"/>
      <c r="S34" s="24">
        <v>0.23750000000000002</v>
      </c>
      <c r="T34" s="24">
        <v>0.34722222222222221</v>
      </c>
      <c r="U34" s="266">
        <f t="shared" ref="U34:U37" si="58">(S34-T33)*24*60</f>
        <v>6.0000000000000187</v>
      </c>
      <c r="V34" s="270">
        <f t="shared" si="53"/>
        <v>157.99999999999997</v>
      </c>
      <c r="W34" s="266"/>
      <c r="X34" s="266"/>
      <c r="Y34" s="528"/>
      <c r="Z34" s="528"/>
      <c r="AA34" s="11">
        <f t="shared" si="2"/>
        <v>-179.24050632911349</v>
      </c>
      <c r="AB34" s="267">
        <f t="shared" si="57"/>
        <v>0.92531645569620269</v>
      </c>
      <c r="AC34" s="533"/>
    </row>
    <row r="35" spans="1:29">
      <c r="A35" s="551" t="s">
        <v>379</v>
      </c>
      <c r="B35" s="26" t="s">
        <v>24</v>
      </c>
      <c r="C35" s="529" t="s">
        <v>27</v>
      </c>
      <c r="D35" s="529"/>
      <c r="E35" s="26">
        <v>20.52</v>
      </c>
      <c r="F35" s="264">
        <v>3210</v>
      </c>
      <c r="G35" s="266">
        <f t="shared" si="49"/>
        <v>65869.2</v>
      </c>
      <c r="H35" s="265" t="s">
        <v>52</v>
      </c>
      <c r="I35" s="275">
        <v>18</v>
      </c>
      <c r="J35" s="18">
        <v>2400</v>
      </c>
      <c r="K35" s="9">
        <f t="shared" si="54"/>
        <v>133.33333333333334</v>
      </c>
      <c r="L35" s="275">
        <v>18</v>
      </c>
      <c r="M35" s="10">
        <f t="shared" si="55"/>
        <v>2213.7931034482754</v>
      </c>
      <c r="N35" s="9">
        <f t="shared" si="56"/>
        <v>122.98850574712641</v>
      </c>
      <c r="O35" s="11">
        <f t="shared" si="50"/>
        <v>0</v>
      </c>
      <c r="P35" s="12">
        <f t="shared" si="51"/>
        <v>-10.344827586206932</v>
      </c>
      <c r="Q35" s="267">
        <f t="shared" si="52"/>
        <v>0.92241379310344807</v>
      </c>
      <c r="R35" s="533"/>
      <c r="S35" s="24">
        <v>0.35138888888888886</v>
      </c>
      <c r="T35" s="24">
        <v>0.41180555555555554</v>
      </c>
      <c r="U35" s="266">
        <f t="shared" si="58"/>
        <v>5.9999999999999787</v>
      </c>
      <c r="V35" s="270">
        <f t="shared" si="53"/>
        <v>87.000000000000014</v>
      </c>
      <c r="W35" s="14"/>
      <c r="X35" s="14"/>
      <c r="Y35" s="528"/>
      <c r="Z35" s="528"/>
      <c r="AA35" s="11">
        <f t="shared" si="2"/>
        <v>-186.20689655172464</v>
      </c>
      <c r="AB35" s="267">
        <f t="shared" si="57"/>
        <v>0.92241379310344807</v>
      </c>
      <c r="AC35" s="533"/>
    </row>
    <row r="36" spans="1:29">
      <c r="A36" s="551" t="s">
        <v>379</v>
      </c>
      <c r="B36" s="26" t="s">
        <v>24</v>
      </c>
      <c r="C36" s="529" t="s">
        <v>50</v>
      </c>
      <c r="D36" s="529"/>
      <c r="E36" s="26">
        <v>26.2</v>
      </c>
      <c r="F36" s="264">
        <v>4582</v>
      </c>
      <c r="G36" s="266">
        <f t="shared" si="49"/>
        <v>120048.4</v>
      </c>
      <c r="H36" s="265" t="s">
        <v>52</v>
      </c>
      <c r="I36" s="275">
        <v>19</v>
      </c>
      <c r="J36" s="18">
        <v>2400</v>
      </c>
      <c r="K36" s="9">
        <f t="shared" si="54"/>
        <v>126.31578947368421</v>
      </c>
      <c r="L36" s="275">
        <v>19</v>
      </c>
      <c r="M36" s="10">
        <f t="shared" si="55"/>
        <v>2217.0967741935474</v>
      </c>
      <c r="N36" s="9">
        <f t="shared" si="56"/>
        <v>116.68930390492355</v>
      </c>
      <c r="O36" s="11">
        <f t="shared" si="50"/>
        <v>0</v>
      </c>
      <c r="P36" s="12">
        <f t="shared" si="51"/>
        <v>-9.626485568760657</v>
      </c>
      <c r="Q36" s="267">
        <f t="shared" si="52"/>
        <v>0.92379032258064475</v>
      </c>
      <c r="R36" s="533"/>
      <c r="S36" s="24">
        <v>0.41527777777777775</v>
      </c>
      <c r="T36" s="24">
        <v>0.50138888888888888</v>
      </c>
      <c r="U36" s="266">
        <f t="shared" si="58"/>
        <v>4.9999999999999822</v>
      </c>
      <c r="V36" s="270">
        <f t="shared" si="53"/>
        <v>124.00000000000004</v>
      </c>
      <c r="W36" s="15">
        <f>T36</f>
        <v>0.50138888888888888</v>
      </c>
      <c r="X36" s="15">
        <f>S37</f>
        <v>0.54236111111111107</v>
      </c>
      <c r="Y36" s="528"/>
      <c r="Z36" s="528"/>
      <c r="AA36" s="11">
        <f t="shared" si="2"/>
        <v>-182.90322580645261</v>
      </c>
      <c r="AB36" s="267">
        <f t="shared" si="57"/>
        <v>0.92379032258064475</v>
      </c>
      <c r="AC36" s="533"/>
    </row>
    <row r="37" spans="1:29">
      <c r="A37" s="551" t="s">
        <v>379</v>
      </c>
      <c r="B37" s="26" t="s">
        <v>24</v>
      </c>
      <c r="C37" s="529" t="s">
        <v>28</v>
      </c>
      <c r="D37" s="529"/>
      <c r="E37" s="26">
        <v>26.2</v>
      </c>
      <c r="F37" s="264">
        <v>4130</v>
      </c>
      <c r="G37" s="266">
        <f t="shared" si="49"/>
        <v>108206</v>
      </c>
      <c r="H37" s="265" t="s">
        <v>52</v>
      </c>
      <c r="I37" s="275">
        <v>18</v>
      </c>
      <c r="J37" s="18">
        <v>2400</v>
      </c>
      <c r="K37" s="9">
        <f t="shared" si="54"/>
        <v>133.33333333333334</v>
      </c>
      <c r="L37" s="275">
        <v>18</v>
      </c>
      <c r="M37" s="10">
        <f t="shared" si="55"/>
        <v>2212.5000000000018</v>
      </c>
      <c r="N37" s="9">
        <f t="shared" si="56"/>
        <v>122.91666666666677</v>
      </c>
      <c r="O37" s="11">
        <f t="shared" si="50"/>
        <v>0</v>
      </c>
      <c r="P37" s="12">
        <f t="shared" si="51"/>
        <v>-10.416666666666572</v>
      </c>
      <c r="Q37" s="267">
        <f t="shared" si="52"/>
        <v>0.92187500000000067</v>
      </c>
      <c r="R37" s="533"/>
      <c r="S37" s="24">
        <v>0.54236111111111107</v>
      </c>
      <c r="T37" s="24">
        <v>0.6201388888888888</v>
      </c>
      <c r="U37" s="266">
        <f t="shared" si="58"/>
        <v>58.99999999999995</v>
      </c>
      <c r="V37" s="270">
        <f t="shared" si="53"/>
        <v>111.99999999999991</v>
      </c>
      <c r="W37" s="14"/>
      <c r="X37" s="14"/>
      <c r="Y37" s="528"/>
      <c r="Z37" s="528"/>
      <c r="AA37" s="11">
        <f t="shared" si="2"/>
        <v>-187.49999999999818</v>
      </c>
      <c r="AB37" s="267">
        <f t="shared" si="57"/>
        <v>0.92187500000000078</v>
      </c>
      <c r="AC37" s="533"/>
    </row>
    <row r="38" spans="1:29">
      <c r="A38" s="551" t="s">
        <v>379</v>
      </c>
      <c r="B38" s="16" t="s">
        <v>82</v>
      </c>
      <c r="C38" s="530"/>
      <c r="D38" s="530"/>
      <c r="E38" s="271"/>
      <c r="F38" s="16"/>
      <c r="G38" s="9"/>
      <c r="H38" s="264"/>
      <c r="I38" s="17">
        <v>18.666666666666668</v>
      </c>
      <c r="J38" s="18">
        <v>2400</v>
      </c>
      <c r="K38" s="9">
        <f t="shared" si="54"/>
        <v>128.57142857142856</v>
      </c>
      <c r="L38" s="17">
        <v>18.666666666666668</v>
      </c>
      <c r="M38" s="10">
        <f>AVERAGE(M32:M37)</f>
        <v>2223.5434043679547</v>
      </c>
      <c r="N38" s="9">
        <f>M38/L38</f>
        <v>119.118396662569</v>
      </c>
      <c r="O38" s="11">
        <f>L38-I38</f>
        <v>0</v>
      </c>
      <c r="P38" s="12">
        <f t="shared" si="51"/>
        <v>-9.4530319088595576</v>
      </c>
      <c r="Q38" s="267">
        <f t="shared" si="52"/>
        <v>0.92647641848664786</v>
      </c>
      <c r="R38" s="533"/>
      <c r="S38" s="24"/>
      <c r="T38" s="24"/>
      <c r="U38" s="9"/>
      <c r="V38" s="270"/>
      <c r="W38" s="9"/>
      <c r="X38" s="9"/>
      <c r="Y38" s="528"/>
      <c r="Z38" s="528"/>
      <c r="AA38" s="11">
        <f t="shared" si="2"/>
        <v>-176.45659563204526</v>
      </c>
      <c r="AB38" s="267">
        <f t="shared" si="57"/>
        <v>0.92647641848664786</v>
      </c>
      <c r="AC38" s="533"/>
    </row>
    <row r="39" spans="1:29" ht="15.75" customHeight="1">
      <c r="A39" s="544" t="s">
        <v>381</v>
      </c>
      <c r="B39" s="26" t="s">
        <v>32</v>
      </c>
      <c r="C39" s="534" t="s">
        <v>33</v>
      </c>
      <c r="D39" s="535"/>
      <c r="E39" s="26">
        <v>27.17</v>
      </c>
      <c r="F39" s="264">
        <v>2600</v>
      </c>
      <c r="G39" s="266">
        <f t="shared" ref="G39:G45" si="59">E39*F39</f>
        <v>70642</v>
      </c>
      <c r="H39" s="265">
        <v>2</v>
      </c>
      <c r="I39" s="275">
        <v>10</v>
      </c>
      <c r="J39" s="18">
        <v>3000</v>
      </c>
      <c r="K39" s="9">
        <f t="shared" si="54"/>
        <v>300</v>
      </c>
      <c r="L39" s="275">
        <v>10</v>
      </c>
      <c r="M39" s="10">
        <f t="shared" ref="M39:M40" si="60">F39/V39*60</f>
        <v>2785.7142857142858</v>
      </c>
      <c r="N39" s="10">
        <f t="shared" ref="N39:N46" si="61">M39/L39</f>
        <v>278.57142857142856</v>
      </c>
      <c r="O39" s="11">
        <f t="shared" ref="O39:O46" si="62">L39-I39</f>
        <v>0</v>
      </c>
      <c r="P39" s="12">
        <f t="shared" si="51"/>
        <v>-21.428571428571445</v>
      </c>
      <c r="Q39" s="267">
        <f t="shared" si="52"/>
        <v>0.92857142857142849</v>
      </c>
      <c r="R39" s="547">
        <f>Q46</f>
        <v>0.92953451078005156</v>
      </c>
      <c r="S39" s="24">
        <v>0.20833333333333334</v>
      </c>
      <c r="T39" s="24">
        <v>0.24722222222222223</v>
      </c>
      <c r="U39" s="15"/>
      <c r="V39" s="270">
        <f t="shared" ref="V39:V45" si="63">(T39-S39)*24*60</f>
        <v>56</v>
      </c>
      <c r="W39" s="266"/>
      <c r="X39" s="266"/>
      <c r="Y39" s="536"/>
      <c r="Z39" s="537"/>
      <c r="AA39" s="11">
        <f t="shared" si="2"/>
        <v>-214.28571428571422</v>
      </c>
      <c r="AB39" s="267">
        <f t="shared" si="57"/>
        <v>0.9285714285714286</v>
      </c>
      <c r="AC39" s="547">
        <f>AB46</f>
        <v>0.92953451078005156</v>
      </c>
    </row>
    <row r="40" spans="1:29" ht="15.75" customHeight="1">
      <c r="A40" s="545" t="s">
        <v>381</v>
      </c>
      <c r="B40" s="26" t="s">
        <v>32</v>
      </c>
      <c r="C40" s="534" t="s">
        <v>34</v>
      </c>
      <c r="D40" s="535"/>
      <c r="E40" s="26">
        <v>21.13</v>
      </c>
      <c r="F40" s="264">
        <v>5233</v>
      </c>
      <c r="G40" s="266">
        <f t="shared" si="59"/>
        <v>110573.29</v>
      </c>
      <c r="H40" s="265" t="s">
        <v>52</v>
      </c>
      <c r="I40" s="275">
        <v>10</v>
      </c>
      <c r="J40" s="18">
        <v>3000</v>
      </c>
      <c r="K40" s="9">
        <f t="shared" si="54"/>
        <v>300</v>
      </c>
      <c r="L40" s="275">
        <v>10</v>
      </c>
      <c r="M40" s="10">
        <f t="shared" si="60"/>
        <v>2778.5840707964603</v>
      </c>
      <c r="N40" s="10">
        <f t="shared" si="61"/>
        <v>277.85840707964604</v>
      </c>
      <c r="O40" s="11">
        <f t="shared" si="62"/>
        <v>0</v>
      </c>
      <c r="P40" s="12">
        <f t="shared" si="51"/>
        <v>-22.141592920353958</v>
      </c>
      <c r="Q40" s="267">
        <f t="shared" si="52"/>
        <v>0.92619469026548684</v>
      </c>
      <c r="R40" s="548"/>
      <c r="S40" s="24">
        <v>0.25277777777777777</v>
      </c>
      <c r="T40" s="24">
        <v>0.33124999999999999</v>
      </c>
      <c r="U40" s="266">
        <f>(S40-T39)*24*60</f>
        <v>7.9999999999999716</v>
      </c>
      <c r="V40" s="270">
        <f t="shared" si="63"/>
        <v>113</v>
      </c>
      <c r="W40" s="14"/>
      <c r="X40" s="14"/>
      <c r="Y40" s="536"/>
      <c r="Z40" s="537"/>
      <c r="AA40" s="11">
        <f t="shared" si="2"/>
        <v>-221.41592920353969</v>
      </c>
      <c r="AB40" s="267">
        <f t="shared" si="57"/>
        <v>0.92619469026548673</v>
      </c>
      <c r="AC40" s="548"/>
    </row>
    <row r="41" spans="1:29" ht="15.75" customHeight="1">
      <c r="A41" s="545" t="s">
        <v>381</v>
      </c>
      <c r="B41" s="26" t="s">
        <v>32</v>
      </c>
      <c r="C41" s="534" t="s">
        <v>40</v>
      </c>
      <c r="D41" s="535"/>
      <c r="E41" s="26">
        <v>35.119999999999997</v>
      </c>
      <c r="F41" s="264">
        <v>5129</v>
      </c>
      <c r="G41" s="266">
        <f t="shared" si="59"/>
        <v>180130.47999999998</v>
      </c>
      <c r="H41" s="265" t="s">
        <v>52</v>
      </c>
      <c r="I41" s="275">
        <v>10</v>
      </c>
      <c r="J41" s="18">
        <v>3000</v>
      </c>
      <c r="K41" s="9">
        <f t="shared" si="54"/>
        <v>300</v>
      </c>
      <c r="L41" s="275">
        <v>10</v>
      </c>
      <c r="M41" s="10">
        <f>F41/V41*60</f>
        <v>2772.4324324324325</v>
      </c>
      <c r="N41" s="10">
        <f t="shared" si="61"/>
        <v>277.24324324324323</v>
      </c>
      <c r="O41" s="11">
        <f t="shared" si="62"/>
        <v>0</v>
      </c>
      <c r="P41" s="12">
        <f t="shared" si="51"/>
        <v>-22.756756756756772</v>
      </c>
      <c r="Q41" s="267">
        <f t="shared" si="52"/>
        <v>0.92414414414414414</v>
      </c>
      <c r="R41" s="548"/>
      <c r="S41" s="24">
        <v>0.33680555555555552</v>
      </c>
      <c r="T41" s="24">
        <v>0.41388888888888886</v>
      </c>
      <c r="U41" s="266">
        <f t="shared" ref="U41:U45" si="64">(S41-T40)*24*60</f>
        <v>7.9999999999999716</v>
      </c>
      <c r="V41" s="270">
        <f t="shared" si="63"/>
        <v>111</v>
      </c>
      <c r="W41" s="14"/>
      <c r="X41" s="14"/>
      <c r="Y41" s="536"/>
      <c r="Z41" s="537"/>
      <c r="AA41" s="11">
        <f t="shared" si="2"/>
        <v>-227.56756756756749</v>
      </c>
      <c r="AB41" s="267">
        <f t="shared" si="57"/>
        <v>0.92414414414414414</v>
      </c>
      <c r="AC41" s="548"/>
    </row>
    <row r="42" spans="1:29" ht="15.75" customHeight="1">
      <c r="A42" s="545" t="s">
        <v>381</v>
      </c>
      <c r="B42" s="26" t="s">
        <v>32</v>
      </c>
      <c r="C42" s="534" t="s">
        <v>61</v>
      </c>
      <c r="D42" s="535"/>
      <c r="E42" s="26">
        <v>40.18</v>
      </c>
      <c r="F42" s="264">
        <v>2060</v>
      </c>
      <c r="G42" s="266">
        <f t="shared" si="59"/>
        <v>82770.8</v>
      </c>
      <c r="H42" s="265" t="s">
        <v>52</v>
      </c>
      <c r="I42" s="275">
        <v>10</v>
      </c>
      <c r="J42" s="18">
        <v>3000</v>
      </c>
      <c r="K42" s="9">
        <f t="shared" si="54"/>
        <v>300</v>
      </c>
      <c r="L42" s="275">
        <v>10</v>
      </c>
      <c r="M42" s="10">
        <f t="shared" ref="M42:M45" si="65">F42/V42*60</f>
        <v>2809.090909090909</v>
      </c>
      <c r="N42" s="10">
        <f t="shared" si="61"/>
        <v>280.90909090909088</v>
      </c>
      <c r="O42" s="11">
        <f t="shared" si="62"/>
        <v>0</v>
      </c>
      <c r="P42" s="12">
        <f t="shared" si="51"/>
        <v>-19.090909090909122</v>
      </c>
      <c r="Q42" s="267">
        <f t="shared" si="52"/>
        <v>0.93636363636363629</v>
      </c>
      <c r="R42" s="548"/>
      <c r="S42" s="24">
        <v>0.41874999999999996</v>
      </c>
      <c r="T42" s="24">
        <v>0.44930555555555551</v>
      </c>
      <c r="U42" s="266">
        <f t="shared" si="64"/>
        <v>6.9999999999999751</v>
      </c>
      <c r="V42" s="270">
        <f t="shared" si="63"/>
        <v>44</v>
      </c>
      <c r="W42" s="14"/>
      <c r="X42" s="14"/>
      <c r="Y42" s="536"/>
      <c r="Z42" s="537"/>
      <c r="AA42" s="11">
        <f t="shared" si="2"/>
        <v>-190.90909090909099</v>
      </c>
      <c r="AB42" s="267">
        <f t="shared" si="57"/>
        <v>0.93636363636363629</v>
      </c>
      <c r="AC42" s="548"/>
    </row>
    <row r="43" spans="1:29" ht="15.75" customHeight="1">
      <c r="A43" s="545" t="s">
        <v>381</v>
      </c>
      <c r="B43" s="26" t="s">
        <v>32</v>
      </c>
      <c r="C43" s="534" t="s">
        <v>64</v>
      </c>
      <c r="D43" s="535"/>
      <c r="E43" s="26">
        <v>28.5</v>
      </c>
      <c r="F43" s="264">
        <v>1216</v>
      </c>
      <c r="G43" s="266">
        <f t="shared" si="59"/>
        <v>34656</v>
      </c>
      <c r="H43" s="265" t="s">
        <v>52</v>
      </c>
      <c r="I43" s="275">
        <v>10</v>
      </c>
      <c r="J43" s="18">
        <v>3000</v>
      </c>
      <c r="K43" s="9">
        <f t="shared" si="54"/>
        <v>300</v>
      </c>
      <c r="L43" s="275">
        <v>10</v>
      </c>
      <c r="M43" s="10">
        <f t="shared" si="65"/>
        <v>2806.1538461538476</v>
      </c>
      <c r="N43" s="10">
        <f t="shared" si="61"/>
        <v>280.61538461538476</v>
      </c>
      <c r="O43" s="11">
        <f t="shared" si="62"/>
        <v>0</v>
      </c>
      <c r="P43" s="12">
        <f t="shared" si="51"/>
        <v>-19.384615384615245</v>
      </c>
      <c r="Q43" s="267">
        <f>N43/K43</f>
        <v>0.93538461538461581</v>
      </c>
      <c r="R43" s="548"/>
      <c r="S43" s="24">
        <v>0.45486111111111105</v>
      </c>
      <c r="T43" s="24">
        <v>0.4729166666666666</v>
      </c>
      <c r="U43" s="266">
        <f t="shared" si="64"/>
        <v>7.9999999999999716</v>
      </c>
      <c r="V43" s="270">
        <f t="shared" si="63"/>
        <v>25.999999999999986</v>
      </c>
      <c r="W43" s="14"/>
      <c r="X43" s="14"/>
      <c r="Y43" s="536"/>
      <c r="Z43" s="537"/>
      <c r="AA43" s="11">
        <f t="shared" si="2"/>
        <v>-193.84615384615245</v>
      </c>
      <c r="AB43" s="267">
        <f t="shared" si="57"/>
        <v>0.93538461538461581</v>
      </c>
      <c r="AC43" s="548"/>
    </row>
    <row r="44" spans="1:29" ht="15.75" customHeight="1">
      <c r="A44" s="545" t="s">
        <v>381</v>
      </c>
      <c r="B44" s="26" t="s">
        <v>32</v>
      </c>
      <c r="C44" s="534" t="s">
        <v>78</v>
      </c>
      <c r="D44" s="535"/>
      <c r="E44" s="26">
        <v>35.869999999999997</v>
      </c>
      <c r="F44" s="264">
        <v>3678</v>
      </c>
      <c r="G44" s="266">
        <f t="shared" si="59"/>
        <v>131929.85999999999</v>
      </c>
      <c r="H44" s="265" t="s">
        <v>52</v>
      </c>
      <c r="I44" s="275">
        <v>10</v>
      </c>
      <c r="J44" s="18">
        <v>3000</v>
      </c>
      <c r="K44" s="9">
        <f t="shared" si="54"/>
        <v>300</v>
      </c>
      <c r="L44" s="275">
        <v>10</v>
      </c>
      <c r="M44" s="10">
        <f t="shared" si="65"/>
        <v>2793.4177215189889</v>
      </c>
      <c r="N44" s="10">
        <f t="shared" si="61"/>
        <v>279.34177215189891</v>
      </c>
      <c r="O44" s="11">
        <f t="shared" si="62"/>
        <v>0</v>
      </c>
      <c r="P44" s="12">
        <f t="shared" si="51"/>
        <v>-20.658227848101092</v>
      </c>
      <c r="Q44" s="267">
        <f t="shared" ref="Q44:Q46" si="66">N44/K44</f>
        <v>0.93113924050632968</v>
      </c>
      <c r="R44" s="548"/>
      <c r="S44" s="24">
        <v>0.47638888888888881</v>
      </c>
      <c r="T44" s="24">
        <v>0.53124999999999989</v>
      </c>
      <c r="U44" s="266">
        <f t="shared" si="64"/>
        <v>4.9999999999999822</v>
      </c>
      <c r="V44" s="270">
        <f t="shared" si="63"/>
        <v>78.999999999999957</v>
      </c>
      <c r="W44" s="14">
        <f>T44</f>
        <v>0.53124999999999989</v>
      </c>
      <c r="X44" s="14">
        <f>S45</f>
        <v>0.57222222222222208</v>
      </c>
      <c r="Y44" s="536"/>
      <c r="Z44" s="537"/>
      <c r="AA44" s="11">
        <f t="shared" si="2"/>
        <v>-206.58227848101114</v>
      </c>
      <c r="AB44" s="267">
        <f t="shared" si="57"/>
        <v>0.93113924050632957</v>
      </c>
      <c r="AC44" s="548"/>
    </row>
    <row r="45" spans="1:29" ht="15.75" customHeight="1">
      <c r="A45" s="545" t="s">
        <v>381</v>
      </c>
      <c r="B45" s="26" t="s">
        <v>32</v>
      </c>
      <c r="C45" s="534" t="s">
        <v>33</v>
      </c>
      <c r="D45" s="535"/>
      <c r="E45" s="26">
        <v>27.17</v>
      </c>
      <c r="F45" s="264">
        <v>4116</v>
      </c>
      <c r="G45" s="266">
        <f t="shared" si="59"/>
        <v>111831.72</v>
      </c>
      <c r="H45" s="265" t="s">
        <v>52</v>
      </c>
      <c r="I45" s="275">
        <v>10</v>
      </c>
      <c r="J45" s="18">
        <v>3000</v>
      </c>
      <c r="K45" s="9">
        <f t="shared" si="54"/>
        <v>300</v>
      </c>
      <c r="L45" s="275">
        <v>10</v>
      </c>
      <c r="M45" s="10">
        <f t="shared" si="65"/>
        <v>2774.8314606741574</v>
      </c>
      <c r="N45" s="10">
        <f t="shared" si="61"/>
        <v>277.48314606741576</v>
      </c>
      <c r="O45" s="11">
        <f t="shared" si="62"/>
        <v>0</v>
      </c>
      <c r="P45" s="12">
        <f t="shared" si="51"/>
        <v>-22.51685393258424</v>
      </c>
      <c r="Q45" s="267">
        <f t="shared" si="66"/>
        <v>0.92494382022471922</v>
      </c>
      <c r="R45" s="548"/>
      <c r="S45" s="24">
        <v>0.57222222222222208</v>
      </c>
      <c r="T45" s="24">
        <v>0.63402777777777763</v>
      </c>
      <c r="U45" s="266">
        <f t="shared" si="64"/>
        <v>58.99999999999995</v>
      </c>
      <c r="V45" s="270">
        <f t="shared" si="63"/>
        <v>89</v>
      </c>
      <c r="W45" s="14"/>
      <c r="X45" s="14"/>
      <c r="Y45" s="536"/>
      <c r="Z45" s="537"/>
      <c r="AA45" s="11">
        <f t="shared" si="2"/>
        <v>-225.16853932584263</v>
      </c>
      <c r="AB45" s="267">
        <f t="shared" si="57"/>
        <v>0.9249438202247191</v>
      </c>
      <c r="AC45" s="548"/>
    </row>
    <row r="46" spans="1:29" ht="15.75" customHeight="1">
      <c r="A46" s="546" t="s">
        <v>381</v>
      </c>
      <c r="B46" s="26" t="s">
        <v>82</v>
      </c>
      <c r="C46" s="540"/>
      <c r="D46" s="541"/>
      <c r="E46" s="274"/>
      <c r="F46" s="264"/>
      <c r="G46" s="266"/>
      <c r="H46" s="264"/>
      <c r="I46" s="17">
        <v>10</v>
      </c>
      <c r="J46" s="18">
        <v>3000</v>
      </c>
      <c r="K46" s="9">
        <f>J46/I46</f>
        <v>300</v>
      </c>
      <c r="L46" s="17">
        <v>10</v>
      </c>
      <c r="M46" s="10">
        <f>AVERAGE(M39:M45)</f>
        <v>2788.6035323401547</v>
      </c>
      <c r="N46" s="9">
        <f t="shared" si="61"/>
        <v>278.86035323401546</v>
      </c>
      <c r="O46" s="11">
        <f t="shared" si="62"/>
        <v>0</v>
      </c>
      <c r="P46" s="12">
        <f t="shared" si="51"/>
        <v>-21.139646765984537</v>
      </c>
      <c r="Q46" s="267">
        <f t="shared" si="66"/>
        <v>0.92953451078005156</v>
      </c>
      <c r="R46" s="549"/>
      <c r="S46" s="24"/>
      <c r="T46" s="24"/>
      <c r="U46" s="266"/>
      <c r="V46" s="270"/>
      <c r="W46" s="14"/>
      <c r="X46" s="14"/>
      <c r="Y46" s="536"/>
      <c r="Z46" s="537"/>
      <c r="AA46" s="11">
        <f t="shared" si="2"/>
        <v>-211.39646765984526</v>
      </c>
      <c r="AB46" s="267">
        <f t="shared" si="57"/>
        <v>0.92953451078005156</v>
      </c>
      <c r="AC46" s="549"/>
    </row>
    <row r="47" spans="1:29" ht="15.75" customHeight="1">
      <c r="A47" s="542" t="s">
        <v>383</v>
      </c>
      <c r="B47" s="26" t="s">
        <v>15</v>
      </c>
      <c r="C47" s="529" t="s">
        <v>20</v>
      </c>
      <c r="D47" s="529"/>
      <c r="E47" s="26">
        <v>46</v>
      </c>
      <c r="F47" s="27">
        <v>3451</v>
      </c>
      <c r="G47" s="266">
        <f t="shared" ref="G47:G51" si="67">E47*F47</f>
        <v>158746</v>
      </c>
      <c r="H47" s="265" t="s">
        <v>52</v>
      </c>
      <c r="I47" s="275">
        <v>17</v>
      </c>
      <c r="J47" s="18">
        <v>2000</v>
      </c>
      <c r="K47" s="9">
        <f t="shared" ref="K47:K51" si="68">J47/I47</f>
        <v>117.64705882352941</v>
      </c>
      <c r="L47" s="275">
        <v>17</v>
      </c>
      <c r="M47" s="10">
        <f t="shared" ref="M47:M51" si="69">F47/V47*60</f>
        <v>1848.75</v>
      </c>
      <c r="N47" s="10">
        <f>M47/L47</f>
        <v>108.75</v>
      </c>
      <c r="O47" s="11">
        <f>L47-I47</f>
        <v>0</v>
      </c>
      <c r="P47" s="12">
        <f>N47-K47</f>
        <v>-8.8970588235294059</v>
      </c>
      <c r="Q47" s="267">
        <f>N47/K47</f>
        <v>0.92437500000000006</v>
      </c>
      <c r="R47" s="533">
        <f>Q52</f>
        <v>0.92718851697897509</v>
      </c>
      <c r="S47" s="24">
        <v>0.29166666666666669</v>
      </c>
      <c r="T47" s="24">
        <v>0.36944444444444446</v>
      </c>
      <c r="U47" s="15"/>
      <c r="V47" s="270">
        <f t="shared" ref="V47:V51" si="70">(T47-S47)*24*60</f>
        <v>112</v>
      </c>
      <c r="W47" s="15"/>
      <c r="X47" s="15"/>
      <c r="Y47" s="528"/>
      <c r="Z47" s="528"/>
      <c r="AA47" s="11">
        <f t="shared" si="2"/>
        <v>-151.25</v>
      </c>
      <c r="AB47" s="267">
        <f t="shared" si="57"/>
        <v>0.92437499999999995</v>
      </c>
      <c r="AC47" s="533">
        <f>AB52</f>
        <v>0.9271885169789752</v>
      </c>
    </row>
    <row r="48" spans="1:29" ht="15.75" customHeight="1">
      <c r="A48" s="542" t="s">
        <v>989</v>
      </c>
      <c r="B48" s="26" t="s">
        <v>15</v>
      </c>
      <c r="C48" s="529" t="s">
        <v>65</v>
      </c>
      <c r="D48" s="529"/>
      <c r="E48" s="26">
        <v>46</v>
      </c>
      <c r="F48" s="27">
        <v>3771</v>
      </c>
      <c r="G48" s="266">
        <f t="shared" si="67"/>
        <v>173466</v>
      </c>
      <c r="H48" s="265" t="s">
        <v>52</v>
      </c>
      <c r="I48" s="275">
        <v>18</v>
      </c>
      <c r="J48" s="18">
        <v>2000</v>
      </c>
      <c r="K48" s="9">
        <f t="shared" si="68"/>
        <v>111.11111111111111</v>
      </c>
      <c r="L48" s="275">
        <v>18</v>
      </c>
      <c r="M48" s="10">
        <f t="shared" si="69"/>
        <v>1854.5901639344268</v>
      </c>
      <c r="N48" s="10">
        <f t="shared" ref="N48:N51" si="71">M48/L48</f>
        <v>103.03278688524593</v>
      </c>
      <c r="O48" s="11">
        <f t="shared" ref="O48:O51" si="72">L48-I48</f>
        <v>0</v>
      </c>
      <c r="P48" s="12">
        <f t="shared" ref="P48:P51" si="73">N48-K48</f>
        <v>-8.0783242258651882</v>
      </c>
      <c r="Q48" s="267">
        <f t="shared" ref="Q48:Q51" si="74">N48/K48</f>
        <v>0.92729508196721333</v>
      </c>
      <c r="R48" s="533"/>
      <c r="S48" s="24">
        <v>0.37361111111111112</v>
      </c>
      <c r="T48" s="24">
        <v>0.45833333333333331</v>
      </c>
      <c r="U48" s="266">
        <f>IF(S48=TIME(17,0,0),"",(S48-T47)*24*60)</f>
        <v>5.9999999999999787</v>
      </c>
      <c r="V48" s="270">
        <f t="shared" si="70"/>
        <v>121.99999999999997</v>
      </c>
      <c r="W48" s="14"/>
      <c r="X48" s="14"/>
      <c r="Y48" s="528"/>
      <c r="Z48" s="528"/>
      <c r="AA48" s="11">
        <f t="shared" si="2"/>
        <v>-145.40983606557324</v>
      </c>
      <c r="AB48" s="267">
        <f t="shared" si="57"/>
        <v>0.92729508196721333</v>
      </c>
      <c r="AC48" s="533"/>
    </row>
    <row r="49" spans="1:29" ht="15.75" customHeight="1">
      <c r="A49" s="542" t="s">
        <v>990</v>
      </c>
      <c r="B49" s="26" t="s">
        <v>13</v>
      </c>
      <c r="C49" s="534" t="s">
        <v>59</v>
      </c>
      <c r="D49" s="535"/>
      <c r="E49" s="26">
        <v>55.56</v>
      </c>
      <c r="F49" s="27">
        <v>2148</v>
      </c>
      <c r="G49" s="266">
        <f t="shared" si="67"/>
        <v>119342.88</v>
      </c>
      <c r="H49" s="265" t="s">
        <v>52</v>
      </c>
      <c r="I49" s="275">
        <v>17</v>
      </c>
      <c r="J49" s="18">
        <v>2000</v>
      </c>
      <c r="K49" s="9">
        <f t="shared" si="68"/>
        <v>117.64705882352941</v>
      </c>
      <c r="L49" s="275">
        <v>17</v>
      </c>
      <c r="M49" s="10">
        <f t="shared" si="69"/>
        <v>1841.1428571428553</v>
      </c>
      <c r="N49" s="10">
        <f t="shared" si="71"/>
        <v>108.30252100840325</v>
      </c>
      <c r="O49" s="11">
        <f t="shared" si="72"/>
        <v>0</v>
      </c>
      <c r="P49" s="12">
        <f t="shared" si="73"/>
        <v>-9.3445378151261593</v>
      </c>
      <c r="Q49" s="267">
        <f t="shared" si="74"/>
        <v>0.9205714285714276</v>
      </c>
      <c r="R49" s="533"/>
      <c r="S49" s="24">
        <v>0.70833333333333337</v>
      </c>
      <c r="T49" s="24">
        <v>0.75694444444444453</v>
      </c>
      <c r="U49" s="266" t="str">
        <f t="shared" ref="U49:U51" si="75">IF(S49=TIME(17,0,0),"",(S49-T48)*24*60)</f>
        <v/>
      </c>
      <c r="V49" s="270">
        <f t="shared" si="70"/>
        <v>70.000000000000071</v>
      </c>
      <c r="W49" s="14"/>
      <c r="X49" s="14"/>
      <c r="Y49" s="268"/>
      <c r="Z49" s="269"/>
      <c r="AA49" s="11">
        <f t="shared" si="2"/>
        <v>-158.85714285714471</v>
      </c>
      <c r="AB49" s="267">
        <f t="shared" si="57"/>
        <v>0.9205714285714276</v>
      </c>
      <c r="AC49" s="533"/>
    </row>
    <row r="50" spans="1:29" ht="15.75" customHeight="1">
      <c r="A50" s="542" t="s">
        <v>990</v>
      </c>
      <c r="B50" s="26" t="s">
        <v>13</v>
      </c>
      <c r="C50" s="272" t="s">
        <v>58</v>
      </c>
      <c r="D50" s="273"/>
      <c r="E50" s="26">
        <v>55.32</v>
      </c>
      <c r="F50" s="27">
        <v>1656</v>
      </c>
      <c r="G50" s="266">
        <f t="shared" si="67"/>
        <v>91609.919999999998</v>
      </c>
      <c r="H50" s="265" t="s">
        <v>52</v>
      </c>
      <c r="I50" s="275">
        <v>15</v>
      </c>
      <c r="J50" s="18">
        <v>2000</v>
      </c>
      <c r="K50" s="9">
        <f t="shared" si="68"/>
        <v>133.33333333333334</v>
      </c>
      <c r="L50" s="275">
        <v>15</v>
      </c>
      <c r="M50" s="10">
        <f t="shared" si="69"/>
        <v>1874.7169811320764</v>
      </c>
      <c r="N50" s="10">
        <f t="shared" si="71"/>
        <v>124.98113207547176</v>
      </c>
      <c r="O50" s="11">
        <f t="shared" si="72"/>
        <v>0</v>
      </c>
      <c r="P50" s="12">
        <f t="shared" si="73"/>
        <v>-8.3522012578615801</v>
      </c>
      <c r="Q50" s="267">
        <f t="shared" si="74"/>
        <v>0.93735849056603815</v>
      </c>
      <c r="R50" s="533"/>
      <c r="S50" s="24">
        <v>0.76111111111111118</v>
      </c>
      <c r="T50" s="24">
        <v>0.79791666666666672</v>
      </c>
      <c r="U50" s="266">
        <f t="shared" si="75"/>
        <v>5.9999999999999787</v>
      </c>
      <c r="V50" s="270">
        <f t="shared" si="70"/>
        <v>52.999999999999972</v>
      </c>
      <c r="W50" s="14"/>
      <c r="X50" s="14"/>
      <c r="Y50" s="268"/>
      <c r="Z50" s="269"/>
      <c r="AA50" s="11">
        <f t="shared" si="2"/>
        <v>-125.2830188679236</v>
      </c>
      <c r="AB50" s="267">
        <f t="shared" si="57"/>
        <v>0.93735849056603815</v>
      </c>
      <c r="AC50" s="533"/>
    </row>
    <row r="51" spans="1:29" ht="15.75" customHeight="1">
      <c r="A51" s="542" t="s">
        <v>990</v>
      </c>
      <c r="B51" s="26" t="s">
        <v>13</v>
      </c>
      <c r="C51" s="272" t="s">
        <v>60</v>
      </c>
      <c r="D51" s="273"/>
      <c r="E51" s="26">
        <v>57.73</v>
      </c>
      <c r="F51" s="27">
        <v>1528</v>
      </c>
      <c r="G51" s="266">
        <f t="shared" si="67"/>
        <v>88211.44</v>
      </c>
      <c r="H51" s="265" t="s">
        <v>52</v>
      </c>
      <c r="I51" s="275">
        <v>16</v>
      </c>
      <c r="J51" s="18">
        <v>1500</v>
      </c>
      <c r="K51" s="9">
        <f t="shared" si="68"/>
        <v>93.75</v>
      </c>
      <c r="L51" s="275">
        <v>16</v>
      </c>
      <c r="M51" s="10">
        <f t="shared" si="69"/>
        <v>1389.0909090909072</v>
      </c>
      <c r="N51" s="10">
        <f t="shared" si="71"/>
        <v>86.818181818181699</v>
      </c>
      <c r="O51" s="11">
        <f t="shared" si="72"/>
        <v>0</v>
      </c>
      <c r="P51" s="12">
        <f t="shared" si="73"/>
        <v>-6.9318181818183007</v>
      </c>
      <c r="Q51" s="267">
        <f t="shared" si="74"/>
        <v>0.92606060606060481</v>
      </c>
      <c r="R51" s="533"/>
      <c r="S51" s="24">
        <v>0.80277777777777781</v>
      </c>
      <c r="T51" s="24">
        <v>0.8486111111111112</v>
      </c>
      <c r="U51" s="266">
        <f t="shared" si="75"/>
        <v>6.9999999999999751</v>
      </c>
      <c r="V51" s="270">
        <f t="shared" si="70"/>
        <v>66.000000000000085</v>
      </c>
      <c r="W51" s="14"/>
      <c r="X51" s="14"/>
      <c r="Y51" s="268"/>
      <c r="Z51" s="269"/>
      <c r="AA51" s="11">
        <f t="shared" si="2"/>
        <v>-110.90909090909281</v>
      </c>
      <c r="AB51" s="267">
        <f t="shared" si="57"/>
        <v>0.92606060606060481</v>
      </c>
      <c r="AC51" s="533"/>
    </row>
    <row r="52" spans="1:29">
      <c r="A52" s="543" t="s">
        <v>989</v>
      </c>
      <c r="B52" s="26" t="s">
        <v>991</v>
      </c>
      <c r="C52" s="530"/>
      <c r="D52" s="530"/>
      <c r="E52" s="271"/>
      <c r="F52" s="16"/>
      <c r="G52" s="9"/>
      <c r="H52" s="264"/>
      <c r="I52" s="17">
        <v>16.600000000000001</v>
      </c>
      <c r="J52" s="18">
        <v>1900</v>
      </c>
      <c r="K52" s="9">
        <f>J52/I52</f>
        <v>114.4578313253012</v>
      </c>
      <c r="L52" s="17">
        <v>16.600000000000001</v>
      </c>
      <c r="M52" s="10">
        <f>AVERAGE(M47:M51)</f>
        <v>1761.6581822600529</v>
      </c>
      <c r="N52" s="9">
        <f>M52/L52</f>
        <v>106.1239868831357</v>
      </c>
      <c r="O52" s="11">
        <f>L52-I52</f>
        <v>0</v>
      </c>
      <c r="P52" s="12">
        <f>N52-K52</f>
        <v>-8.3338444421654998</v>
      </c>
      <c r="Q52" s="267">
        <f>N52/K52</f>
        <v>0.92718851697897509</v>
      </c>
      <c r="R52" s="533"/>
      <c r="S52" s="25"/>
      <c r="T52" s="24"/>
      <c r="U52" s="9"/>
      <c r="V52" s="270"/>
      <c r="W52" s="9"/>
      <c r="X52" s="9"/>
      <c r="Y52" s="528"/>
      <c r="Z52" s="528"/>
      <c r="AA52" s="11">
        <f t="shared" si="2"/>
        <v>-138.34181773994715</v>
      </c>
      <c r="AB52" s="267">
        <f t="shared" si="57"/>
        <v>0.9271885169789752</v>
      </c>
      <c r="AC52" s="533"/>
    </row>
    <row r="53" spans="1:29" ht="15.75" customHeight="1">
      <c r="A53" s="538" t="s">
        <v>992</v>
      </c>
      <c r="B53" s="264" t="s">
        <v>32</v>
      </c>
      <c r="C53" s="529" t="s">
        <v>35</v>
      </c>
      <c r="D53" s="529"/>
      <c r="E53" s="26">
        <v>26.78</v>
      </c>
      <c r="F53" s="27">
        <v>2589</v>
      </c>
      <c r="G53" s="266">
        <f t="shared" ref="G53:G58" si="76">E53*F53</f>
        <v>69333.42</v>
      </c>
      <c r="H53" s="265" t="s">
        <v>52</v>
      </c>
      <c r="I53" s="275">
        <v>10</v>
      </c>
      <c r="J53" s="18">
        <v>3000</v>
      </c>
      <c r="K53" s="9">
        <f t="shared" ref="K53:K58" si="77">J53/I53</f>
        <v>300</v>
      </c>
      <c r="L53" s="17">
        <v>10</v>
      </c>
      <c r="M53" s="10">
        <f t="shared" ref="M53:M58" si="78">F53/V53*60</f>
        <v>2773.9285714285711</v>
      </c>
      <c r="N53" s="9">
        <f>M53/L53</f>
        <v>277.39285714285711</v>
      </c>
      <c r="O53" s="11">
        <f t="shared" ref="O53:O58" si="79">L53-I53</f>
        <v>0</v>
      </c>
      <c r="P53" s="12">
        <f t="shared" ref="P53:P58" si="80">N53-K53</f>
        <v>-22.60714285714289</v>
      </c>
      <c r="Q53" s="267">
        <f>N53/K53</f>
        <v>0.92464285714285699</v>
      </c>
      <c r="R53" s="533">
        <f>Q59</f>
        <v>0.93203904035920515</v>
      </c>
      <c r="S53" s="24">
        <v>0.20833333333333334</v>
      </c>
      <c r="T53" s="24">
        <v>0.24722222222222223</v>
      </c>
      <c r="U53" s="266"/>
      <c r="V53" s="270">
        <f t="shared" ref="V53:V58" si="81">(T53-S53)*24*60</f>
        <v>56</v>
      </c>
      <c r="W53" s="15"/>
      <c r="X53" s="15"/>
      <c r="Y53" s="528"/>
      <c r="Z53" s="528"/>
      <c r="AA53" s="11">
        <f t="shared" si="2"/>
        <v>-226.0714285714289</v>
      </c>
      <c r="AB53" s="267">
        <f t="shared" si="57"/>
        <v>0.92464285714285699</v>
      </c>
      <c r="AC53" s="533">
        <f>AB59</f>
        <v>0.93203904035920515</v>
      </c>
    </row>
    <row r="54" spans="1:29" ht="15.75" customHeight="1">
      <c r="A54" s="538" t="s">
        <v>993</v>
      </c>
      <c r="B54" s="264" t="s">
        <v>32</v>
      </c>
      <c r="C54" s="529" t="s">
        <v>39</v>
      </c>
      <c r="D54" s="529"/>
      <c r="E54" s="26">
        <v>35.369999999999997</v>
      </c>
      <c r="F54" s="27">
        <v>1616</v>
      </c>
      <c r="G54" s="266">
        <f t="shared" si="76"/>
        <v>57157.919999999998</v>
      </c>
      <c r="H54" s="265" t="s">
        <v>52</v>
      </c>
      <c r="I54" s="275">
        <v>10</v>
      </c>
      <c r="J54" s="18">
        <v>3000</v>
      </c>
      <c r="K54" s="9">
        <f t="shared" si="77"/>
        <v>300</v>
      </c>
      <c r="L54" s="17">
        <v>10</v>
      </c>
      <c r="M54" s="10">
        <f t="shared" si="78"/>
        <v>2770.285714285711</v>
      </c>
      <c r="N54" s="9">
        <f t="shared" ref="N54:N58" si="82">M54/L54</f>
        <v>277.02857142857113</v>
      </c>
      <c r="O54" s="11">
        <f t="shared" si="79"/>
        <v>0</v>
      </c>
      <c r="P54" s="12">
        <f t="shared" si="80"/>
        <v>-22.971428571428874</v>
      </c>
      <c r="Q54" s="267">
        <f t="shared" ref="Q54:Q58" si="83">N54/K54</f>
        <v>0.92342857142857038</v>
      </c>
      <c r="R54" s="533"/>
      <c r="S54" s="24">
        <v>0.25138888888888888</v>
      </c>
      <c r="T54" s="24">
        <v>0.27569444444444446</v>
      </c>
      <c r="U54" s="266">
        <f>(S54-T53)*24*60</f>
        <v>5.9999999999999787</v>
      </c>
      <c r="V54" s="270">
        <f t="shared" si="81"/>
        <v>35.000000000000036</v>
      </c>
      <c r="W54" s="266"/>
      <c r="X54" s="266"/>
      <c r="Y54" s="528"/>
      <c r="Z54" s="528"/>
      <c r="AA54" s="11">
        <f t="shared" si="2"/>
        <v>-229.71428571428896</v>
      </c>
      <c r="AB54" s="267">
        <f t="shared" si="57"/>
        <v>0.92342857142857038</v>
      </c>
      <c r="AC54" s="533"/>
    </row>
    <row r="55" spans="1:29" ht="15.75" customHeight="1">
      <c r="A55" s="538" t="s">
        <v>992</v>
      </c>
      <c r="B55" s="264" t="s">
        <v>32</v>
      </c>
      <c r="C55" s="529" t="s">
        <v>38</v>
      </c>
      <c r="D55" s="529"/>
      <c r="E55" s="26">
        <v>34.35</v>
      </c>
      <c r="F55" s="27">
        <v>1472</v>
      </c>
      <c r="G55" s="266">
        <f t="shared" si="76"/>
        <v>50563.200000000004</v>
      </c>
      <c r="H55" s="265" t="s">
        <v>52</v>
      </c>
      <c r="I55" s="275">
        <v>10</v>
      </c>
      <c r="J55" s="18">
        <v>3000</v>
      </c>
      <c r="K55" s="9">
        <f t="shared" si="77"/>
        <v>300</v>
      </c>
      <c r="L55" s="17">
        <v>10</v>
      </c>
      <c r="M55" s="10">
        <f t="shared" si="78"/>
        <v>2849.0322580645188</v>
      </c>
      <c r="N55" s="9">
        <f t="shared" si="82"/>
        <v>284.90322580645187</v>
      </c>
      <c r="O55" s="11">
        <f t="shared" si="79"/>
        <v>0</v>
      </c>
      <c r="P55" s="12">
        <f t="shared" si="80"/>
        <v>-15.096774193548129</v>
      </c>
      <c r="Q55" s="267">
        <f t="shared" si="83"/>
        <v>0.94967741935483962</v>
      </c>
      <c r="R55" s="533"/>
      <c r="S55" s="24">
        <v>0.27916666666666667</v>
      </c>
      <c r="T55" s="24">
        <v>0.30069444444444443</v>
      </c>
      <c r="U55" s="266">
        <f t="shared" ref="U55:U58" si="84">(S55-T54)*24*60</f>
        <v>4.9999999999999822</v>
      </c>
      <c r="V55" s="270">
        <f t="shared" si="81"/>
        <v>30.999999999999972</v>
      </c>
      <c r="W55" s="266"/>
      <c r="X55" s="266"/>
      <c r="Y55" s="528"/>
      <c r="Z55" s="528"/>
      <c r="AA55" s="11">
        <f t="shared" si="2"/>
        <v>-150.96774193548117</v>
      </c>
      <c r="AB55" s="267">
        <f t="shared" si="57"/>
        <v>0.94967741935483962</v>
      </c>
      <c r="AC55" s="533"/>
    </row>
    <row r="56" spans="1:29" ht="15.75" customHeight="1">
      <c r="A56" s="538" t="s">
        <v>994</v>
      </c>
      <c r="B56" s="264" t="s">
        <v>15</v>
      </c>
      <c r="C56" s="529" t="s">
        <v>36</v>
      </c>
      <c r="D56" s="529"/>
      <c r="E56" s="26">
        <v>26.97</v>
      </c>
      <c r="F56" s="27">
        <v>3540</v>
      </c>
      <c r="G56" s="266">
        <f t="shared" si="76"/>
        <v>95473.8</v>
      </c>
      <c r="H56" s="265" t="s">
        <v>52</v>
      </c>
      <c r="I56" s="275">
        <v>8</v>
      </c>
      <c r="J56" s="18">
        <v>1500</v>
      </c>
      <c r="K56" s="9">
        <f t="shared" si="77"/>
        <v>187.5</v>
      </c>
      <c r="L56" s="17">
        <v>8</v>
      </c>
      <c r="M56" s="10">
        <f t="shared" si="78"/>
        <v>1388.2352941176468</v>
      </c>
      <c r="N56" s="9">
        <f t="shared" si="82"/>
        <v>173.52941176470586</v>
      </c>
      <c r="O56" s="11">
        <f t="shared" si="79"/>
        <v>0</v>
      </c>
      <c r="P56" s="12">
        <f t="shared" si="80"/>
        <v>-13.970588235294144</v>
      </c>
      <c r="Q56" s="267">
        <f t="shared" si="83"/>
        <v>0.92549019607843119</v>
      </c>
      <c r="R56" s="533"/>
      <c r="S56" s="24">
        <v>0.30416666666666664</v>
      </c>
      <c r="T56" s="24">
        <v>0.41041666666666665</v>
      </c>
      <c r="U56" s="266">
        <f t="shared" si="84"/>
        <v>4.9999999999999822</v>
      </c>
      <c r="V56" s="270">
        <f t="shared" si="81"/>
        <v>153.00000000000003</v>
      </c>
      <c r="W56" s="266"/>
      <c r="X56" s="266"/>
      <c r="Y56" s="528"/>
      <c r="Z56" s="528"/>
      <c r="AA56" s="11">
        <f t="shared" si="2"/>
        <v>-111.76470588235316</v>
      </c>
      <c r="AB56" s="267">
        <f t="shared" si="57"/>
        <v>0.92549019607843119</v>
      </c>
      <c r="AC56" s="533"/>
    </row>
    <row r="57" spans="1:29">
      <c r="A57" s="539" t="s">
        <v>994</v>
      </c>
      <c r="B57" s="264" t="s">
        <v>32</v>
      </c>
      <c r="C57" s="529" t="s">
        <v>37</v>
      </c>
      <c r="D57" s="529"/>
      <c r="E57" s="26">
        <v>35.119999999999997</v>
      </c>
      <c r="F57" s="27">
        <v>1252</v>
      </c>
      <c r="G57" s="266">
        <f t="shared" si="76"/>
        <v>43970.239999999998</v>
      </c>
      <c r="H57" s="265" t="s">
        <v>52</v>
      </c>
      <c r="I57" s="275">
        <v>13</v>
      </c>
      <c r="J57" s="18">
        <v>2000</v>
      </c>
      <c r="K57" s="9">
        <f t="shared" si="77"/>
        <v>153.84615384615384</v>
      </c>
      <c r="L57" s="17">
        <v>13</v>
      </c>
      <c r="M57" s="10">
        <f t="shared" si="78"/>
        <v>1877.9999999999993</v>
      </c>
      <c r="N57" s="9">
        <f t="shared" si="82"/>
        <v>144.4615384615384</v>
      </c>
      <c r="O57" s="11">
        <f t="shared" si="79"/>
        <v>0</v>
      </c>
      <c r="P57" s="12">
        <f t="shared" si="80"/>
        <v>-9.3846153846154436</v>
      </c>
      <c r="Q57" s="267">
        <f t="shared" si="83"/>
        <v>0.93899999999999961</v>
      </c>
      <c r="R57" s="533"/>
      <c r="S57" s="24">
        <v>0.41388888888888886</v>
      </c>
      <c r="T57" s="24">
        <v>0.44166666666666665</v>
      </c>
      <c r="U57" s="266">
        <f t="shared" si="84"/>
        <v>4.9999999999999822</v>
      </c>
      <c r="V57" s="270">
        <f t="shared" si="81"/>
        <v>40.000000000000014</v>
      </c>
      <c r="W57" s="14"/>
      <c r="X57" s="14"/>
      <c r="Y57" s="528"/>
      <c r="Z57" s="528"/>
      <c r="AA57" s="11">
        <f t="shared" si="2"/>
        <v>-122.00000000000068</v>
      </c>
      <c r="AB57" s="267">
        <f t="shared" si="57"/>
        <v>0.93899999999999961</v>
      </c>
      <c r="AC57" s="533"/>
    </row>
    <row r="58" spans="1:29" ht="15" customHeight="1">
      <c r="A58" s="539" t="s">
        <v>995</v>
      </c>
      <c r="B58" s="264" t="s">
        <v>32</v>
      </c>
      <c r="C58" s="534" t="s">
        <v>84</v>
      </c>
      <c r="D58" s="535"/>
      <c r="E58" s="26">
        <v>35.869999999999997</v>
      </c>
      <c r="F58" s="27">
        <v>3391</v>
      </c>
      <c r="G58" s="266">
        <f t="shared" si="76"/>
        <v>121635.17</v>
      </c>
      <c r="H58" s="265" t="s">
        <v>52</v>
      </c>
      <c r="I58" s="275">
        <v>10</v>
      </c>
      <c r="J58" s="18">
        <v>3000</v>
      </c>
      <c r="K58" s="9">
        <f t="shared" si="77"/>
        <v>300</v>
      </c>
      <c r="L58" s="17">
        <v>10</v>
      </c>
      <c r="M58" s="10">
        <f t="shared" si="78"/>
        <v>2787.1232876712334</v>
      </c>
      <c r="N58" s="9">
        <f t="shared" si="82"/>
        <v>278.71232876712332</v>
      </c>
      <c r="O58" s="11">
        <f t="shared" si="79"/>
        <v>0</v>
      </c>
      <c r="P58" s="12">
        <f t="shared" si="80"/>
        <v>-21.287671232876676</v>
      </c>
      <c r="Q58" s="267">
        <f t="shared" si="83"/>
        <v>0.92904109589041106</v>
      </c>
      <c r="R58" s="533"/>
      <c r="S58" s="24">
        <v>0.44652777777777775</v>
      </c>
      <c r="T58" s="24">
        <v>0.49722222222222218</v>
      </c>
      <c r="U58" s="266">
        <f t="shared" si="84"/>
        <v>6.9999999999999751</v>
      </c>
      <c r="V58" s="270">
        <f t="shared" si="81"/>
        <v>72.999999999999986</v>
      </c>
      <c r="W58" s="266"/>
      <c r="X58" s="266"/>
      <c r="Y58" s="536"/>
      <c r="Z58" s="537"/>
      <c r="AA58" s="11">
        <f t="shared" si="2"/>
        <v>-212.87671232876664</v>
      </c>
      <c r="AB58" s="267">
        <f t="shared" si="57"/>
        <v>0.92904109589041117</v>
      </c>
      <c r="AC58" s="533"/>
    </row>
    <row r="59" spans="1:29">
      <c r="A59" s="539" t="s">
        <v>994</v>
      </c>
      <c r="B59" s="26" t="s">
        <v>996</v>
      </c>
      <c r="C59" s="530"/>
      <c r="D59" s="530"/>
      <c r="E59" s="271"/>
      <c r="F59" s="16"/>
      <c r="G59" s="9"/>
      <c r="H59" s="264"/>
      <c r="I59" s="17">
        <v>10.166666666666666</v>
      </c>
      <c r="J59" s="18">
        <v>2583.3333333333335</v>
      </c>
      <c r="K59" s="9">
        <f>J59/I59</f>
        <v>254.09836065573774</v>
      </c>
      <c r="L59" s="17">
        <v>10.166666666666666</v>
      </c>
      <c r="M59" s="10">
        <f>AVERAGE(M53:M58)</f>
        <v>2407.7675209279469</v>
      </c>
      <c r="N59" s="9">
        <f>M59/L59</f>
        <v>236.82959222242101</v>
      </c>
      <c r="O59" s="11">
        <f>L59-I59</f>
        <v>0</v>
      </c>
      <c r="P59" s="12">
        <f>N59-K59</f>
        <v>-17.268768433316723</v>
      </c>
      <c r="Q59" s="267">
        <f>N59/K59</f>
        <v>0.93203904035920515</v>
      </c>
      <c r="R59" s="533"/>
      <c r="S59" s="24"/>
      <c r="T59" s="24"/>
      <c r="U59" s="9"/>
      <c r="V59" s="270"/>
      <c r="W59" s="9"/>
      <c r="X59" s="9"/>
      <c r="Y59" s="528"/>
      <c r="Z59" s="528"/>
      <c r="AA59" s="11">
        <f t="shared" si="2"/>
        <v>-175.56581240538662</v>
      </c>
      <c r="AB59" s="267">
        <f t="shared" si="57"/>
        <v>0.93203904035920515</v>
      </c>
      <c r="AC59" s="533"/>
    </row>
    <row r="60" spans="1:29" ht="15.75" customHeight="1">
      <c r="A60" s="531" t="s">
        <v>997</v>
      </c>
      <c r="B60" s="264" t="s">
        <v>24</v>
      </c>
      <c r="C60" s="529" t="s">
        <v>67</v>
      </c>
      <c r="D60" s="529"/>
      <c r="E60" s="26">
        <v>32.03</v>
      </c>
      <c r="F60" s="264">
        <v>1074</v>
      </c>
      <c r="G60" s="266">
        <f t="shared" ref="G60:G67" si="85">E60*F60</f>
        <v>34400.22</v>
      </c>
      <c r="H60" s="265" t="s">
        <v>52</v>
      </c>
      <c r="I60" s="275">
        <v>19</v>
      </c>
      <c r="J60" s="18">
        <v>2400</v>
      </c>
      <c r="K60" s="9">
        <f t="shared" ref="K60:K62" si="86">J60/I60</f>
        <v>126.31578947368421</v>
      </c>
      <c r="L60" s="17">
        <v>19</v>
      </c>
      <c r="M60" s="10">
        <f>F60/V60*60</f>
        <v>2222.06896551724</v>
      </c>
      <c r="N60" s="9">
        <f t="shared" ref="N60:N67" si="87">M60/L60</f>
        <v>116.9509981851179</v>
      </c>
      <c r="O60" s="11">
        <f t="shared" ref="O60:O67" si="88">L60-I60</f>
        <v>0</v>
      </c>
      <c r="P60" s="12">
        <f t="shared" ref="P60:P67" si="89">N60-K60</f>
        <v>-9.3647912885663089</v>
      </c>
      <c r="Q60" s="267">
        <f>N60/K60</f>
        <v>0.9258620689655167</v>
      </c>
      <c r="R60" s="533">
        <f>Q68</f>
        <v>0.92479992052768512</v>
      </c>
      <c r="S60" s="24">
        <v>0.125</v>
      </c>
      <c r="T60" s="24">
        <v>0.1451388888888889</v>
      </c>
      <c r="U60" s="15"/>
      <c r="V60" s="270">
        <f t="shared" ref="V60:V67" si="90">(T60-S60)*24*60</f>
        <v>29.000000000000018</v>
      </c>
      <c r="W60" s="14">
        <f>T60</f>
        <v>0.1451388888888889</v>
      </c>
      <c r="X60" s="14">
        <f>S61</f>
        <v>0.1652777777777778</v>
      </c>
      <c r="Y60" s="528"/>
      <c r="Z60" s="528"/>
      <c r="AA60" s="11">
        <f t="shared" si="2"/>
        <v>-177.93103448275997</v>
      </c>
      <c r="AB60" s="267">
        <f>M60/J60</f>
        <v>0.9258620689655167</v>
      </c>
      <c r="AC60" s="533">
        <f>AB68</f>
        <v>0.924799920527685</v>
      </c>
    </row>
    <row r="61" spans="1:29" ht="15.75" customHeight="1">
      <c r="A61" s="531" t="s">
        <v>998</v>
      </c>
      <c r="B61" s="264" t="s">
        <v>24</v>
      </c>
      <c r="C61" s="529" t="s">
        <v>51</v>
      </c>
      <c r="D61" s="529"/>
      <c r="E61" s="26">
        <v>20.2</v>
      </c>
      <c r="F61" s="264">
        <v>2869</v>
      </c>
      <c r="G61" s="266">
        <f t="shared" si="85"/>
        <v>57953.799999999996</v>
      </c>
      <c r="H61" s="265" t="s">
        <v>52</v>
      </c>
      <c r="I61" s="275">
        <v>19</v>
      </c>
      <c r="J61" s="18">
        <v>2400</v>
      </c>
      <c r="K61" s="9">
        <f t="shared" si="86"/>
        <v>126.31578947368421</v>
      </c>
      <c r="L61" s="17">
        <v>19</v>
      </c>
      <c r="M61" s="10">
        <f t="shared" ref="M61:M67" si="91">F61/V61*60</f>
        <v>2235.5844155844156</v>
      </c>
      <c r="N61" s="9">
        <f t="shared" si="87"/>
        <v>117.66233766233766</v>
      </c>
      <c r="O61" s="11">
        <f t="shared" si="88"/>
        <v>0</v>
      </c>
      <c r="P61" s="12">
        <f t="shared" si="89"/>
        <v>-8.6534518113465424</v>
      </c>
      <c r="Q61" s="267">
        <f t="shared" ref="Q61:Q68" si="92">N61/K61</f>
        <v>0.93149350649350648</v>
      </c>
      <c r="R61" s="533"/>
      <c r="S61" s="24">
        <v>0.1652777777777778</v>
      </c>
      <c r="T61" s="24">
        <v>0.21875000000000003</v>
      </c>
      <c r="U61" s="266">
        <f>(S61-T60)*24*60</f>
        <v>29.000000000000018</v>
      </c>
      <c r="V61" s="270">
        <f t="shared" si="90"/>
        <v>77</v>
      </c>
      <c r="W61" s="14"/>
      <c r="X61" s="14"/>
      <c r="Y61" s="528"/>
      <c r="Z61" s="528"/>
      <c r="AA61" s="11">
        <f t="shared" si="2"/>
        <v>-164.41558441558436</v>
      </c>
      <c r="AB61" s="267">
        <f t="shared" ref="AB61:AB68" si="93">M61/J61</f>
        <v>0.93149350649350648</v>
      </c>
      <c r="AC61" s="533"/>
    </row>
    <row r="62" spans="1:29" ht="15.75" customHeight="1">
      <c r="A62" s="531" t="s">
        <v>999</v>
      </c>
      <c r="B62" s="264" t="s">
        <v>24</v>
      </c>
      <c r="C62" s="529" t="s">
        <v>41</v>
      </c>
      <c r="D62" s="529"/>
      <c r="E62" s="26">
        <v>19.02</v>
      </c>
      <c r="F62" s="264">
        <v>4200</v>
      </c>
      <c r="G62" s="266">
        <f t="shared" si="85"/>
        <v>79884</v>
      </c>
      <c r="H62" s="265">
        <v>2</v>
      </c>
      <c r="I62" s="275">
        <v>15</v>
      </c>
      <c r="J62" s="18">
        <v>2400</v>
      </c>
      <c r="K62" s="9">
        <f t="shared" si="86"/>
        <v>160</v>
      </c>
      <c r="L62" s="17">
        <v>15</v>
      </c>
      <c r="M62" s="10">
        <f t="shared" si="91"/>
        <v>2210.5263157894738</v>
      </c>
      <c r="N62" s="9">
        <f t="shared" si="87"/>
        <v>147.36842105263159</v>
      </c>
      <c r="O62" s="11">
        <f t="shared" si="88"/>
        <v>0</v>
      </c>
      <c r="P62" s="12">
        <f t="shared" si="89"/>
        <v>-12.631578947368411</v>
      </c>
      <c r="Q62" s="267">
        <f t="shared" si="92"/>
        <v>0.92105263157894746</v>
      </c>
      <c r="R62" s="533"/>
      <c r="S62" s="24">
        <v>0.22430555555555559</v>
      </c>
      <c r="T62" s="24">
        <v>0.30347222222222225</v>
      </c>
      <c r="U62" s="266">
        <f t="shared" ref="U62:U67" si="94">(S62-T61)*24*60</f>
        <v>8.0000000000000107</v>
      </c>
      <c r="V62" s="270">
        <f t="shared" si="90"/>
        <v>114</v>
      </c>
      <c r="W62" s="14"/>
      <c r="X62" s="14"/>
      <c r="Y62" s="528"/>
      <c r="Z62" s="528"/>
      <c r="AA62" s="11">
        <f t="shared" si="2"/>
        <v>-189.47368421052624</v>
      </c>
      <c r="AB62" s="267">
        <f t="shared" si="93"/>
        <v>0.92105263157894735</v>
      </c>
      <c r="AC62" s="533"/>
    </row>
    <row r="63" spans="1:29" ht="15.75" customHeight="1">
      <c r="A63" s="531" t="s">
        <v>997</v>
      </c>
      <c r="B63" s="264" t="s">
        <v>24</v>
      </c>
      <c r="C63" s="529" t="s">
        <v>42</v>
      </c>
      <c r="D63" s="529"/>
      <c r="E63" s="26">
        <v>25</v>
      </c>
      <c r="F63" s="264">
        <v>4394</v>
      </c>
      <c r="G63" s="266">
        <f t="shared" si="85"/>
        <v>109850</v>
      </c>
      <c r="H63" s="265" t="s">
        <v>52</v>
      </c>
      <c r="I63" s="275">
        <v>15</v>
      </c>
      <c r="J63" s="18">
        <v>2400</v>
      </c>
      <c r="K63" s="9">
        <f>J63/I63</f>
        <v>160</v>
      </c>
      <c r="L63" s="17">
        <v>15</v>
      </c>
      <c r="M63" s="10">
        <f t="shared" si="91"/>
        <v>2215.4621848739503</v>
      </c>
      <c r="N63" s="9">
        <f t="shared" si="87"/>
        <v>147.69747899159668</v>
      </c>
      <c r="O63" s="11">
        <f t="shared" si="88"/>
        <v>0</v>
      </c>
      <c r="P63" s="12">
        <f t="shared" si="89"/>
        <v>-12.302521008403318</v>
      </c>
      <c r="Q63" s="267">
        <f t="shared" si="92"/>
        <v>0.92310924369747926</v>
      </c>
      <c r="R63" s="533"/>
      <c r="S63" s="24">
        <v>0.30902777777777779</v>
      </c>
      <c r="T63" s="24">
        <v>0.39166666666666666</v>
      </c>
      <c r="U63" s="266">
        <f t="shared" si="94"/>
        <v>7.9999999999999716</v>
      </c>
      <c r="V63" s="270">
        <f t="shared" si="90"/>
        <v>118.99999999999997</v>
      </c>
      <c r="W63" s="14"/>
      <c r="X63" s="14"/>
      <c r="Y63" s="528"/>
      <c r="Z63" s="528"/>
      <c r="AA63" s="11">
        <f t="shared" si="2"/>
        <v>-184.53781512604974</v>
      </c>
      <c r="AB63" s="267">
        <f t="shared" si="93"/>
        <v>0.92310924369747926</v>
      </c>
      <c r="AC63" s="533"/>
    </row>
    <row r="64" spans="1:29" ht="15.75" customHeight="1">
      <c r="A64" s="531" t="s">
        <v>1000</v>
      </c>
      <c r="B64" s="264" t="s">
        <v>24</v>
      </c>
      <c r="C64" s="529" t="s">
        <v>77</v>
      </c>
      <c r="D64" s="529"/>
      <c r="E64" s="26">
        <v>28.51</v>
      </c>
      <c r="F64" s="264">
        <v>4368</v>
      </c>
      <c r="G64" s="266">
        <f t="shared" si="85"/>
        <v>124531.68000000001</v>
      </c>
      <c r="H64" s="265" t="s">
        <v>52</v>
      </c>
      <c r="I64" s="275">
        <v>19</v>
      </c>
      <c r="J64" s="18">
        <v>2400</v>
      </c>
      <c r="K64" s="9">
        <f t="shared" ref="K64:K68" si="95">J64/I64</f>
        <v>126.31578947368421</v>
      </c>
      <c r="L64" s="17">
        <v>19</v>
      </c>
      <c r="M64" s="10">
        <f t="shared" si="91"/>
        <v>2221.016949152543</v>
      </c>
      <c r="N64" s="9">
        <f t="shared" si="87"/>
        <v>116.89562890276542</v>
      </c>
      <c r="O64" s="11">
        <f t="shared" si="88"/>
        <v>0</v>
      </c>
      <c r="P64" s="12">
        <f t="shared" si="89"/>
        <v>-9.4201605709187817</v>
      </c>
      <c r="Q64" s="267">
        <f t="shared" si="92"/>
        <v>0.92542372881355961</v>
      </c>
      <c r="R64" s="533"/>
      <c r="S64" s="24">
        <v>0.39652777777777776</v>
      </c>
      <c r="T64" s="24">
        <v>0.47847222222222219</v>
      </c>
      <c r="U64" s="266">
        <f t="shared" si="94"/>
        <v>6.9999999999999751</v>
      </c>
      <c r="V64" s="270">
        <f t="shared" si="90"/>
        <v>117.99999999999999</v>
      </c>
      <c r="W64" s="14"/>
      <c r="X64" s="14"/>
      <c r="Y64" s="528"/>
      <c r="Z64" s="528"/>
      <c r="AA64" s="11">
        <f t="shared" si="2"/>
        <v>-178.98305084745698</v>
      </c>
      <c r="AB64" s="267">
        <f t="shared" si="93"/>
        <v>0.92542372881355961</v>
      </c>
      <c r="AC64" s="533"/>
    </row>
    <row r="65" spans="1:29" ht="15.75" customHeight="1">
      <c r="A65" s="531" t="s">
        <v>998</v>
      </c>
      <c r="B65" s="264" t="s">
        <v>24</v>
      </c>
      <c r="C65" s="529" t="s">
        <v>25</v>
      </c>
      <c r="D65" s="529"/>
      <c r="E65" s="26">
        <v>20.52</v>
      </c>
      <c r="F65" s="264">
        <v>2400</v>
      </c>
      <c r="G65" s="266">
        <f t="shared" si="85"/>
        <v>49248</v>
      </c>
      <c r="H65" s="265">
        <v>2</v>
      </c>
      <c r="I65" s="275">
        <v>18</v>
      </c>
      <c r="J65" s="18">
        <v>2400</v>
      </c>
      <c r="K65" s="9">
        <f t="shared" si="95"/>
        <v>133.33333333333334</v>
      </c>
      <c r="L65" s="17">
        <v>18</v>
      </c>
      <c r="M65" s="10">
        <f t="shared" si="91"/>
        <v>2215.384615384618</v>
      </c>
      <c r="N65" s="9">
        <f t="shared" si="87"/>
        <v>123.07692307692322</v>
      </c>
      <c r="O65" s="11">
        <f t="shared" si="88"/>
        <v>0</v>
      </c>
      <c r="P65" s="12">
        <f t="shared" si="89"/>
        <v>-10.25641025641012</v>
      </c>
      <c r="Q65" s="267">
        <f t="shared" si="92"/>
        <v>0.92307692307692413</v>
      </c>
      <c r="R65" s="533"/>
      <c r="S65" s="24">
        <v>0.48263888888888884</v>
      </c>
      <c r="T65" s="24">
        <v>0.52777777777777768</v>
      </c>
      <c r="U65" s="266">
        <f t="shared" si="94"/>
        <v>5.9999999999999787</v>
      </c>
      <c r="V65" s="270">
        <f t="shared" si="90"/>
        <v>64.999999999999929</v>
      </c>
      <c r="W65" s="14">
        <f>T65</f>
        <v>0.52777777777777768</v>
      </c>
      <c r="X65" s="14">
        <f>S66</f>
        <v>0.56874999999999987</v>
      </c>
      <c r="Y65" s="528"/>
      <c r="Z65" s="528"/>
      <c r="AA65" s="11">
        <f t="shared" si="2"/>
        <v>-184.61538461538203</v>
      </c>
      <c r="AB65" s="267">
        <f t="shared" si="93"/>
        <v>0.92307692307692413</v>
      </c>
      <c r="AC65" s="533"/>
    </row>
    <row r="66" spans="1:29" ht="15.75" customHeight="1">
      <c r="A66" s="531" t="s">
        <v>997</v>
      </c>
      <c r="B66" s="264" t="s">
        <v>24</v>
      </c>
      <c r="C66" s="534" t="s">
        <v>41</v>
      </c>
      <c r="D66" s="535"/>
      <c r="E66" s="26">
        <v>19.02</v>
      </c>
      <c r="F66" s="264">
        <v>7250</v>
      </c>
      <c r="G66" s="266">
        <f t="shared" si="85"/>
        <v>137895</v>
      </c>
      <c r="H66" s="265" t="s">
        <v>52</v>
      </c>
      <c r="I66" s="275">
        <v>15</v>
      </c>
      <c r="J66" s="18">
        <v>2400</v>
      </c>
      <c r="K66" s="9">
        <f t="shared" si="95"/>
        <v>160</v>
      </c>
      <c r="L66" s="17">
        <v>15</v>
      </c>
      <c r="M66" s="10">
        <f t="shared" si="91"/>
        <v>2219.3877551020414</v>
      </c>
      <c r="N66" s="9">
        <f t="shared" si="87"/>
        <v>147.95918367346943</v>
      </c>
      <c r="O66" s="11">
        <f t="shared" si="88"/>
        <v>0</v>
      </c>
      <c r="P66" s="12">
        <f t="shared" si="89"/>
        <v>-12.040816326530575</v>
      </c>
      <c r="Q66" s="267">
        <f t="shared" si="92"/>
        <v>0.92474489795918391</v>
      </c>
      <c r="R66" s="533"/>
      <c r="S66" s="24">
        <v>0.56874999999999987</v>
      </c>
      <c r="T66" s="24">
        <v>0.70486111111111094</v>
      </c>
      <c r="U66" s="266">
        <f t="shared" si="94"/>
        <v>58.99999999999995</v>
      </c>
      <c r="V66" s="270">
        <f t="shared" si="90"/>
        <v>195.99999999999994</v>
      </c>
      <c r="W66" s="14"/>
      <c r="X66" s="14"/>
      <c r="Y66" s="536"/>
      <c r="Z66" s="537"/>
      <c r="AA66" s="11">
        <f t="shared" si="2"/>
        <v>-180.61224489795859</v>
      </c>
      <c r="AB66" s="267">
        <f t="shared" si="93"/>
        <v>0.92474489795918391</v>
      </c>
      <c r="AC66" s="533"/>
    </row>
    <row r="67" spans="1:29" ht="15.75" customHeight="1">
      <c r="A67" s="531" t="s">
        <v>1001</v>
      </c>
      <c r="B67" s="264" t="s">
        <v>24</v>
      </c>
      <c r="C67" s="534" t="s">
        <v>25</v>
      </c>
      <c r="D67" s="535"/>
      <c r="E67" s="26">
        <v>20.52</v>
      </c>
      <c r="F67" s="264">
        <v>2032</v>
      </c>
      <c r="G67" s="266">
        <f t="shared" si="85"/>
        <v>41696.639999999999</v>
      </c>
      <c r="H67" s="265" t="s">
        <v>52</v>
      </c>
      <c r="I67" s="275">
        <v>18</v>
      </c>
      <c r="J67" s="18">
        <v>2400</v>
      </c>
      <c r="K67" s="9">
        <f t="shared" si="95"/>
        <v>133.33333333333334</v>
      </c>
      <c r="L67" s="17">
        <v>18</v>
      </c>
      <c r="M67" s="10">
        <f t="shared" si="91"/>
        <v>2216.7272727272739</v>
      </c>
      <c r="N67" s="9">
        <f t="shared" si="87"/>
        <v>123.15151515151521</v>
      </c>
      <c r="O67" s="11">
        <f t="shared" si="88"/>
        <v>0</v>
      </c>
      <c r="P67" s="12">
        <f t="shared" si="89"/>
        <v>-10.18181818181813</v>
      </c>
      <c r="Q67" s="267">
        <f t="shared" si="92"/>
        <v>0.92363636363636403</v>
      </c>
      <c r="R67" s="533"/>
      <c r="S67" s="24">
        <v>0.71041666666666647</v>
      </c>
      <c r="T67" s="24">
        <v>0.74861111111111089</v>
      </c>
      <c r="U67" s="266">
        <f t="shared" si="94"/>
        <v>7.9999999999999716</v>
      </c>
      <c r="V67" s="270">
        <f t="shared" si="90"/>
        <v>54.999999999999964</v>
      </c>
      <c r="W67" s="14"/>
      <c r="X67" s="14"/>
      <c r="Y67" s="536"/>
      <c r="Z67" s="537"/>
      <c r="AA67" s="11">
        <f t="shared" si="2"/>
        <v>-183.27272727272612</v>
      </c>
      <c r="AB67" s="267">
        <f t="shared" si="93"/>
        <v>0.92363636363636414</v>
      </c>
      <c r="AC67" s="533"/>
    </row>
    <row r="68" spans="1:29" ht="16.5" customHeight="1">
      <c r="A68" s="532" t="s">
        <v>998</v>
      </c>
      <c r="B68" s="26" t="s">
        <v>1002</v>
      </c>
      <c r="C68" s="530"/>
      <c r="D68" s="530"/>
      <c r="E68" s="271"/>
      <c r="F68" s="16"/>
      <c r="G68" s="9"/>
      <c r="H68" s="264"/>
      <c r="I68" s="17">
        <v>17.25</v>
      </c>
      <c r="J68" s="18">
        <v>2400</v>
      </c>
      <c r="K68" s="9">
        <f t="shared" si="95"/>
        <v>139.13043478260869</v>
      </c>
      <c r="L68" s="17">
        <v>17.25</v>
      </c>
      <c r="M68" s="10">
        <f>AVERAGE(M60:M67)</f>
        <v>2219.5198092664441</v>
      </c>
      <c r="N68" s="9">
        <f>M68/L68</f>
        <v>128.66781502993879</v>
      </c>
      <c r="O68" s="11">
        <f>L68-I68</f>
        <v>0</v>
      </c>
      <c r="P68" s="12">
        <f>N68-K68</f>
        <v>-10.462619752669895</v>
      </c>
      <c r="Q68" s="267">
        <f t="shared" si="92"/>
        <v>0.92479992052768512</v>
      </c>
      <c r="R68" s="533"/>
      <c r="S68" s="24"/>
      <c r="T68" s="24"/>
      <c r="U68" s="9"/>
      <c r="V68" s="270"/>
      <c r="W68" s="9"/>
      <c r="X68" s="9"/>
      <c r="Y68" s="528"/>
      <c r="Z68" s="528"/>
      <c r="AA68" s="11">
        <f t="shared" si="2"/>
        <v>-180.4801907335559</v>
      </c>
      <c r="AB68" s="267">
        <f t="shared" si="93"/>
        <v>0.924799920527685</v>
      </c>
      <c r="AC68" s="533"/>
    </row>
    <row r="69" spans="1:29">
      <c r="D69" s="19"/>
      <c r="E69" s="19"/>
    </row>
  </sheetData>
  <mergeCells count="184">
    <mergeCell ref="A53:A59"/>
    <mergeCell ref="C53:D53"/>
    <mergeCell ref="R53:R59"/>
    <mergeCell ref="Y53:Z53"/>
    <mergeCell ref="A60:A68"/>
    <mergeCell ref="C60:D60"/>
    <mergeCell ref="R60:R68"/>
    <mergeCell ref="Y60:Z60"/>
    <mergeCell ref="AC60:AC68"/>
    <mergeCell ref="C61:D61"/>
    <mergeCell ref="Y61:Z61"/>
    <mergeCell ref="C62:D62"/>
    <mergeCell ref="Y62:Z62"/>
    <mergeCell ref="C63:D63"/>
    <mergeCell ref="C67:D67"/>
    <mergeCell ref="Y67:Z67"/>
    <mergeCell ref="C68:D68"/>
    <mergeCell ref="Y68:Z68"/>
    <mergeCell ref="Y63:Z63"/>
    <mergeCell ref="C64:D64"/>
    <mergeCell ref="Y64:Z64"/>
    <mergeCell ref="C65:D65"/>
    <mergeCell ref="Y65:Z65"/>
    <mergeCell ref="C66:D66"/>
    <mergeCell ref="Y66:Z66"/>
    <mergeCell ref="AC53:AC59"/>
    <mergeCell ref="C54:D54"/>
    <mergeCell ref="Y54:Z54"/>
    <mergeCell ref="C55:D55"/>
    <mergeCell ref="Y55:Z55"/>
    <mergeCell ref="C56:D56"/>
    <mergeCell ref="AC47:AC52"/>
    <mergeCell ref="C48:D48"/>
    <mergeCell ref="Y48:Z48"/>
    <mergeCell ref="C49:D49"/>
    <mergeCell ref="C52:D52"/>
    <mergeCell ref="Y52:Z52"/>
    <mergeCell ref="Y56:Z56"/>
    <mergeCell ref="C57:D57"/>
    <mergeCell ref="Y57:Z57"/>
    <mergeCell ref="C58:D58"/>
    <mergeCell ref="Y58:Z58"/>
    <mergeCell ref="C59:D59"/>
    <mergeCell ref="Y59:Z59"/>
    <mergeCell ref="A47:A52"/>
    <mergeCell ref="C47:D47"/>
    <mergeCell ref="R47:R52"/>
    <mergeCell ref="Y47:Z47"/>
    <mergeCell ref="Y42:Z42"/>
    <mergeCell ref="C43:D43"/>
    <mergeCell ref="Y43:Z43"/>
    <mergeCell ref="C44:D44"/>
    <mergeCell ref="Y44:Z44"/>
    <mergeCell ref="C45:D45"/>
    <mergeCell ref="Y45:Z45"/>
    <mergeCell ref="A39:A46"/>
    <mergeCell ref="C39:D39"/>
    <mergeCell ref="R39:R46"/>
    <mergeCell ref="Y39:Z39"/>
    <mergeCell ref="AC39:AC46"/>
    <mergeCell ref="C40:D40"/>
    <mergeCell ref="Y40:Z40"/>
    <mergeCell ref="C41:D41"/>
    <mergeCell ref="Y41:Z41"/>
    <mergeCell ref="C42:D42"/>
    <mergeCell ref="Y35:Z35"/>
    <mergeCell ref="C36:D36"/>
    <mergeCell ref="Y36:Z36"/>
    <mergeCell ref="C37:D37"/>
    <mergeCell ref="Y37:Z37"/>
    <mergeCell ref="C38:D38"/>
    <mergeCell ref="Y38:Z38"/>
    <mergeCell ref="C46:D46"/>
    <mergeCell ref="Y46:Z46"/>
    <mergeCell ref="A32:A38"/>
    <mergeCell ref="C32:D32"/>
    <mergeCell ref="R32:R38"/>
    <mergeCell ref="Y32:Z32"/>
    <mergeCell ref="AC32:AC38"/>
    <mergeCell ref="C33:D33"/>
    <mergeCell ref="Y33:Z33"/>
    <mergeCell ref="C34:D34"/>
    <mergeCell ref="Y34:Z34"/>
    <mergeCell ref="C35:D35"/>
    <mergeCell ref="AC25:AC31"/>
    <mergeCell ref="C26:D26"/>
    <mergeCell ref="Y26:Z26"/>
    <mergeCell ref="C27:D27"/>
    <mergeCell ref="Y27:Z27"/>
    <mergeCell ref="C28:D28"/>
    <mergeCell ref="Y28:Z28"/>
    <mergeCell ref="C29:D29"/>
    <mergeCell ref="Y29:Z29"/>
    <mergeCell ref="C30:D30"/>
    <mergeCell ref="R18:R24"/>
    <mergeCell ref="Y18:Z18"/>
    <mergeCell ref="C24:D24"/>
    <mergeCell ref="Y24:Z24"/>
    <mergeCell ref="A25:A31"/>
    <mergeCell ref="C25:D25"/>
    <mergeCell ref="R25:R31"/>
    <mergeCell ref="Y25:Z25"/>
    <mergeCell ref="Y30:Z30"/>
    <mergeCell ref="C31:D31"/>
    <mergeCell ref="Y31:Z31"/>
    <mergeCell ref="AC18:AC24"/>
    <mergeCell ref="C19:D19"/>
    <mergeCell ref="Y19:Z19"/>
    <mergeCell ref="C20:D20"/>
    <mergeCell ref="Y20:Z20"/>
    <mergeCell ref="A14:A17"/>
    <mergeCell ref="C14:D14"/>
    <mergeCell ref="R14:R17"/>
    <mergeCell ref="Y14:Z14"/>
    <mergeCell ref="AC14:AC17"/>
    <mergeCell ref="C15:D15"/>
    <mergeCell ref="Y15:Z15"/>
    <mergeCell ref="C16:D16"/>
    <mergeCell ref="Y16:Z16"/>
    <mergeCell ref="C17:D17"/>
    <mergeCell ref="C21:D21"/>
    <mergeCell ref="Y21:Z21"/>
    <mergeCell ref="C22:D22"/>
    <mergeCell ref="Y22:Z22"/>
    <mergeCell ref="C23:D23"/>
    <mergeCell ref="Y23:Z23"/>
    <mergeCell ref="Y17:Z17"/>
    <mergeCell ref="A18:A24"/>
    <mergeCell ref="C18:D18"/>
    <mergeCell ref="AC9:AC13"/>
    <mergeCell ref="C10:D10"/>
    <mergeCell ref="Y10:Z10"/>
    <mergeCell ref="C11:D11"/>
    <mergeCell ref="Y11:Z11"/>
    <mergeCell ref="C12:D12"/>
    <mergeCell ref="Y12:Z12"/>
    <mergeCell ref="C13:D13"/>
    <mergeCell ref="Y13:Z13"/>
    <mergeCell ref="C8:D8"/>
    <mergeCell ref="Y8:Z8"/>
    <mergeCell ref="A9:A13"/>
    <mergeCell ref="C9:D9"/>
    <mergeCell ref="R9:R13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56:O65 O68 O5:O9 O13:O15 O46:O53 O17:O44">
    <cfRule type="cellIs" dxfId="1022" priority="47" operator="greaterThan">
      <formula>0</formula>
    </cfRule>
  </conditionalFormatting>
  <conditionalFormatting sqref="P5:P7 P56:P58 AA56:AA58 P60:P65 P25:P30 P53 P9 P13:P15 P18:P23 P47:P51 P32:P44 AA5:AA53 AA60:AA68">
    <cfRule type="cellIs" dxfId="1021" priority="51" operator="lessThan">
      <formula>0</formula>
    </cfRule>
  </conditionalFormatting>
  <conditionalFormatting sqref="AB56:AB58 Q56:Q65 Q68 Q5:Q9 Q13:Q15 Q46:Q53 Q17:Q44 AB5:AB53 AB60:AB68">
    <cfRule type="cellIs" dxfId="1020" priority="48" operator="greaterThan">
      <formula>1</formula>
    </cfRule>
    <cfRule type="cellIs" dxfId="1019" priority="49" operator="lessThan">
      <formula>0.8</formula>
    </cfRule>
  </conditionalFormatting>
  <conditionalFormatting sqref="AC14:AC15 R14:R15 AC56 R56:R65 R68 AC5:AC9 R5:R9 R17:R44 AC17:AC44 AC46:AC53 R46:R53">
    <cfRule type="cellIs" dxfId="1018" priority="53" operator="lessThan">
      <formula>0.8</formula>
    </cfRule>
  </conditionalFormatting>
  <conditionalFormatting sqref="AC39">
    <cfRule type="cellIs" dxfId="1017" priority="55" operator="lessThan">
      <formula>0.8</formula>
    </cfRule>
  </conditionalFormatting>
  <conditionalFormatting sqref="AC18:AC23">
    <cfRule type="cellIs" dxfId="1016" priority="52" operator="lessThan">
      <formula>0.8</formula>
    </cfRule>
  </conditionalFormatting>
  <conditionalFormatting sqref="AC25">
    <cfRule type="cellIs" dxfId="1015" priority="54" operator="lessThan">
      <formula>0.8</formula>
    </cfRule>
  </conditionalFormatting>
  <conditionalFormatting sqref="AC32:AC37">
    <cfRule type="cellIs" dxfId="1014" priority="50" operator="lessThan">
      <formula>0.8</formula>
    </cfRule>
  </conditionalFormatting>
  <conditionalFormatting sqref="AA59">
    <cfRule type="cellIs" dxfId="1013" priority="46" operator="lessThan">
      <formula>0</formula>
    </cfRule>
  </conditionalFormatting>
  <conditionalFormatting sqref="AB59">
    <cfRule type="cellIs" dxfId="1012" priority="44" operator="greaterThan">
      <formula>1</formula>
    </cfRule>
    <cfRule type="cellIs" dxfId="1011" priority="45" operator="lessThan">
      <formula>0.8</formula>
    </cfRule>
  </conditionalFormatting>
  <conditionalFormatting sqref="O16">
    <cfRule type="cellIs" dxfId="1010" priority="39" operator="greaterThan">
      <formula>0</formula>
    </cfRule>
  </conditionalFormatting>
  <conditionalFormatting sqref="P16">
    <cfRule type="cellIs" dxfId="1009" priority="42" operator="lessThan">
      <formula>0</formula>
    </cfRule>
  </conditionalFormatting>
  <conditionalFormatting sqref="Q16">
    <cfRule type="cellIs" dxfId="1008" priority="40" operator="greaterThan">
      <formula>1</formula>
    </cfRule>
    <cfRule type="cellIs" dxfId="1007" priority="41" operator="lessThan">
      <formula>0.8</formula>
    </cfRule>
  </conditionalFormatting>
  <conditionalFormatting sqref="R16 AC16">
    <cfRule type="cellIs" dxfId="1006" priority="43" operator="lessThan">
      <formula>0.8</formula>
    </cfRule>
  </conditionalFormatting>
  <conditionalFormatting sqref="O10:O12">
    <cfRule type="cellIs" dxfId="1005" priority="35" operator="greaterThan">
      <formula>0</formula>
    </cfRule>
  </conditionalFormatting>
  <conditionalFormatting sqref="P10:P12">
    <cfRule type="cellIs" dxfId="1004" priority="38" operator="lessThan">
      <formula>0</formula>
    </cfRule>
  </conditionalFormatting>
  <conditionalFormatting sqref="Q10:Q12">
    <cfRule type="cellIs" dxfId="1003" priority="36" operator="greaterThan">
      <formula>1</formula>
    </cfRule>
    <cfRule type="cellIs" dxfId="1002" priority="37" operator="lessThan">
      <formula>0.8</formula>
    </cfRule>
  </conditionalFormatting>
  <conditionalFormatting sqref="O55">
    <cfRule type="cellIs" dxfId="1001" priority="30" operator="greaterThan">
      <formula>0</formula>
    </cfRule>
  </conditionalFormatting>
  <conditionalFormatting sqref="P55 AA55">
    <cfRule type="cellIs" dxfId="1000" priority="33" operator="lessThan">
      <formula>0</formula>
    </cfRule>
  </conditionalFormatting>
  <conditionalFormatting sqref="Q55 AB55">
    <cfRule type="cellIs" dxfId="999" priority="31" operator="greaterThan">
      <formula>1</formula>
    </cfRule>
    <cfRule type="cellIs" dxfId="998" priority="32" operator="lessThan">
      <formula>0.8</formula>
    </cfRule>
  </conditionalFormatting>
  <conditionalFormatting sqref="R55 AC55">
    <cfRule type="cellIs" dxfId="997" priority="34" operator="lessThan">
      <formula>0.8</formula>
    </cfRule>
  </conditionalFormatting>
  <conditionalFormatting sqref="O66">
    <cfRule type="cellIs" dxfId="996" priority="25" operator="greaterThan">
      <formula>0</formula>
    </cfRule>
  </conditionalFormatting>
  <conditionalFormatting sqref="P66">
    <cfRule type="cellIs" dxfId="995" priority="28" operator="lessThan">
      <formula>0</formula>
    </cfRule>
  </conditionalFormatting>
  <conditionalFormatting sqref="Q66">
    <cfRule type="cellIs" dxfId="994" priority="26" operator="greaterThan">
      <formula>1</formula>
    </cfRule>
    <cfRule type="cellIs" dxfId="993" priority="27" operator="lessThan">
      <formula>0.8</formula>
    </cfRule>
  </conditionalFormatting>
  <conditionalFormatting sqref="R66">
    <cfRule type="cellIs" dxfId="992" priority="29" operator="lessThan">
      <formula>0.8</formula>
    </cfRule>
  </conditionalFormatting>
  <conditionalFormatting sqref="O45">
    <cfRule type="cellIs" dxfId="991" priority="19" operator="greaterThan">
      <formula>0</formula>
    </cfRule>
  </conditionalFormatting>
  <conditionalFormatting sqref="P45">
    <cfRule type="cellIs" dxfId="990" priority="23" operator="lessThan">
      <formula>0</formula>
    </cfRule>
  </conditionalFormatting>
  <conditionalFormatting sqref="Q45">
    <cfRule type="cellIs" dxfId="989" priority="20" operator="greaterThan">
      <formula>1</formula>
    </cfRule>
    <cfRule type="cellIs" dxfId="988" priority="21" operator="lessThan">
      <formula>0.8</formula>
    </cfRule>
  </conditionalFormatting>
  <conditionalFormatting sqref="R45 AC45">
    <cfRule type="cellIs" dxfId="987" priority="24" operator="lessThan">
      <formula>0.8</formula>
    </cfRule>
  </conditionalFormatting>
  <conditionalFormatting sqref="AC45">
    <cfRule type="cellIs" dxfId="986" priority="22" operator="lessThan">
      <formula>0.8</formula>
    </cfRule>
  </conditionalFormatting>
  <conditionalFormatting sqref="O54">
    <cfRule type="cellIs" dxfId="985" priority="14" operator="greaterThan">
      <formula>0</formula>
    </cfRule>
  </conditionalFormatting>
  <conditionalFormatting sqref="P54 AA54">
    <cfRule type="cellIs" dxfId="984" priority="17" operator="lessThan">
      <formula>0</formula>
    </cfRule>
  </conditionalFormatting>
  <conditionalFormatting sqref="Q54 AB54">
    <cfRule type="cellIs" dxfId="983" priority="15" operator="greaterThan">
      <formula>1</formula>
    </cfRule>
    <cfRule type="cellIs" dxfId="982" priority="16" operator="lessThan">
      <formula>0.8</formula>
    </cfRule>
  </conditionalFormatting>
  <conditionalFormatting sqref="R54 AC54">
    <cfRule type="cellIs" dxfId="981" priority="18" operator="lessThan">
      <formula>0.8</formula>
    </cfRule>
  </conditionalFormatting>
  <conditionalFormatting sqref="P8">
    <cfRule type="cellIs" dxfId="980" priority="13" operator="lessThan">
      <formula>0</formula>
    </cfRule>
  </conditionalFormatting>
  <conditionalFormatting sqref="P17">
    <cfRule type="cellIs" dxfId="979" priority="12" operator="lessThan">
      <formula>0</formula>
    </cfRule>
  </conditionalFormatting>
  <conditionalFormatting sqref="P24">
    <cfRule type="cellIs" dxfId="978" priority="11" operator="lessThan">
      <formula>0</formula>
    </cfRule>
  </conditionalFormatting>
  <conditionalFormatting sqref="P31">
    <cfRule type="cellIs" dxfId="977" priority="10" operator="lessThan">
      <formula>0</formula>
    </cfRule>
  </conditionalFormatting>
  <conditionalFormatting sqref="P46">
    <cfRule type="cellIs" dxfId="976" priority="9" operator="lessThan">
      <formula>0</formula>
    </cfRule>
  </conditionalFormatting>
  <conditionalFormatting sqref="P52">
    <cfRule type="cellIs" dxfId="975" priority="8" operator="lessThan">
      <formula>0</formula>
    </cfRule>
  </conditionalFormatting>
  <conditionalFormatting sqref="P59">
    <cfRule type="cellIs" dxfId="974" priority="7" operator="lessThan">
      <formula>0</formula>
    </cfRule>
  </conditionalFormatting>
  <conditionalFormatting sqref="P68">
    <cfRule type="cellIs" dxfId="973" priority="6" operator="lessThan">
      <formula>0</formula>
    </cfRule>
  </conditionalFormatting>
  <conditionalFormatting sqref="O67">
    <cfRule type="cellIs" dxfId="972" priority="1" operator="greaterThan">
      <formula>0</formula>
    </cfRule>
  </conditionalFormatting>
  <conditionalFormatting sqref="P67">
    <cfRule type="cellIs" dxfId="971" priority="4" operator="lessThan">
      <formula>0</formula>
    </cfRule>
  </conditionalFormatting>
  <conditionalFormatting sqref="Q67">
    <cfRule type="cellIs" dxfId="970" priority="2" operator="greaterThan">
      <formula>1</formula>
    </cfRule>
    <cfRule type="cellIs" dxfId="969" priority="3" operator="lessThan">
      <formula>0.8</formula>
    </cfRule>
  </conditionalFormatting>
  <conditionalFormatting sqref="R67">
    <cfRule type="cellIs" dxfId="968" priority="5" operator="lessThan">
      <formula>0.8</formula>
    </cfRule>
  </conditionalFormatting>
  <dataValidations count="1">
    <dataValidation type="list" allowBlank="1" showInputMessage="1" showErrorMessage="1" sqref="Z8 Z57:Z58 Y5:Z7 Y8:Y58 Z10:Z53 Y59:Z68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7"/>
  <dimension ref="B1:Q28"/>
  <sheetViews>
    <sheetView zoomScale="70" zoomScaleNormal="70" workbookViewId="0">
      <selection activeCell="V5" sqref="V5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521" t="s">
        <v>934</v>
      </c>
      <c r="C1" s="521"/>
      <c r="D1" s="521"/>
      <c r="E1" s="521"/>
      <c r="F1" s="521"/>
      <c r="G1" s="521"/>
      <c r="H1" s="521"/>
      <c r="I1" s="521"/>
      <c r="J1" s="521"/>
      <c r="K1" s="28"/>
      <c r="L1" s="28"/>
      <c r="M1" s="28"/>
      <c r="N1" s="28"/>
      <c r="O1" s="28"/>
      <c r="P1" s="28"/>
    </row>
    <row r="2" spans="2:17" ht="27.75" customHeight="1">
      <c r="B2" s="522"/>
      <c r="C2" s="522"/>
      <c r="D2" s="522"/>
      <c r="E2" s="522"/>
      <c r="F2" s="522"/>
      <c r="G2" s="522"/>
      <c r="H2" s="522"/>
      <c r="I2" s="522"/>
      <c r="J2" s="522"/>
      <c r="K2" s="30"/>
      <c r="L2" s="30"/>
      <c r="M2" s="30"/>
      <c r="N2" s="28"/>
      <c r="O2" s="28"/>
      <c r="P2" s="28"/>
    </row>
    <row r="3" spans="2:17" ht="46.5" customHeight="1">
      <c r="B3" s="247" t="s">
        <v>935</v>
      </c>
      <c r="C3" s="523" t="str">
        <f>TEXT('0817 4度C'!A2,"yyyy.mm.ddaaaa")</f>
        <v>2025.08.17星期日</v>
      </c>
      <c r="D3" s="523"/>
      <c r="E3" s="247" t="s">
        <v>936</v>
      </c>
      <c r="F3" s="524">
        <f>'0817 4度C'!D1</f>
        <v>169934</v>
      </c>
      <c r="G3" s="524"/>
      <c r="H3" s="247" t="s">
        <v>937</v>
      </c>
      <c r="I3" s="581">
        <f>'0817 4度C'!F1</f>
        <v>5735188.2800000003</v>
      </c>
      <c r="J3" s="581"/>
      <c r="K3" s="31"/>
      <c r="L3" s="32"/>
      <c r="M3" s="33"/>
      <c r="N3" s="33"/>
    </row>
    <row r="4" spans="2:17" ht="28.5" customHeight="1">
      <c r="B4" s="516" t="s">
        <v>938</v>
      </c>
      <c r="C4" s="516" t="s">
        <v>939</v>
      </c>
      <c r="D4" s="516"/>
      <c r="E4" s="526" t="s">
        <v>940</v>
      </c>
      <c r="F4" s="526"/>
      <c r="G4" s="526" t="s">
        <v>941</v>
      </c>
      <c r="H4" s="526"/>
      <c r="I4" s="526" t="s">
        <v>942</v>
      </c>
      <c r="J4" s="526"/>
      <c r="L4" s="33"/>
      <c r="M4" s="33"/>
      <c r="N4" s="33"/>
    </row>
    <row r="5" spans="2:17" ht="28.5" customHeight="1">
      <c r="B5" s="516"/>
      <c r="C5" s="516" t="s">
        <v>943</v>
      </c>
      <c r="D5" s="516"/>
      <c r="E5" s="516" t="s">
        <v>944</v>
      </c>
      <c r="F5" s="516"/>
      <c r="G5" s="517" t="s">
        <v>945</v>
      </c>
      <c r="H5" s="517"/>
      <c r="I5" s="582" t="s">
        <v>946</v>
      </c>
      <c r="J5" s="582"/>
      <c r="K5" s="33"/>
      <c r="L5" s="33"/>
      <c r="M5" s="33"/>
      <c r="N5" s="33"/>
    </row>
    <row r="6" spans="2:17" ht="28.5" customHeight="1">
      <c r="B6" s="516"/>
      <c r="C6" s="516" t="s">
        <v>43</v>
      </c>
      <c r="D6" s="516"/>
      <c r="E6" s="519">
        <f>AVERAGE(D13:M13)</f>
        <v>148.67694660866403</v>
      </c>
      <c r="F6" s="516">
        <f>AVERAGE(D27:O27,D13:J13)</f>
        <v>154.18025392712636</v>
      </c>
      <c r="G6" s="520">
        <f>AVERAGE(D13:J13)</f>
        <v>154.18025392712636</v>
      </c>
      <c r="H6" s="520"/>
      <c r="I6" s="520">
        <f>AVERAGE(K13:M13)</f>
        <v>135.83589619891856</v>
      </c>
      <c r="J6" s="520"/>
      <c r="K6" s="33"/>
      <c r="L6" s="33"/>
      <c r="M6" s="33"/>
      <c r="N6" s="33"/>
    </row>
    <row r="7" spans="2:17" ht="28.5" customHeight="1">
      <c r="B7" s="516"/>
      <c r="C7" s="510" t="s">
        <v>44</v>
      </c>
      <c r="D7" s="510"/>
      <c r="E7" s="511">
        <f>AVERAGE(D14:M14)</f>
        <v>137.96080049012375</v>
      </c>
      <c r="F7" s="512">
        <f>AVERAGE(D28:O28,D14:J14)</f>
        <v>143.13761450429834</v>
      </c>
      <c r="G7" s="513">
        <f>AVERAGE(D14:J14)</f>
        <v>143.13761450429834</v>
      </c>
      <c r="H7" s="513"/>
      <c r="I7" s="513">
        <f>AVERAGE(K14:M14)</f>
        <v>125.88156779038307</v>
      </c>
      <c r="J7" s="513"/>
      <c r="K7" s="33"/>
      <c r="L7" s="33"/>
      <c r="M7" s="33"/>
      <c r="N7" s="33"/>
    </row>
    <row r="8" spans="2:17" ht="28.5" customHeight="1">
      <c r="B8" s="516"/>
      <c r="C8" s="510" t="s">
        <v>45</v>
      </c>
      <c r="D8" s="510"/>
      <c r="E8" s="514">
        <f>AVERAGE(D15:M15)</f>
        <v>0.92716099378121331</v>
      </c>
      <c r="F8" s="510">
        <f>AVERAGE(D15:J15,D29:O29)</f>
        <v>0.92736172744391887</v>
      </c>
      <c r="G8" s="515">
        <f>AVERAGE(D15:J15)</f>
        <v>0.92736172744391887</v>
      </c>
      <c r="H8" s="515"/>
      <c r="I8" s="515">
        <f>AVERAGE(K15:M15)</f>
        <v>0.92669261523490076</v>
      </c>
      <c r="J8" s="515"/>
      <c r="K8" s="34" t="s">
        <v>947</v>
      </c>
      <c r="L8" s="33"/>
      <c r="M8" s="33"/>
      <c r="N8" s="33"/>
    </row>
    <row r="9" spans="2:17" ht="28.5" customHeight="1" thickBot="1">
      <c r="H9" s="36"/>
      <c r="N9" s="33"/>
      <c r="O9" s="33"/>
      <c r="P9" s="33"/>
      <c r="Q9" s="33"/>
    </row>
    <row r="10" spans="2:17" ht="30" customHeight="1">
      <c r="B10" s="501" t="s">
        <v>127</v>
      </c>
      <c r="C10" s="502"/>
      <c r="D10" s="503" t="s">
        <v>948</v>
      </c>
      <c r="E10" s="504"/>
      <c r="F10" s="504"/>
      <c r="G10" s="504"/>
      <c r="H10" s="504"/>
      <c r="I10" s="504"/>
      <c r="J10" s="505"/>
      <c r="K10" s="506" t="s">
        <v>949</v>
      </c>
      <c r="L10" s="583"/>
      <c r="M10" s="507"/>
      <c r="P10" s="37"/>
      <c r="Q10" s="37"/>
    </row>
    <row r="11" spans="2:17" ht="17.25" customHeight="1">
      <c r="B11" s="493" t="s">
        <v>950</v>
      </c>
      <c r="C11" s="494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39">
        <v>6</v>
      </c>
      <c r="J11" s="40">
        <v>7</v>
      </c>
      <c r="K11" s="38">
        <v>1</v>
      </c>
      <c r="L11" s="39">
        <v>2</v>
      </c>
      <c r="M11" s="40">
        <v>3</v>
      </c>
      <c r="P11" s="37"/>
      <c r="Q11" s="37"/>
    </row>
    <row r="12" spans="2:17" ht="34.15" customHeight="1">
      <c r="B12" s="493"/>
      <c r="C12" s="494"/>
      <c r="D12" s="41" t="s">
        <v>345</v>
      </c>
      <c r="E12" s="42" t="s">
        <v>346</v>
      </c>
      <c r="F12" s="42" t="s">
        <v>347</v>
      </c>
      <c r="G12" s="42" t="s">
        <v>348</v>
      </c>
      <c r="H12" s="42" t="s">
        <v>349</v>
      </c>
      <c r="I12" s="42" t="s">
        <v>350</v>
      </c>
      <c r="J12" s="43" t="s">
        <v>351</v>
      </c>
      <c r="K12" s="41" t="s">
        <v>352</v>
      </c>
      <c r="L12" s="42" t="s">
        <v>353</v>
      </c>
      <c r="M12" s="43" t="s">
        <v>354</v>
      </c>
    </row>
    <row r="13" spans="2:17" ht="40.15" customHeight="1">
      <c r="B13" s="508" t="s">
        <v>951</v>
      </c>
      <c r="C13" s="44" t="s">
        <v>952</v>
      </c>
      <c r="D13" s="45">
        <f>SUMIFS('0817 4度C'!$K:$K,'0817 4度C'!$A:$A,"新豐6線",'0817 4度C'!$B:$B,"平均")</f>
        <v>117.64705882352941</v>
      </c>
      <c r="E13" s="46">
        <f>SUMIFS('0817 4度C'!$K:$K,'0817 4度C'!$A:$A,"新豐2線",'0817 4度C'!$B:$B,"平均")</f>
        <v>83.333333333333329</v>
      </c>
      <c r="F13" s="47">
        <f>SUMIFS('0817 4度C'!$K:$K,'0817 4度C'!$A:$A,"新豐5線",'0817 4度C'!$B:$B,"平均")</f>
        <v>93.220338983050837</v>
      </c>
      <c r="G13" s="47">
        <f>SUMIFS('0817 4度C'!$K:$K,'0817 4度C'!$A:$A,"新豐7線",'0817 4度C'!$B:$B,"平均")</f>
        <v>116.50485436893203</v>
      </c>
      <c r="H13" s="47">
        <f>SUMIFS('0817 4度C'!$K:$K,'0817 4度C'!$A:$A,"新豐3線",'0817 4度C'!$B:$B,"平均")</f>
        <v>300</v>
      </c>
      <c r="I13" s="47">
        <f>SUMIFS('0817 4度C'!$K:$K,'0817 4度C'!$A:$A,"新豐1線",'0817 4度C'!$B:$B,"平均")</f>
        <v>114.4578313253012</v>
      </c>
      <c r="J13" s="48">
        <f>SUMIFS('0817 4度C'!$K:$K,'0817 4度C'!$A:$A,"新豐10線",'0817 4度C'!$B:$B,"平均")</f>
        <v>254.09836065573774</v>
      </c>
      <c r="K13" s="49">
        <f>SUMIFS('0817 4度C'!$K:$K,'0817 4度C'!$A:$A,"新豐8線",'0817 4度C'!$B:$B,"平均")</f>
        <v>139.80582524271844</v>
      </c>
      <c r="L13" s="50">
        <f>SUMIFS('0817 4度C'!$K:$K,'0817 4度C'!$A:$A,"新豐9線",'0817 4度C'!$B:$B,"平均")</f>
        <v>128.57142857142856</v>
      </c>
      <c r="M13" s="48">
        <f>SUMIFS('0817 4度C'!$K:$K,'0817 4度C'!$A:$A,"新豐4線",'0817 4度C'!$B:$B,"平均")</f>
        <v>139.13043478260869</v>
      </c>
    </row>
    <row r="14" spans="2:17" ht="39.6" customHeight="1">
      <c r="B14" s="508"/>
      <c r="C14" s="51" t="s">
        <v>69</v>
      </c>
      <c r="D14" s="52">
        <f>SUMIFS('0817 4度C'!$N:$N,'0817 4度C'!$A:$A,"新豐6線",'0817 4度C'!$B:$B,"平均")</f>
        <v>109.02814390801123</v>
      </c>
      <c r="E14" s="53">
        <f>SUMIFS('0817 4度C'!$N:$N,'0817 4度C'!$A:$A,"新豐2線",'0817 4度C'!$B:$B,"平均")</f>
        <v>76.938338234942194</v>
      </c>
      <c r="F14" s="53">
        <f>SUMIFS('0817 4度C'!$N:$N,'0817 4度C'!$A:$A,"新豐5線",'0817 4度C'!$B:$B,"平均")</f>
        <v>86.508263005712422</v>
      </c>
      <c r="G14" s="53">
        <f>SUMIFS('0817 4度C'!$N:$N,'0817 4度C'!$A:$A,"新豐7線",'0817 4度C'!$B:$B,"平均")</f>
        <v>107.78916642896529</v>
      </c>
      <c r="H14" s="53">
        <f>SUMIFS('0817 4度C'!$N:$N,'0817 4度C'!$A:$A,"新豐3線",'0817 4度C'!$B:$B,"平均")</f>
        <v>278.6777105776502</v>
      </c>
      <c r="I14" s="53">
        <f>SUMIFS('0817 4度C'!$N:$N,'0817 4度C'!$A:$A,"新豐1線",'0817 4度C'!$B:$B,"平均")</f>
        <v>106.10804716190968</v>
      </c>
      <c r="J14" s="54">
        <f>SUMIFS('0817 4度C'!$N:$N,'0817 4度C'!$A:$A,"新豐10線",'0817 4度C'!$B:$B,"平均")</f>
        <v>236.91363221289728</v>
      </c>
      <c r="K14" s="55">
        <f>SUMIFS('0817 4度C'!$N:$N,'0817 4度C'!$A:$A,"新豐8線",'0817 4度C'!$B:$B,"平均")</f>
        <v>129.49881110600427</v>
      </c>
      <c r="L14" s="56">
        <f>SUMIFS('0817 4度C'!$N:$N,'0817 4度C'!$A:$A,"新豐9線",'0817 4度C'!$B:$B,"平均")</f>
        <v>119.01689232785449</v>
      </c>
      <c r="M14" s="54">
        <f>SUMIFS('0817 4度C'!$N:$N,'0817 4度C'!$A:$A,"新豐4線",'0817 4度C'!$B:$B,"平均")</f>
        <v>129.12899993729044</v>
      </c>
    </row>
    <row r="15" spans="2:17" ht="40.15" customHeight="1">
      <c r="B15" s="508"/>
      <c r="C15" s="57" t="s">
        <v>953</v>
      </c>
      <c r="D15" s="58">
        <f>D14/D13</f>
        <v>0.92673922321809554</v>
      </c>
      <c r="E15" s="59">
        <f t="shared" ref="E15:M15" si="0">E14/E13</f>
        <v>0.9232600588193064</v>
      </c>
      <c r="F15" s="59">
        <f t="shared" si="0"/>
        <v>0.92799773042491518</v>
      </c>
      <c r="G15" s="59">
        <f t="shared" si="0"/>
        <v>0.92519034518195209</v>
      </c>
      <c r="H15" s="59">
        <f>H14/H13</f>
        <v>0.92892570192550072</v>
      </c>
      <c r="I15" s="59">
        <f>I14/I13</f>
        <v>0.92704925415142148</v>
      </c>
      <c r="J15" s="60">
        <f>J14/J13</f>
        <v>0.9323697783862408</v>
      </c>
      <c r="K15" s="58">
        <f>K14/K13</f>
        <v>0.92627621832766949</v>
      </c>
      <c r="L15" s="59">
        <f>L14/L13</f>
        <v>0.92568694032775733</v>
      </c>
      <c r="M15" s="60">
        <f t="shared" si="0"/>
        <v>0.92811468704927513</v>
      </c>
    </row>
    <row r="16" spans="2:17" ht="17.25" customHeight="1">
      <c r="B16" s="509" t="s">
        <v>954</v>
      </c>
      <c r="C16" s="246" t="s">
        <v>955</v>
      </c>
      <c r="D16" s="61">
        <f>VLOOKUP("新豐6線",'0817 4度C'!$A:$T,19,0)</f>
        <v>0.70833333333333337</v>
      </c>
      <c r="E16" s="24">
        <f>VLOOKUP("新豐2線",'0817 4度C'!$A:$T,19,0)</f>
        <v>0.125</v>
      </c>
      <c r="F16" s="24">
        <f>VLOOKUP("新豐5線",'0817 4度C'!$A:$T,19,0)</f>
        <v>0.25</v>
      </c>
      <c r="G16" s="24">
        <f>VLOOKUP("新豐7線",'0817 4度C'!$A:$T,19,0)</f>
        <v>0.20833333333333334</v>
      </c>
      <c r="H16" s="24">
        <f>VLOOKUP("新豐3線",'0817 4度C'!$A:$T,19,0)</f>
        <v>0.20833333333333334</v>
      </c>
      <c r="I16" s="24">
        <f>VLOOKUP("新豐1線",'0817 4度C'!$A:$T,19,0)</f>
        <v>0.29166666666666669</v>
      </c>
      <c r="J16" s="62">
        <f>VLOOKUP("新豐10線",'0817 4度C'!$A:$T,19,0)</f>
        <v>0.20833333333333334</v>
      </c>
      <c r="K16" s="63">
        <f>VLOOKUP("新豐8線",'0817 4度C'!$A:$T,19,0)</f>
        <v>0.125</v>
      </c>
      <c r="L16" s="64">
        <f>VLOOKUP("新豐9線",'0817 4度C'!$A:$T,19,0)</f>
        <v>0.125</v>
      </c>
      <c r="M16" s="65">
        <f>VLOOKUP("新豐4線",'0817 4度C'!$A:$T,19,0)</f>
        <v>0.125</v>
      </c>
    </row>
    <row r="17" spans="2:13" ht="17.25" customHeight="1">
      <c r="B17" s="493"/>
      <c r="C17" s="246" t="s">
        <v>956</v>
      </c>
      <c r="D17" s="63">
        <f>LOOKUP(2,1/(('0817 4度C'!$A:$A="新豐6線")*('0817 4度C'!$T:$T&lt;&gt;"")),'0817 4度C'!$T:$T)</f>
        <v>0.83888888888888902</v>
      </c>
      <c r="E17" s="24">
        <f>LOOKUP(2,1/(('0817 4度C'!$A:$A="新豐2線")*('0817 4度C'!$T:$T&lt;&gt;"")),'0817 4度C'!$T:$T)</f>
        <v>0.68611111111111101</v>
      </c>
      <c r="F17" s="24">
        <f>LOOKUP(2,1/(('0817 4度C'!$A:$A="新豐5線")*('0817 4度C'!$T:$T&lt;&gt;"")),'0817 4度C'!$T:$T)</f>
        <v>0.85069444444444442</v>
      </c>
      <c r="G17" s="24">
        <f>LOOKUP(2,1/(('0817 4度C'!$A:$A="新豐7線")*('0817 4度C'!$T:$T&lt;&gt;"")),'0817 4度C'!$T:$T)</f>
        <v>0.82291666666666663</v>
      </c>
      <c r="H17" s="24">
        <f>LOOKUP(2,1/(('0817 4度C'!$A:$A="新豐3線")*('0817 4度C'!$T:$T&lt;&gt;"")),'0817 4度C'!$T:$T)</f>
        <v>0.63055555555555542</v>
      </c>
      <c r="I17" s="24">
        <f>LOOKUP(2,1/(('0817 4度C'!$A:$A="新豐1線")*('0817 4度C'!$T:$T&lt;&gt;"")),'0817 4度C'!$T:$T)</f>
        <v>0.8520833333333333</v>
      </c>
      <c r="J17" s="62">
        <f>LOOKUP(2,1/(('0817 4度C'!$A:$A="新豐10線")*('0817 4度C'!$T:$T&lt;&gt;"")),'0817 4度C'!$T:$T)</f>
        <v>0.5083333333333333</v>
      </c>
      <c r="K17" s="61">
        <f>LOOKUP(2,1/(('0817 4度C'!$A:$A="新豐8線")*('0817 4度C'!$T:$T&lt;&gt;"")),'0817 4度C'!$T:$T)</f>
        <v>0.67152777777777772</v>
      </c>
      <c r="L17" s="24">
        <f>LOOKUP(2,1/(('0817 4度C'!$A:$A="新豐9線")*('0817 4度C'!$T:$T&lt;&gt;"")),'0817 4度C'!$T:$T)</f>
        <v>0.60972222222222217</v>
      </c>
      <c r="M17" s="62">
        <f>LOOKUP(2,1/(('0817 4度C'!$A:$A="新豐4線")*('0817 4度C'!$T:$T&lt;&gt;"")),'0817 4度C'!$T:$T)</f>
        <v>0.73402777777777761</v>
      </c>
    </row>
    <row r="18" spans="2:13" ht="17.25" customHeight="1">
      <c r="B18" s="493" t="s">
        <v>957</v>
      </c>
      <c r="C18" s="494"/>
      <c r="D18" s="66">
        <f>SUMIFS('0817 4度C'!$I:$I,'0817 4度C'!$A:$A,"新豐6線",'0817 4度C'!$B:$B,"平均")</f>
        <v>17</v>
      </c>
      <c r="E18" s="67">
        <f>SUMIFS('0817 4度C'!$I:$I,'0817 4度C'!$A:$A,"新豐2線",'0817 4度C'!$B:$B,"平均")</f>
        <v>18</v>
      </c>
      <c r="F18" s="67">
        <f>SUMIFS('0817 4度C'!$I:$I,'0817 4度C'!$A:$A,"新豐5線",'0817 4度C'!$B:$B,"平均")</f>
        <v>19.666666666666668</v>
      </c>
      <c r="G18" s="67">
        <f>SUMIFS('0817 4度C'!$I:$I,'0817 4度C'!$A:$A,"新豐7線",'0817 4度C'!$B:$B,"平均")</f>
        <v>17.166666666666668</v>
      </c>
      <c r="H18" s="67">
        <f>SUMIFS('0817 4度C'!$I:$I,'0817 4度C'!$A:$A,"新豐3線",'0817 4度C'!$B:$B,"平均")</f>
        <v>10</v>
      </c>
      <c r="I18" s="67">
        <f>SUMIFS('0817 4度C'!$I:$I,'0817 4度C'!$A:$A,"新豐1線",'0817 4度C'!$B:$B,"平均")</f>
        <v>16.600000000000001</v>
      </c>
      <c r="J18" s="68">
        <f>SUMIFS('0817 4度C'!$I:$I,'0817 4度C'!$A:$A,"新豐10線",'0817 4度C'!$B:$B,"平均")</f>
        <v>10.166666666666666</v>
      </c>
      <c r="K18" s="66">
        <f>SUMIFS('0817 4度C'!$I:$I,'0817 4度C'!$A:$A,"新豐8線",'0817 4度C'!$B:$B,"平均")</f>
        <v>17.166666666666668</v>
      </c>
      <c r="L18" s="67">
        <f>SUMIFS('0817 4度C'!$I:$I,'0817 4度C'!$A:$A,"新豐9線",'0817 4度C'!$B:$B,"平均")</f>
        <v>18.666666666666668</v>
      </c>
      <c r="M18" s="68">
        <f>SUMIFS('0817 4度C'!$I:$I,'0817 4度C'!$A:$A,"新豐4線",'0817 4度C'!$B:$B,"平均")</f>
        <v>17.25</v>
      </c>
    </row>
    <row r="19" spans="2:13" ht="17.25" customHeight="1">
      <c r="B19" s="495" t="s">
        <v>958</v>
      </c>
      <c r="C19" s="496"/>
      <c r="D19" s="69" t="s">
        <v>46</v>
      </c>
      <c r="E19" s="70" t="s">
        <v>47</v>
      </c>
      <c r="F19" s="70" t="s">
        <v>959</v>
      </c>
      <c r="G19" s="70" t="s">
        <v>960</v>
      </c>
      <c r="H19" s="70" t="s">
        <v>48</v>
      </c>
      <c r="I19" s="70" t="s">
        <v>46</v>
      </c>
      <c r="J19" s="71" t="s">
        <v>48</v>
      </c>
      <c r="K19" s="69" t="s">
        <v>961</v>
      </c>
      <c r="L19" s="70" t="s">
        <v>961</v>
      </c>
      <c r="M19" s="71" t="s">
        <v>961</v>
      </c>
    </row>
    <row r="20" spans="2:13" ht="17.25" customHeight="1">
      <c r="B20" s="495" t="s">
        <v>962</v>
      </c>
      <c r="C20" s="496"/>
      <c r="D20" s="69"/>
      <c r="E20" s="70"/>
      <c r="F20" s="70" t="s">
        <v>963</v>
      </c>
      <c r="G20" s="70" t="s">
        <v>46</v>
      </c>
      <c r="H20" s="70"/>
      <c r="I20" s="70"/>
      <c r="J20" s="71"/>
      <c r="K20" s="69"/>
      <c r="L20" s="70"/>
      <c r="M20" s="71"/>
    </row>
    <row r="21" spans="2:13" ht="17.25" customHeight="1" thickBot="1">
      <c r="B21" s="497" t="s">
        <v>964</v>
      </c>
      <c r="C21" s="498"/>
      <c r="D21" s="72"/>
      <c r="E21" s="73" t="s">
        <v>965</v>
      </c>
      <c r="F21" s="499" t="s">
        <v>966</v>
      </c>
      <c r="G21" s="500"/>
      <c r="H21" s="73" t="s">
        <v>967</v>
      </c>
      <c r="I21" s="73" t="s">
        <v>968</v>
      </c>
      <c r="J21" s="74" t="s">
        <v>967</v>
      </c>
      <c r="K21" s="75"/>
      <c r="L21" s="73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96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8">
    <pageSetUpPr fitToPage="1"/>
  </sheetPr>
  <dimension ref="A1:AC69"/>
  <sheetViews>
    <sheetView zoomScale="80" zoomScaleNormal="80" workbookViewId="0">
      <pane ySplit="4" topLeftCell="A5" activePane="bottomLeft" state="frozen"/>
      <selection activeCell="AO33" activeCellId="2" sqref="AO26 AO28:AO31 AO33:AO35"/>
      <selection pane="bottomLeft" activeCell="V5" sqref="V5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5" bestFit="1" customWidth="1"/>
    <col min="20" max="20" width="7.625" style="5" bestFit="1" customWidth="1"/>
    <col min="21" max="21" width="10.25" style="5" bestFit="1" customWidth="1"/>
    <col min="22" max="22" width="8.75" style="21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888</v>
      </c>
      <c r="B1" s="1"/>
      <c r="C1" s="2" t="s">
        <v>889</v>
      </c>
      <c r="D1" s="3">
        <f>SUM(F5:F68)</f>
        <v>169934</v>
      </c>
      <c r="E1" s="248" t="s">
        <v>890</v>
      </c>
      <c r="F1" s="1">
        <f>SUM(G5:G68)</f>
        <v>5735188.2800000003</v>
      </c>
      <c r="G1" s="1" t="s">
        <v>891</v>
      </c>
      <c r="H1" s="4">
        <f>L8+L13+L46+L52+L17+L59+L31+L38+L24+L68</f>
        <v>161.68333333333334</v>
      </c>
      <c r="I1" s="572" t="s">
        <v>892</v>
      </c>
      <c r="J1" s="572"/>
      <c r="K1" s="572"/>
      <c r="L1" s="572" t="s">
        <v>893</v>
      </c>
      <c r="M1" s="572"/>
      <c r="N1" s="572"/>
      <c r="O1" s="572" t="s">
        <v>894</v>
      </c>
      <c r="P1" s="572"/>
      <c r="Q1" s="572"/>
      <c r="R1" s="572"/>
      <c r="S1" s="572" t="s">
        <v>895</v>
      </c>
      <c r="T1" s="572"/>
      <c r="U1" s="572"/>
      <c r="V1" s="572"/>
      <c r="W1" s="572"/>
      <c r="X1" s="572"/>
      <c r="Y1" s="572" t="s">
        <v>896</v>
      </c>
      <c r="Z1" s="572"/>
      <c r="AA1" s="572" t="s">
        <v>897</v>
      </c>
      <c r="AB1" s="573"/>
      <c r="AC1" s="573"/>
    </row>
    <row r="2" spans="1:29" ht="26.25" customHeight="1">
      <c r="A2" s="22">
        <v>45886</v>
      </c>
      <c r="B2" s="23" t="s">
        <v>247</v>
      </c>
      <c r="C2" s="2" t="s">
        <v>898</v>
      </c>
      <c r="D2" s="6">
        <f>AVERAGE(N8,N13,N46,N52,N17,N59,N24,N31,N38,N68)</f>
        <v>137.96080049012375</v>
      </c>
      <c r="E2" s="7" t="s">
        <v>0</v>
      </c>
      <c r="F2" s="8">
        <f>F1/D1</f>
        <v>33.74950439582426</v>
      </c>
      <c r="G2" s="1" t="s">
        <v>899</v>
      </c>
      <c r="H2" s="260">
        <f>COUNT(H5:H68)</f>
        <v>6</v>
      </c>
      <c r="I2" s="572"/>
      <c r="J2" s="572"/>
      <c r="K2" s="572"/>
      <c r="L2" s="572"/>
      <c r="M2" s="572"/>
      <c r="N2" s="572"/>
      <c r="O2" s="572"/>
      <c r="P2" s="572"/>
      <c r="Q2" s="572"/>
      <c r="R2" s="572"/>
      <c r="S2" s="572"/>
      <c r="T2" s="572"/>
      <c r="U2" s="572"/>
      <c r="V2" s="572"/>
      <c r="W2" s="572"/>
      <c r="X2" s="572"/>
      <c r="Y2" s="572"/>
      <c r="Z2" s="572"/>
      <c r="AA2" s="573"/>
      <c r="AB2" s="573"/>
      <c r="AC2" s="573"/>
    </row>
    <row r="3" spans="1:29" ht="23.25" customHeight="1">
      <c r="A3" s="528" t="s">
        <v>900</v>
      </c>
      <c r="B3" s="528" t="s">
        <v>901</v>
      </c>
      <c r="C3" s="528" t="s">
        <v>902</v>
      </c>
      <c r="D3" s="528"/>
      <c r="E3" s="570" t="s">
        <v>903</v>
      </c>
      <c r="F3" s="528" t="s">
        <v>904</v>
      </c>
      <c r="G3" s="570" t="s">
        <v>905</v>
      </c>
      <c r="H3" s="563" t="s">
        <v>906</v>
      </c>
      <c r="I3" s="561" t="s">
        <v>907</v>
      </c>
      <c r="J3" s="566" t="s">
        <v>908</v>
      </c>
      <c r="K3" s="568" t="s">
        <v>898</v>
      </c>
      <c r="L3" s="561" t="s">
        <v>907</v>
      </c>
      <c r="M3" s="566" t="s">
        <v>908</v>
      </c>
      <c r="N3" s="568" t="s">
        <v>898</v>
      </c>
      <c r="O3" s="561" t="s">
        <v>907</v>
      </c>
      <c r="P3" s="568" t="s">
        <v>898</v>
      </c>
      <c r="Q3" s="567" t="s">
        <v>909</v>
      </c>
      <c r="R3" s="542" t="s">
        <v>910</v>
      </c>
      <c r="S3" s="528" t="s">
        <v>1</v>
      </c>
      <c r="T3" s="528"/>
      <c r="U3" s="563" t="s">
        <v>2</v>
      </c>
      <c r="V3" s="563" t="s">
        <v>911</v>
      </c>
      <c r="W3" s="528" t="s">
        <v>912</v>
      </c>
      <c r="X3" s="528"/>
      <c r="Y3" s="564" t="s">
        <v>913</v>
      </c>
      <c r="Z3" s="565"/>
      <c r="AA3" s="566" t="s">
        <v>914</v>
      </c>
      <c r="AB3" s="567" t="s">
        <v>915</v>
      </c>
      <c r="AC3" s="542" t="s">
        <v>916</v>
      </c>
    </row>
    <row r="4" spans="1:29">
      <c r="A4" s="528"/>
      <c r="B4" s="528"/>
      <c r="C4" s="528"/>
      <c r="D4" s="528"/>
      <c r="E4" s="571"/>
      <c r="F4" s="528"/>
      <c r="G4" s="571"/>
      <c r="H4" s="563"/>
      <c r="I4" s="561"/>
      <c r="J4" s="566"/>
      <c r="K4" s="568"/>
      <c r="L4" s="561"/>
      <c r="M4" s="566"/>
      <c r="N4" s="568"/>
      <c r="O4" s="561"/>
      <c r="P4" s="568"/>
      <c r="Q4" s="567"/>
      <c r="R4" s="542"/>
      <c r="S4" s="248" t="s">
        <v>3</v>
      </c>
      <c r="T4" s="248" t="s">
        <v>4</v>
      </c>
      <c r="U4" s="563"/>
      <c r="V4" s="563"/>
      <c r="W4" s="248" t="s">
        <v>917</v>
      </c>
      <c r="X4" s="248" t="s">
        <v>918</v>
      </c>
      <c r="Y4" s="565"/>
      <c r="Z4" s="565"/>
      <c r="AA4" s="566"/>
      <c r="AB4" s="567"/>
      <c r="AC4" s="542"/>
    </row>
    <row r="5" spans="1:29">
      <c r="A5" s="560" t="s">
        <v>919</v>
      </c>
      <c r="B5" s="26" t="s">
        <v>13</v>
      </c>
      <c r="C5" s="562" t="s">
        <v>53</v>
      </c>
      <c r="D5" s="562"/>
      <c r="E5" s="26">
        <v>46.93</v>
      </c>
      <c r="F5" s="258">
        <v>1022</v>
      </c>
      <c r="G5" s="248">
        <f>E5*F5</f>
        <v>47962.46</v>
      </c>
      <c r="H5" s="259" t="s">
        <v>52</v>
      </c>
      <c r="I5" s="256">
        <v>17</v>
      </c>
      <c r="J5" s="18">
        <v>2000</v>
      </c>
      <c r="K5" s="9">
        <f>J5/I5</f>
        <v>117.64705882352941</v>
      </c>
      <c r="L5" s="256">
        <v>17</v>
      </c>
      <c r="M5" s="10">
        <f>F5/V5*60</f>
        <v>1858.1818181818157</v>
      </c>
      <c r="N5" s="9">
        <f>M5/L5</f>
        <v>109.30481283422445</v>
      </c>
      <c r="O5" s="11">
        <f t="shared" ref="O5:O7" si="0">L5-I5</f>
        <v>0</v>
      </c>
      <c r="P5" s="12">
        <f t="shared" ref="P5:P7" si="1">N5-K5</f>
        <v>-8.3422459893049563</v>
      </c>
      <c r="Q5" s="250">
        <f>N5/K5</f>
        <v>0.92909090909090786</v>
      </c>
      <c r="R5" s="533">
        <f>Q8</f>
        <v>0.92673922321809554</v>
      </c>
      <c r="S5" s="24">
        <v>0.70833333333333337</v>
      </c>
      <c r="T5" s="24">
        <v>0.73125000000000007</v>
      </c>
      <c r="U5" s="248"/>
      <c r="V5" s="257">
        <f>(T5-S5)*24*60</f>
        <v>33.000000000000043</v>
      </c>
      <c r="W5" s="14"/>
      <c r="X5" s="13"/>
      <c r="Y5" s="528"/>
      <c r="Z5" s="528"/>
      <c r="AA5" s="11">
        <f t="shared" ref="AA5:AA68" si="2">M5-J5</f>
        <v>-141.81818181818426</v>
      </c>
      <c r="AB5" s="250">
        <f t="shared" ref="AB5:AB7" si="3">M5/J5</f>
        <v>0.92909090909090786</v>
      </c>
      <c r="AC5" s="533">
        <f>AB8</f>
        <v>0.92673922321809554</v>
      </c>
    </row>
    <row r="6" spans="1:29">
      <c r="A6" s="561" t="s">
        <v>920</v>
      </c>
      <c r="B6" s="26" t="s">
        <v>13</v>
      </c>
      <c r="C6" s="562" t="s">
        <v>55</v>
      </c>
      <c r="D6" s="562"/>
      <c r="E6" s="26">
        <v>50.49</v>
      </c>
      <c r="F6" s="258">
        <v>2184</v>
      </c>
      <c r="G6" s="248">
        <f t="shared" ref="G6:G7" si="4">E6*F6</f>
        <v>110270.16</v>
      </c>
      <c r="H6" s="259" t="s">
        <v>52</v>
      </c>
      <c r="I6" s="256">
        <v>16</v>
      </c>
      <c r="J6" s="18">
        <v>2000</v>
      </c>
      <c r="K6" s="9">
        <f t="shared" ref="K6:K7" si="5">J6/I6</f>
        <v>125</v>
      </c>
      <c r="L6" s="256">
        <v>16</v>
      </c>
      <c r="M6" s="10">
        <f>F6/V6*60</f>
        <v>1845.6338028168996</v>
      </c>
      <c r="N6" s="9">
        <f t="shared" ref="N6:N7" si="6">M6/L6</f>
        <v>115.35211267605622</v>
      </c>
      <c r="O6" s="11">
        <f t="shared" si="0"/>
        <v>0</v>
      </c>
      <c r="P6" s="12">
        <f t="shared" si="1"/>
        <v>-9.6478873239437775</v>
      </c>
      <c r="Q6" s="250">
        <f t="shared" ref="Q6:Q7" si="7">N6/K6</f>
        <v>0.92281690140844974</v>
      </c>
      <c r="R6" s="533"/>
      <c r="S6" s="24">
        <v>0.7368055555555556</v>
      </c>
      <c r="T6" s="24">
        <v>0.7861111111111112</v>
      </c>
      <c r="U6" s="248">
        <f>(S6-T5)*24*60</f>
        <v>7.9999999999999716</v>
      </c>
      <c r="V6" s="257">
        <f>(T6-S6)*24*60</f>
        <v>71.000000000000071</v>
      </c>
      <c r="W6" s="14"/>
      <c r="X6" s="14"/>
      <c r="Y6" s="528"/>
      <c r="Z6" s="528"/>
      <c r="AA6" s="11">
        <f t="shared" si="2"/>
        <v>-154.36619718310044</v>
      </c>
      <c r="AB6" s="250">
        <f t="shared" si="3"/>
        <v>0.92281690140844974</v>
      </c>
      <c r="AC6" s="533"/>
    </row>
    <row r="7" spans="1:29">
      <c r="A7" s="561" t="s">
        <v>920</v>
      </c>
      <c r="B7" s="26" t="s">
        <v>13</v>
      </c>
      <c r="C7" s="558" t="s">
        <v>76</v>
      </c>
      <c r="D7" s="559"/>
      <c r="E7" s="26">
        <v>50.67</v>
      </c>
      <c r="F7" s="258">
        <v>2197</v>
      </c>
      <c r="G7" s="248">
        <f t="shared" si="4"/>
        <v>111321.99</v>
      </c>
      <c r="H7" s="259" t="s">
        <v>52</v>
      </c>
      <c r="I7" s="256">
        <v>18</v>
      </c>
      <c r="J7" s="18">
        <v>2000</v>
      </c>
      <c r="K7" s="9">
        <f t="shared" si="5"/>
        <v>111.11111111111111</v>
      </c>
      <c r="L7" s="256">
        <v>18</v>
      </c>
      <c r="M7" s="10">
        <f t="shared" ref="M7" si="8">F7/V7*60</f>
        <v>1856.6197183098573</v>
      </c>
      <c r="N7" s="9">
        <f t="shared" si="6"/>
        <v>103.14553990610318</v>
      </c>
      <c r="O7" s="11">
        <f t="shared" si="0"/>
        <v>0</v>
      </c>
      <c r="P7" s="12">
        <f t="shared" si="1"/>
        <v>-7.965571205007933</v>
      </c>
      <c r="Q7" s="250">
        <f t="shared" si="7"/>
        <v>0.92830985915492858</v>
      </c>
      <c r="R7" s="533"/>
      <c r="S7" s="24">
        <v>0.78958333333333341</v>
      </c>
      <c r="T7" s="24">
        <v>0.83888888888888902</v>
      </c>
      <c r="U7" s="248">
        <f t="shared" ref="U7" si="9">(S7-T6)*24*60</f>
        <v>4.9999999999999822</v>
      </c>
      <c r="V7" s="257">
        <f t="shared" ref="V7" si="10">(T7-S7)*24*60</f>
        <v>71.000000000000071</v>
      </c>
      <c r="W7" s="14"/>
      <c r="X7" s="14"/>
      <c r="Y7" s="536"/>
      <c r="Z7" s="537"/>
      <c r="AA7" s="11">
        <f t="shared" si="2"/>
        <v>-143.38028169014274</v>
      </c>
      <c r="AB7" s="250">
        <f t="shared" si="3"/>
        <v>0.92830985915492858</v>
      </c>
      <c r="AC7" s="533"/>
    </row>
    <row r="8" spans="1:29">
      <c r="A8" s="561" t="s">
        <v>920</v>
      </c>
      <c r="B8" s="26" t="s">
        <v>921</v>
      </c>
      <c r="C8" s="530"/>
      <c r="D8" s="530"/>
      <c r="E8" s="249"/>
      <c r="F8" s="16"/>
      <c r="G8" s="9"/>
      <c r="H8" s="258"/>
      <c r="I8" s="17">
        <v>17</v>
      </c>
      <c r="J8" s="18">
        <v>2000</v>
      </c>
      <c r="K8" s="9">
        <f>J8/I8</f>
        <v>117.64705882352941</v>
      </c>
      <c r="L8" s="17">
        <v>17</v>
      </c>
      <c r="M8" s="10">
        <f>AVERAGE(M5:M7)</f>
        <v>1853.478446436191</v>
      </c>
      <c r="N8" s="9">
        <f>M8/L8</f>
        <v>109.02814390801123</v>
      </c>
      <c r="O8" s="11">
        <f>L8-I8</f>
        <v>0</v>
      </c>
      <c r="P8" s="12">
        <f>N8-K8</f>
        <v>-8.6189149155181752</v>
      </c>
      <c r="Q8" s="250">
        <f>N8/K8</f>
        <v>0.92673922321809554</v>
      </c>
      <c r="R8" s="533"/>
      <c r="S8" s="24"/>
      <c r="T8" s="24"/>
      <c r="U8" s="248"/>
      <c r="V8" s="257"/>
      <c r="W8" s="9"/>
      <c r="X8" s="9"/>
      <c r="Y8" s="528"/>
      <c r="Z8" s="528"/>
      <c r="AA8" s="11">
        <f t="shared" si="2"/>
        <v>-146.52155356380899</v>
      </c>
      <c r="AB8" s="250">
        <f>M8/J8</f>
        <v>0.92673922321809554</v>
      </c>
      <c r="AC8" s="533"/>
    </row>
    <row r="9" spans="1:29" ht="15.75" customHeight="1">
      <c r="A9" s="531" t="s">
        <v>922</v>
      </c>
      <c r="B9" s="26" t="s">
        <v>15</v>
      </c>
      <c r="C9" s="558" t="s">
        <v>16</v>
      </c>
      <c r="D9" s="559"/>
      <c r="E9" s="26">
        <v>39.619999999999997</v>
      </c>
      <c r="F9" s="258">
        <v>5164</v>
      </c>
      <c r="G9" s="248">
        <f t="shared" ref="G9:G12" si="11">E9*F9</f>
        <v>204597.68</v>
      </c>
      <c r="H9" s="259" t="s">
        <v>52</v>
      </c>
      <c r="I9" s="256">
        <v>19</v>
      </c>
      <c r="J9" s="18">
        <v>1500</v>
      </c>
      <c r="K9" s="9">
        <f t="shared" ref="K9:K12" si="12">J9/I9</f>
        <v>78.94736842105263</v>
      </c>
      <c r="L9" s="256">
        <v>19</v>
      </c>
      <c r="M9" s="10">
        <f t="shared" ref="M9:M12" si="13">F9/V9*60</f>
        <v>1383.2142857142856</v>
      </c>
      <c r="N9" s="9">
        <f t="shared" ref="N9:N12" si="14">M9/L9</f>
        <v>72.800751879699234</v>
      </c>
      <c r="O9" s="11">
        <f t="shared" ref="O9:O12" si="15">L9-I9</f>
        <v>0</v>
      </c>
      <c r="P9" s="12">
        <f>N9-K9</f>
        <v>-6.1466165413533957</v>
      </c>
      <c r="Q9" s="250">
        <f>N9/K9</f>
        <v>0.92214285714285693</v>
      </c>
      <c r="R9" s="533">
        <f>Q13</f>
        <v>0.9232600588193064</v>
      </c>
      <c r="S9" s="24">
        <v>0.125</v>
      </c>
      <c r="T9" s="24">
        <v>0.28055555555555556</v>
      </c>
      <c r="U9" s="248"/>
      <c r="V9" s="257">
        <f t="shared" ref="V9:V12" si="16">(T9-S9)*24*60</f>
        <v>224</v>
      </c>
      <c r="W9" s="14">
        <f>T9</f>
        <v>0.28055555555555556</v>
      </c>
      <c r="X9" s="14">
        <f>S10</f>
        <v>0.3</v>
      </c>
      <c r="Y9" s="528"/>
      <c r="Z9" s="528"/>
      <c r="AA9" s="11">
        <f t="shared" si="2"/>
        <v>-116.78571428571445</v>
      </c>
      <c r="AB9" s="250">
        <f>M9/J9</f>
        <v>0.92214285714285704</v>
      </c>
      <c r="AC9" s="533">
        <f>AB13</f>
        <v>0.92326005881930628</v>
      </c>
    </row>
    <row r="10" spans="1:29" ht="15.75" customHeight="1">
      <c r="A10" s="531" t="s">
        <v>922</v>
      </c>
      <c r="B10" s="26" t="s">
        <v>15</v>
      </c>
      <c r="C10" s="558" t="s">
        <v>17</v>
      </c>
      <c r="D10" s="559"/>
      <c r="E10" s="26">
        <v>39.799999999999997</v>
      </c>
      <c r="F10" s="258">
        <v>2700</v>
      </c>
      <c r="G10" s="248">
        <f t="shared" si="11"/>
        <v>107459.99999999999</v>
      </c>
      <c r="H10" s="259">
        <v>2</v>
      </c>
      <c r="I10" s="256">
        <v>17</v>
      </c>
      <c r="J10" s="18">
        <v>1500</v>
      </c>
      <c r="K10" s="9">
        <f t="shared" si="12"/>
        <v>88.235294117647058</v>
      </c>
      <c r="L10" s="256">
        <v>17</v>
      </c>
      <c r="M10" s="10">
        <f t="shared" si="13"/>
        <v>1384.6153846153848</v>
      </c>
      <c r="N10" s="9">
        <f t="shared" si="14"/>
        <v>81.447963800904986</v>
      </c>
      <c r="O10" s="11">
        <f t="shared" si="15"/>
        <v>0</v>
      </c>
      <c r="P10" s="12">
        <f t="shared" ref="P10:P12" si="17">N10-K10</f>
        <v>-6.7873303167420715</v>
      </c>
      <c r="Q10" s="250">
        <f t="shared" ref="Q10:Q12" si="18">N10/K10</f>
        <v>0.92307692307692324</v>
      </c>
      <c r="R10" s="533"/>
      <c r="S10" s="24">
        <v>0.3</v>
      </c>
      <c r="T10" s="24">
        <v>0.38124999999999998</v>
      </c>
      <c r="U10" s="248">
        <f>(S10-T9)*24*60</f>
        <v>27.999999999999979</v>
      </c>
      <c r="V10" s="257">
        <f t="shared" si="16"/>
        <v>116.99999999999999</v>
      </c>
      <c r="W10" s="14"/>
      <c r="X10" s="14"/>
      <c r="Y10" s="528"/>
      <c r="Z10" s="528"/>
      <c r="AA10" s="11">
        <f t="shared" si="2"/>
        <v>-115.38461538461524</v>
      </c>
      <c r="AB10" s="250">
        <f t="shared" ref="AB10:AB24" si="19">M10/J10</f>
        <v>0.92307692307692313</v>
      </c>
      <c r="AC10" s="533"/>
    </row>
    <row r="11" spans="1:29" ht="15.75" customHeight="1">
      <c r="A11" s="531" t="s">
        <v>922</v>
      </c>
      <c r="B11" s="26" t="s">
        <v>15</v>
      </c>
      <c r="C11" s="558" t="s">
        <v>80</v>
      </c>
      <c r="D11" s="559"/>
      <c r="E11" s="26">
        <v>39.29</v>
      </c>
      <c r="F11" s="258">
        <v>4247</v>
      </c>
      <c r="G11" s="248">
        <f t="shared" si="11"/>
        <v>166864.63</v>
      </c>
      <c r="H11" s="259" t="s">
        <v>52</v>
      </c>
      <c r="I11" s="256">
        <v>19</v>
      </c>
      <c r="J11" s="18">
        <v>1500</v>
      </c>
      <c r="K11" s="9">
        <f t="shared" si="12"/>
        <v>78.94736842105263</v>
      </c>
      <c r="L11" s="256">
        <v>19</v>
      </c>
      <c r="M11" s="10">
        <f t="shared" si="13"/>
        <v>1384.891304347826</v>
      </c>
      <c r="N11" s="9">
        <f t="shared" si="14"/>
        <v>72.889016018306634</v>
      </c>
      <c r="O11" s="11">
        <f t="shared" si="15"/>
        <v>0</v>
      </c>
      <c r="P11" s="12">
        <f t="shared" si="17"/>
        <v>-6.0583524027459958</v>
      </c>
      <c r="Q11" s="250">
        <f t="shared" si="18"/>
        <v>0.92326086956521736</v>
      </c>
      <c r="R11" s="533"/>
      <c r="S11" s="24">
        <v>0.38541666666666663</v>
      </c>
      <c r="T11" s="24">
        <v>0.5131944444444444</v>
      </c>
      <c r="U11" s="248">
        <f t="shared" ref="U11:U12" si="20">(S11-T10)*24*60</f>
        <v>5.9999999999999787</v>
      </c>
      <c r="V11" s="257">
        <f t="shared" si="16"/>
        <v>184</v>
      </c>
      <c r="W11" s="14">
        <f>T11</f>
        <v>0.5131944444444444</v>
      </c>
      <c r="X11" s="14">
        <f>S12</f>
        <v>0.55208333333333326</v>
      </c>
      <c r="Y11" s="528"/>
      <c r="Z11" s="528"/>
      <c r="AA11" s="11">
        <f t="shared" si="2"/>
        <v>-115.10869565217399</v>
      </c>
      <c r="AB11" s="250">
        <f t="shared" si="19"/>
        <v>0.92326086956521736</v>
      </c>
      <c r="AC11" s="533"/>
    </row>
    <row r="12" spans="1:29" ht="15.75" customHeight="1">
      <c r="A12" s="531" t="s">
        <v>370</v>
      </c>
      <c r="B12" s="26" t="s">
        <v>15</v>
      </c>
      <c r="C12" s="558" t="s">
        <v>17</v>
      </c>
      <c r="D12" s="559"/>
      <c r="E12" s="26">
        <v>39.799999999999997</v>
      </c>
      <c r="F12" s="258">
        <v>4461</v>
      </c>
      <c r="G12" s="248">
        <f t="shared" si="11"/>
        <v>177547.8</v>
      </c>
      <c r="H12" s="259" t="s">
        <v>52</v>
      </c>
      <c r="I12" s="256">
        <v>17</v>
      </c>
      <c r="J12" s="18">
        <v>1500</v>
      </c>
      <c r="K12" s="9">
        <f t="shared" si="12"/>
        <v>88.235294117647058</v>
      </c>
      <c r="L12" s="256">
        <v>17</v>
      </c>
      <c r="M12" s="10">
        <f t="shared" si="13"/>
        <v>1386.8393782383423</v>
      </c>
      <c r="N12" s="9">
        <f t="shared" si="14"/>
        <v>81.578786955196605</v>
      </c>
      <c r="O12" s="11">
        <f t="shared" si="15"/>
        <v>0</v>
      </c>
      <c r="P12" s="12">
        <f t="shared" si="17"/>
        <v>-6.6565071624504526</v>
      </c>
      <c r="Q12" s="250">
        <f t="shared" si="18"/>
        <v>0.92455958549222816</v>
      </c>
      <c r="R12" s="533"/>
      <c r="S12" s="24">
        <v>0.55208333333333326</v>
      </c>
      <c r="T12" s="24">
        <v>0.68611111111111101</v>
      </c>
      <c r="U12" s="248">
        <f t="shared" si="20"/>
        <v>55.999999999999957</v>
      </c>
      <c r="V12" s="257">
        <f t="shared" si="16"/>
        <v>192.99999999999994</v>
      </c>
      <c r="W12" s="14"/>
      <c r="X12" s="14"/>
      <c r="Y12" s="528"/>
      <c r="Z12" s="528"/>
      <c r="AA12" s="11">
        <f t="shared" si="2"/>
        <v>-113.16062176165769</v>
      </c>
      <c r="AB12" s="250">
        <f t="shared" si="19"/>
        <v>0.92455958549222816</v>
      </c>
      <c r="AC12" s="533"/>
    </row>
    <row r="13" spans="1:29" ht="16.5" customHeight="1">
      <c r="A13" s="531" t="s">
        <v>922</v>
      </c>
      <c r="B13" s="26" t="s">
        <v>923</v>
      </c>
      <c r="C13" s="530"/>
      <c r="D13" s="530"/>
      <c r="E13" s="249"/>
      <c r="F13" s="18"/>
      <c r="G13" s="10"/>
      <c r="H13" s="258"/>
      <c r="I13" s="17">
        <v>18</v>
      </c>
      <c r="J13" s="18">
        <v>1500</v>
      </c>
      <c r="K13" s="9">
        <f>J13/I13</f>
        <v>83.333333333333329</v>
      </c>
      <c r="L13" s="17">
        <v>18</v>
      </c>
      <c r="M13" s="10">
        <f>AVERAGE(M9:M12)</f>
        <v>1384.8900882289595</v>
      </c>
      <c r="N13" s="9">
        <f>M13/L13</f>
        <v>76.938338234942194</v>
      </c>
      <c r="O13" s="11">
        <f>L13-I13</f>
        <v>0</v>
      </c>
      <c r="P13" s="12">
        <f>N13-K13</f>
        <v>-6.394995098391135</v>
      </c>
      <c r="Q13" s="250">
        <f>N13/K13</f>
        <v>0.9232600588193064</v>
      </c>
      <c r="R13" s="533"/>
      <c r="S13" s="24"/>
      <c r="T13" s="24"/>
      <c r="U13" s="9"/>
      <c r="V13" s="257"/>
      <c r="W13" s="9"/>
      <c r="X13" s="9"/>
      <c r="Y13" s="528"/>
      <c r="Z13" s="528"/>
      <c r="AA13" s="11">
        <f t="shared" si="2"/>
        <v>-115.10991177104052</v>
      </c>
      <c r="AB13" s="250">
        <f t="shared" si="19"/>
        <v>0.92326005881930628</v>
      </c>
      <c r="AC13" s="533"/>
    </row>
    <row r="14" spans="1:29" ht="16.5" customHeight="1">
      <c r="A14" s="556" t="s">
        <v>924</v>
      </c>
      <c r="B14" s="258" t="s">
        <v>21</v>
      </c>
      <c r="C14" s="552" t="s">
        <v>19</v>
      </c>
      <c r="D14" s="552"/>
      <c r="E14" s="26">
        <v>41</v>
      </c>
      <c r="F14" s="258">
        <v>1949</v>
      </c>
      <c r="G14" s="248">
        <f t="shared" ref="G14:G16" si="21">E14*F14</f>
        <v>79909</v>
      </c>
      <c r="H14" s="259" t="s">
        <v>52</v>
      </c>
      <c r="I14" s="256">
        <v>26</v>
      </c>
      <c r="J14" s="18">
        <v>1500</v>
      </c>
      <c r="K14" s="9">
        <f>J14/I14</f>
        <v>57.692307692307693</v>
      </c>
      <c r="L14" s="256">
        <v>26</v>
      </c>
      <c r="M14" s="10">
        <f>F14/V14*60</f>
        <v>1392.1428571428567</v>
      </c>
      <c r="N14" s="9">
        <f t="shared" ref="N14:N23" si="22">M14/L14</f>
        <v>53.543956043956022</v>
      </c>
      <c r="O14" s="11">
        <f t="shared" ref="O14" si="23">L14-I14</f>
        <v>0</v>
      </c>
      <c r="P14" s="12">
        <f t="shared" ref="P14" si="24">N14-K14</f>
        <v>-4.1483516483516709</v>
      </c>
      <c r="Q14" s="250">
        <f>N14/K14</f>
        <v>0.92809523809523775</v>
      </c>
      <c r="R14" s="533">
        <f>Q17</f>
        <v>0.92799773042491518</v>
      </c>
      <c r="S14" s="24">
        <v>0.25</v>
      </c>
      <c r="T14" s="24">
        <v>0.30833333333333335</v>
      </c>
      <c r="U14" s="248"/>
      <c r="V14" s="257">
        <f>(T14-S14)*24*60</f>
        <v>84.000000000000028</v>
      </c>
      <c r="W14" s="15"/>
      <c r="X14" s="15"/>
      <c r="Y14" s="528"/>
      <c r="Z14" s="528"/>
      <c r="AA14" s="11">
        <f t="shared" si="2"/>
        <v>-107.85714285714334</v>
      </c>
      <c r="AB14" s="250">
        <f t="shared" si="19"/>
        <v>0.92809523809523775</v>
      </c>
      <c r="AC14" s="533">
        <f>AB17</f>
        <v>0.92799773042491507</v>
      </c>
    </row>
    <row r="15" spans="1:29" ht="16.5" customHeight="1">
      <c r="A15" s="557" t="s">
        <v>924</v>
      </c>
      <c r="B15" s="258" t="s">
        <v>13</v>
      </c>
      <c r="C15" s="552" t="s">
        <v>57</v>
      </c>
      <c r="D15" s="552"/>
      <c r="E15" s="26">
        <v>50.98</v>
      </c>
      <c r="F15" s="258">
        <v>2914</v>
      </c>
      <c r="G15" s="248">
        <f t="shared" si="21"/>
        <v>148555.72</v>
      </c>
      <c r="H15" s="259" t="s">
        <v>52</v>
      </c>
      <c r="I15" s="256">
        <v>17</v>
      </c>
      <c r="J15" s="18">
        <v>2000</v>
      </c>
      <c r="K15" s="9">
        <f>J15/I15</f>
        <v>117.64705882352941</v>
      </c>
      <c r="L15" s="256">
        <v>17</v>
      </c>
      <c r="M15" s="10">
        <f>F15/V15*60</f>
        <v>1860.0000000000002</v>
      </c>
      <c r="N15" s="9">
        <f t="shared" si="22"/>
        <v>109.41176470588236</v>
      </c>
      <c r="O15" s="11">
        <f>L15-I15</f>
        <v>0</v>
      </c>
      <c r="P15" s="12">
        <f>N15-K15</f>
        <v>-8.2352941176470438</v>
      </c>
      <c r="Q15" s="250">
        <f>N15/K15</f>
        <v>0.93000000000000016</v>
      </c>
      <c r="R15" s="533"/>
      <c r="S15" s="24">
        <v>0.70833333333333337</v>
      </c>
      <c r="T15" s="24">
        <v>0.77361111111111114</v>
      </c>
      <c r="U15" s="248" t="str">
        <f>IF(S15=TIME(17,0,0),"",(S15-T14)*24*60)</f>
        <v/>
      </c>
      <c r="V15" s="257">
        <f>(T15-S15)*24*60</f>
        <v>93.999999999999986</v>
      </c>
      <c r="W15" s="14"/>
      <c r="X15" s="14"/>
      <c r="Y15" s="528"/>
      <c r="Z15" s="528"/>
      <c r="AA15" s="11">
        <f t="shared" si="2"/>
        <v>-139.99999999999977</v>
      </c>
      <c r="AB15" s="250">
        <f t="shared" si="19"/>
        <v>0.93000000000000016</v>
      </c>
      <c r="AC15" s="533"/>
    </row>
    <row r="16" spans="1:29" ht="16.5" customHeight="1">
      <c r="A16" s="557" t="s">
        <v>924</v>
      </c>
      <c r="B16" s="258" t="s">
        <v>13</v>
      </c>
      <c r="C16" s="552" t="s">
        <v>54</v>
      </c>
      <c r="D16" s="552"/>
      <c r="E16" s="26">
        <v>50.92</v>
      </c>
      <c r="F16" s="258">
        <v>3179</v>
      </c>
      <c r="G16" s="248">
        <f t="shared" si="21"/>
        <v>161874.68</v>
      </c>
      <c r="H16" s="259" t="s">
        <v>52</v>
      </c>
      <c r="I16" s="256">
        <v>16</v>
      </c>
      <c r="J16" s="18">
        <v>2000</v>
      </c>
      <c r="K16" s="9">
        <f t="shared" ref="K16" si="25">J16/I16</f>
        <v>125</v>
      </c>
      <c r="L16" s="256">
        <v>16</v>
      </c>
      <c r="M16" s="10">
        <f t="shared" ref="M16" si="26">F16/V16*60</f>
        <v>1851.8446601941755</v>
      </c>
      <c r="N16" s="9">
        <f t="shared" si="22"/>
        <v>115.74029126213597</v>
      </c>
      <c r="O16" s="11">
        <f t="shared" ref="O16" si="27">L16-I16</f>
        <v>0</v>
      </c>
      <c r="P16" s="12">
        <f t="shared" ref="P16" si="28">N16-K16</f>
        <v>-9.259708737864031</v>
      </c>
      <c r="Q16" s="250">
        <f t="shared" ref="Q16:Q23" si="29">N16/K16</f>
        <v>0.9259223300970878</v>
      </c>
      <c r="R16" s="533"/>
      <c r="S16" s="24">
        <v>0.77916666666666667</v>
      </c>
      <c r="T16" s="24">
        <v>0.85069444444444442</v>
      </c>
      <c r="U16" s="248">
        <f t="shared" ref="U16" si="30">IF(S16=TIME(17,0,0),"",(S16-T15)*24*60)</f>
        <v>7.9999999999999716</v>
      </c>
      <c r="V16" s="257">
        <f t="shared" ref="V16" si="31">(T16-S16)*24*60</f>
        <v>102.99999999999996</v>
      </c>
      <c r="W16" s="14"/>
      <c r="X16" s="14"/>
      <c r="Y16" s="528"/>
      <c r="Z16" s="528"/>
      <c r="AA16" s="11">
        <f t="shared" si="2"/>
        <v>-148.1553398058245</v>
      </c>
      <c r="AB16" s="250">
        <f t="shared" si="19"/>
        <v>0.9259223300970878</v>
      </c>
      <c r="AC16" s="533"/>
    </row>
    <row r="17" spans="1:29" ht="16.5" customHeight="1">
      <c r="A17" s="557" t="s">
        <v>925</v>
      </c>
      <c r="B17" s="26" t="s">
        <v>923</v>
      </c>
      <c r="C17" s="530"/>
      <c r="D17" s="530"/>
      <c r="E17" s="249"/>
      <c r="F17" s="16"/>
      <c r="G17" s="9"/>
      <c r="H17" s="258"/>
      <c r="I17" s="17">
        <v>19.666666666666668</v>
      </c>
      <c r="J17" s="18">
        <v>1833.3333333333333</v>
      </c>
      <c r="K17" s="9">
        <f>J17/I17</f>
        <v>93.220338983050837</v>
      </c>
      <c r="L17" s="17">
        <v>19.666666666666668</v>
      </c>
      <c r="M17" s="10">
        <f>AVERAGE(M14:M16)</f>
        <v>1701.3291724456776</v>
      </c>
      <c r="N17" s="9">
        <f t="shared" si="22"/>
        <v>86.508263005712422</v>
      </c>
      <c r="O17" s="11">
        <f>L17-I17</f>
        <v>0</v>
      </c>
      <c r="P17" s="12">
        <f>N17-K17</f>
        <v>-6.7120759773384151</v>
      </c>
      <c r="Q17" s="250">
        <f t="shared" si="29"/>
        <v>0.92799773042491518</v>
      </c>
      <c r="R17" s="533"/>
      <c r="S17" s="24"/>
      <c r="T17" s="24"/>
      <c r="U17" s="248"/>
      <c r="V17" s="257"/>
      <c r="W17" s="9"/>
      <c r="X17" s="9"/>
      <c r="Y17" s="528"/>
      <c r="Z17" s="528"/>
      <c r="AA17" s="11">
        <f t="shared" si="2"/>
        <v>-132.00416088765564</v>
      </c>
      <c r="AB17" s="250">
        <f t="shared" si="19"/>
        <v>0.92799773042491507</v>
      </c>
      <c r="AC17" s="533"/>
    </row>
    <row r="18" spans="1:29" ht="15.75" customHeight="1">
      <c r="A18" s="554" t="s">
        <v>926</v>
      </c>
      <c r="B18" s="26" t="s">
        <v>21</v>
      </c>
      <c r="C18" s="552" t="s">
        <v>22</v>
      </c>
      <c r="D18" s="552"/>
      <c r="E18" s="26">
        <v>43.14</v>
      </c>
      <c r="F18" s="258">
        <v>1233</v>
      </c>
      <c r="G18" s="248">
        <f t="shared" ref="G18:G23" si="32">E18*F18</f>
        <v>53191.62</v>
      </c>
      <c r="H18" s="259" t="s">
        <v>52</v>
      </c>
      <c r="I18" s="256">
        <v>17</v>
      </c>
      <c r="J18" s="18">
        <v>2000</v>
      </c>
      <c r="K18" s="9">
        <f t="shared" ref="K18:K24" si="33">J18/I18</f>
        <v>117.64705882352941</v>
      </c>
      <c r="L18" s="256">
        <v>17</v>
      </c>
      <c r="M18" s="10">
        <f t="shared" ref="M18:M23" si="34">F18/V18*60</f>
        <v>1849.5000000000009</v>
      </c>
      <c r="N18" s="9">
        <f t="shared" si="22"/>
        <v>108.79411764705888</v>
      </c>
      <c r="O18" s="11">
        <f t="shared" ref="O18:O23" si="35">L18-I18</f>
        <v>0</v>
      </c>
      <c r="P18" s="12">
        <f t="shared" ref="P18:P23" si="36">N18-K18</f>
        <v>-8.852941176470523</v>
      </c>
      <c r="Q18" s="250">
        <f t="shared" si="29"/>
        <v>0.92475000000000052</v>
      </c>
      <c r="R18" s="533">
        <f>Q24</f>
        <v>0.92519034518195209</v>
      </c>
      <c r="S18" s="24">
        <v>0.20833333333333334</v>
      </c>
      <c r="T18" s="24">
        <v>0.2361111111111111</v>
      </c>
      <c r="U18" s="248"/>
      <c r="V18" s="257">
        <f>(T18-S18)*24*60</f>
        <v>39.999999999999979</v>
      </c>
      <c r="W18" s="15"/>
      <c r="X18" s="15"/>
      <c r="Y18" s="528"/>
      <c r="Z18" s="528"/>
      <c r="AA18" s="11">
        <f t="shared" si="2"/>
        <v>-150.49999999999909</v>
      </c>
      <c r="AB18" s="250">
        <f t="shared" si="19"/>
        <v>0.92475000000000041</v>
      </c>
      <c r="AC18" s="533">
        <f>AB24</f>
        <v>0.92519034518195209</v>
      </c>
    </row>
    <row r="19" spans="1:29" ht="15.75" customHeight="1">
      <c r="A19" s="555" t="s">
        <v>926</v>
      </c>
      <c r="B19" s="26" t="s">
        <v>13</v>
      </c>
      <c r="C19" s="552" t="s">
        <v>23</v>
      </c>
      <c r="D19" s="552"/>
      <c r="E19" s="26">
        <v>57.73</v>
      </c>
      <c r="F19" s="258">
        <v>2949</v>
      </c>
      <c r="G19" s="248">
        <f t="shared" si="32"/>
        <v>170245.77</v>
      </c>
      <c r="H19" s="259" t="s">
        <v>52</v>
      </c>
      <c r="I19" s="256">
        <v>16</v>
      </c>
      <c r="J19" s="18">
        <v>2000</v>
      </c>
      <c r="K19" s="9">
        <f t="shared" si="33"/>
        <v>125</v>
      </c>
      <c r="L19" s="256">
        <v>16</v>
      </c>
      <c r="M19" s="10">
        <f t="shared" si="34"/>
        <v>1843.1249999999998</v>
      </c>
      <c r="N19" s="9">
        <f t="shared" si="22"/>
        <v>115.19531249999999</v>
      </c>
      <c r="O19" s="11">
        <f t="shared" si="35"/>
        <v>0</v>
      </c>
      <c r="P19" s="12">
        <f t="shared" si="36"/>
        <v>-9.8046875000000142</v>
      </c>
      <c r="Q19" s="250">
        <f t="shared" si="29"/>
        <v>0.92156249999999984</v>
      </c>
      <c r="R19" s="533"/>
      <c r="S19" s="24">
        <v>0.24097222222222223</v>
      </c>
      <c r="T19" s="24">
        <v>0.30763888888888891</v>
      </c>
      <c r="U19" s="248">
        <f>IF(S19=TIME(17,0,0),"",(S19-T18)*24*60)</f>
        <v>7.0000000000000151</v>
      </c>
      <c r="V19" s="257">
        <f t="shared" ref="V19:V23" si="37">(T19-S19)*24*60</f>
        <v>96.000000000000014</v>
      </c>
      <c r="W19" s="14"/>
      <c r="X19" s="248"/>
      <c r="Y19" s="528"/>
      <c r="Z19" s="528"/>
      <c r="AA19" s="11">
        <f t="shared" si="2"/>
        <v>-156.87500000000023</v>
      </c>
      <c r="AB19" s="250">
        <f t="shared" si="19"/>
        <v>0.92156249999999984</v>
      </c>
      <c r="AC19" s="533"/>
    </row>
    <row r="20" spans="1:29" ht="15.75" customHeight="1">
      <c r="A20" s="555" t="s">
        <v>926</v>
      </c>
      <c r="B20" s="26" t="s">
        <v>13</v>
      </c>
      <c r="C20" s="552" t="s">
        <v>14</v>
      </c>
      <c r="D20" s="552"/>
      <c r="E20" s="26">
        <v>53.68</v>
      </c>
      <c r="F20" s="258">
        <v>1998</v>
      </c>
      <c r="G20" s="248">
        <f t="shared" si="32"/>
        <v>107252.64</v>
      </c>
      <c r="H20" s="259" t="s">
        <v>52</v>
      </c>
      <c r="I20" s="256">
        <v>17</v>
      </c>
      <c r="J20" s="18">
        <v>2000</v>
      </c>
      <c r="K20" s="9">
        <f t="shared" si="33"/>
        <v>117.64705882352941</v>
      </c>
      <c r="L20" s="256">
        <v>17</v>
      </c>
      <c r="M20" s="10">
        <f t="shared" si="34"/>
        <v>1844.3076923076919</v>
      </c>
      <c r="N20" s="9">
        <f t="shared" si="22"/>
        <v>108.48868778280541</v>
      </c>
      <c r="O20" s="11">
        <f t="shared" si="35"/>
        <v>0</v>
      </c>
      <c r="P20" s="12">
        <f t="shared" si="36"/>
        <v>-9.158371040723992</v>
      </c>
      <c r="Q20" s="250">
        <f t="shared" si="29"/>
        <v>0.9221538461538461</v>
      </c>
      <c r="R20" s="533"/>
      <c r="S20" s="24">
        <v>0.31111111111111112</v>
      </c>
      <c r="T20" s="24">
        <v>0.35625000000000001</v>
      </c>
      <c r="U20" s="248">
        <f t="shared" ref="U20:U23" si="38">IF(S20=TIME(17,0,0),"",(S20-T19)*24*60)</f>
        <v>4.9999999999999822</v>
      </c>
      <c r="V20" s="257">
        <f t="shared" si="37"/>
        <v>65.000000000000014</v>
      </c>
      <c r="W20" s="14"/>
      <c r="X20" s="248"/>
      <c r="Y20" s="528"/>
      <c r="Z20" s="528"/>
      <c r="AA20" s="11">
        <f t="shared" si="2"/>
        <v>-155.69230769230808</v>
      </c>
      <c r="AB20" s="250">
        <f t="shared" si="19"/>
        <v>0.92215384615384599</v>
      </c>
      <c r="AC20" s="533"/>
    </row>
    <row r="21" spans="1:29" ht="15.75" customHeight="1">
      <c r="A21" s="555" t="s">
        <v>926</v>
      </c>
      <c r="B21" s="26" t="s">
        <v>13</v>
      </c>
      <c r="C21" s="552" t="s">
        <v>81</v>
      </c>
      <c r="D21" s="552"/>
      <c r="E21" s="26">
        <v>58.17</v>
      </c>
      <c r="F21" s="258">
        <v>2307</v>
      </c>
      <c r="G21" s="248">
        <f t="shared" si="32"/>
        <v>134198.19</v>
      </c>
      <c r="H21" s="259" t="s">
        <v>52</v>
      </c>
      <c r="I21" s="256">
        <v>18</v>
      </c>
      <c r="J21" s="18">
        <v>2000</v>
      </c>
      <c r="K21" s="9">
        <f t="shared" si="33"/>
        <v>111.11111111111111</v>
      </c>
      <c r="L21" s="256">
        <v>18</v>
      </c>
      <c r="M21" s="10">
        <f t="shared" si="34"/>
        <v>1845.6000000000008</v>
      </c>
      <c r="N21" s="9">
        <f t="shared" si="22"/>
        <v>102.53333333333337</v>
      </c>
      <c r="O21" s="11">
        <f t="shared" si="35"/>
        <v>0</v>
      </c>
      <c r="P21" s="12">
        <f t="shared" si="36"/>
        <v>-8.5777777777777402</v>
      </c>
      <c r="Q21" s="250">
        <f t="shared" si="29"/>
        <v>0.92280000000000029</v>
      </c>
      <c r="R21" s="533"/>
      <c r="S21" s="24">
        <v>0.35972222222222222</v>
      </c>
      <c r="T21" s="24">
        <v>0.41180555555555554</v>
      </c>
      <c r="U21" s="248">
        <f t="shared" si="38"/>
        <v>4.9999999999999822</v>
      </c>
      <c r="V21" s="257">
        <f t="shared" si="37"/>
        <v>74.999999999999972</v>
      </c>
      <c r="W21" s="14"/>
      <c r="X21" s="248"/>
      <c r="Y21" s="528"/>
      <c r="Z21" s="528"/>
      <c r="AA21" s="11">
        <f t="shared" si="2"/>
        <v>-154.39999999999918</v>
      </c>
      <c r="AB21" s="250">
        <f t="shared" si="19"/>
        <v>0.9228000000000004</v>
      </c>
      <c r="AC21" s="533"/>
    </row>
    <row r="22" spans="1:29" ht="15.75" customHeight="1">
      <c r="A22" s="555" t="s">
        <v>926</v>
      </c>
      <c r="B22" s="26" t="s">
        <v>13</v>
      </c>
      <c r="C22" s="552" t="s">
        <v>85</v>
      </c>
      <c r="D22" s="552"/>
      <c r="E22" s="26">
        <v>54.09</v>
      </c>
      <c r="F22" s="258">
        <v>4368</v>
      </c>
      <c r="G22" s="248">
        <f t="shared" si="32"/>
        <v>236265.12000000002</v>
      </c>
      <c r="H22" s="259" t="s">
        <v>52</v>
      </c>
      <c r="I22" s="256">
        <v>20</v>
      </c>
      <c r="J22" s="18">
        <v>2000</v>
      </c>
      <c r="K22" s="9">
        <f t="shared" si="33"/>
        <v>100</v>
      </c>
      <c r="L22" s="256">
        <v>20</v>
      </c>
      <c r="M22" s="10">
        <f t="shared" si="34"/>
        <v>1845.6338028169016</v>
      </c>
      <c r="N22" s="9">
        <f t="shared" si="22"/>
        <v>92.281690140845086</v>
      </c>
      <c r="O22" s="11">
        <f t="shared" si="35"/>
        <v>0</v>
      </c>
      <c r="P22" s="12">
        <f t="shared" si="36"/>
        <v>-7.718309859154914</v>
      </c>
      <c r="Q22" s="250">
        <f t="shared" si="29"/>
        <v>0.92281690140845085</v>
      </c>
      <c r="R22" s="533"/>
      <c r="S22" s="24">
        <v>0.70833333333333337</v>
      </c>
      <c r="T22" s="24">
        <v>0.80694444444444446</v>
      </c>
      <c r="U22" s="248" t="str">
        <f t="shared" si="38"/>
        <v/>
      </c>
      <c r="V22" s="257">
        <f t="shared" si="37"/>
        <v>141.99999999999997</v>
      </c>
      <c r="W22" s="14"/>
      <c r="X22" s="248"/>
      <c r="Y22" s="528"/>
      <c r="Z22" s="528"/>
      <c r="AA22" s="11">
        <f t="shared" si="2"/>
        <v>-154.36619718309839</v>
      </c>
      <c r="AB22" s="250">
        <f t="shared" si="19"/>
        <v>0.92281690140845085</v>
      </c>
      <c r="AC22" s="533"/>
    </row>
    <row r="23" spans="1:29" ht="15.75" customHeight="1">
      <c r="A23" s="555" t="s">
        <v>926</v>
      </c>
      <c r="B23" s="26" t="s">
        <v>13</v>
      </c>
      <c r="C23" s="552" t="s">
        <v>56</v>
      </c>
      <c r="D23" s="552"/>
      <c r="E23" s="26">
        <v>53.27</v>
      </c>
      <c r="F23" s="258">
        <v>531</v>
      </c>
      <c r="G23" s="248">
        <f t="shared" si="32"/>
        <v>28286.370000000003</v>
      </c>
      <c r="H23" s="259" t="s">
        <v>52</v>
      </c>
      <c r="I23" s="256">
        <v>15</v>
      </c>
      <c r="J23" s="18">
        <v>2000</v>
      </c>
      <c r="K23" s="9">
        <f t="shared" si="33"/>
        <v>133.33333333333334</v>
      </c>
      <c r="L23" s="256">
        <v>15</v>
      </c>
      <c r="M23" s="10">
        <f t="shared" si="34"/>
        <v>1874.11764705883</v>
      </c>
      <c r="N23" s="9">
        <f t="shared" si="22"/>
        <v>124.94117647058867</v>
      </c>
      <c r="O23" s="11">
        <f t="shared" si="35"/>
        <v>0</v>
      </c>
      <c r="P23" s="12">
        <f t="shared" si="36"/>
        <v>-8.3921568627446703</v>
      </c>
      <c r="Q23" s="250">
        <f t="shared" si="29"/>
        <v>0.93705882352941494</v>
      </c>
      <c r="R23" s="533"/>
      <c r="S23" s="24">
        <v>0.81111111111111112</v>
      </c>
      <c r="T23" s="24">
        <v>0.82291666666666663</v>
      </c>
      <c r="U23" s="248">
        <f t="shared" si="38"/>
        <v>5.9999999999999787</v>
      </c>
      <c r="V23" s="257">
        <f t="shared" si="37"/>
        <v>16.99999999999994</v>
      </c>
      <c r="W23" s="14"/>
      <c r="X23" s="15"/>
      <c r="Y23" s="528"/>
      <c r="Z23" s="528"/>
      <c r="AA23" s="11">
        <f t="shared" si="2"/>
        <v>-125.88235294116998</v>
      </c>
      <c r="AB23" s="250">
        <f t="shared" si="19"/>
        <v>0.93705882352941505</v>
      </c>
      <c r="AC23" s="533"/>
    </row>
    <row r="24" spans="1:29" ht="15.75" customHeight="1">
      <c r="A24" s="555" t="s">
        <v>926</v>
      </c>
      <c r="B24" s="26" t="s">
        <v>923</v>
      </c>
      <c r="C24" s="530"/>
      <c r="D24" s="530"/>
      <c r="E24" s="249"/>
      <c r="F24" s="258"/>
      <c r="G24" s="248"/>
      <c r="H24" s="258"/>
      <c r="I24" s="17">
        <v>17.166666666666668</v>
      </c>
      <c r="J24" s="18">
        <v>2000</v>
      </c>
      <c r="K24" s="9">
        <f t="shared" si="33"/>
        <v>116.50485436893203</v>
      </c>
      <c r="L24" s="17">
        <v>17.166666666666668</v>
      </c>
      <c r="M24" s="10">
        <f>AVERAGE(M18:M23)</f>
        <v>1850.3806903639043</v>
      </c>
      <c r="N24" s="9">
        <f>M24/L24</f>
        <v>107.78916642896529</v>
      </c>
      <c r="O24" s="11">
        <f>L24-I24</f>
        <v>0</v>
      </c>
      <c r="P24" s="12">
        <f>N24-K24</f>
        <v>-8.7156879399667417</v>
      </c>
      <c r="Q24" s="250">
        <f>N24/K24</f>
        <v>0.92519034518195209</v>
      </c>
      <c r="R24" s="533"/>
      <c r="S24" s="24"/>
      <c r="T24" s="24"/>
      <c r="U24" s="9"/>
      <c r="V24" s="257"/>
      <c r="W24" s="9"/>
      <c r="X24" s="9"/>
      <c r="Y24" s="528"/>
      <c r="Z24" s="528"/>
      <c r="AA24" s="11">
        <f t="shared" si="2"/>
        <v>-149.61930963609575</v>
      </c>
      <c r="AB24" s="250">
        <f t="shared" si="19"/>
        <v>0.92519034518195209</v>
      </c>
      <c r="AC24" s="533"/>
    </row>
    <row r="25" spans="1:29" ht="15.75" customHeight="1">
      <c r="A25" s="553" t="s">
        <v>927</v>
      </c>
      <c r="B25" s="26" t="s">
        <v>24</v>
      </c>
      <c r="C25" s="552" t="s">
        <v>26</v>
      </c>
      <c r="D25" s="552"/>
      <c r="E25" s="26">
        <v>26.2</v>
      </c>
      <c r="F25" s="258">
        <v>4038</v>
      </c>
      <c r="G25" s="248">
        <f t="shared" ref="G25:G30" si="39">E25*F25</f>
        <v>105795.59999999999</v>
      </c>
      <c r="H25" s="259" t="s">
        <v>52</v>
      </c>
      <c r="I25" s="256">
        <v>20</v>
      </c>
      <c r="J25" s="18">
        <v>2400</v>
      </c>
      <c r="K25" s="9">
        <f>J25/I25</f>
        <v>120</v>
      </c>
      <c r="L25" s="256">
        <v>20</v>
      </c>
      <c r="M25" s="10">
        <f t="shared" ref="M25:M30" si="40">F25/V25*60</f>
        <v>2222.7522935779812</v>
      </c>
      <c r="N25" s="9">
        <f t="shared" ref="N25:N30" si="41">M25/L25</f>
        <v>111.13761467889906</v>
      </c>
      <c r="O25" s="11">
        <f t="shared" ref="O25:O30" si="42">L25-I25</f>
        <v>0</v>
      </c>
      <c r="P25" s="12">
        <f t="shared" ref="P25:P30" si="43">N25-K25</f>
        <v>-8.8623853211009447</v>
      </c>
      <c r="Q25" s="250">
        <f t="shared" ref="Q25:Q30" si="44">N25/K25</f>
        <v>0.92614678899082548</v>
      </c>
      <c r="R25" s="533">
        <f>Q31</f>
        <v>0.92627621832766949</v>
      </c>
      <c r="S25" s="24">
        <v>0.125</v>
      </c>
      <c r="T25" s="24">
        <v>0.20069444444444445</v>
      </c>
      <c r="U25" s="248"/>
      <c r="V25" s="257">
        <f t="shared" ref="V25:V30" si="45">(T25-S25)*24*60</f>
        <v>109.00000000000001</v>
      </c>
      <c r="W25" s="14">
        <f>T25</f>
        <v>0.20069444444444445</v>
      </c>
      <c r="X25" s="14">
        <f>S26</f>
        <v>0.21944444444444447</v>
      </c>
      <c r="Y25" s="528"/>
      <c r="Z25" s="528"/>
      <c r="AA25" s="11">
        <f t="shared" si="2"/>
        <v>-177.24770642201884</v>
      </c>
      <c r="AB25" s="250">
        <f>M25/J25</f>
        <v>0.92614678899082548</v>
      </c>
      <c r="AC25" s="533">
        <f>AB31</f>
        <v>0.9262762183276696</v>
      </c>
    </row>
    <row r="26" spans="1:29" ht="15.75" customHeight="1">
      <c r="A26" s="553" t="s">
        <v>927</v>
      </c>
      <c r="B26" s="26" t="s">
        <v>24</v>
      </c>
      <c r="C26" s="552" t="s">
        <v>79</v>
      </c>
      <c r="D26" s="552"/>
      <c r="E26" s="26">
        <v>31.29</v>
      </c>
      <c r="F26" s="258">
        <v>3500</v>
      </c>
      <c r="G26" s="248">
        <f t="shared" si="39"/>
        <v>109515</v>
      </c>
      <c r="H26" s="259">
        <v>2</v>
      </c>
      <c r="I26" s="256">
        <v>16</v>
      </c>
      <c r="J26" s="18">
        <v>2400</v>
      </c>
      <c r="K26" s="9">
        <f t="shared" ref="K26:K31" si="46">J26/I26</f>
        <v>150</v>
      </c>
      <c r="L26" s="256">
        <v>16</v>
      </c>
      <c r="M26" s="10">
        <f t="shared" si="40"/>
        <v>2210.5263157894728</v>
      </c>
      <c r="N26" s="9">
        <f t="shared" si="41"/>
        <v>138.15789473684205</v>
      </c>
      <c r="O26" s="11">
        <f t="shared" si="42"/>
        <v>0</v>
      </c>
      <c r="P26" s="12">
        <f t="shared" si="43"/>
        <v>-11.842105263157947</v>
      </c>
      <c r="Q26" s="250">
        <f t="shared" si="44"/>
        <v>0.92105263157894701</v>
      </c>
      <c r="R26" s="533"/>
      <c r="S26" s="24">
        <v>0.21944444444444447</v>
      </c>
      <c r="T26" s="24">
        <v>0.28541666666666671</v>
      </c>
      <c r="U26" s="248">
        <f>(S26-T25)*24*60</f>
        <v>27.000000000000025</v>
      </c>
      <c r="V26" s="257">
        <f t="shared" si="45"/>
        <v>95.000000000000028</v>
      </c>
      <c r="W26" s="14"/>
      <c r="X26" s="14"/>
      <c r="Y26" s="528"/>
      <c r="Z26" s="528"/>
      <c r="AA26" s="11">
        <f t="shared" si="2"/>
        <v>-189.47368421052715</v>
      </c>
      <c r="AB26" s="250">
        <f t="shared" ref="AB26:AB30" si="47">M26/J26</f>
        <v>0.92105263157894701</v>
      </c>
      <c r="AC26" s="533"/>
    </row>
    <row r="27" spans="1:29" ht="15.75" customHeight="1">
      <c r="A27" s="553" t="s">
        <v>927</v>
      </c>
      <c r="B27" s="26" t="s">
        <v>24</v>
      </c>
      <c r="C27" s="552" t="s">
        <v>68</v>
      </c>
      <c r="D27" s="552"/>
      <c r="E27" s="26">
        <v>24.25</v>
      </c>
      <c r="F27" s="258">
        <v>4991</v>
      </c>
      <c r="G27" s="248">
        <f t="shared" si="39"/>
        <v>121031.75</v>
      </c>
      <c r="H27" s="259" t="s">
        <v>52</v>
      </c>
      <c r="I27" s="256">
        <v>18</v>
      </c>
      <c r="J27" s="18">
        <v>2400</v>
      </c>
      <c r="K27" s="9">
        <f t="shared" si="46"/>
        <v>133.33333333333334</v>
      </c>
      <c r="L27" s="256">
        <v>18</v>
      </c>
      <c r="M27" s="10">
        <f t="shared" si="40"/>
        <v>2218.2222222222222</v>
      </c>
      <c r="N27" s="9">
        <f t="shared" si="41"/>
        <v>123.23456790123457</v>
      </c>
      <c r="O27" s="11">
        <f t="shared" si="42"/>
        <v>0</v>
      </c>
      <c r="P27" s="12">
        <f t="shared" si="43"/>
        <v>-10.098765432098773</v>
      </c>
      <c r="Q27" s="250">
        <f t="shared" si="44"/>
        <v>0.92425925925925922</v>
      </c>
      <c r="R27" s="533"/>
      <c r="S27" s="24">
        <v>0.2902777777777778</v>
      </c>
      <c r="T27" s="24">
        <v>0.3840277777777778</v>
      </c>
      <c r="U27" s="248">
        <f t="shared" ref="U27:U30" si="48">(S27-T26)*24*60</f>
        <v>6.9999999999999751</v>
      </c>
      <c r="V27" s="257">
        <f t="shared" si="45"/>
        <v>135</v>
      </c>
      <c r="W27" s="14"/>
      <c r="X27" s="14"/>
      <c r="Y27" s="528"/>
      <c r="Z27" s="528"/>
      <c r="AA27" s="11">
        <f t="shared" si="2"/>
        <v>-181.77777777777783</v>
      </c>
      <c r="AB27" s="250">
        <f t="shared" si="47"/>
        <v>0.92425925925925922</v>
      </c>
      <c r="AC27" s="533"/>
    </row>
    <row r="28" spans="1:29" ht="15.75" customHeight="1">
      <c r="A28" s="553" t="s">
        <v>927</v>
      </c>
      <c r="B28" s="26" t="s">
        <v>24</v>
      </c>
      <c r="C28" s="552" t="s">
        <v>328</v>
      </c>
      <c r="D28" s="552"/>
      <c r="E28" s="26">
        <v>25.98</v>
      </c>
      <c r="F28" s="258">
        <v>5291</v>
      </c>
      <c r="G28" s="248">
        <f t="shared" si="39"/>
        <v>137460.18</v>
      </c>
      <c r="H28" s="259" t="s">
        <v>52</v>
      </c>
      <c r="I28" s="256">
        <v>17</v>
      </c>
      <c r="J28" s="18">
        <v>2400</v>
      </c>
      <c r="K28" s="9">
        <f t="shared" si="46"/>
        <v>141.1764705882353</v>
      </c>
      <c r="L28" s="256">
        <v>17</v>
      </c>
      <c r="M28" s="10">
        <f t="shared" si="40"/>
        <v>2220.0000000000005</v>
      </c>
      <c r="N28" s="9">
        <f t="shared" si="41"/>
        <v>130.58823529411768</v>
      </c>
      <c r="O28" s="11">
        <f t="shared" si="42"/>
        <v>0</v>
      </c>
      <c r="P28" s="12">
        <f t="shared" si="43"/>
        <v>-10.588235294117624</v>
      </c>
      <c r="Q28" s="250">
        <f t="shared" si="44"/>
        <v>0.92500000000000016</v>
      </c>
      <c r="R28" s="533"/>
      <c r="S28" s="24">
        <v>0.38750000000000001</v>
      </c>
      <c r="T28" s="24">
        <v>0.48680555555555555</v>
      </c>
      <c r="U28" s="248">
        <f t="shared" si="48"/>
        <v>4.9999999999999822</v>
      </c>
      <c r="V28" s="257">
        <f t="shared" si="45"/>
        <v>142.99999999999997</v>
      </c>
      <c r="W28" s="14"/>
      <c r="X28" s="14"/>
      <c r="Y28" s="528"/>
      <c r="Z28" s="528"/>
      <c r="AA28" s="11">
        <f t="shared" si="2"/>
        <v>-179.99999999999955</v>
      </c>
      <c r="AB28" s="250">
        <f t="shared" si="47"/>
        <v>0.92500000000000016</v>
      </c>
      <c r="AC28" s="533"/>
    </row>
    <row r="29" spans="1:29" ht="15.75" customHeight="1">
      <c r="A29" s="553" t="s">
        <v>927</v>
      </c>
      <c r="B29" s="26" t="s">
        <v>24</v>
      </c>
      <c r="C29" s="552" t="s">
        <v>62</v>
      </c>
      <c r="D29" s="552"/>
      <c r="E29" s="26">
        <v>22.35</v>
      </c>
      <c r="F29" s="258">
        <v>2057</v>
      </c>
      <c r="G29" s="248">
        <f t="shared" si="39"/>
        <v>45973.950000000004</v>
      </c>
      <c r="H29" s="259" t="s">
        <v>52</v>
      </c>
      <c r="I29" s="256">
        <v>16</v>
      </c>
      <c r="J29" s="18">
        <v>2400</v>
      </c>
      <c r="K29" s="9">
        <f t="shared" si="46"/>
        <v>150</v>
      </c>
      <c r="L29" s="256">
        <v>16</v>
      </c>
      <c r="M29" s="10">
        <f t="shared" si="40"/>
        <v>2243.9999999999982</v>
      </c>
      <c r="N29" s="9">
        <f t="shared" si="41"/>
        <v>140.24999999999989</v>
      </c>
      <c r="O29" s="11">
        <f t="shared" si="42"/>
        <v>0</v>
      </c>
      <c r="P29" s="12">
        <f t="shared" si="43"/>
        <v>-9.7500000000001137</v>
      </c>
      <c r="Q29" s="250">
        <f t="shared" si="44"/>
        <v>0.93499999999999928</v>
      </c>
      <c r="R29" s="533"/>
      <c r="S29" s="24">
        <v>0.49236111111111108</v>
      </c>
      <c r="T29" s="24">
        <v>0.53055555555555556</v>
      </c>
      <c r="U29" s="248">
        <f t="shared" si="48"/>
        <v>7.9999999999999716</v>
      </c>
      <c r="V29" s="257">
        <f t="shared" si="45"/>
        <v>55.000000000000043</v>
      </c>
      <c r="W29" s="14">
        <f>T29</f>
        <v>0.53055555555555556</v>
      </c>
      <c r="X29" s="14">
        <f>S30</f>
        <v>0.57013888888888886</v>
      </c>
      <c r="Y29" s="528"/>
      <c r="Z29" s="528"/>
      <c r="AA29" s="11">
        <f t="shared" si="2"/>
        <v>-156.00000000000182</v>
      </c>
      <c r="AB29" s="250">
        <f t="shared" si="47"/>
        <v>0.93499999999999928</v>
      </c>
      <c r="AC29" s="533"/>
    </row>
    <row r="30" spans="1:29" ht="15.75" customHeight="1">
      <c r="A30" s="553" t="s">
        <v>927</v>
      </c>
      <c r="B30" s="26" t="s">
        <v>24</v>
      </c>
      <c r="C30" s="552" t="s">
        <v>79</v>
      </c>
      <c r="D30" s="552"/>
      <c r="E30" s="26">
        <v>31.29</v>
      </c>
      <c r="F30" s="258">
        <v>5409</v>
      </c>
      <c r="G30" s="248">
        <f t="shared" si="39"/>
        <v>169247.61</v>
      </c>
      <c r="H30" s="259" t="s">
        <v>52</v>
      </c>
      <c r="I30" s="256">
        <v>16</v>
      </c>
      <c r="J30" s="18">
        <v>2400</v>
      </c>
      <c r="K30" s="9">
        <f t="shared" si="46"/>
        <v>150</v>
      </c>
      <c r="L30" s="256">
        <v>16</v>
      </c>
      <c r="M30" s="10">
        <f t="shared" si="40"/>
        <v>2222.8767123287676</v>
      </c>
      <c r="N30" s="9">
        <f t="shared" si="41"/>
        <v>138.92979452054797</v>
      </c>
      <c r="O30" s="11">
        <f t="shared" si="42"/>
        <v>0</v>
      </c>
      <c r="P30" s="12">
        <f t="shared" si="43"/>
        <v>-11.070205479452028</v>
      </c>
      <c r="Q30" s="250">
        <f t="shared" si="44"/>
        <v>0.92619863013698644</v>
      </c>
      <c r="R30" s="533"/>
      <c r="S30" s="24">
        <v>0.57013888888888886</v>
      </c>
      <c r="T30" s="24">
        <v>0.67152777777777772</v>
      </c>
      <c r="U30" s="248">
        <f t="shared" si="48"/>
        <v>56.999999999999957</v>
      </c>
      <c r="V30" s="257">
        <f t="shared" si="45"/>
        <v>145.99999999999997</v>
      </c>
      <c r="W30" s="14"/>
      <c r="X30" s="14"/>
      <c r="Y30" s="528"/>
      <c r="Z30" s="528"/>
      <c r="AA30" s="11">
        <f t="shared" si="2"/>
        <v>-177.12328767123245</v>
      </c>
      <c r="AB30" s="250">
        <f t="shared" si="47"/>
        <v>0.92619863013698644</v>
      </c>
      <c r="AC30" s="533"/>
    </row>
    <row r="31" spans="1:29" ht="15.75" customHeight="1">
      <c r="A31" s="553" t="s">
        <v>927</v>
      </c>
      <c r="B31" s="26" t="s">
        <v>923</v>
      </c>
      <c r="C31" s="530"/>
      <c r="D31" s="530"/>
      <c r="E31" s="249"/>
      <c r="F31" s="258"/>
      <c r="G31" s="248"/>
      <c r="H31" s="258"/>
      <c r="I31" s="17">
        <v>17.166666666666668</v>
      </c>
      <c r="J31" s="18">
        <v>2400</v>
      </c>
      <c r="K31" s="9">
        <f t="shared" si="46"/>
        <v>139.80582524271844</v>
      </c>
      <c r="L31" s="17">
        <v>17.166666666666668</v>
      </c>
      <c r="M31" s="10">
        <f>AVERAGE(M25:M30)</f>
        <v>2223.062923986407</v>
      </c>
      <c r="N31" s="9">
        <f>M31/L31</f>
        <v>129.49881110600427</v>
      </c>
      <c r="O31" s="11">
        <f>L31-I31</f>
        <v>0</v>
      </c>
      <c r="P31" s="12">
        <f>N31-K31</f>
        <v>-10.307014136714173</v>
      </c>
      <c r="Q31" s="250">
        <f>N31/K31</f>
        <v>0.92627621832766949</v>
      </c>
      <c r="R31" s="533"/>
      <c r="S31" s="24"/>
      <c r="T31" s="24"/>
      <c r="U31" s="248"/>
      <c r="V31" s="257"/>
      <c r="W31" s="248"/>
      <c r="X31" s="248"/>
      <c r="Y31" s="528"/>
      <c r="Z31" s="528"/>
      <c r="AA31" s="11">
        <f t="shared" si="2"/>
        <v>-176.93707601359301</v>
      </c>
      <c r="AB31" s="250">
        <f>M31/J31</f>
        <v>0.9262762183276696</v>
      </c>
      <c r="AC31" s="533"/>
    </row>
    <row r="32" spans="1:29" ht="15.75" customHeight="1">
      <c r="A32" s="550" t="s">
        <v>928</v>
      </c>
      <c r="B32" s="26" t="s">
        <v>24</v>
      </c>
      <c r="C32" s="529" t="s">
        <v>28</v>
      </c>
      <c r="D32" s="529"/>
      <c r="E32" s="26">
        <v>26.2</v>
      </c>
      <c r="F32" s="258">
        <v>2500</v>
      </c>
      <c r="G32" s="248">
        <f t="shared" ref="G32:G37" si="49">E32*F32</f>
        <v>65500</v>
      </c>
      <c r="H32" s="259">
        <v>2</v>
      </c>
      <c r="I32" s="256">
        <v>18</v>
      </c>
      <c r="J32" s="18">
        <v>2400</v>
      </c>
      <c r="K32" s="9">
        <f>J32/I32</f>
        <v>133.33333333333334</v>
      </c>
      <c r="L32" s="256">
        <v>18</v>
      </c>
      <c r="M32" s="10">
        <f>F32/V32*60</f>
        <v>2238.8059701492539</v>
      </c>
      <c r="N32" s="9">
        <f>M32/L32</f>
        <v>124.37810945273633</v>
      </c>
      <c r="O32" s="11">
        <f t="shared" ref="O32:O37" si="50">L32-I32</f>
        <v>0</v>
      </c>
      <c r="P32" s="12">
        <f t="shared" ref="P32:P46" si="51">N32-K32</f>
        <v>-8.9552238805970177</v>
      </c>
      <c r="Q32" s="250">
        <f t="shared" ref="Q32:Q42" si="52">N32/K32</f>
        <v>0.93283582089552242</v>
      </c>
      <c r="R32" s="533">
        <f>Q38</f>
        <v>0.92568694032775733</v>
      </c>
      <c r="S32" s="24">
        <v>0.125</v>
      </c>
      <c r="T32" s="24">
        <v>0.17152777777777778</v>
      </c>
      <c r="U32" s="248"/>
      <c r="V32" s="257">
        <f t="shared" ref="V32:V37" si="53">(T32-S32)*24*60</f>
        <v>67</v>
      </c>
      <c r="W32" s="15">
        <f>T32</f>
        <v>0.17152777777777778</v>
      </c>
      <c r="X32" s="15">
        <f>S33</f>
        <v>0.19166666666666668</v>
      </c>
      <c r="Y32" s="528"/>
      <c r="Z32" s="528"/>
      <c r="AA32" s="11">
        <f t="shared" si="2"/>
        <v>-161.19402985074612</v>
      </c>
      <c r="AB32" s="250">
        <f>M32/J32</f>
        <v>0.93283582089552242</v>
      </c>
      <c r="AC32" s="533">
        <f>AB38</f>
        <v>0.92568694032775722</v>
      </c>
    </row>
    <row r="33" spans="1:29" ht="15.75" customHeight="1">
      <c r="A33" s="550" t="s">
        <v>928</v>
      </c>
      <c r="B33" s="26" t="s">
        <v>24</v>
      </c>
      <c r="C33" s="529" t="s">
        <v>30</v>
      </c>
      <c r="D33" s="529"/>
      <c r="E33" s="26">
        <v>24.45</v>
      </c>
      <c r="F33" s="258">
        <v>2324</v>
      </c>
      <c r="G33" s="248">
        <f t="shared" si="49"/>
        <v>56821.799999999996</v>
      </c>
      <c r="H33" s="259" t="s">
        <v>52</v>
      </c>
      <c r="I33" s="256">
        <v>20</v>
      </c>
      <c r="J33" s="18">
        <v>2400</v>
      </c>
      <c r="K33" s="9">
        <f t="shared" ref="K33:K45" si="54">J33/I33</f>
        <v>120</v>
      </c>
      <c r="L33" s="256">
        <v>20</v>
      </c>
      <c r="M33" s="10">
        <f t="shared" ref="M33:M37" si="55">F33/V33*60</f>
        <v>2213.3333333333326</v>
      </c>
      <c r="N33" s="9">
        <f t="shared" ref="N33:N37" si="56">M33/L33</f>
        <v>110.66666666666663</v>
      </c>
      <c r="O33" s="11">
        <f t="shared" si="50"/>
        <v>0</v>
      </c>
      <c r="P33" s="12">
        <f t="shared" si="51"/>
        <v>-9.3333333333333712</v>
      </c>
      <c r="Q33" s="250">
        <f t="shared" si="52"/>
        <v>0.92222222222222194</v>
      </c>
      <c r="R33" s="533"/>
      <c r="S33" s="24">
        <v>0.19166666666666668</v>
      </c>
      <c r="T33" s="24">
        <v>0.23541666666666669</v>
      </c>
      <c r="U33" s="248">
        <f>(S33-T32)*24*60</f>
        <v>29.000000000000018</v>
      </c>
      <c r="V33" s="257">
        <f t="shared" si="53"/>
        <v>63.000000000000014</v>
      </c>
      <c r="W33" s="248"/>
      <c r="X33" s="248"/>
      <c r="Y33" s="528"/>
      <c r="Z33" s="528"/>
      <c r="AA33" s="11">
        <f t="shared" si="2"/>
        <v>-186.66666666666742</v>
      </c>
      <c r="AB33" s="250">
        <f t="shared" ref="AB33:AB59" si="57">M33/J33</f>
        <v>0.92222222222222194</v>
      </c>
      <c r="AC33" s="533"/>
    </row>
    <row r="34" spans="1:29">
      <c r="A34" s="551" t="s">
        <v>928</v>
      </c>
      <c r="B34" s="26" t="s">
        <v>24</v>
      </c>
      <c r="C34" s="529" t="s">
        <v>29</v>
      </c>
      <c r="D34" s="529"/>
      <c r="E34" s="26">
        <v>26.39</v>
      </c>
      <c r="F34" s="258">
        <v>5605</v>
      </c>
      <c r="G34" s="248">
        <f t="shared" si="49"/>
        <v>147915.95000000001</v>
      </c>
      <c r="H34" s="259" t="s">
        <v>52</v>
      </c>
      <c r="I34" s="256">
        <v>19</v>
      </c>
      <c r="J34" s="18">
        <v>2400</v>
      </c>
      <c r="K34" s="9">
        <f t="shared" si="54"/>
        <v>126.31578947368421</v>
      </c>
      <c r="L34" s="256">
        <v>19</v>
      </c>
      <c r="M34" s="10">
        <f t="shared" si="55"/>
        <v>2212.4999999999995</v>
      </c>
      <c r="N34" s="9">
        <f t="shared" si="56"/>
        <v>116.4473684210526</v>
      </c>
      <c r="O34" s="11">
        <f t="shared" si="50"/>
        <v>0</v>
      </c>
      <c r="P34" s="12">
        <f t="shared" si="51"/>
        <v>-9.8684210526316036</v>
      </c>
      <c r="Q34" s="250">
        <f t="shared" si="52"/>
        <v>0.92187499999999978</v>
      </c>
      <c r="R34" s="533"/>
      <c r="S34" s="24">
        <v>0.23958333333333337</v>
      </c>
      <c r="T34" s="24">
        <v>0.34513888888888894</v>
      </c>
      <c r="U34" s="248">
        <f t="shared" ref="U34:U37" si="58">(S34-T33)*24*60</f>
        <v>6.0000000000000187</v>
      </c>
      <c r="V34" s="257">
        <f t="shared" si="53"/>
        <v>152.00000000000003</v>
      </c>
      <c r="W34" s="248"/>
      <c r="X34" s="248"/>
      <c r="Y34" s="528"/>
      <c r="Z34" s="528"/>
      <c r="AA34" s="11">
        <f t="shared" si="2"/>
        <v>-187.50000000000045</v>
      </c>
      <c r="AB34" s="250">
        <f t="shared" si="57"/>
        <v>0.92187499999999978</v>
      </c>
      <c r="AC34" s="533"/>
    </row>
    <row r="35" spans="1:29">
      <c r="A35" s="551" t="s">
        <v>928</v>
      </c>
      <c r="B35" s="26" t="s">
        <v>24</v>
      </c>
      <c r="C35" s="529" t="s">
        <v>27</v>
      </c>
      <c r="D35" s="529"/>
      <c r="E35" s="26">
        <v>20.52</v>
      </c>
      <c r="F35" s="258">
        <v>3045</v>
      </c>
      <c r="G35" s="248">
        <f t="shared" si="49"/>
        <v>62483.4</v>
      </c>
      <c r="H35" s="259" t="s">
        <v>52</v>
      </c>
      <c r="I35" s="256">
        <v>18</v>
      </c>
      <c r="J35" s="18">
        <v>2400</v>
      </c>
      <c r="K35" s="9">
        <f t="shared" si="54"/>
        <v>133.33333333333334</v>
      </c>
      <c r="L35" s="256">
        <v>18</v>
      </c>
      <c r="M35" s="10">
        <f t="shared" si="55"/>
        <v>2228.0487804878039</v>
      </c>
      <c r="N35" s="9">
        <f t="shared" si="56"/>
        <v>123.78048780487799</v>
      </c>
      <c r="O35" s="11">
        <f t="shared" si="50"/>
        <v>0</v>
      </c>
      <c r="P35" s="12">
        <f t="shared" si="51"/>
        <v>-9.5528455284553502</v>
      </c>
      <c r="Q35" s="250">
        <f t="shared" si="52"/>
        <v>0.92835365853658491</v>
      </c>
      <c r="R35" s="533"/>
      <c r="S35" s="24">
        <v>0.34861111111111115</v>
      </c>
      <c r="T35" s="24">
        <v>0.40555555555555561</v>
      </c>
      <c r="U35" s="248">
        <f t="shared" si="58"/>
        <v>4.9999999999999822</v>
      </c>
      <c r="V35" s="257">
        <f t="shared" si="53"/>
        <v>82.000000000000028</v>
      </c>
      <c r="W35" s="14"/>
      <c r="X35" s="14"/>
      <c r="Y35" s="528"/>
      <c r="Z35" s="528"/>
      <c r="AA35" s="11">
        <f t="shared" si="2"/>
        <v>-171.95121951219608</v>
      </c>
      <c r="AB35" s="250">
        <f t="shared" si="57"/>
        <v>0.92835365853658491</v>
      </c>
      <c r="AC35" s="533"/>
    </row>
    <row r="36" spans="1:29">
      <c r="A36" s="551" t="s">
        <v>928</v>
      </c>
      <c r="B36" s="26" t="s">
        <v>24</v>
      </c>
      <c r="C36" s="529" t="s">
        <v>50</v>
      </c>
      <c r="D36" s="529"/>
      <c r="E36" s="26">
        <v>26.2</v>
      </c>
      <c r="F36" s="258">
        <v>4468</v>
      </c>
      <c r="G36" s="248">
        <f t="shared" si="49"/>
        <v>117061.59999999999</v>
      </c>
      <c r="H36" s="259" t="s">
        <v>52</v>
      </c>
      <c r="I36" s="256">
        <v>19</v>
      </c>
      <c r="J36" s="18">
        <v>2400</v>
      </c>
      <c r="K36" s="9">
        <f t="shared" si="54"/>
        <v>126.31578947368421</v>
      </c>
      <c r="L36" s="256">
        <v>19</v>
      </c>
      <c r="M36" s="10">
        <f t="shared" si="55"/>
        <v>2215.5371900826449</v>
      </c>
      <c r="N36" s="9">
        <f t="shared" si="56"/>
        <v>116.60722053066551</v>
      </c>
      <c r="O36" s="11">
        <f t="shared" si="50"/>
        <v>0</v>
      </c>
      <c r="P36" s="12">
        <f t="shared" si="51"/>
        <v>-9.7085689430186903</v>
      </c>
      <c r="Q36" s="250">
        <f t="shared" si="52"/>
        <v>0.9231404958677687</v>
      </c>
      <c r="R36" s="533"/>
      <c r="S36" s="24">
        <v>0.41041666666666671</v>
      </c>
      <c r="T36" s="24">
        <v>0.49444444444444446</v>
      </c>
      <c r="U36" s="248">
        <f t="shared" si="58"/>
        <v>6.9999999999999751</v>
      </c>
      <c r="V36" s="257">
        <f t="shared" si="53"/>
        <v>120.99999999999997</v>
      </c>
      <c r="W36" s="14">
        <f>T36</f>
        <v>0.49444444444444446</v>
      </c>
      <c r="X36" s="14">
        <f>S37</f>
        <v>0.53472222222222221</v>
      </c>
      <c r="Y36" s="528"/>
      <c r="Z36" s="528"/>
      <c r="AA36" s="11">
        <f t="shared" si="2"/>
        <v>-184.46280991735512</v>
      </c>
      <c r="AB36" s="250">
        <f t="shared" si="57"/>
        <v>0.9231404958677687</v>
      </c>
      <c r="AC36" s="533"/>
    </row>
    <row r="37" spans="1:29">
      <c r="A37" s="551" t="s">
        <v>928</v>
      </c>
      <c r="B37" s="26" t="s">
        <v>24</v>
      </c>
      <c r="C37" s="529" t="s">
        <v>28</v>
      </c>
      <c r="D37" s="529"/>
      <c r="E37" s="26">
        <v>26.2</v>
      </c>
      <c r="F37" s="258">
        <v>3999</v>
      </c>
      <c r="G37" s="248">
        <f t="shared" si="49"/>
        <v>104773.8</v>
      </c>
      <c r="H37" s="259" t="s">
        <v>52</v>
      </c>
      <c r="I37" s="256">
        <v>18</v>
      </c>
      <c r="J37" s="18">
        <v>2400</v>
      </c>
      <c r="K37" s="9">
        <f t="shared" si="54"/>
        <v>133.33333333333334</v>
      </c>
      <c r="L37" s="256">
        <v>18</v>
      </c>
      <c r="M37" s="10">
        <f t="shared" si="55"/>
        <v>2221.6666666666679</v>
      </c>
      <c r="N37" s="9">
        <f t="shared" si="56"/>
        <v>123.42592592592599</v>
      </c>
      <c r="O37" s="11">
        <f t="shared" si="50"/>
        <v>0</v>
      </c>
      <c r="P37" s="12">
        <f t="shared" si="51"/>
        <v>-9.9074074074073479</v>
      </c>
      <c r="Q37" s="250">
        <f t="shared" si="52"/>
        <v>0.92569444444444493</v>
      </c>
      <c r="R37" s="533"/>
      <c r="S37" s="24">
        <v>0.53472222222222221</v>
      </c>
      <c r="T37" s="24">
        <v>0.60972222222222217</v>
      </c>
      <c r="U37" s="248">
        <f t="shared" si="58"/>
        <v>57.999999999999957</v>
      </c>
      <c r="V37" s="257">
        <f t="shared" si="53"/>
        <v>107.99999999999994</v>
      </c>
      <c r="W37" s="14"/>
      <c r="X37" s="14"/>
      <c r="Y37" s="528"/>
      <c r="Z37" s="528"/>
      <c r="AA37" s="11">
        <f t="shared" si="2"/>
        <v>-178.33333333333212</v>
      </c>
      <c r="AB37" s="250">
        <f t="shared" si="57"/>
        <v>0.92569444444444493</v>
      </c>
      <c r="AC37" s="533"/>
    </row>
    <row r="38" spans="1:29">
      <c r="A38" s="551" t="s">
        <v>928</v>
      </c>
      <c r="B38" s="16" t="s">
        <v>923</v>
      </c>
      <c r="C38" s="530"/>
      <c r="D38" s="530"/>
      <c r="E38" s="249"/>
      <c r="F38" s="16"/>
      <c r="G38" s="9"/>
      <c r="H38" s="258"/>
      <c r="I38" s="17">
        <v>18.666666666666668</v>
      </c>
      <c r="J38" s="18">
        <v>2400</v>
      </c>
      <c r="K38" s="9">
        <f t="shared" si="54"/>
        <v>128.57142857142856</v>
      </c>
      <c r="L38" s="17">
        <v>18.666666666666668</v>
      </c>
      <c r="M38" s="10">
        <f>AVERAGE(M32:M37)</f>
        <v>2221.6486567866173</v>
      </c>
      <c r="N38" s="9">
        <f>M38/L38</f>
        <v>119.01689232785449</v>
      </c>
      <c r="O38" s="11">
        <f>L38-I38</f>
        <v>0</v>
      </c>
      <c r="P38" s="12">
        <f t="shared" si="51"/>
        <v>-9.5545362435740628</v>
      </c>
      <c r="Q38" s="250">
        <f t="shared" si="52"/>
        <v>0.92568694032775733</v>
      </c>
      <c r="R38" s="533"/>
      <c r="S38" s="24"/>
      <c r="T38" s="24"/>
      <c r="U38" s="9"/>
      <c r="V38" s="257"/>
      <c r="W38" s="9"/>
      <c r="X38" s="9"/>
      <c r="Y38" s="528"/>
      <c r="Z38" s="528"/>
      <c r="AA38" s="11">
        <f t="shared" si="2"/>
        <v>-178.35134321338273</v>
      </c>
      <c r="AB38" s="250">
        <f t="shared" si="57"/>
        <v>0.92568694032775722</v>
      </c>
      <c r="AC38" s="533"/>
    </row>
    <row r="39" spans="1:29" ht="15.75" customHeight="1">
      <c r="A39" s="544" t="s">
        <v>929</v>
      </c>
      <c r="B39" s="26" t="s">
        <v>32</v>
      </c>
      <c r="C39" s="534" t="s">
        <v>33</v>
      </c>
      <c r="D39" s="535"/>
      <c r="E39" s="26">
        <v>27.17</v>
      </c>
      <c r="F39" s="258">
        <v>2700</v>
      </c>
      <c r="G39" s="248">
        <f t="shared" ref="G39:G45" si="59">E39*F39</f>
        <v>73359</v>
      </c>
      <c r="H39" s="259">
        <v>2</v>
      </c>
      <c r="I39" s="256">
        <v>10</v>
      </c>
      <c r="J39" s="18">
        <v>3000</v>
      </c>
      <c r="K39" s="9">
        <f t="shared" si="54"/>
        <v>300</v>
      </c>
      <c r="L39" s="256">
        <v>10</v>
      </c>
      <c r="M39" s="10">
        <f t="shared" ref="M39:M40" si="60">F39/V39*60</f>
        <v>2793.1034482758623</v>
      </c>
      <c r="N39" s="10">
        <f t="shared" ref="N39:N46" si="61">M39/L39</f>
        <v>279.31034482758622</v>
      </c>
      <c r="O39" s="11">
        <f t="shared" ref="O39:O46" si="62">L39-I39</f>
        <v>0</v>
      </c>
      <c r="P39" s="12">
        <f t="shared" si="51"/>
        <v>-20.689655172413779</v>
      </c>
      <c r="Q39" s="250">
        <f t="shared" si="52"/>
        <v>0.93103448275862077</v>
      </c>
      <c r="R39" s="547">
        <f>Q46</f>
        <v>0.92892570192550072</v>
      </c>
      <c r="S39" s="24">
        <v>0.20833333333333334</v>
      </c>
      <c r="T39" s="24">
        <v>0.24861111111111112</v>
      </c>
      <c r="U39" s="15"/>
      <c r="V39" s="257">
        <f t="shared" ref="V39:V45" si="63">(T39-S39)*24*60</f>
        <v>57.999999999999993</v>
      </c>
      <c r="W39" s="248"/>
      <c r="X39" s="248"/>
      <c r="Y39" s="536"/>
      <c r="Z39" s="537"/>
      <c r="AA39" s="11">
        <f t="shared" si="2"/>
        <v>-206.89655172413768</v>
      </c>
      <c r="AB39" s="250">
        <f t="shared" si="57"/>
        <v>0.93103448275862077</v>
      </c>
      <c r="AC39" s="547">
        <f>AB46</f>
        <v>0.92892570192550072</v>
      </c>
    </row>
    <row r="40" spans="1:29" ht="15.75" customHeight="1">
      <c r="A40" s="545" t="s">
        <v>929</v>
      </c>
      <c r="B40" s="26" t="s">
        <v>32</v>
      </c>
      <c r="C40" s="534" t="s">
        <v>34</v>
      </c>
      <c r="D40" s="535"/>
      <c r="E40" s="26">
        <v>21.13</v>
      </c>
      <c r="F40" s="258">
        <v>5208</v>
      </c>
      <c r="G40" s="248">
        <f t="shared" si="59"/>
        <v>110045.04</v>
      </c>
      <c r="H40" s="259" t="s">
        <v>52</v>
      </c>
      <c r="I40" s="256">
        <v>10</v>
      </c>
      <c r="J40" s="18">
        <v>3000</v>
      </c>
      <c r="K40" s="9">
        <f t="shared" si="54"/>
        <v>300</v>
      </c>
      <c r="L40" s="256">
        <v>10</v>
      </c>
      <c r="M40" s="10">
        <f t="shared" si="60"/>
        <v>2765.3097345132742</v>
      </c>
      <c r="N40" s="10">
        <f t="shared" si="61"/>
        <v>276.53097345132744</v>
      </c>
      <c r="O40" s="11">
        <f t="shared" si="62"/>
        <v>0</v>
      </c>
      <c r="P40" s="12">
        <f t="shared" si="51"/>
        <v>-23.469026548672559</v>
      </c>
      <c r="Q40" s="250">
        <f t="shared" si="52"/>
        <v>0.92176991150442478</v>
      </c>
      <c r="R40" s="548"/>
      <c r="S40" s="24">
        <v>0.25347222222222221</v>
      </c>
      <c r="T40" s="24">
        <v>0.33194444444444443</v>
      </c>
      <c r="U40" s="248">
        <f>(S40-T39)*24*60</f>
        <v>6.9999999999999751</v>
      </c>
      <c r="V40" s="257">
        <f t="shared" si="63"/>
        <v>113</v>
      </c>
      <c r="W40" s="14"/>
      <c r="X40" s="14"/>
      <c r="Y40" s="536"/>
      <c r="Z40" s="537"/>
      <c r="AA40" s="11">
        <f t="shared" si="2"/>
        <v>-234.69026548672582</v>
      </c>
      <c r="AB40" s="250">
        <f t="shared" si="57"/>
        <v>0.92176991150442478</v>
      </c>
      <c r="AC40" s="548"/>
    </row>
    <row r="41" spans="1:29" ht="15.75" customHeight="1">
      <c r="A41" s="545" t="s">
        <v>929</v>
      </c>
      <c r="B41" s="26" t="s">
        <v>32</v>
      </c>
      <c r="C41" s="534" t="s">
        <v>40</v>
      </c>
      <c r="D41" s="535"/>
      <c r="E41" s="26">
        <v>35.119999999999997</v>
      </c>
      <c r="F41" s="258">
        <v>4997</v>
      </c>
      <c r="G41" s="248">
        <f t="shared" si="59"/>
        <v>175494.63999999998</v>
      </c>
      <c r="H41" s="259" t="s">
        <v>52</v>
      </c>
      <c r="I41" s="256">
        <v>10</v>
      </c>
      <c r="J41" s="18">
        <v>3000</v>
      </c>
      <c r="K41" s="9">
        <f t="shared" si="54"/>
        <v>300</v>
      </c>
      <c r="L41" s="256">
        <v>10</v>
      </c>
      <c r="M41" s="10">
        <f>F41/V41*60</f>
        <v>2776.1111111111109</v>
      </c>
      <c r="N41" s="10">
        <f t="shared" si="61"/>
        <v>277.61111111111109</v>
      </c>
      <c r="O41" s="11">
        <f t="shared" si="62"/>
        <v>0</v>
      </c>
      <c r="P41" s="12">
        <f t="shared" si="51"/>
        <v>-22.388888888888914</v>
      </c>
      <c r="Q41" s="250">
        <f t="shared" si="52"/>
        <v>0.92537037037037029</v>
      </c>
      <c r="R41" s="548"/>
      <c r="S41" s="24">
        <v>0.33611111111111108</v>
      </c>
      <c r="T41" s="24">
        <v>0.41111111111111109</v>
      </c>
      <c r="U41" s="248">
        <f t="shared" ref="U41:U45" si="64">(S41-T40)*24*60</f>
        <v>5.9999999999999787</v>
      </c>
      <c r="V41" s="257">
        <f t="shared" si="63"/>
        <v>108.00000000000001</v>
      </c>
      <c r="W41" s="14"/>
      <c r="X41" s="14"/>
      <c r="Y41" s="536"/>
      <c r="Z41" s="537"/>
      <c r="AA41" s="11">
        <f t="shared" si="2"/>
        <v>-223.88888888888914</v>
      </c>
      <c r="AB41" s="250">
        <f t="shared" si="57"/>
        <v>0.92537037037037029</v>
      </c>
      <c r="AC41" s="548"/>
    </row>
    <row r="42" spans="1:29" ht="15.75" customHeight="1">
      <c r="A42" s="545" t="s">
        <v>929</v>
      </c>
      <c r="B42" s="26" t="s">
        <v>32</v>
      </c>
      <c r="C42" s="534" t="s">
        <v>61</v>
      </c>
      <c r="D42" s="535"/>
      <c r="E42" s="26">
        <v>40.18</v>
      </c>
      <c r="F42" s="258">
        <v>2129</v>
      </c>
      <c r="G42" s="248">
        <f t="shared" si="59"/>
        <v>85543.22</v>
      </c>
      <c r="H42" s="259" t="s">
        <v>52</v>
      </c>
      <c r="I42" s="256">
        <v>10</v>
      </c>
      <c r="J42" s="18">
        <v>3000</v>
      </c>
      <c r="K42" s="9">
        <f t="shared" si="54"/>
        <v>300</v>
      </c>
      <c r="L42" s="256">
        <v>10</v>
      </c>
      <c r="M42" s="10">
        <f t="shared" ref="M42:M45" si="65">F42/V42*60</f>
        <v>2776.9565217391305</v>
      </c>
      <c r="N42" s="10">
        <f t="shared" si="61"/>
        <v>277.69565217391306</v>
      </c>
      <c r="O42" s="11">
        <f t="shared" si="62"/>
        <v>0</v>
      </c>
      <c r="P42" s="12">
        <f t="shared" si="51"/>
        <v>-22.304347826086939</v>
      </c>
      <c r="Q42" s="250">
        <f t="shared" si="52"/>
        <v>0.92565217391304355</v>
      </c>
      <c r="R42" s="548"/>
      <c r="S42" s="24">
        <v>0.41597222222222219</v>
      </c>
      <c r="T42" s="24">
        <v>0.44791666666666663</v>
      </c>
      <c r="U42" s="248">
        <f t="shared" si="64"/>
        <v>6.9999999999999751</v>
      </c>
      <c r="V42" s="257">
        <f t="shared" si="63"/>
        <v>46</v>
      </c>
      <c r="W42" s="14"/>
      <c r="X42" s="14"/>
      <c r="Y42" s="536"/>
      <c r="Z42" s="537"/>
      <c r="AA42" s="11">
        <f t="shared" si="2"/>
        <v>-223.04347826086951</v>
      </c>
      <c r="AB42" s="250">
        <f t="shared" si="57"/>
        <v>0.92565217391304355</v>
      </c>
      <c r="AC42" s="548"/>
    </row>
    <row r="43" spans="1:29" ht="15.75" customHeight="1">
      <c r="A43" s="545" t="s">
        <v>929</v>
      </c>
      <c r="B43" s="26" t="s">
        <v>32</v>
      </c>
      <c r="C43" s="534" t="s">
        <v>64</v>
      </c>
      <c r="D43" s="535"/>
      <c r="E43" s="26">
        <v>28.5</v>
      </c>
      <c r="F43" s="258">
        <v>1312</v>
      </c>
      <c r="G43" s="248">
        <f t="shared" si="59"/>
        <v>37392</v>
      </c>
      <c r="H43" s="259" t="s">
        <v>52</v>
      </c>
      <c r="I43" s="256">
        <v>10</v>
      </c>
      <c r="J43" s="18">
        <v>3000</v>
      </c>
      <c r="K43" s="9">
        <f t="shared" si="54"/>
        <v>300</v>
      </c>
      <c r="L43" s="256">
        <v>10</v>
      </c>
      <c r="M43" s="10">
        <f t="shared" si="65"/>
        <v>2811.4285714285734</v>
      </c>
      <c r="N43" s="10">
        <f t="shared" si="61"/>
        <v>281.14285714285734</v>
      </c>
      <c r="O43" s="11">
        <f t="shared" si="62"/>
        <v>0</v>
      </c>
      <c r="P43" s="12">
        <f t="shared" si="51"/>
        <v>-18.857142857142662</v>
      </c>
      <c r="Q43" s="250">
        <f>N43/K43</f>
        <v>0.93714285714285783</v>
      </c>
      <c r="R43" s="548"/>
      <c r="S43" s="24">
        <v>0.45138888888888884</v>
      </c>
      <c r="T43" s="24">
        <v>0.47083333333333327</v>
      </c>
      <c r="U43" s="248">
        <f t="shared" si="64"/>
        <v>4.9999999999999822</v>
      </c>
      <c r="V43" s="257">
        <f t="shared" si="63"/>
        <v>27.999999999999979</v>
      </c>
      <c r="W43" s="14"/>
      <c r="X43" s="14"/>
      <c r="Y43" s="536"/>
      <c r="Z43" s="537"/>
      <c r="AA43" s="11">
        <f t="shared" si="2"/>
        <v>-188.57142857142662</v>
      </c>
      <c r="AB43" s="250">
        <f t="shared" si="57"/>
        <v>0.93714285714285783</v>
      </c>
      <c r="AC43" s="548"/>
    </row>
    <row r="44" spans="1:29" ht="15.75" customHeight="1">
      <c r="A44" s="545" t="s">
        <v>929</v>
      </c>
      <c r="B44" s="26" t="s">
        <v>32</v>
      </c>
      <c r="C44" s="534" t="s">
        <v>78</v>
      </c>
      <c r="D44" s="535"/>
      <c r="E44" s="26">
        <v>35.869999999999997</v>
      </c>
      <c r="F44" s="258">
        <v>3589</v>
      </c>
      <c r="G44" s="248">
        <f t="shared" si="59"/>
        <v>128737.43</v>
      </c>
      <c r="H44" s="259" t="s">
        <v>52</v>
      </c>
      <c r="I44" s="256">
        <v>10</v>
      </c>
      <c r="J44" s="18">
        <v>3000</v>
      </c>
      <c r="K44" s="9">
        <f t="shared" si="54"/>
        <v>300</v>
      </c>
      <c r="L44" s="256">
        <v>10</v>
      </c>
      <c r="M44" s="10">
        <f t="shared" si="65"/>
        <v>2796.6233766233777</v>
      </c>
      <c r="N44" s="10">
        <f t="shared" si="61"/>
        <v>279.66233766233779</v>
      </c>
      <c r="O44" s="11">
        <f t="shared" si="62"/>
        <v>0</v>
      </c>
      <c r="P44" s="12">
        <f t="shared" si="51"/>
        <v>-20.337662337662209</v>
      </c>
      <c r="Q44" s="250">
        <f t="shared" ref="Q44:Q46" si="66">N44/K44</f>
        <v>0.9322077922077926</v>
      </c>
      <c r="R44" s="548"/>
      <c r="S44" s="24">
        <v>0.47569444444444436</v>
      </c>
      <c r="T44" s="24">
        <v>0.52916666666666656</v>
      </c>
      <c r="U44" s="248">
        <f t="shared" si="64"/>
        <v>6.9999999999999751</v>
      </c>
      <c r="V44" s="257">
        <f t="shared" si="63"/>
        <v>76.999999999999972</v>
      </c>
      <c r="W44" s="14">
        <f>T44</f>
        <v>0.52916666666666656</v>
      </c>
      <c r="X44" s="14">
        <f>S45</f>
        <v>0.57083333333333319</v>
      </c>
      <c r="Y44" s="536"/>
      <c r="Z44" s="537"/>
      <c r="AA44" s="11">
        <f t="shared" si="2"/>
        <v>-203.37662337662232</v>
      </c>
      <c r="AB44" s="250">
        <f t="shared" si="57"/>
        <v>0.9322077922077926</v>
      </c>
      <c r="AC44" s="548"/>
    </row>
    <row r="45" spans="1:29" ht="15.75" customHeight="1">
      <c r="A45" s="545" t="s">
        <v>929</v>
      </c>
      <c r="B45" s="26" t="s">
        <v>32</v>
      </c>
      <c r="C45" s="534" t="s">
        <v>33</v>
      </c>
      <c r="D45" s="535"/>
      <c r="E45" s="26">
        <v>27.17</v>
      </c>
      <c r="F45" s="258">
        <v>3996</v>
      </c>
      <c r="G45" s="248">
        <f t="shared" si="59"/>
        <v>108571.32</v>
      </c>
      <c r="H45" s="259" t="s">
        <v>52</v>
      </c>
      <c r="I45" s="256">
        <v>10</v>
      </c>
      <c r="J45" s="18">
        <v>3000</v>
      </c>
      <c r="K45" s="9">
        <f t="shared" si="54"/>
        <v>300</v>
      </c>
      <c r="L45" s="256">
        <v>10</v>
      </c>
      <c r="M45" s="10">
        <f t="shared" si="65"/>
        <v>2787.9069767441856</v>
      </c>
      <c r="N45" s="10">
        <f t="shared" si="61"/>
        <v>278.79069767441854</v>
      </c>
      <c r="O45" s="11">
        <f t="shared" si="62"/>
        <v>0</v>
      </c>
      <c r="P45" s="12">
        <f t="shared" si="51"/>
        <v>-21.209302325581461</v>
      </c>
      <c r="Q45" s="250">
        <f t="shared" si="66"/>
        <v>0.92930232558139514</v>
      </c>
      <c r="R45" s="548"/>
      <c r="S45" s="24">
        <v>0.57083333333333319</v>
      </c>
      <c r="T45" s="24">
        <v>0.63055555555555542</v>
      </c>
      <c r="U45" s="248">
        <f t="shared" si="64"/>
        <v>59.999999999999943</v>
      </c>
      <c r="V45" s="257">
        <f t="shared" si="63"/>
        <v>86.000000000000014</v>
      </c>
      <c r="W45" s="14"/>
      <c r="X45" s="14"/>
      <c r="Y45" s="536"/>
      <c r="Z45" s="537"/>
      <c r="AA45" s="11">
        <f t="shared" si="2"/>
        <v>-212.09302325581439</v>
      </c>
      <c r="AB45" s="250">
        <f t="shared" si="57"/>
        <v>0.92930232558139525</v>
      </c>
      <c r="AC45" s="548"/>
    </row>
    <row r="46" spans="1:29" ht="15.75" customHeight="1">
      <c r="A46" s="546" t="s">
        <v>929</v>
      </c>
      <c r="B46" s="26" t="s">
        <v>923</v>
      </c>
      <c r="C46" s="540"/>
      <c r="D46" s="541"/>
      <c r="E46" s="255"/>
      <c r="F46" s="258"/>
      <c r="G46" s="248"/>
      <c r="H46" s="258"/>
      <c r="I46" s="17">
        <v>10</v>
      </c>
      <c r="J46" s="18">
        <v>3000</v>
      </c>
      <c r="K46" s="9">
        <f>J46/I46</f>
        <v>300</v>
      </c>
      <c r="L46" s="17">
        <v>10</v>
      </c>
      <c r="M46" s="10">
        <f>AVERAGE(M39:M45)</f>
        <v>2786.7771057765021</v>
      </c>
      <c r="N46" s="9">
        <f t="shared" si="61"/>
        <v>278.6777105776502</v>
      </c>
      <c r="O46" s="11">
        <f t="shared" si="62"/>
        <v>0</v>
      </c>
      <c r="P46" s="12">
        <f t="shared" si="51"/>
        <v>-21.322289422349797</v>
      </c>
      <c r="Q46" s="250">
        <f t="shared" si="66"/>
        <v>0.92892570192550072</v>
      </c>
      <c r="R46" s="549"/>
      <c r="S46" s="24"/>
      <c r="T46" s="24"/>
      <c r="U46" s="248"/>
      <c r="V46" s="257"/>
      <c r="W46" s="14"/>
      <c r="X46" s="14"/>
      <c r="Y46" s="536"/>
      <c r="Z46" s="537"/>
      <c r="AA46" s="11">
        <f t="shared" si="2"/>
        <v>-213.22289422349786</v>
      </c>
      <c r="AB46" s="250">
        <f t="shared" si="57"/>
        <v>0.92892570192550072</v>
      </c>
      <c r="AC46" s="549"/>
    </row>
    <row r="47" spans="1:29" ht="15.75" customHeight="1">
      <c r="A47" s="542" t="s">
        <v>930</v>
      </c>
      <c r="B47" s="26" t="s">
        <v>15</v>
      </c>
      <c r="C47" s="529" t="s">
        <v>20</v>
      </c>
      <c r="D47" s="529"/>
      <c r="E47" s="26">
        <v>46</v>
      </c>
      <c r="F47" s="27">
        <v>3567</v>
      </c>
      <c r="G47" s="248">
        <f t="shared" ref="G47:G51" si="67">E47*F47</f>
        <v>164082</v>
      </c>
      <c r="H47" s="259" t="s">
        <v>52</v>
      </c>
      <c r="I47" s="256">
        <v>17</v>
      </c>
      <c r="J47" s="18">
        <v>2000</v>
      </c>
      <c r="K47" s="9">
        <f t="shared" ref="K47:K51" si="68">J47/I47</f>
        <v>117.64705882352941</v>
      </c>
      <c r="L47" s="256">
        <v>17</v>
      </c>
      <c r="M47" s="10">
        <f t="shared" ref="M47:M51" si="69">F47/V47*60</f>
        <v>1845.0000000000002</v>
      </c>
      <c r="N47" s="10">
        <f>M47/L47</f>
        <v>108.5294117647059</v>
      </c>
      <c r="O47" s="11">
        <f>L47-I47</f>
        <v>0</v>
      </c>
      <c r="P47" s="12">
        <f>N47-K47</f>
        <v>-9.1176470588235077</v>
      </c>
      <c r="Q47" s="250">
        <f>N47/K47</f>
        <v>0.92250000000000021</v>
      </c>
      <c r="R47" s="533">
        <f>Q52</f>
        <v>0.92704925415142148</v>
      </c>
      <c r="S47" s="24">
        <v>0.29166666666666669</v>
      </c>
      <c r="T47" s="24">
        <v>0.37222222222222223</v>
      </c>
      <c r="U47" s="15"/>
      <c r="V47" s="257">
        <f t="shared" ref="V47:V51" si="70">(T47-S47)*24*60</f>
        <v>115.99999999999999</v>
      </c>
      <c r="W47" s="15"/>
      <c r="X47" s="15"/>
      <c r="Y47" s="528"/>
      <c r="Z47" s="528"/>
      <c r="AA47" s="11">
        <f t="shared" si="2"/>
        <v>-154.99999999999977</v>
      </c>
      <c r="AB47" s="250">
        <f t="shared" si="57"/>
        <v>0.9225000000000001</v>
      </c>
      <c r="AC47" s="533">
        <f>AB52</f>
        <v>0.92704925415142148</v>
      </c>
    </row>
    <row r="48" spans="1:29" ht="15.75" customHeight="1">
      <c r="A48" s="542" t="s">
        <v>930</v>
      </c>
      <c r="B48" s="26" t="s">
        <v>15</v>
      </c>
      <c r="C48" s="529" t="s">
        <v>65</v>
      </c>
      <c r="D48" s="529"/>
      <c r="E48" s="26">
        <v>46</v>
      </c>
      <c r="F48" s="27">
        <v>3903</v>
      </c>
      <c r="G48" s="248">
        <f t="shared" si="67"/>
        <v>179538</v>
      </c>
      <c r="H48" s="259" t="s">
        <v>52</v>
      </c>
      <c r="I48" s="256">
        <v>18</v>
      </c>
      <c r="J48" s="18">
        <v>2000</v>
      </c>
      <c r="K48" s="9">
        <f t="shared" si="68"/>
        <v>111.11111111111111</v>
      </c>
      <c r="L48" s="256">
        <v>18</v>
      </c>
      <c r="M48" s="10">
        <f t="shared" si="69"/>
        <v>1858.5714285714282</v>
      </c>
      <c r="N48" s="10">
        <f t="shared" ref="N48:N51" si="71">M48/L48</f>
        <v>103.25396825396824</v>
      </c>
      <c r="O48" s="11">
        <f t="shared" ref="O48:O51" si="72">L48-I48</f>
        <v>0</v>
      </c>
      <c r="P48" s="12">
        <f t="shared" ref="P48:P51" si="73">N48-K48</f>
        <v>-7.8571428571428754</v>
      </c>
      <c r="Q48" s="250">
        <f t="shared" ref="Q48:Q51" si="74">N48/K48</f>
        <v>0.92928571428571416</v>
      </c>
      <c r="R48" s="533"/>
      <c r="S48" s="24">
        <v>0.37708333333333333</v>
      </c>
      <c r="T48" s="24">
        <v>0.46458333333333335</v>
      </c>
      <c r="U48" s="248">
        <f>IF(S48=TIME(17,0,0),"",(S48-T47)*24*60)</f>
        <v>6.9999999999999751</v>
      </c>
      <c r="V48" s="257">
        <f t="shared" si="70"/>
        <v>126.00000000000003</v>
      </c>
      <c r="W48" s="14"/>
      <c r="X48" s="14"/>
      <c r="Y48" s="528"/>
      <c r="Z48" s="528"/>
      <c r="AA48" s="11">
        <f t="shared" si="2"/>
        <v>-141.42857142857179</v>
      </c>
      <c r="AB48" s="250">
        <f t="shared" si="57"/>
        <v>0.92928571428571416</v>
      </c>
      <c r="AC48" s="533"/>
    </row>
    <row r="49" spans="1:29" ht="15.75" customHeight="1">
      <c r="A49" s="542" t="s">
        <v>930</v>
      </c>
      <c r="B49" s="26" t="s">
        <v>13</v>
      </c>
      <c r="C49" s="534" t="s">
        <v>59</v>
      </c>
      <c r="D49" s="535"/>
      <c r="E49" s="26">
        <v>55.56</v>
      </c>
      <c r="F49" s="27">
        <v>2181</v>
      </c>
      <c r="G49" s="248">
        <f t="shared" si="67"/>
        <v>121176.36</v>
      </c>
      <c r="H49" s="259" t="s">
        <v>52</v>
      </c>
      <c r="I49" s="256">
        <v>17</v>
      </c>
      <c r="J49" s="18">
        <v>2000</v>
      </c>
      <c r="K49" s="9">
        <f t="shared" si="68"/>
        <v>117.64705882352941</v>
      </c>
      <c r="L49" s="256">
        <v>17</v>
      </c>
      <c r="M49" s="10">
        <f t="shared" si="69"/>
        <v>1869.4285714285695</v>
      </c>
      <c r="N49" s="10">
        <f t="shared" si="71"/>
        <v>109.96638655462174</v>
      </c>
      <c r="O49" s="11">
        <f t="shared" si="72"/>
        <v>0</v>
      </c>
      <c r="P49" s="12">
        <f t="shared" si="73"/>
        <v>-7.6806722689076707</v>
      </c>
      <c r="Q49" s="250">
        <f t="shared" si="74"/>
        <v>0.93471428571428483</v>
      </c>
      <c r="R49" s="533"/>
      <c r="S49" s="24">
        <v>0.70833333333333337</v>
      </c>
      <c r="T49" s="24">
        <v>0.75694444444444453</v>
      </c>
      <c r="U49" s="248" t="str">
        <f t="shared" ref="U49:U51" si="75">IF(S49=TIME(17,0,0),"",(S49-T48)*24*60)</f>
        <v/>
      </c>
      <c r="V49" s="257">
        <f t="shared" si="70"/>
        <v>70.000000000000071</v>
      </c>
      <c r="W49" s="14"/>
      <c r="X49" s="14"/>
      <c r="Y49" s="253"/>
      <c r="Z49" s="254"/>
      <c r="AA49" s="11">
        <f t="shared" si="2"/>
        <v>-130.57142857143049</v>
      </c>
      <c r="AB49" s="250">
        <f t="shared" si="57"/>
        <v>0.93471428571428472</v>
      </c>
      <c r="AC49" s="533"/>
    </row>
    <row r="50" spans="1:29" ht="15.75" customHeight="1">
      <c r="A50" s="542" t="s">
        <v>930</v>
      </c>
      <c r="B50" s="26" t="s">
        <v>13</v>
      </c>
      <c r="C50" s="251" t="s">
        <v>58</v>
      </c>
      <c r="D50" s="252"/>
      <c r="E50" s="26">
        <v>55.32</v>
      </c>
      <c r="F50" s="27">
        <v>1693</v>
      </c>
      <c r="G50" s="248">
        <f t="shared" si="67"/>
        <v>93656.76</v>
      </c>
      <c r="H50" s="259" t="s">
        <v>52</v>
      </c>
      <c r="I50" s="256">
        <v>15</v>
      </c>
      <c r="J50" s="18">
        <v>2000</v>
      </c>
      <c r="K50" s="9">
        <f t="shared" si="68"/>
        <v>133.33333333333334</v>
      </c>
      <c r="L50" s="256">
        <v>15</v>
      </c>
      <c r="M50" s="10">
        <f t="shared" si="69"/>
        <v>1846.9090909090921</v>
      </c>
      <c r="N50" s="10">
        <f t="shared" si="71"/>
        <v>123.12727272727281</v>
      </c>
      <c r="O50" s="11">
        <f t="shared" si="72"/>
        <v>0</v>
      </c>
      <c r="P50" s="12">
        <f t="shared" si="73"/>
        <v>-10.206060606060532</v>
      </c>
      <c r="Q50" s="250">
        <f t="shared" si="74"/>
        <v>0.92345454545454597</v>
      </c>
      <c r="R50" s="533"/>
      <c r="S50" s="24">
        <v>0.76250000000000007</v>
      </c>
      <c r="T50" s="24">
        <v>0.80069444444444449</v>
      </c>
      <c r="U50" s="248">
        <f t="shared" si="75"/>
        <v>7.9999999999999716</v>
      </c>
      <c r="V50" s="257">
        <f t="shared" si="70"/>
        <v>54.999999999999964</v>
      </c>
      <c r="W50" s="14"/>
      <c r="X50" s="14"/>
      <c r="Y50" s="253"/>
      <c r="Z50" s="254"/>
      <c r="AA50" s="11">
        <f t="shared" si="2"/>
        <v>-153.09090909090787</v>
      </c>
      <c r="AB50" s="250">
        <f t="shared" si="57"/>
        <v>0.92345454545454608</v>
      </c>
      <c r="AC50" s="533"/>
    </row>
    <row r="51" spans="1:29" ht="15.75" customHeight="1">
      <c r="A51" s="542" t="s">
        <v>930</v>
      </c>
      <c r="B51" s="26" t="s">
        <v>13</v>
      </c>
      <c r="C51" s="251" t="s">
        <v>60</v>
      </c>
      <c r="D51" s="252"/>
      <c r="E51" s="26">
        <v>57.73</v>
      </c>
      <c r="F51" s="27">
        <v>1572</v>
      </c>
      <c r="G51" s="248">
        <f t="shared" si="67"/>
        <v>90751.56</v>
      </c>
      <c r="H51" s="259" t="s">
        <v>52</v>
      </c>
      <c r="I51" s="256">
        <v>16</v>
      </c>
      <c r="J51" s="18">
        <v>1500</v>
      </c>
      <c r="K51" s="9">
        <f t="shared" si="68"/>
        <v>93.75</v>
      </c>
      <c r="L51" s="256">
        <v>16</v>
      </c>
      <c r="M51" s="10">
        <f t="shared" si="69"/>
        <v>1387.0588235294135</v>
      </c>
      <c r="N51" s="10">
        <f t="shared" si="71"/>
        <v>86.691176470588346</v>
      </c>
      <c r="O51" s="11">
        <f t="shared" si="72"/>
        <v>0</v>
      </c>
      <c r="P51" s="12">
        <f t="shared" si="73"/>
        <v>-7.0588235294116544</v>
      </c>
      <c r="Q51" s="250">
        <f t="shared" si="74"/>
        <v>0.92470588235294238</v>
      </c>
      <c r="R51" s="533"/>
      <c r="S51" s="24">
        <v>0.80486111111111114</v>
      </c>
      <c r="T51" s="24">
        <v>0.8520833333333333</v>
      </c>
      <c r="U51" s="248">
        <f t="shared" si="75"/>
        <v>5.9999999999999787</v>
      </c>
      <c r="V51" s="257">
        <f t="shared" si="70"/>
        <v>67.999999999999915</v>
      </c>
      <c r="W51" s="14"/>
      <c r="X51" s="14"/>
      <c r="Y51" s="253"/>
      <c r="Z51" s="254"/>
      <c r="AA51" s="11">
        <f t="shared" si="2"/>
        <v>-112.94117647058647</v>
      </c>
      <c r="AB51" s="250">
        <f t="shared" si="57"/>
        <v>0.92470588235294238</v>
      </c>
      <c r="AC51" s="533"/>
    </row>
    <row r="52" spans="1:29">
      <c r="A52" s="543" t="s">
        <v>930</v>
      </c>
      <c r="B52" s="26" t="s">
        <v>923</v>
      </c>
      <c r="C52" s="530"/>
      <c r="D52" s="530"/>
      <c r="E52" s="249"/>
      <c r="F52" s="16"/>
      <c r="G52" s="9"/>
      <c r="H52" s="258"/>
      <c r="I52" s="17">
        <v>16.600000000000001</v>
      </c>
      <c r="J52" s="18">
        <v>1900</v>
      </c>
      <c r="K52" s="9">
        <f>J52/I52</f>
        <v>114.4578313253012</v>
      </c>
      <c r="L52" s="17">
        <v>16.600000000000001</v>
      </c>
      <c r="M52" s="10">
        <f>AVERAGE(M47:M51)</f>
        <v>1761.3935828877009</v>
      </c>
      <c r="N52" s="9">
        <f>M52/L52</f>
        <v>106.10804716190968</v>
      </c>
      <c r="O52" s="11">
        <f>L52-I52</f>
        <v>0</v>
      </c>
      <c r="P52" s="12">
        <f>N52-K52</f>
        <v>-8.3497841633915186</v>
      </c>
      <c r="Q52" s="250">
        <f>N52/K52</f>
        <v>0.92704925415142148</v>
      </c>
      <c r="R52" s="533"/>
      <c r="S52" s="25"/>
      <c r="T52" s="24"/>
      <c r="U52" s="9"/>
      <c r="V52" s="257"/>
      <c r="W52" s="9"/>
      <c r="X52" s="9"/>
      <c r="Y52" s="528"/>
      <c r="Z52" s="528"/>
      <c r="AA52" s="11">
        <f t="shared" si="2"/>
        <v>-138.60641711229914</v>
      </c>
      <c r="AB52" s="250">
        <f t="shared" si="57"/>
        <v>0.92704925415142148</v>
      </c>
      <c r="AC52" s="533"/>
    </row>
    <row r="53" spans="1:29" ht="15.75" customHeight="1">
      <c r="A53" s="538" t="s">
        <v>931</v>
      </c>
      <c r="B53" s="258" t="s">
        <v>32</v>
      </c>
      <c r="C53" s="529" t="s">
        <v>35</v>
      </c>
      <c r="D53" s="529"/>
      <c r="E53" s="26">
        <v>26.78</v>
      </c>
      <c r="F53" s="27">
        <v>2691</v>
      </c>
      <c r="G53" s="248">
        <f t="shared" ref="G53:G58" si="76">E53*F53</f>
        <v>72064.98</v>
      </c>
      <c r="H53" s="259" t="s">
        <v>52</v>
      </c>
      <c r="I53" s="256">
        <v>10</v>
      </c>
      <c r="J53" s="18">
        <v>3000</v>
      </c>
      <c r="K53" s="9">
        <f t="shared" ref="K53:K58" si="77">J53/I53</f>
        <v>300</v>
      </c>
      <c r="L53" s="17">
        <v>10</v>
      </c>
      <c r="M53" s="10">
        <f t="shared" ref="M53:M58" si="78">F53/V53*60</f>
        <v>2783.7931034482763</v>
      </c>
      <c r="N53" s="9">
        <f>M53/L53</f>
        <v>278.37931034482762</v>
      </c>
      <c r="O53" s="11">
        <f t="shared" ref="O53:O58" si="79">L53-I53</f>
        <v>0</v>
      </c>
      <c r="P53" s="12">
        <f t="shared" ref="P53:P58" si="80">N53-K53</f>
        <v>-21.620689655172384</v>
      </c>
      <c r="Q53" s="250">
        <f>N53/K53</f>
        <v>0.92793103448275871</v>
      </c>
      <c r="R53" s="533">
        <f>Q59</f>
        <v>0.9323697783862408</v>
      </c>
      <c r="S53" s="24">
        <v>0.20833333333333334</v>
      </c>
      <c r="T53" s="24">
        <v>0.24861111111111112</v>
      </c>
      <c r="U53" s="248"/>
      <c r="V53" s="257">
        <f t="shared" ref="V53:V58" si="81">(T53-S53)*24*60</f>
        <v>57.999999999999993</v>
      </c>
      <c r="W53" s="15"/>
      <c r="X53" s="15"/>
      <c r="Y53" s="528"/>
      <c r="Z53" s="528"/>
      <c r="AA53" s="11">
        <f t="shared" si="2"/>
        <v>-216.20689655172373</v>
      </c>
      <c r="AB53" s="250">
        <f t="shared" si="57"/>
        <v>0.92793103448275871</v>
      </c>
      <c r="AC53" s="533">
        <f>AB59</f>
        <v>0.9323697783862408</v>
      </c>
    </row>
    <row r="54" spans="1:29" ht="15.75" customHeight="1">
      <c r="A54" s="538" t="s">
        <v>931</v>
      </c>
      <c r="B54" s="258" t="s">
        <v>32</v>
      </c>
      <c r="C54" s="529" t="s">
        <v>39</v>
      </c>
      <c r="D54" s="529"/>
      <c r="E54" s="26">
        <v>35.369999999999997</v>
      </c>
      <c r="F54" s="27">
        <v>1694</v>
      </c>
      <c r="G54" s="248">
        <f t="shared" si="76"/>
        <v>59916.78</v>
      </c>
      <c r="H54" s="259" t="s">
        <v>52</v>
      </c>
      <c r="I54" s="256">
        <v>10</v>
      </c>
      <c r="J54" s="18">
        <v>3000</v>
      </c>
      <c r="K54" s="9">
        <f t="shared" si="77"/>
        <v>300</v>
      </c>
      <c r="L54" s="17">
        <v>10</v>
      </c>
      <c r="M54" s="10">
        <f t="shared" si="78"/>
        <v>2823.3333333333312</v>
      </c>
      <c r="N54" s="9">
        <f t="shared" ref="N54:N58" si="82">M54/L54</f>
        <v>282.33333333333314</v>
      </c>
      <c r="O54" s="11">
        <f t="shared" si="79"/>
        <v>0</v>
      </c>
      <c r="P54" s="12">
        <f t="shared" si="80"/>
        <v>-17.666666666666856</v>
      </c>
      <c r="Q54" s="250">
        <f t="shared" ref="Q54:Q58" si="83">N54/K54</f>
        <v>0.94111111111111045</v>
      </c>
      <c r="R54" s="533"/>
      <c r="S54" s="24">
        <v>0.25347222222222221</v>
      </c>
      <c r="T54" s="24">
        <v>0.27847222222222223</v>
      </c>
      <c r="U54" s="248">
        <f>(S54-T53)*24*60</f>
        <v>6.9999999999999751</v>
      </c>
      <c r="V54" s="257">
        <f t="shared" si="81"/>
        <v>36.000000000000028</v>
      </c>
      <c r="W54" s="248"/>
      <c r="X54" s="248"/>
      <c r="Y54" s="528"/>
      <c r="Z54" s="528"/>
      <c r="AA54" s="11">
        <f t="shared" si="2"/>
        <v>-176.66666666666879</v>
      </c>
      <c r="AB54" s="250">
        <f t="shared" si="57"/>
        <v>0.94111111111111045</v>
      </c>
      <c r="AC54" s="533"/>
    </row>
    <row r="55" spans="1:29" ht="15.75" customHeight="1">
      <c r="A55" s="538" t="s">
        <v>931</v>
      </c>
      <c r="B55" s="258" t="s">
        <v>32</v>
      </c>
      <c r="C55" s="529" t="s">
        <v>38</v>
      </c>
      <c r="D55" s="529"/>
      <c r="E55" s="26">
        <v>34.35</v>
      </c>
      <c r="F55" s="27">
        <v>1591</v>
      </c>
      <c r="G55" s="248">
        <f t="shared" si="76"/>
        <v>54650.850000000006</v>
      </c>
      <c r="H55" s="259" t="s">
        <v>52</v>
      </c>
      <c r="I55" s="256">
        <v>10</v>
      </c>
      <c r="J55" s="18">
        <v>3000</v>
      </c>
      <c r="K55" s="9">
        <f t="shared" si="77"/>
        <v>300</v>
      </c>
      <c r="L55" s="17">
        <v>10</v>
      </c>
      <c r="M55" s="10">
        <f t="shared" si="78"/>
        <v>2807.6470588235256</v>
      </c>
      <c r="N55" s="9">
        <f t="shared" si="82"/>
        <v>280.76470588235259</v>
      </c>
      <c r="O55" s="11">
        <f t="shared" si="79"/>
        <v>0</v>
      </c>
      <c r="P55" s="12">
        <f t="shared" si="80"/>
        <v>-19.235294117647413</v>
      </c>
      <c r="Q55" s="250">
        <f t="shared" si="83"/>
        <v>0.93588235294117528</v>
      </c>
      <c r="R55" s="533"/>
      <c r="S55" s="24">
        <v>0.28402777777777777</v>
      </c>
      <c r="T55" s="24">
        <v>0.30763888888888891</v>
      </c>
      <c r="U55" s="248">
        <f t="shared" ref="U55:U58" si="84">(S55-T54)*24*60</f>
        <v>7.9999999999999716</v>
      </c>
      <c r="V55" s="257">
        <f t="shared" si="81"/>
        <v>34.000000000000043</v>
      </c>
      <c r="W55" s="248"/>
      <c r="X55" s="248"/>
      <c r="Y55" s="528"/>
      <c r="Z55" s="528"/>
      <c r="AA55" s="11">
        <f t="shared" si="2"/>
        <v>-192.35294117647436</v>
      </c>
      <c r="AB55" s="250">
        <f t="shared" si="57"/>
        <v>0.93588235294117517</v>
      </c>
      <c r="AC55" s="533"/>
    </row>
    <row r="56" spans="1:29" ht="15.75" customHeight="1">
      <c r="A56" s="538" t="s">
        <v>931</v>
      </c>
      <c r="B56" s="258" t="s">
        <v>15</v>
      </c>
      <c r="C56" s="529" t="s">
        <v>36</v>
      </c>
      <c r="D56" s="529"/>
      <c r="E56" s="26">
        <v>26.97</v>
      </c>
      <c r="F56" s="27">
        <v>3542</v>
      </c>
      <c r="G56" s="248">
        <f t="shared" si="76"/>
        <v>95527.739999999991</v>
      </c>
      <c r="H56" s="259" t="s">
        <v>52</v>
      </c>
      <c r="I56" s="256">
        <v>8</v>
      </c>
      <c r="J56" s="18">
        <v>1500</v>
      </c>
      <c r="K56" s="9">
        <f t="shared" si="77"/>
        <v>187.5</v>
      </c>
      <c r="L56" s="17">
        <v>8</v>
      </c>
      <c r="M56" s="10">
        <f t="shared" si="78"/>
        <v>1389.019607843137</v>
      </c>
      <c r="N56" s="9">
        <f t="shared" si="82"/>
        <v>173.62745098039213</v>
      </c>
      <c r="O56" s="11">
        <f t="shared" si="79"/>
        <v>0</v>
      </c>
      <c r="P56" s="12">
        <f t="shared" si="80"/>
        <v>-13.872549019607874</v>
      </c>
      <c r="Q56" s="250">
        <f t="shared" si="83"/>
        <v>0.9260130718954247</v>
      </c>
      <c r="R56" s="533"/>
      <c r="S56" s="24">
        <v>0.31319444444444444</v>
      </c>
      <c r="T56" s="24">
        <v>0.41944444444444445</v>
      </c>
      <c r="U56" s="248">
        <f t="shared" si="84"/>
        <v>7.9999999999999716</v>
      </c>
      <c r="V56" s="257">
        <f t="shared" si="81"/>
        <v>153.00000000000003</v>
      </c>
      <c r="W56" s="248"/>
      <c r="X56" s="248"/>
      <c r="Y56" s="528"/>
      <c r="Z56" s="528"/>
      <c r="AA56" s="11">
        <f t="shared" si="2"/>
        <v>-110.98039215686299</v>
      </c>
      <c r="AB56" s="250">
        <f t="shared" si="57"/>
        <v>0.9260130718954247</v>
      </c>
      <c r="AC56" s="533"/>
    </row>
    <row r="57" spans="1:29">
      <c r="A57" s="539" t="s">
        <v>932</v>
      </c>
      <c r="B57" s="258" t="s">
        <v>32</v>
      </c>
      <c r="C57" s="529" t="s">
        <v>37</v>
      </c>
      <c r="D57" s="529"/>
      <c r="E57" s="26">
        <v>35.119999999999997</v>
      </c>
      <c r="F57" s="27">
        <v>1223</v>
      </c>
      <c r="G57" s="248">
        <f t="shared" si="76"/>
        <v>42951.759999999995</v>
      </c>
      <c r="H57" s="259" t="s">
        <v>52</v>
      </c>
      <c r="I57" s="256">
        <v>13</v>
      </c>
      <c r="J57" s="18">
        <v>2000</v>
      </c>
      <c r="K57" s="9">
        <f t="shared" si="77"/>
        <v>153.84615384615384</v>
      </c>
      <c r="L57" s="17">
        <v>13</v>
      </c>
      <c r="M57" s="10">
        <f t="shared" si="78"/>
        <v>1881.5384615384605</v>
      </c>
      <c r="N57" s="9">
        <f t="shared" si="82"/>
        <v>144.73372781065081</v>
      </c>
      <c r="O57" s="11">
        <f t="shared" si="79"/>
        <v>0</v>
      </c>
      <c r="P57" s="12">
        <f t="shared" si="80"/>
        <v>-9.1124260355030344</v>
      </c>
      <c r="Q57" s="250">
        <f t="shared" si="83"/>
        <v>0.94076923076923025</v>
      </c>
      <c r="R57" s="533"/>
      <c r="S57" s="24">
        <v>0.42430555555555555</v>
      </c>
      <c r="T57" s="24">
        <v>0.4513888888888889</v>
      </c>
      <c r="U57" s="248">
        <f t="shared" si="84"/>
        <v>6.9999999999999751</v>
      </c>
      <c r="V57" s="257">
        <f t="shared" si="81"/>
        <v>39.000000000000021</v>
      </c>
      <c r="W57" s="14"/>
      <c r="X57" s="14"/>
      <c r="Y57" s="528"/>
      <c r="Z57" s="528"/>
      <c r="AA57" s="11">
        <f t="shared" si="2"/>
        <v>-118.46153846153948</v>
      </c>
      <c r="AB57" s="250">
        <f t="shared" si="57"/>
        <v>0.94076923076923025</v>
      </c>
      <c r="AC57" s="533"/>
    </row>
    <row r="58" spans="1:29" ht="15" customHeight="1">
      <c r="A58" s="539" t="s">
        <v>932</v>
      </c>
      <c r="B58" s="258" t="s">
        <v>32</v>
      </c>
      <c r="C58" s="534" t="s">
        <v>84</v>
      </c>
      <c r="D58" s="535"/>
      <c r="E58" s="26">
        <v>35.869999999999997</v>
      </c>
      <c r="F58" s="27">
        <v>3458</v>
      </c>
      <c r="G58" s="248">
        <f t="shared" si="76"/>
        <v>124038.45999999999</v>
      </c>
      <c r="H58" s="259" t="s">
        <v>52</v>
      </c>
      <c r="I58" s="256">
        <v>10</v>
      </c>
      <c r="J58" s="18">
        <v>3000</v>
      </c>
      <c r="K58" s="9">
        <f t="shared" si="77"/>
        <v>300</v>
      </c>
      <c r="L58" s="17">
        <v>10</v>
      </c>
      <c r="M58" s="10">
        <f t="shared" si="78"/>
        <v>2766.400000000001</v>
      </c>
      <c r="N58" s="9">
        <f t="shared" si="82"/>
        <v>276.6400000000001</v>
      </c>
      <c r="O58" s="11">
        <f t="shared" si="79"/>
        <v>0</v>
      </c>
      <c r="P58" s="12">
        <f t="shared" si="80"/>
        <v>-23.3599999999999</v>
      </c>
      <c r="Q58" s="250">
        <f t="shared" si="83"/>
        <v>0.92213333333333369</v>
      </c>
      <c r="R58" s="533"/>
      <c r="S58" s="24">
        <v>0.45624999999999999</v>
      </c>
      <c r="T58" s="24">
        <v>0.5083333333333333</v>
      </c>
      <c r="U58" s="248">
        <f t="shared" si="84"/>
        <v>6.9999999999999751</v>
      </c>
      <c r="V58" s="257">
        <f t="shared" si="81"/>
        <v>74.999999999999972</v>
      </c>
      <c r="W58" s="248"/>
      <c r="X58" s="248"/>
      <c r="Y58" s="536"/>
      <c r="Z58" s="537"/>
      <c r="AA58" s="11">
        <f t="shared" si="2"/>
        <v>-233.599999999999</v>
      </c>
      <c r="AB58" s="250">
        <f t="shared" si="57"/>
        <v>0.92213333333333369</v>
      </c>
      <c r="AC58" s="533"/>
    </row>
    <row r="59" spans="1:29">
      <c r="A59" s="539" t="s">
        <v>932</v>
      </c>
      <c r="B59" s="26" t="s">
        <v>923</v>
      </c>
      <c r="C59" s="530"/>
      <c r="D59" s="530"/>
      <c r="E59" s="249"/>
      <c r="F59" s="16"/>
      <c r="G59" s="9"/>
      <c r="H59" s="258"/>
      <c r="I59" s="17">
        <v>10.166666666666666</v>
      </c>
      <c r="J59" s="18">
        <v>2583.3333333333335</v>
      </c>
      <c r="K59" s="9">
        <f>J59/I59</f>
        <v>254.09836065573774</v>
      </c>
      <c r="L59" s="17">
        <v>10.166666666666666</v>
      </c>
      <c r="M59" s="10">
        <f>AVERAGE(M53:M58)</f>
        <v>2408.6219274977889</v>
      </c>
      <c r="N59" s="9">
        <f>M59/L59</f>
        <v>236.91363221289728</v>
      </c>
      <c r="O59" s="11">
        <f>L59-I59</f>
        <v>0</v>
      </c>
      <c r="P59" s="12">
        <f>N59-K59</f>
        <v>-17.184728442840452</v>
      </c>
      <c r="Q59" s="250">
        <f>N59/K59</f>
        <v>0.9323697783862408</v>
      </c>
      <c r="R59" s="533"/>
      <c r="S59" s="24"/>
      <c r="T59" s="24"/>
      <c r="U59" s="9"/>
      <c r="V59" s="257"/>
      <c r="W59" s="9"/>
      <c r="X59" s="9"/>
      <c r="Y59" s="528"/>
      <c r="Z59" s="528"/>
      <c r="AA59" s="11">
        <f t="shared" si="2"/>
        <v>-174.71140583554461</v>
      </c>
      <c r="AB59" s="250">
        <f t="shared" si="57"/>
        <v>0.9323697783862408</v>
      </c>
      <c r="AC59" s="533"/>
    </row>
    <row r="60" spans="1:29" ht="15.75" customHeight="1">
      <c r="A60" s="531" t="s">
        <v>933</v>
      </c>
      <c r="B60" s="258" t="s">
        <v>24</v>
      </c>
      <c r="C60" s="529" t="s">
        <v>67</v>
      </c>
      <c r="D60" s="529"/>
      <c r="E60" s="26">
        <v>32.03</v>
      </c>
      <c r="F60" s="258">
        <v>1096</v>
      </c>
      <c r="G60" s="248">
        <f t="shared" ref="G60:G67" si="85">E60*F60</f>
        <v>35104.880000000005</v>
      </c>
      <c r="H60" s="259" t="s">
        <v>52</v>
      </c>
      <c r="I60" s="256">
        <v>19</v>
      </c>
      <c r="J60" s="18">
        <v>2400</v>
      </c>
      <c r="K60" s="9">
        <f t="shared" ref="K60:K62" si="86">J60/I60</f>
        <v>126.31578947368421</v>
      </c>
      <c r="L60" s="17">
        <v>19</v>
      </c>
      <c r="M60" s="10">
        <f>F60/V60*60</f>
        <v>2267.5862068965503</v>
      </c>
      <c r="N60" s="9">
        <f t="shared" ref="N60:N67" si="87">M60/L60</f>
        <v>119.34664246823949</v>
      </c>
      <c r="O60" s="11">
        <f t="shared" ref="O60:O67" si="88">L60-I60</f>
        <v>0</v>
      </c>
      <c r="P60" s="12">
        <f t="shared" ref="P60:P67" si="89">N60-K60</f>
        <v>-6.9691470054447109</v>
      </c>
      <c r="Q60" s="250">
        <f>N60/K60</f>
        <v>0.944827586206896</v>
      </c>
      <c r="R60" s="533">
        <f>Q68</f>
        <v>0.92811468704927513</v>
      </c>
      <c r="S60" s="24">
        <v>0.125</v>
      </c>
      <c r="T60" s="24">
        <v>0.1451388888888889</v>
      </c>
      <c r="U60" s="15"/>
      <c r="V60" s="257">
        <f t="shared" ref="V60:V67" si="90">(T60-S60)*24*60</f>
        <v>29.000000000000018</v>
      </c>
      <c r="W60" s="14">
        <f>T60</f>
        <v>0.1451388888888889</v>
      </c>
      <c r="X60" s="14">
        <f>S61</f>
        <v>0.16388888888888892</v>
      </c>
      <c r="Y60" s="528"/>
      <c r="Z60" s="528"/>
      <c r="AA60" s="11">
        <f t="shared" si="2"/>
        <v>-132.41379310344973</v>
      </c>
      <c r="AB60" s="250">
        <f>M60/J60</f>
        <v>0.944827586206896</v>
      </c>
      <c r="AC60" s="533">
        <f>AB68</f>
        <v>0.92811468704927502</v>
      </c>
    </row>
    <row r="61" spans="1:29" ht="15.75" customHeight="1">
      <c r="A61" s="531" t="s">
        <v>933</v>
      </c>
      <c r="B61" s="258" t="s">
        <v>24</v>
      </c>
      <c r="C61" s="529" t="s">
        <v>51</v>
      </c>
      <c r="D61" s="529"/>
      <c r="E61" s="26">
        <v>20.2</v>
      </c>
      <c r="F61" s="258">
        <v>2808</v>
      </c>
      <c r="G61" s="248">
        <f t="shared" si="85"/>
        <v>56721.599999999999</v>
      </c>
      <c r="H61" s="259" t="s">
        <v>52</v>
      </c>
      <c r="I61" s="256">
        <v>19</v>
      </c>
      <c r="J61" s="18">
        <v>2400</v>
      </c>
      <c r="K61" s="9">
        <f t="shared" si="86"/>
        <v>126.31578947368421</v>
      </c>
      <c r="L61" s="17">
        <v>19</v>
      </c>
      <c r="M61" s="10">
        <f t="shared" ref="M61:M67" si="91">F61/V61*60</f>
        <v>2216.8421052631575</v>
      </c>
      <c r="N61" s="9">
        <f t="shared" si="87"/>
        <v>116.67590027700828</v>
      </c>
      <c r="O61" s="11">
        <f t="shared" si="88"/>
        <v>0</v>
      </c>
      <c r="P61" s="12">
        <f t="shared" si="89"/>
        <v>-9.6398891966759237</v>
      </c>
      <c r="Q61" s="250">
        <f t="shared" ref="Q61:Q68" si="92">N61/K61</f>
        <v>0.92368421052631555</v>
      </c>
      <c r="R61" s="533"/>
      <c r="S61" s="24">
        <v>0.16388888888888892</v>
      </c>
      <c r="T61" s="24">
        <v>0.2166666666666667</v>
      </c>
      <c r="U61" s="248">
        <f>(S61-T60)*24*60</f>
        <v>27.000000000000025</v>
      </c>
      <c r="V61" s="257">
        <f t="shared" si="90"/>
        <v>76.000000000000014</v>
      </c>
      <c r="W61" s="14"/>
      <c r="X61" s="14"/>
      <c r="Y61" s="528"/>
      <c r="Z61" s="528"/>
      <c r="AA61" s="11">
        <f t="shared" si="2"/>
        <v>-183.15789473684254</v>
      </c>
      <c r="AB61" s="250">
        <f t="shared" ref="AB61:AB68" si="93">M61/J61</f>
        <v>0.92368421052631566</v>
      </c>
      <c r="AC61" s="533"/>
    </row>
    <row r="62" spans="1:29" ht="15.75" customHeight="1">
      <c r="A62" s="531" t="s">
        <v>933</v>
      </c>
      <c r="B62" s="258" t="s">
        <v>24</v>
      </c>
      <c r="C62" s="529" t="s">
        <v>41</v>
      </c>
      <c r="D62" s="529"/>
      <c r="E62" s="26">
        <v>19.02</v>
      </c>
      <c r="F62" s="258">
        <v>4100</v>
      </c>
      <c r="G62" s="248">
        <f t="shared" si="85"/>
        <v>77982</v>
      </c>
      <c r="H62" s="259">
        <v>2</v>
      </c>
      <c r="I62" s="256">
        <v>15</v>
      </c>
      <c r="J62" s="18">
        <v>2400</v>
      </c>
      <c r="K62" s="9">
        <f t="shared" si="86"/>
        <v>160</v>
      </c>
      <c r="L62" s="17">
        <v>15</v>
      </c>
      <c r="M62" s="10">
        <f t="shared" si="91"/>
        <v>2216.2162162162153</v>
      </c>
      <c r="N62" s="9">
        <f t="shared" si="87"/>
        <v>147.7477477477477</v>
      </c>
      <c r="O62" s="11">
        <f t="shared" si="88"/>
        <v>0</v>
      </c>
      <c r="P62" s="12">
        <f t="shared" si="89"/>
        <v>-12.252252252252305</v>
      </c>
      <c r="Q62" s="250">
        <f t="shared" si="92"/>
        <v>0.9234234234234231</v>
      </c>
      <c r="R62" s="533"/>
      <c r="S62" s="24">
        <v>0.22013888888888891</v>
      </c>
      <c r="T62" s="24">
        <v>0.29722222222222228</v>
      </c>
      <c r="U62" s="248">
        <f t="shared" ref="U62:U67" si="94">(S62-T61)*24*60</f>
        <v>4.9999999999999822</v>
      </c>
      <c r="V62" s="257">
        <f t="shared" si="90"/>
        <v>111.00000000000004</v>
      </c>
      <c r="W62" s="14"/>
      <c r="X62" s="14"/>
      <c r="Y62" s="528"/>
      <c r="Z62" s="528"/>
      <c r="AA62" s="11">
        <f t="shared" si="2"/>
        <v>-183.78378378378466</v>
      </c>
      <c r="AB62" s="250">
        <f t="shared" si="93"/>
        <v>0.9234234234234231</v>
      </c>
      <c r="AC62" s="533"/>
    </row>
    <row r="63" spans="1:29" ht="15.75" customHeight="1">
      <c r="A63" s="531" t="s">
        <v>933</v>
      </c>
      <c r="B63" s="258" t="s">
        <v>24</v>
      </c>
      <c r="C63" s="529" t="s">
        <v>42</v>
      </c>
      <c r="D63" s="529"/>
      <c r="E63" s="26">
        <v>25</v>
      </c>
      <c r="F63" s="258">
        <v>4324</v>
      </c>
      <c r="G63" s="248">
        <f t="shared" si="85"/>
        <v>108100</v>
      </c>
      <c r="H63" s="259" t="s">
        <v>52</v>
      </c>
      <c r="I63" s="256">
        <v>15</v>
      </c>
      <c r="J63" s="18">
        <v>2400</v>
      </c>
      <c r="K63" s="9">
        <f>J63/I63</f>
        <v>160</v>
      </c>
      <c r="L63" s="17">
        <v>15</v>
      </c>
      <c r="M63" s="10">
        <f t="shared" si="91"/>
        <v>2217.4358974358975</v>
      </c>
      <c r="N63" s="9">
        <f t="shared" si="87"/>
        <v>147.82905982905984</v>
      </c>
      <c r="O63" s="11">
        <f t="shared" si="88"/>
        <v>0</v>
      </c>
      <c r="P63" s="12">
        <f t="shared" si="89"/>
        <v>-12.170940170940156</v>
      </c>
      <c r="Q63" s="250">
        <f t="shared" si="92"/>
        <v>0.92393162393162398</v>
      </c>
      <c r="R63" s="533"/>
      <c r="S63" s="24">
        <v>0.30138888888888893</v>
      </c>
      <c r="T63" s="24">
        <v>0.38263888888888892</v>
      </c>
      <c r="U63" s="248">
        <f t="shared" si="94"/>
        <v>5.9999999999999787</v>
      </c>
      <c r="V63" s="257">
        <f t="shared" si="90"/>
        <v>116.99999999999999</v>
      </c>
      <c r="W63" s="14"/>
      <c r="X63" s="14"/>
      <c r="Y63" s="528"/>
      <c r="Z63" s="528"/>
      <c r="AA63" s="11">
        <f t="shared" si="2"/>
        <v>-182.56410256410254</v>
      </c>
      <c r="AB63" s="250">
        <f t="shared" si="93"/>
        <v>0.92393162393162398</v>
      </c>
      <c r="AC63" s="533"/>
    </row>
    <row r="64" spans="1:29" ht="15.75" customHeight="1">
      <c r="A64" s="531" t="s">
        <v>933</v>
      </c>
      <c r="B64" s="258" t="s">
        <v>24</v>
      </c>
      <c r="C64" s="529" t="s">
        <v>77</v>
      </c>
      <c r="D64" s="529"/>
      <c r="E64" s="26">
        <v>28.51</v>
      </c>
      <c r="F64" s="258">
        <v>4267</v>
      </c>
      <c r="G64" s="248">
        <f t="shared" si="85"/>
        <v>121652.17000000001</v>
      </c>
      <c r="H64" s="259" t="s">
        <v>52</v>
      </c>
      <c r="I64" s="256">
        <v>19</v>
      </c>
      <c r="J64" s="18">
        <v>2400</v>
      </c>
      <c r="K64" s="9">
        <f t="shared" ref="K64:K68" si="95">J64/I64</f>
        <v>126.31578947368421</v>
      </c>
      <c r="L64" s="17">
        <v>19</v>
      </c>
      <c r="M64" s="10">
        <f t="shared" si="91"/>
        <v>2226.2608695652175</v>
      </c>
      <c r="N64" s="9">
        <f t="shared" si="87"/>
        <v>117.17162471395882</v>
      </c>
      <c r="O64" s="11">
        <f t="shared" si="88"/>
        <v>0</v>
      </c>
      <c r="P64" s="12">
        <f t="shared" si="89"/>
        <v>-9.1441647597253848</v>
      </c>
      <c r="Q64" s="250">
        <f t="shared" si="92"/>
        <v>0.92760869565217408</v>
      </c>
      <c r="R64" s="533"/>
      <c r="S64" s="24">
        <v>0.38611111111111113</v>
      </c>
      <c r="T64" s="24">
        <v>0.46597222222222223</v>
      </c>
      <c r="U64" s="248">
        <f t="shared" si="94"/>
        <v>4.9999999999999822</v>
      </c>
      <c r="V64" s="257">
        <f t="shared" si="90"/>
        <v>114.99999999999999</v>
      </c>
      <c r="W64" s="14"/>
      <c r="X64" s="14"/>
      <c r="Y64" s="528"/>
      <c r="Z64" s="528"/>
      <c r="AA64" s="11">
        <f t="shared" si="2"/>
        <v>-173.73913043478251</v>
      </c>
      <c r="AB64" s="250">
        <f t="shared" si="93"/>
        <v>0.92760869565217396</v>
      </c>
      <c r="AC64" s="533"/>
    </row>
    <row r="65" spans="1:29" ht="15.75" customHeight="1">
      <c r="A65" s="531" t="s">
        <v>933</v>
      </c>
      <c r="B65" s="258" t="s">
        <v>24</v>
      </c>
      <c r="C65" s="529" t="s">
        <v>25</v>
      </c>
      <c r="D65" s="529"/>
      <c r="E65" s="26">
        <v>20.52</v>
      </c>
      <c r="F65" s="258">
        <v>2500</v>
      </c>
      <c r="G65" s="248">
        <f t="shared" si="85"/>
        <v>51300</v>
      </c>
      <c r="H65" s="259">
        <v>2</v>
      </c>
      <c r="I65" s="256">
        <v>18</v>
      </c>
      <c r="J65" s="18">
        <v>2400</v>
      </c>
      <c r="K65" s="9">
        <f t="shared" si="95"/>
        <v>133.33333333333334</v>
      </c>
      <c r="L65" s="17">
        <v>18</v>
      </c>
      <c r="M65" s="10">
        <f t="shared" si="91"/>
        <v>2238.8059701492566</v>
      </c>
      <c r="N65" s="9">
        <f t="shared" si="87"/>
        <v>124.37810945273648</v>
      </c>
      <c r="O65" s="11">
        <f t="shared" si="88"/>
        <v>0</v>
      </c>
      <c r="P65" s="12">
        <f t="shared" si="89"/>
        <v>-8.9552238805968614</v>
      </c>
      <c r="Q65" s="250">
        <f t="shared" si="92"/>
        <v>0.93283582089552353</v>
      </c>
      <c r="R65" s="533"/>
      <c r="S65" s="24">
        <v>0.47152777777777777</v>
      </c>
      <c r="T65" s="24">
        <v>0.51805555555555549</v>
      </c>
      <c r="U65" s="248">
        <f t="shared" si="94"/>
        <v>7.9999999999999716</v>
      </c>
      <c r="V65" s="257">
        <f t="shared" si="90"/>
        <v>66.999999999999915</v>
      </c>
      <c r="W65" s="14">
        <f>T65</f>
        <v>0.51805555555555549</v>
      </c>
      <c r="X65" s="14">
        <f>S66</f>
        <v>0.5576388888888888</v>
      </c>
      <c r="Y65" s="528"/>
      <c r="Z65" s="528"/>
      <c r="AA65" s="11">
        <f t="shared" si="2"/>
        <v>-161.19402985074339</v>
      </c>
      <c r="AB65" s="250">
        <f t="shared" si="93"/>
        <v>0.93283582089552364</v>
      </c>
      <c r="AC65" s="533"/>
    </row>
    <row r="66" spans="1:29" ht="15.75" customHeight="1">
      <c r="A66" s="531" t="s">
        <v>933</v>
      </c>
      <c r="B66" s="258" t="s">
        <v>24</v>
      </c>
      <c r="C66" s="534" t="s">
        <v>41</v>
      </c>
      <c r="D66" s="535"/>
      <c r="E66" s="26">
        <v>19.02</v>
      </c>
      <c r="F66" s="258">
        <v>7053</v>
      </c>
      <c r="G66" s="248">
        <f t="shared" si="85"/>
        <v>134148.06</v>
      </c>
      <c r="H66" s="259" t="s">
        <v>52</v>
      </c>
      <c r="I66" s="256">
        <v>15</v>
      </c>
      <c r="J66" s="18">
        <v>2400</v>
      </c>
      <c r="K66" s="9">
        <f t="shared" si="95"/>
        <v>160</v>
      </c>
      <c r="L66" s="17">
        <v>15</v>
      </c>
      <c r="M66" s="10">
        <f t="shared" si="91"/>
        <v>2215.6020942408381</v>
      </c>
      <c r="N66" s="9">
        <f t="shared" si="87"/>
        <v>147.70680628272254</v>
      </c>
      <c r="O66" s="11">
        <f t="shared" si="88"/>
        <v>0</v>
      </c>
      <c r="P66" s="12">
        <f t="shared" si="89"/>
        <v>-12.293193717277461</v>
      </c>
      <c r="Q66" s="250">
        <f t="shared" si="92"/>
        <v>0.92316753926701589</v>
      </c>
      <c r="R66" s="533"/>
      <c r="S66" s="24">
        <v>0.5576388888888888</v>
      </c>
      <c r="T66" s="24">
        <v>0.69027777777777766</v>
      </c>
      <c r="U66" s="248">
        <f t="shared" si="94"/>
        <v>56.999999999999957</v>
      </c>
      <c r="V66" s="257">
        <f t="shared" si="90"/>
        <v>190.99999999999997</v>
      </c>
      <c r="W66" s="14"/>
      <c r="X66" s="14"/>
      <c r="Y66" s="536"/>
      <c r="Z66" s="537"/>
      <c r="AA66" s="11">
        <f t="shared" si="2"/>
        <v>-184.39790575916186</v>
      </c>
      <c r="AB66" s="250">
        <f t="shared" si="93"/>
        <v>0.92316753926701589</v>
      </c>
      <c r="AC66" s="533"/>
    </row>
    <row r="67" spans="1:29" ht="15.75" customHeight="1">
      <c r="A67" s="531" t="s">
        <v>933</v>
      </c>
      <c r="B67" s="258" t="s">
        <v>24</v>
      </c>
      <c r="C67" s="534" t="s">
        <v>25</v>
      </c>
      <c r="D67" s="535"/>
      <c r="E67" s="26">
        <v>20.52</v>
      </c>
      <c r="F67" s="258">
        <v>2110</v>
      </c>
      <c r="G67" s="248">
        <f t="shared" si="85"/>
        <v>43297.2</v>
      </c>
      <c r="H67" s="259" t="s">
        <v>52</v>
      </c>
      <c r="I67" s="256">
        <v>18</v>
      </c>
      <c r="J67" s="18">
        <v>2400</v>
      </c>
      <c r="K67" s="9">
        <f t="shared" si="95"/>
        <v>133.33333333333334</v>
      </c>
      <c r="L67" s="17">
        <v>18</v>
      </c>
      <c r="M67" s="10">
        <f t="shared" si="91"/>
        <v>2221.0526315789493</v>
      </c>
      <c r="N67" s="9">
        <f t="shared" si="87"/>
        <v>123.39181286549719</v>
      </c>
      <c r="O67" s="11">
        <f t="shared" si="88"/>
        <v>0</v>
      </c>
      <c r="P67" s="12">
        <f t="shared" si="89"/>
        <v>-9.9415204678361562</v>
      </c>
      <c r="Q67" s="250">
        <f t="shared" si="92"/>
        <v>0.92543859649122884</v>
      </c>
      <c r="R67" s="533"/>
      <c r="S67" s="24">
        <v>0.69444444444444431</v>
      </c>
      <c r="T67" s="24">
        <v>0.73402777777777761</v>
      </c>
      <c r="U67" s="248">
        <f t="shared" si="94"/>
        <v>5.9999999999999787</v>
      </c>
      <c r="V67" s="257">
        <f t="shared" si="90"/>
        <v>56.999999999999957</v>
      </c>
      <c r="W67" s="14"/>
      <c r="X67" s="14"/>
      <c r="Y67" s="536"/>
      <c r="Z67" s="537"/>
      <c r="AA67" s="11">
        <f t="shared" si="2"/>
        <v>-178.94736842105067</v>
      </c>
      <c r="AB67" s="250">
        <f t="shared" si="93"/>
        <v>0.92543859649122884</v>
      </c>
      <c r="AC67" s="533"/>
    </row>
    <row r="68" spans="1:29" ht="16.5" customHeight="1">
      <c r="A68" s="532" t="s">
        <v>933</v>
      </c>
      <c r="B68" s="26" t="s">
        <v>923</v>
      </c>
      <c r="C68" s="530"/>
      <c r="D68" s="530"/>
      <c r="E68" s="249"/>
      <c r="F68" s="16"/>
      <c r="G68" s="9"/>
      <c r="H68" s="258"/>
      <c r="I68" s="17">
        <v>17.25</v>
      </c>
      <c r="J68" s="18">
        <v>2400</v>
      </c>
      <c r="K68" s="9">
        <f t="shared" si="95"/>
        <v>139.13043478260869</v>
      </c>
      <c r="L68" s="17">
        <v>17.25</v>
      </c>
      <c r="M68" s="10">
        <f>AVERAGE(M60:M67)</f>
        <v>2227.4752489182601</v>
      </c>
      <c r="N68" s="9">
        <f>M68/L68</f>
        <v>129.12899993729044</v>
      </c>
      <c r="O68" s="11">
        <f>L68-I68</f>
        <v>0</v>
      </c>
      <c r="P68" s="12">
        <f>N68-K68</f>
        <v>-10.001434845318244</v>
      </c>
      <c r="Q68" s="250">
        <f t="shared" si="92"/>
        <v>0.92811468704927513</v>
      </c>
      <c r="R68" s="533"/>
      <c r="S68" s="24"/>
      <c r="T68" s="24"/>
      <c r="U68" s="9"/>
      <c r="V68" s="257"/>
      <c r="W68" s="9"/>
      <c r="X68" s="9"/>
      <c r="Y68" s="528"/>
      <c r="Z68" s="528"/>
      <c r="AA68" s="11">
        <f t="shared" si="2"/>
        <v>-172.52475108173985</v>
      </c>
      <c r="AB68" s="250">
        <f t="shared" si="93"/>
        <v>0.92811468704927502</v>
      </c>
      <c r="AC68" s="533"/>
    </row>
    <row r="69" spans="1:29">
      <c r="D69" s="19"/>
      <c r="E69" s="19"/>
    </row>
  </sheetData>
  <mergeCells count="184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3"/>
    <mergeCell ref="C9:D9"/>
    <mergeCell ref="R9:R13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AC9:AC13"/>
    <mergeCell ref="C10:D10"/>
    <mergeCell ref="Y10:Z10"/>
    <mergeCell ref="C11:D11"/>
    <mergeCell ref="Y11:Z11"/>
    <mergeCell ref="C12:D12"/>
    <mergeCell ref="Y12:Z12"/>
    <mergeCell ref="C13:D13"/>
    <mergeCell ref="Y13:Z13"/>
    <mergeCell ref="AC18:AC24"/>
    <mergeCell ref="C19:D19"/>
    <mergeCell ref="Y19:Z19"/>
    <mergeCell ref="C20:D20"/>
    <mergeCell ref="Y20:Z20"/>
    <mergeCell ref="A14:A17"/>
    <mergeCell ref="C14:D14"/>
    <mergeCell ref="R14:R17"/>
    <mergeCell ref="Y14:Z14"/>
    <mergeCell ref="AC14:AC17"/>
    <mergeCell ref="C15:D15"/>
    <mergeCell ref="Y15:Z15"/>
    <mergeCell ref="C16:D16"/>
    <mergeCell ref="Y16:Z16"/>
    <mergeCell ref="C17:D17"/>
    <mergeCell ref="C21:D21"/>
    <mergeCell ref="Y21:Z21"/>
    <mergeCell ref="C22:D22"/>
    <mergeCell ref="Y22:Z22"/>
    <mergeCell ref="C23:D23"/>
    <mergeCell ref="Y23:Z23"/>
    <mergeCell ref="Y17:Z17"/>
    <mergeCell ref="A18:A24"/>
    <mergeCell ref="C18:D18"/>
    <mergeCell ref="R18:R24"/>
    <mergeCell ref="Y18:Z18"/>
    <mergeCell ref="C24:D24"/>
    <mergeCell ref="Y24:Z24"/>
    <mergeCell ref="A25:A31"/>
    <mergeCell ref="C25:D25"/>
    <mergeCell ref="R25:R31"/>
    <mergeCell ref="Y25:Z25"/>
    <mergeCell ref="Y30:Z30"/>
    <mergeCell ref="C31:D31"/>
    <mergeCell ref="Y31:Z31"/>
    <mergeCell ref="AC25:AC31"/>
    <mergeCell ref="C26:D26"/>
    <mergeCell ref="Y26:Z26"/>
    <mergeCell ref="C27:D27"/>
    <mergeCell ref="Y27:Z27"/>
    <mergeCell ref="C28:D28"/>
    <mergeCell ref="Y28:Z28"/>
    <mergeCell ref="C29:D29"/>
    <mergeCell ref="Y29:Z29"/>
    <mergeCell ref="C30:D30"/>
    <mergeCell ref="A32:A38"/>
    <mergeCell ref="C32:D32"/>
    <mergeCell ref="R32:R38"/>
    <mergeCell ref="Y32:Z32"/>
    <mergeCell ref="AC32:AC38"/>
    <mergeCell ref="C33:D33"/>
    <mergeCell ref="Y33:Z33"/>
    <mergeCell ref="C34:D34"/>
    <mergeCell ref="Y34:Z34"/>
    <mergeCell ref="C35:D35"/>
    <mergeCell ref="AC39:AC46"/>
    <mergeCell ref="C40:D40"/>
    <mergeCell ref="Y40:Z40"/>
    <mergeCell ref="C41:D41"/>
    <mergeCell ref="Y41:Z41"/>
    <mergeCell ref="C42:D42"/>
    <mergeCell ref="Y35:Z35"/>
    <mergeCell ref="C36:D36"/>
    <mergeCell ref="Y36:Z36"/>
    <mergeCell ref="C37:D37"/>
    <mergeCell ref="Y37:Z37"/>
    <mergeCell ref="C38:D38"/>
    <mergeCell ref="Y38:Z38"/>
    <mergeCell ref="C46:D46"/>
    <mergeCell ref="Y46:Z46"/>
    <mergeCell ref="A47:A52"/>
    <mergeCell ref="C47:D47"/>
    <mergeCell ref="R47:R52"/>
    <mergeCell ref="Y47:Z47"/>
    <mergeCell ref="Y42:Z42"/>
    <mergeCell ref="C43:D43"/>
    <mergeCell ref="Y43:Z43"/>
    <mergeCell ref="C44:D44"/>
    <mergeCell ref="Y44:Z44"/>
    <mergeCell ref="C45:D45"/>
    <mergeCell ref="Y45:Z45"/>
    <mergeCell ref="A39:A46"/>
    <mergeCell ref="C39:D39"/>
    <mergeCell ref="R39:R46"/>
    <mergeCell ref="Y39:Z39"/>
    <mergeCell ref="Y66:Z66"/>
    <mergeCell ref="AC53:AC59"/>
    <mergeCell ref="C54:D54"/>
    <mergeCell ref="Y54:Z54"/>
    <mergeCell ref="C55:D55"/>
    <mergeCell ref="Y55:Z55"/>
    <mergeCell ref="C56:D56"/>
    <mergeCell ref="AC47:AC52"/>
    <mergeCell ref="C48:D48"/>
    <mergeCell ref="Y48:Z48"/>
    <mergeCell ref="C49:D49"/>
    <mergeCell ref="C52:D52"/>
    <mergeCell ref="Y52:Z52"/>
    <mergeCell ref="Y56:Z56"/>
    <mergeCell ref="C57:D57"/>
    <mergeCell ref="Y57:Z57"/>
    <mergeCell ref="C58:D58"/>
    <mergeCell ref="Y58:Z58"/>
    <mergeCell ref="C59:D59"/>
    <mergeCell ref="Y59:Z59"/>
    <mergeCell ref="A53:A59"/>
    <mergeCell ref="C53:D53"/>
    <mergeCell ref="R53:R59"/>
    <mergeCell ref="Y53:Z53"/>
    <mergeCell ref="A60:A68"/>
    <mergeCell ref="C60:D60"/>
    <mergeCell ref="R60:R68"/>
    <mergeCell ref="Y60:Z60"/>
    <mergeCell ref="AC60:AC68"/>
    <mergeCell ref="C61:D61"/>
    <mergeCell ref="Y61:Z61"/>
    <mergeCell ref="C62:D62"/>
    <mergeCell ref="Y62:Z62"/>
    <mergeCell ref="C63:D63"/>
    <mergeCell ref="C67:D67"/>
    <mergeCell ref="Y67:Z67"/>
    <mergeCell ref="C68:D68"/>
    <mergeCell ref="Y68:Z68"/>
    <mergeCell ref="Y63:Z63"/>
    <mergeCell ref="C64:D64"/>
    <mergeCell ref="Y64:Z64"/>
    <mergeCell ref="C65:D65"/>
    <mergeCell ref="Y65:Z65"/>
    <mergeCell ref="C66:D66"/>
  </mergeCells>
  <phoneticPr fontId="3" type="noConversion"/>
  <conditionalFormatting sqref="O56:O65 O68 O5:O9 O13:O15 O46:O53 O17:O44">
    <cfRule type="cellIs" dxfId="966" priority="47" operator="greaterThan">
      <formula>0</formula>
    </cfRule>
  </conditionalFormatting>
  <conditionalFormatting sqref="P5:P7 P56:P58 AA56:AA58 P60:P65 P25:P30 P53 P9 P13:P15 P18:P23 P47:P51 P32:P44 AA5:AA53 AA60:AA68">
    <cfRule type="cellIs" dxfId="965" priority="51" operator="lessThan">
      <formula>0</formula>
    </cfRule>
  </conditionalFormatting>
  <conditionalFormatting sqref="AB56:AB58 Q56:Q65 Q68 Q5:Q9 Q13:Q15 Q46:Q53 Q17:Q44 AB5:AB53 AB60:AB68">
    <cfRule type="cellIs" dxfId="964" priority="48" operator="greaterThan">
      <formula>1</formula>
    </cfRule>
    <cfRule type="cellIs" dxfId="963" priority="49" operator="lessThan">
      <formula>0.8</formula>
    </cfRule>
  </conditionalFormatting>
  <conditionalFormatting sqref="AC14:AC15 R14:R15 AC56 R56:R65 R68 AC5:AC9 R5:R9 R17:R44 AC17:AC44 AC46:AC53 R46:R53">
    <cfRule type="cellIs" dxfId="962" priority="53" operator="lessThan">
      <formula>0.8</formula>
    </cfRule>
  </conditionalFormatting>
  <conditionalFormatting sqref="AC39">
    <cfRule type="cellIs" dxfId="961" priority="55" operator="lessThan">
      <formula>0.8</formula>
    </cfRule>
  </conditionalFormatting>
  <conditionalFormatting sqref="AC18:AC23">
    <cfRule type="cellIs" dxfId="960" priority="52" operator="lessThan">
      <formula>0.8</formula>
    </cfRule>
  </conditionalFormatting>
  <conditionalFormatting sqref="AC25">
    <cfRule type="cellIs" dxfId="959" priority="54" operator="lessThan">
      <formula>0.8</formula>
    </cfRule>
  </conditionalFormatting>
  <conditionalFormatting sqref="AC32:AC37">
    <cfRule type="cellIs" dxfId="958" priority="50" operator="lessThan">
      <formula>0.8</formula>
    </cfRule>
  </conditionalFormatting>
  <conditionalFormatting sqref="AA59">
    <cfRule type="cellIs" dxfId="957" priority="46" operator="lessThan">
      <formula>0</formula>
    </cfRule>
  </conditionalFormatting>
  <conditionalFormatting sqref="AB59">
    <cfRule type="cellIs" dxfId="956" priority="44" operator="greaterThan">
      <formula>1</formula>
    </cfRule>
    <cfRule type="cellIs" dxfId="955" priority="45" operator="lessThan">
      <formula>0.8</formula>
    </cfRule>
  </conditionalFormatting>
  <conditionalFormatting sqref="O16">
    <cfRule type="cellIs" dxfId="954" priority="39" operator="greaterThan">
      <formula>0</formula>
    </cfRule>
  </conditionalFormatting>
  <conditionalFormatting sqref="P16">
    <cfRule type="cellIs" dxfId="953" priority="42" operator="lessThan">
      <formula>0</formula>
    </cfRule>
  </conditionalFormatting>
  <conditionalFormatting sqref="Q16">
    <cfRule type="cellIs" dxfId="952" priority="40" operator="greaterThan">
      <formula>1</formula>
    </cfRule>
    <cfRule type="cellIs" dxfId="951" priority="41" operator="lessThan">
      <formula>0.8</formula>
    </cfRule>
  </conditionalFormatting>
  <conditionalFormatting sqref="R16 AC16">
    <cfRule type="cellIs" dxfId="950" priority="43" operator="lessThan">
      <formula>0.8</formula>
    </cfRule>
  </conditionalFormatting>
  <conditionalFormatting sqref="O10:O12">
    <cfRule type="cellIs" dxfId="949" priority="35" operator="greaterThan">
      <formula>0</formula>
    </cfRule>
  </conditionalFormatting>
  <conditionalFormatting sqref="P10:P12">
    <cfRule type="cellIs" dxfId="948" priority="38" operator="lessThan">
      <formula>0</formula>
    </cfRule>
  </conditionalFormatting>
  <conditionalFormatting sqref="Q10:Q12">
    <cfRule type="cellIs" dxfId="947" priority="36" operator="greaterThan">
      <formula>1</formula>
    </cfRule>
    <cfRule type="cellIs" dxfId="946" priority="37" operator="lessThan">
      <formula>0.8</formula>
    </cfRule>
  </conditionalFormatting>
  <conditionalFormatting sqref="O55">
    <cfRule type="cellIs" dxfId="945" priority="30" operator="greaterThan">
      <formula>0</formula>
    </cfRule>
  </conditionalFormatting>
  <conditionalFormatting sqref="P55 AA55">
    <cfRule type="cellIs" dxfId="944" priority="33" operator="lessThan">
      <formula>0</formula>
    </cfRule>
  </conditionalFormatting>
  <conditionalFormatting sqref="Q55 AB55">
    <cfRule type="cellIs" dxfId="943" priority="31" operator="greaterThan">
      <formula>1</formula>
    </cfRule>
    <cfRule type="cellIs" dxfId="942" priority="32" operator="lessThan">
      <formula>0.8</formula>
    </cfRule>
  </conditionalFormatting>
  <conditionalFormatting sqref="R55 AC55">
    <cfRule type="cellIs" dxfId="941" priority="34" operator="lessThan">
      <formula>0.8</formula>
    </cfRule>
  </conditionalFormatting>
  <conditionalFormatting sqref="O66">
    <cfRule type="cellIs" dxfId="940" priority="25" operator="greaterThan">
      <formula>0</formula>
    </cfRule>
  </conditionalFormatting>
  <conditionalFormatting sqref="P66">
    <cfRule type="cellIs" dxfId="939" priority="28" operator="lessThan">
      <formula>0</formula>
    </cfRule>
  </conditionalFormatting>
  <conditionalFormatting sqref="Q66">
    <cfRule type="cellIs" dxfId="938" priority="26" operator="greaterThan">
      <formula>1</formula>
    </cfRule>
    <cfRule type="cellIs" dxfId="937" priority="27" operator="lessThan">
      <formula>0.8</formula>
    </cfRule>
  </conditionalFormatting>
  <conditionalFormatting sqref="R66">
    <cfRule type="cellIs" dxfId="936" priority="29" operator="lessThan">
      <formula>0.8</formula>
    </cfRule>
  </conditionalFormatting>
  <conditionalFormatting sqref="O45">
    <cfRule type="cellIs" dxfId="935" priority="19" operator="greaterThan">
      <formula>0</formula>
    </cfRule>
  </conditionalFormatting>
  <conditionalFormatting sqref="P45">
    <cfRule type="cellIs" dxfId="934" priority="23" operator="lessThan">
      <formula>0</formula>
    </cfRule>
  </conditionalFormatting>
  <conditionalFormatting sqref="Q45">
    <cfRule type="cellIs" dxfId="933" priority="20" operator="greaterThan">
      <formula>1</formula>
    </cfRule>
    <cfRule type="cellIs" dxfId="932" priority="21" operator="lessThan">
      <formula>0.8</formula>
    </cfRule>
  </conditionalFormatting>
  <conditionalFormatting sqref="R45 AC45">
    <cfRule type="cellIs" dxfId="931" priority="24" operator="lessThan">
      <formula>0.8</formula>
    </cfRule>
  </conditionalFormatting>
  <conditionalFormatting sqref="AC45">
    <cfRule type="cellIs" dxfId="930" priority="22" operator="lessThan">
      <formula>0.8</formula>
    </cfRule>
  </conditionalFormatting>
  <conditionalFormatting sqref="O54">
    <cfRule type="cellIs" dxfId="929" priority="14" operator="greaterThan">
      <formula>0</formula>
    </cfRule>
  </conditionalFormatting>
  <conditionalFormatting sqref="P54 AA54">
    <cfRule type="cellIs" dxfId="928" priority="17" operator="lessThan">
      <formula>0</formula>
    </cfRule>
  </conditionalFormatting>
  <conditionalFormatting sqref="Q54 AB54">
    <cfRule type="cellIs" dxfId="927" priority="15" operator="greaterThan">
      <formula>1</formula>
    </cfRule>
    <cfRule type="cellIs" dxfId="926" priority="16" operator="lessThan">
      <formula>0.8</formula>
    </cfRule>
  </conditionalFormatting>
  <conditionalFormatting sqref="R54 AC54">
    <cfRule type="cellIs" dxfId="925" priority="18" operator="lessThan">
      <formula>0.8</formula>
    </cfRule>
  </conditionalFormatting>
  <conditionalFormatting sqref="P8">
    <cfRule type="cellIs" dxfId="924" priority="13" operator="lessThan">
      <formula>0</formula>
    </cfRule>
  </conditionalFormatting>
  <conditionalFormatting sqref="P17">
    <cfRule type="cellIs" dxfId="923" priority="12" operator="lessThan">
      <formula>0</formula>
    </cfRule>
  </conditionalFormatting>
  <conditionalFormatting sqref="P24">
    <cfRule type="cellIs" dxfId="922" priority="11" operator="lessThan">
      <formula>0</formula>
    </cfRule>
  </conditionalFormatting>
  <conditionalFormatting sqref="P31">
    <cfRule type="cellIs" dxfId="921" priority="10" operator="lessThan">
      <formula>0</formula>
    </cfRule>
  </conditionalFormatting>
  <conditionalFormatting sqref="P46">
    <cfRule type="cellIs" dxfId="920" priority="9" operator="lessThan">
      <formula>0</formula>
    </cfRule>
  </conditionalFormatting>
  <conditionalFormatting sqref="P52">
    <cfRule type="cellIs" dxfId="919" priority="8" operator="lessThan">
      <formula>0</formula>
    </cfRule>
  </conditionalFormatting>
  <conditionalFormatting sqref="P59">
    <cfRule type="cellIs" dxfId="918" priority="7" operator="lessThan">
      <formula>0</formula>
    </cfRule>
  </conditionalFormatting>
  <conditionalFormatting sqref="P68">
    <cfRule type="cellIs" dxfId="917" priority="6" operator="lessThan">
      <formula>0</formula>
    </cfRule>
  </conditionalFormatting>
  <conditionalFormatting sqref="O67">
    <cfRule type="cellIs" dxfId="916" priority="1" operator="greaterThan">
      <formula>0</formula>
    </cfRule>
  </conditionalFormatting>
  <conditionalFormatting sqref="P67">
    <cfRule type="cellIs" dxfId="915" priority="4" operator="lessThan">
      <formula>0</formula>
    </cfRule>
  </conditionalFormatting>
  <conditionalFormatting sqref="Q67">
    <cfRule type="cellIs" dxfId="914" priority="2" operator="greaterThan">
      <formula>1</formula>
    </cfRule>
    <cfRule type="cellIs" dxfId="913" priority="3" operator="lessThan">
      <formula>0.8</formula>
    </cfRule>
  </conditionalFormatting>
  <conditionalFormatting sqref="R67">
    <cfRule type="cellIs" dxfId="912" priority="5" operator="lessThan">
      <formula>0.8</formula>
    </cfRule>
  </conditionalFormatting>
  <dataValidations count="1">
    <dataValidation type="list" allowBlank="1" showInputMessage="1" showErrorMessage="1" sqref="Z8 Z57:Z58 Y5:Z7 Y8:Y58 Z10:Z53 Y59:Z68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"/>
  <dimension ref="B1:Q28"/>
  <sheetViews>
    <sheetView zoomScale="70" zoomScaleNormal="70" workbookViewId="0">
      <selection activeCell="C3" sqref="C3:D3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521" t="s">
        <v>758</v>
      </c>
      <c r="C1" s="521"/>
      <c r="D1" s="521"/>
      <c r="E1" s="521"/>
      <c r="F1" s="521"/>
      <c r="G1" s="521"/>
      <c r="H1" s="521"/>
      <c r="I1" s="521"/>
      <c r="J1" s="521"/>
      <c r="K1" s="28"/>
      <c r="L1" s="28"/>
      <c r="M1" s="28"/>
      <c r="N1" s="28"/>
      <c r="O1" s="28"/>
      <c r="P1" s="28"/>
    </row>
    <row r="2" spans="2:17" ht="27.75" customHeight="1">
      <c r="B2" s="522"/>
      <c r="C2" s="522"/>
      <c r="D2" s="522"/>
      <c r="E2" s="522"/>
      <c r="F2" s="522"/>
      <c r="G2" s="522"/>
      <c r="H2" s="522"/>
      <c r="I2" s="522"/>
      <c r="J2" s="522"/>
      <c r="K2" s="30"/>
      <c r="L2" s="30"/>
      <c r="M2" s="30"/>
      <c r="N2" s="28"/>
      <c r="O2" s="28"/>
      <c r="P2" s="28"/>
    </row>
    <row r="3" spans="2:17" ht="46.5" customHeight="1">
      <c r="B3" s="218" t="s">
        <v>759</v>
      </c>
      <c r="C3" s="523" t="str">
        <f>TEXT('0816 4度C'!A2,"yyyy.mm.ddaaaa")</f>
        <v>2025.08.16星期六</v>
      </c>
      <c r="D3" s="523"/>
      <c r="E3" s="218" t="s">
        <v>760</v>
      </c>
      <c r="F3" s="524">
        <f>'0816 4度C'!D1</f>
        <v>129760</v>
      </c>
      <c r="G3" s="524"/>
      <c r="H3" s="218" t="s">
        <v>90</v>
      </c>
      <c r="I3" s="581">
        <f>'0816 4度C'!F1</f>
        <v>4483117.49</v>
      </c>
      <c r="J3" s="581"/>
      <c r="K3" s="31"/>
      <c r="L3" s="32"/>
      <c r="M3" s="33"/>
      <c r="N3" s="33"/>
    </row>
    <row r="4" spans="2:17" ht="28.5" customHeight="1">
      <c r="B4" s="516" t="s">
        <v>124</v>
      </c>
      <c r="C4" s="516" t="s">
        <v>105</v>
      </c>
      <c r="D4" s="516"/>
      <c r="E4" s="526" t="s">
        <v>221</v>
      </c>
      <c r="F4" s="526"/>
      <c r="G4" s="526" t="s">
        <v>261</v>
      </c>
      <c r="H4" s="526"/>
      <c r="I4" s="526" t="s">
        <v>108</v>
      </c>
      <c r="J4" s="526"/>
      <c r="L4" s="33"/>
      <c r="M4" s="33"/>
      <c r="N4" s="33"/>
    </row>
    <row r="5" spans="2:17" ht="28.5" customHeight="1">
      <c r="B5" s="516"/>
      <c r="C5" s="516" t="s">
        <v>109</v>
      </c>
      <c r="D5" s="516"/>
      <c r="E5" s="516" t="s">
        <v>125</v>
      </c>
      <c r="F5" s="516"/>
      <c r="G5" s="517" t="s">
        <v>263</v>
      </c>
      <c r="H5" s="517"/>
      <c r="I5" s="582" t="s">
        <v>111</v>
      </c>
      <c r="J5" s="582"/>
      <c r="K5" s="33"/>
      <c r="L5" s="33"/>
      <c r="M5" s="33"/>
      <c r="N5" s="33"/>
    </row>
    <row r="6" spans="2:17" ht="28.5" customHeight="1">
      <c r="B6" s="516"/>
      <c r="C6" s="516" t="s">
        <v>43</v>
      </c>
      <c r="D6" s="516"/>
      <c r="E6" s="519">
        <f>AVERAGE(D13:M13)</f>
        <v>148.1622296523031</v>
      </c>
      <c r="F6" s="516">
        <f>AVERAGE(D27:O27,D13:J13)</f>
        <v>154.1269757756186</v>
      </c>
      <c r="G6" s="520">
        <f>AVERAGE(D13:J13)</f>
        <v>154.1269757756186</v>
      </c>
      <c r="H6" s="520"/>
      <c r="I6" s="520">
        <f>AVERAGE(K13:M13)</f>
        <v>134.24448869790027</v>
      </c>
      <c r="J6" s="520"/>
      <c r="K6" s="33"/>
      <c r="L6" s="33"/>
      <c r="M6" s="33"/>
      <c r="N6" s="33"/>
    </row>
    <row r="7" spans="2:17" ht="28.5" customHeight="1">
      <c r="B7" s="516"/>
      <c r="C7" s="510" t="s">
        <v>44</v>
      </c>
      <c r="D7" s="510"/>
      <c r="E7" s="511">
        <f>AVERAGE(D14:M14)</f>
        <v>137.83910173656295</v>
      </c>
      <c r="F7" s="512">
        <f>AVERAGE(D28:O28,D14:J14)</f>
        <v>143.55489634847279</v>
      </c>
      <c r="G7" s="513">
        <f>AVERAGE(D14:J14)</f>
        <v>143.55489634847279</v>
      </c>
      <c r="H7" s="513"/>
      <c r="I7" s="513">
        <f>AVERAGE(K14:M14)</f>
        <v>124.50224764210668</v>
      </c>
      <c r="J7" s="513"/>
      <c r="K7" s="33"/>
      <c r="L7" s="33"/>
      <c r="M7" s="33"/>
      <c r="N7" s="33"/>
    </row>
    <row r="8" spans="2:17" ht="28.5" customHeight="1">
      <c r="B8" s="516"/>
      <c r="C8" s="510" t="s">
        <v>45</v>
      </c>
      <c r="D8" s="510"/>
      <c r="E8" s="514">
        <f>AVERAGE(D15:M15)</f>
        <v>0.92958874941510528</v>
      </c>
      <c r="F8" s="510">
        <f>AVERAGE(D15:J15,D29:O29)</f>
        <v>0.93051683494823367</v>
      </c>
      <c r="G8" s="515">
        <f>AVERAGE(D15:J15)</f>
        <v>0.93051683494823367</v>
      </c>
      <c r="H8" s="515"/>
      <c r="I8" s="515">
        <f>AVERAGE(K15:M15)</f>
        <v>0.92742321650447224</v>
      </c>
      <c r="J8" s="515"/>
      <c r="K8" s="34" t="s">
        <v>126</v>
      </c>
      <c r="L8" s="33"/>
      <c r="M8" s="33"/>
      <c r="N8" s="33"/>
    </row>
    <row r="9" spans="2:17" ht="28.5" customHeight="1" thickBot="1">
      <c r="H9" s="36"/>
      <c r="N9" s="33"/>
      <c r="O9" s="33"/>
      <c r="P9" s="33"/>
      <c r="Q9" s="33"/>
    </row>
    <row r="10" spans="2:17" ht="30" customHeight="1">
      <c r="B10" s="501" t="s">
        <v>761</v>
      </c>
      <c r="C10" s="502"/>
      <c r="D10" s="503" t="s">
        <v>762</v>
      </c>
      <c r="E10" s="504"/>
      <c r="F10" s="504"/>
      <c r="G10" s="504"/>
      <c r="H10" s="504"/>
      <c r="I10" s="504"/>
      <c r="J10" s="505"/>
      <c r="K10" s="506" t="s">
        <v>422</v>
      </c>
      <c r="L10" s="583"/>
      <c r="M10" s="507"/>
      <c r="P10" s="37"/>
      <c r="Q10" s="37"/>
    </row>
    <row r="11" spans="2:17" ht="17.25" customHeight="1">
      <c r="B11" s="493" t="s">
        <v>130</v>
      </c>
      <c r="C11" s="494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39">
        <v>6</v>
      </c>
      <c r="J11" s="40">
        <v>7</v>
      </c>
      <c r="K11" s="38">
        <v>1</v>
      </c>
      <c r="L11" s="39">
        <v>2</v>
      </c>
      <c r="M11" s="40">
        <v>3</v>
      </c>
      <c r="P11" s="37"/>
      <c r="Q11" s="37"/>
    </row>
    <row r="12" spans="2:17" ht="34.15" customHeight="1">
      <c r="B12" s="493"/>
      <c r="C12" s="494"/>
      <c r="D12" s="41" t="s">
        <v>345</v>
      </c>
      <c r="E12" s="42" t="s">
        <v>346</v>
      </c>
      <c r="F12" s="42" t="s">
        <v>347</v>
      </c>
      <c r="G12" s="42" t="s">
        <v>348</v>
      </c>
      <c r="H12" s="42" t="s">
        <v>349</v>
      </c>
      <c r="I12" s="42" t="s">
        <v>350</v>
      </c>
      <c r="J12" s="43" t="s">
        <v>351</v>
      </c>
      <c r="K12" s="41" t="s">
        <v>352</v>
      </c>
      <c r="L12" s="42" t="s">
        <v>353</v>
      </c>
      <c r="M12" s="43" t="s">
        <v>354</v>
      </c>
    </row>
    <row r="13" spans="2:17" ht="40.15" customHeight="1">
      <c r="B13" s="508" t="s">
        <v>763</v>
      </c>
      <c r="C13" s="44" t="s">
        <v>764</v>
      </c>
      <c r="D13" s="45">
        <f>SUMIFS('0816 4度C'!$K:$K,'0816 4度C'!$A:$A,"新豐6線",'0816 4度C'!$B:$B,"平均")</f>
        <v>117.64705882352941</v>
      </c>
      <c r="E13" s="46">
        <f>SUMIFS('0816 4度C'!$K:$K,'0816 4度C'!$A:$A,"新豐2線",'0816 4度C'!$B:$B,"平均")</f>
        <v>81.818181818181827</v>
      </c>
      <c r="F13" s="47">
        <f>SUMIFS('0816 4度C'!$K:$K,'0816 4度C'!$A:$A,"新豐5線",'0816 4度C'!$B:$B,"平均")</f>
        <v>93.220338983050837</v>
      </c>
      <c r="G13" s="47">
        <f>SUMIFS('0816 4度C'!$K:$K,'0816 4度C'!$A:$A,"新豐7線",'0816 4度C'!$B:$B,"平均")</f>
        <v>117.64705882352941</v>
      </c>
      <c r="H13" s="47">
        <f>SUMIFS('0816 4度C'!$K:$K,'0816 4度C'!$A:$A,"新豐3線",'0816 4度C'!$B:$B,"平均")</f>
        <v>300</v>
      </c>
      <c r="I13" s="47">
        <f>SUMIFS('0816 4度C'!$K:$K,'0816 4度C'!$A:$A,"新豐1線",'0816 4度C'!$B:$B,"平均")</f>
        <v>114.4578313253012</v>
      </c>
      <c r="J13" s="48">
        <f>SUMIFS('0816 4度C'!$K:$K,'0816 4度C'!$A:$A,"新豐10線",'0816 4度C'!$B:$B,"平均")</f>
        <v>254.09836065573774</v>
      </c>
      <c r="K13" s="49">
        <f>SUMIFS('0816 4度C'!$K:$K,'0816 4度C'!$A:$A,"新豐8線",'0816 4度C'!$B:$B,"平均")</f>
        <v>137.93103448275863</v>
      </c>
      <c r="L13" s="50">
        <f>SUMIFS('0816 4度C'!$K:$K,'0816 4度C'!$A:$A,"新豐9線",'0816 4度C'!$B:$B,"平均")</f>
        <v>127.6595744680851</v>
      </c>
      <c r="M13" s="48">
        <f>SUMIFS('0816 4度C'!$K:$K,'0816 4度C'!$A:$A,"新豐4線",'0816 4度C'!$B:$B,"平均")</f>
        <v>137.14285714285714</v>
      </c>
    </row>
    <row r="14" spans="2:17" ht="39.6" customHeight="1">
      <c r="B14" s="508"/>
      <c r="C14" s="51" t="s">
        <v>765</v>
      </c>
      <c r="D14" s="52">
        <f>SUMIFS('0816 4度C'!$N:$N,'0816 4度C'!$A:$A,"新豐6線",'0816 4度C'!$B:$B,"平均")</f>
        <v>108.95833333333336</v>
      </c>
      <c r="E14" s="53">
        <f>SUMIFS('0816 4度C'!$N:$N,'0816 4度C'!$A:$A,"新豐2線",'0816 4度C'!$B:$B,"平均")</f>
        <v>75.453746812777666</v>
      </c>
      <c r="F14" s="53">
        <f>SUMIFS('0816 4度C'!$N:$N,'0816 4度C'!$A:$A,"新豐5線",'0816 4度C'!$B:$B,"平均")</f>
        <v>86.295897448655239</v>
      </c>
      <c r="G14" s="53">
        <f>SUMIFS('0816 4度C'!$N:$N,'0816 4度C'!$A:$A,"新豐7線",'0816 4度C'!$B:$B,"平均")</f>
        <v>111.34814283533974</v>
      </c>
      <c r="H14" s="53">
        <f>SUMIFS('0816 4度C'!$N:$N,'0816 4度C'!$A:$A,"新豐3線",'0816 4度C'!$B:$B,"平均")</f>
        <v>279.46528573826077</v>
      </c>
      <c r="I14" s="53">
        <f>SUMIFS('0816 4度C'!$N:$N,'0816 4度C'!$A:$A,"新豐1線",'0816 4度C'!$B:$B,"平均")</f>
        <v>106.26799785683123</v>
      </c>
      <c r="J14" s="54">
        <f>SUMIFS('0816 4度C'!$N:$N,'0816 4度C'!$A:$A,"新豐10線",'0816 4度C'!$B:$B,"平均")</f>
        <v>237.09487041411148</v>
      </c>
      <c r="K14" s="55">
        <f>SUMIFS('0816 4度C'!$N:$N,'0816 4度C'!$A:$A,"新豐8線",'0816 4度C'!$B:$B,"平均")</f>
        <v>128.00345978462647</v>
      </c>
      <c r="L14" s="56">
        <f>SUMIFS('0816 4度C'!$N:$N,'0816 4度C'!$A:$A,"新豐9線",'0816 4度C'!$B:$B,"平均")</f>
        <v>118.36884892312476</v>
      </c>
      <c r="M14" s="54">
        <f>SUMIFS('0816 4度C'!$N:$N,'0816 4度C'!$A:$A,"新豐4線",'0816 4度C'!$B:$B,"平均")</f>
        <v>127.1344342185688</v>
      </c>
    </row>
    <row r="15" spans="2:17" ht="40.15" customHeight="1">
      <c r="B15" s="508"/>
      <c r="C15" s="57" t="s">
        <v>766</v>
      </c>
      <c r="D15" s="58">
        <f>D14/D13</f>
        <v>0.92614583333333356</v>
      </c>
      <c r="E15" s="59">
        <f t="shared" ref="E15:M15" si="0">E14/E13</f>
        <v>0.92221246104506027</v>
      </c>
      <c r="F15" s="59">
        <f t="shared" si="0"/>
        <v>0.92571962717648359</v>
      </c>
      <c r="G15" s="59">
        <f t="shared" si="0"/>
        <v>0.94645921410038791</v>
      </c>
      <c r="H15" s="59">
        <f>H14/H13</f>
        <v>0.93155095246086927</v>
      </c>
      <c r="I15" s="59">
        <f>I14/I13</f>
        <v>0.92844671811757817</v>
      </c>
      <c r="J15" s="60">
        <f>J14/J13</f>
        <v>0.93308303840392248</v>
      </c>
      <c r="K15" s="58">
        <f>K14/K13</f>
        <v>0.92802508343854184</v>
      </c>
      <c r="L15" s="59">
        <f>L14/L13</f>
        <v>0.92722264989781067</v>
      </c>
      <c r="M15" s="60">
        <f t="shared" si="0"/>
        <v>0.9270219161770642</v>
      </c>
    </row>
    <row r="16" spans="2:17" ht="17.25" customHeight="1">
      <c r="B16" s="509" t="s">
        <v>265</v>
      </c>
      <c r="C16" s="217" t="s">
        <v>767</v>
      </c>
      <c r="D16" s="61">
        <f>VLOOKUP("新豐6線",'0816 4度C'!$A:$T,19,0)</f>
        <v>0.70833333333333337</v>
      </c>
      <c r="E16" s="24">
        <f>VLOOKUP("新豐2線",'0816 4度C'!$A:$T,19,0)</f>
        <v>0.125</v>
      </c>
      <c r="F16" s="24">
        <f>VLOOKUP("新豐5線",'0816 4度C'!$A:$T,19,0)</f>
        <v>0.25</v>
      </c>
      <c r="G16" s="24">
        <f>VLOOKUP("新豐7線",'0816 4度C'!$A:$T,19,0)</f>
        <v>0.20833333333333334</v>
      </c>
      <c r="H16" s="24">
        <f>VLOOKUP("新豐3線",'0816 4度C'!$A:$T,19,0)</f>
        <v>0.20833333333333334</v>
      </c>
      <c r="I16" s="24">
        <f>VLOOKUP("新豐1線",'0816 4度C'!$A:$T,19,0)</f>
        <v>0.29166666666666669</v>
      </c>
      <c r="J16" s="62">
        <f>VLOOKUP("新豐10線",'0816 4度C'!$A:$T,19,0)</f>
        <v>0.20833333333333334</v>
      </c>
      <c r="K16" s="63">
        <f>VLOOKUP("新豐8線",'0816 4度C'!$A:$T,19,0)</f>
        <v>0.125</v>
      </c>
      <c r="L16" s="64">
        <f>VLOOKUP("新豐9線",'0816 4度C'!$A:$T,19,0)</f>
        <v>0.125</v>
      </c>
      <c r="M16" s="65">
        <f>VLOOKUP("新豐4線",'0816 4度C'!$A:$T,19,0)</f>
        <v>0.125</v>
      </c>
    </row>
    <row r="17" spans="2:13" ht="17.25" customHeight="1">
      <c r="B17" s="493"/>
      <c r="C17" s="217" t="s">
        <v>768</v>
      </c>
      <c r="D17" s="63">
        <f>LOOKUP(2,1/(('0816 4度C'!$A:$A="新豐6線")*('0816 4度C'!$T:$T&lt;&gt;"")),'0816 4度C'!$T:$T)</f>
        <v>0.82916666666666661</v>
      </c>
      <c r="E17" s="24">
        <f>LOOKUP(2,1/(('0816 4度C'!$A:$A="新豐2線")*('0816 4度C'!$T:$T&lt;&gt;"")),'0816 4度C'!$T:$T)</f>
        <v>0.52569444444444435</v>
      </c>
      <c r="F17" s="24">
        <f>LOOKUP(2,1/(('0816 4度C'!$A:$A="新豐5線")*('0816 4度C'!$T:$T&lt;&gt;"")),'0816 4度C'!$T:$T)</f>
        <v>0.82986111111111116</v>
      </c>
      <c r="G17" s="24">
        <f>LOOKUP(2,1/(('0816 4度C'!$A:$A="新豐7線")*('0816 4度C'!$T:$T&lt;&gt;"")),'0816 4度C'!$T:$T)</f>
        <v>0.81944444444444442</v>
      </c>
      <c r="H17" s="24">
        <f>LOOKUP(2,1/(('0816 4度C'!$A:$A="新豐3線")*('0816 4度C'!$T:$T&lt;&gt;"")),'0816 4度C'!$T:$T)</f>
        <v>0.51041666666666663</v>
      </c>
      <c r="I17" s="24">
        <f>LOOKUP(2,1/(('0816 4度C'!$A:$A="新豐1線")*('0816 4度C'!$T:$T&lt;&gt;"")),'0816 4度C'!$T:$T)</f>
        <v>0.83611111111111103</v>
      </c>
      <c r="J17" s="62">
        <f>LOOKUP(2,1/(('0816 4度C'!$A:$A="新豐10線")*('0816 4度C'!$T:$T&lt;&gt;"")),'0816 4度C'!$T:$T)</f>
        <v>0.4597222222222222</v>
      </c>
      <c r="K17" s="61">
        <f>LOOKUP(2,1/(('0816 4度C'!$A:$A="新豐8線")*('0816 4度C'!$T:$T&lt;&gt;"")),'0816 4度C'!$T:$T)</f>
        <v>0.49861111111111106</v>
      </c>
      <c r="L17" s="24">
        <f>LOOKUP(2,1/(('0816 4度C'!$A:$A="新豐9線")*('0816 4度C'!$T:$T&lt;&gt;"")),'0816 4度C'!$T:$T)</f>
        <v>0.44791666666666663</v>
      </c>
      <c r="M17" s="62">
        <f>LOOKUP(2,1/(('0816 4度C'!$A:$A="新豐4線")*('0816 4度C'!$T:$T&lt;&gt;"")),'0816 4度C'!$T:$T)</f>
        <v>0.52916666666666667</v>
      </c>
    </row>
    <row r="18" spans="2:13" ht="17.25" customHeight="1">
      <c r="B18" s="493" t="s">
        <v>769</v>
      </c>
      <c r="C18" s="494"/>
      <c r="D18" s="66">
        <f>SUMIFS('0816 4度C'!$I:$I,'0816 4度C'!$A:$A,"新豐6線",'0816 4度C'!$B:$B,"平均")</f>
        <v>17</v>
      </c>
      <c r="E18" s="67">
        <f>SUMIFS('0816 4度C'!$I:$I,'0816 4度C'!$A:$A,"新豐2線",'0816 4度C'!$B:$B,"平均")</f>
        <v>18.333333333333332</v>
      </c>
      <c r="F18" s="67">
        <f>SUMIFS('0816 4度C'!$I:$I,'0816 4度C'!$A:$A,"新豐5線",'0816 4度C'!$B:$B,"平均")</f>
        <v>19.666666666666668</v>
      </c>
      <c r="G18" s="67">
        <f>SUMIFS('0816 4度C'!$I:$I,'0816 4度C'!$A:$A,"新豐7線",'0816 4度C'!$B:$B,"平均")</f>
        <v>17</v>
      </c>
      <c r="H18" s="67">
        <f>SUMIFS('0816 4度C'!$I:$I,'0816 4度C'!$A:$A,"新豐3線",'0816 4度C'!$B:$B,"平均")</f>
        <v>10</v>
      </c>
      <c r="I18" s="67">
        <f>SUMIFS('0816 4度C'!$I:$I,'0816 4度C'!$A:$A,"新豐1線",'0816 4度C'!$B:$B,"平均")</f>
        <v>16.600000000000001</v>
      </c>
      <c r="J18" s="68">
        <f>SUMIFS('0816 4度C'!$I:$I,'0816 4度C'!$A:$A,"新豐10線",'0816 4度C'!$B:$B,"平均")</f>
        <v>10.166666666666666</v>
      </c>
      <c r="K18" s="66">
        <f>SUMIFS('0816 4度C'!$I:$I,'0816 4度C'!$A:$A,"新豐8線",'0816 4度C'!$B:$B,"平均")</f>
        <v>17.399999999999999</v>
      </c>
      <c r="L18" s="67">
        <f>SUMIFS('0816 4度C'!$I:$I,'0816 4度C'!$A:$A,"新豐9線",'0816 4度C'!$B:$B,"平均")</f>
        <v>18.8</v>
      </c>
      <c r="M18" s="68">
        <f>SUMIFS('0816 4度C'!$I:$I,'0816 4度C'!$A:$A,"新豐4線",'0816 4度C'!$B:$B,"平均")</f>
        <v>17.5</v>
      </c>
    </row>
    <row r="19" spans="2:13" ht="17.25" customHeight="1">
      <c r="B19" s="495" t="s">
        <v>92</v>
      </c>
      <c r="C19" s="496"/>
      <c r="D19" s="69" t="s">
        <v>46</v>
      </c>
      <c r="E19" s="70" t="s">
        <v>47</v>
      </c>
      <c r="F19" s="70" t="s">
        <v>93</v>
      </c>
      <c r="G19" s="70" t="s">
        <v>770</v>
      </c>
      <c r="H19" s="70" t="s">
        <v>48</v>
      </c>
      <c r="I19" s="70" t="s">
        <v>46</v>
      </c>
      <c r="J19" s="71" t="s">
        <v>48</v>
      </c>
      <c r="K19" s="69" t="s">
        <v>771</v>
      </c>
      <c r="L19" s="70" t="s">
        <v>771</v>
      </c>
      <c r="M19" s="71" t="s">
        <v>771</v>
      </c>
    </row>
    <row r="20" spans="2:13" ht="17.25" customHeight="1">
      <c r="B20" s="495" t="s">
        <v>409</v>
      </c>
      <c r="C20" s="496"/>
      <c r="D20" s="69"/>
      <c r="E20" s="70"/>
      <c r="F20" s="70" t="s">
        <v>772</v>
      </c>
      <c r="G20" s="70" t="s">
        <v>46</v>
      </c>
      <c r="H20" s="70"/>
      <c r="I20" s="70"/>
      <c r="J20" s="71"/>
      <c r="K20" s="69"/>
      <c r="L20" s="70"/>
      <c r="M20" s="71"/>
    </row>
    <row r="21" spans="2:13" ht="17.25" customHeight="1" thickBot="1">
      <c r="B21" s="497" t="s">
        <v>648</v>
      </c>
      <c r="C21" s="498"/>
      <c r="D21" s="72"/>
      <c r="E21" s="73" t="s">
        <v>243</v>
      </c>
      <c r="F21" s="499" t="s">
        <v>773</v>
      </c>
      <c r="G21" s="500"/>
      <c r="H21" s="73" t="s">
        <v>774</v>
      </c>
      <c r="I21" s="73" t="s">
        <v>152</v>
      </c>
      <c r="J21" s="74" t="s">
        <v>73</v>
      </c>
      <c r="K21" s="75"/>
      <c r="L21" s="73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91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">
    <pageSetUpPr fitToPage="1"/>
  </sheetPr>
  <dimension ref="A1:AC64"/>
  <sheetViews>
    <sheetView zoomScale="80" zoomScaleNormal="80" workbookViewId="0">
      <pane ySplit="4" topLeftCell="A5" activePane="bottomLeft" state="frozen"/>
      <selection activeCell="C3" sqref="C3:D3"/>
      <selection pane="bottomLeft" activeCell="V5" sqref="V5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775</v>
      </c>
      <c r="B1" s="1"/>
      <c r="C1" s="2" t="s">
        <v>776</v>
      </c>
      <c r="D1" s="3">
        <f>SUM(F5:F63)</f>
        <v>129760</v>
      </c>
      <c r="E1" s="219" t="s">
        <v>777</v>
      </c>
      <c r="F1" s="1">
        <f>SUM(G5:G63)</f>
        <v>4483117.49</v>
      </c>
      <c r="G1" s="1" t="s">
        <v>778</v>
      </c>
      <c r="H1" s="4">
        <f>L8+L12+L43+L49+L16+L56+L30+L36+L24+L63</f>
        <v>162.46666666666664</v>
      </c>
      <c r="I1" s="572" t="s">
        <v>779</v>
      </c>
      <c r="J1" s="572"/>
      <c r="K1" s="572"/>
      <c r="L1" s="572" t="s">
        <v>780</v>
      </c>
      <c r="M1" s="572"/>
      <c r="N1" s="572"/>
      <c r="O1" s="572" t="s">
        <v>781</v>
      </c>
      <c r="P1" s="572"/>
      <c r="Q1" s="572"/>
      <c r="R1" s="572"/>
      <c r="S1" s="572" t="s">
        <v>782</v>
      </c>
      <c r="T1" s="572"/>
      <c r="U1" s="572"/>
      <c r="V1" s="572"/>
      <c r="W1" s="572"/>
      <c r="X1" s="572"/>
      <c r="Y1" s="572" t="s">
        <v>783</v>
      </c>
      <c r="Z1" s="572"/>
      <c r="AA1" s="572" t="s">
        <v>784</v>
      </c>
      <c r="AB1" s="573"/>
      <c r="AC1" s="573"/>
    </row>
    <row r="2" spans="1:29" ht="26.25" customHeight="1">
      <c r="A2" s="22">
        <v>45885</v>
      </c>
      <c r="B2" s="23" t="s">
        <v>213</v>
      </c>
      <c r="C2" s="2" t="s">
        <v>785</v>
      </c>
      <c r="D2" s="6">
        <f>AVERAGE(N8,N12,N43,N49,N16,N56,N24,N30,N36,N63)</f>
        <v>137.83910173656295</v>
      </c>
      <c r="E2" s="7" t="s">
        <v>0</v>
      </c>
      <c r="F2" s="8">
        <f>F1/D1</f>
        <v>34.54930248150432</v>
      </c>
      <c r="G2" s="1" t="s">
        <v>786</v>
      </c>
      <c r="H2" s="230">
        <f>COUNT(H5:H63)</f>
        <v>0</v>
      </c>
      <c r="I2" s="572"/>
      <c r="J2" s="572"/>
      <c r="K2" s="572"/>
      <c r="L2" s="572"/>
      <c r="M2" s="572"/>
      <c r="N2" s="572"/>
      <c r="O2" s="572"/>
      <c r="P2" s="572"/>
      <c r="Q2" s="572"/>
      <c r="R2" s="572"/>
      <c r="S2" s="572"/>
      <c r="T2" s="572"/>
      <c r="U2" s="572"/>
      <c r="V2" s="572"/>
      <c r="W2" s="572"/>
      <c r="X2" s="572"/>
      <c r="Y2" s="572"/>
      <c r="Z2" s="572"/>
      <c r="AA2" s="573"/>
      <c r="AB2" s="573"/>
      <c r="AC2" s="573"/>
    </row>
    <row r="3" spans="1:29" ht="23.25" customHeight="1">
      <c r="A3" s="528" t="s">
        <v>787</v>
      </c>
      <c r="B3" s="528" t="s">
        <v>788</v>
      </c>
      <c r="C3" s="528" t="s">
        <v>789</v>
      </c>
      <c r="D3" s="528"/>
      <c r="E3" s="570" t="s">
        <v>790</v>
      </c>
      <c r="F3" s="528" t="s">
        <v>791</v>
      </c>
      <c r="G3" s="570" t="s">
        <v>792</v>
      </c>
      <c r="H3" s="574" t="s">
        <v>793</v>
      </c>
      <c r="I3" s="561" t="s">
        <v>794</v>
      </c>
      <c r="J3" s="566" t="s">
        <v>795</v>
      </c>
      <c r="K3" s="568" t="s">
        <v>785</v>
      </c>
      <c r="L3" s="561" t="s">
        <v>794</v>
      </c>
      <c r="M3" s="566" t="s">
        <v>795</v>
      </c>
      <c r="N3" s="568" t="s">
        <v>785</v>
      </c>
      <c r="O3" s="561" t="s">
        <v>794</v>
      </c>
      <c r="P3" s="568" t="s">
        <v>785</v>
      </c>
      <c r="Q3" s="567" t="s">
        <v>796</v>
      </c>
      <c r="R3" s="542" t="s">
        <v>797</v>
      </c>
      <c r="S3" s="569" t="s">
        <v>1</v>
      </c>
      <c r="T3" s="569"/>
      <c r="U3" s="563" t="s">
        <v>2</v>
      </c>
      <c r="V3" s="563" t="s">
        <v>798</v>
      </c>
      <c r="W3" s="528" t="s">
        <v>799</v>
      </c>
      <c r="X3" s="528"/>
      <c r="Y3" s="564" t="s">
        <v>800</v>
      </c>
      <c r="Z3" s="565"/>
      <c r="AA3" s="566" t="s">
        <v>795</v>
      </c>
      <c r="AB3" s="567" t="s">
        <v>796</v>
      </c>
      <c r="AC3" s="542" t="s">
        <v>797</v>
      </c>
    </row>
    <row r="4" spans="1:29">
      <c r="A4" s="528"/>
      <c r="B4" s="528"/>
      <c r="C4" s="528"/>
      <c r="D4" s="528"/>
      <c r="E4" s="571"/>
      <c r="F4" s="528"/>
      <c r="G4" s="571"/>
      <c r="H4" s="574"/>
      <c r="I4" s="561"/>
      <c r="J4" s="566"/>
      <c r="K4" s="568"/>
      <c r="L4" s="561"/>
      <c r="M4" s="566"/>
      <c r="N4" s="568"/>
      <c r="O4" s="561"/>
      <c r="P4" s="568"/>
      <c r="Q4" s="567"/>
      <c r="R4" s="542"/>
      <c r="S4" s="229" t="s">
        <v>3</v>
      </c>
      <c r="T4" s="229" t="s">
        <v>4</v>
      </c>
      <c r="U4" s="563"/>
      <c r="V4" s="563"/>
      <c r="W4" s="219" t="s">
        <v>801</v>
      </c>
      <c r="X4" s="219" t="s">
        <v>802</v>
      </c>
      <c r="Y4" s="565"/>
      <c r="Z4" s="565"/>
      <c r="AA4" s="566"/>
      <c r="AB4" s="567"/>
      <c r="AC4" s="542"/>
    </row>
    <row r="5" spans="1:29">
      <c r="A5" s="560" t="s">
        <v>803</v>
      </c>
      <c r="B5" s="26" t="s">
        <v>13</v>
      </c>
      <c r="C5" s="562" t="s">
        <v>53</v>
      </c>
      <c r="D5" s="562"/>
      <c r="E5" s="26">
        <v>46.93</v>
      </c>
      <c r="F5" s="229">
        <v>925</v>
      </c>
      <c r="G5" s="219">
        <f>E5*F5</f>
        <v>43410.25</v>
      </c>
      <c r="H5" s="76" t="s">
        <v>52</v>
      </c>
      <c r="I5" s="227">
        <v>17</v>
      </c>
      <c r="J5" s="18">
        <v>2000</v>
      </c>
      <c r="K5" s="9">
        <f>J5/I5</f>
        <v>117.64705882352941</v>
      </c>
      <c r="L5" s="227">
        <v>17</v>
      </c>
      <c r="M5" s="10">
        <f>F5/V5*60</f>
        <v>1849.9999999999968</v>
      </c>
      <c r="N5" s="9">
        <f>M5/L5</f>
        <v>108.82352941176453</v>
      </c>
      <c r="O5" s="11">
        <f t="shared" ref="O5:O7" si="0">L5-I5</f>
        <v>0</v>
      </c>
      <c r="P5" s="12">
        <f t="shared" ref="P5:P7" si="1">N5-K5</f>
        <v>-8.8235294117648806</v>
      </c>
      <c r="Q5" s="220">
        <f>N5/K5</f>
        <v>0.92499999999999849</v>
      </c>
      <c r="R5" s="533">
        <f>Q8</f>
        <v>0.92614583333333356</v>
      </c>
      <c r="S5" s="24">
        <v>0.70833333333333337</v>
      </c>
      <c r="T5" s="24">
        <v>0.72916666666666674</v>
      </c>
      <c r="U5" s="219"/>
      <c r="V5" s="228">
        <f>(T5-S5)*24*60</f>
        <v>30.000000000000053</v>
      </c>
      <c r="W5" s="14"/>
      <c r="X5" s="13"/>
      <c r="Y5" s="528"/>
      <c r="Z5" s="528"/>
      <c r="AA5" s="11">
        <f t="shared" ref="AA5:AA63" si="2">M5-J5</f>
        <v>-150.00000000000318</v>
      </c>
      <c r="AB5" s="220">
        <f t="shared" ref="AB5:AB7" si="3">M5/J5</f>
        <v>0.92499999999999838</v>
      </c>
      <c r="AC5" s="533">
        <f>AB8</f>
        <v>0.92614583333333345</v>
      </c>
    </row>
    <row r="6" spans="1:29">
      <c r="A6" s="561" t="s">
        <v>803</v>
      </c>
      <c r="B6" s="26" t="s">
        <v>13</v>
      </c>
      <c r="C6" s="562" t="s">
        <v>55</v>
      </c>
      <c r="D6" s="562"/>
      <c r="E6" s="26">
        <v>50.49</v>
      </c>
      <c r="F6" s="229">
        <v>1983</v>
      </c>
      <c r="G6" s="219">
        <f t="shared" ref="G6:G7" si="4">E6*F6</f>
        <v>100121.67</v>
      </c>
      <c r="H6" s="76" t="s">
        <v>52</v>
      </c>
      <c r="I6" s="227">
        <v>16</v>
      </c>
      <c r="J6" s="18">
        <v>2000</v>
      </c>
      <c r="K6" s="9">
        <f t="shared" ref="K6:K7" si="5">J6/I6</f>
        <v>125</v>
      </c>
      <c r="L6" s="227">
        <v>16</v>
      </c>
      <c r="M6" s="10">
        <f>F6/V6*60</f>
        <v>1859.062500000002</v>
      </c>
      <c r="N6" s="9">
        <f t="shared" ref="N6:N7" si="6">M6/L6</f>
        <v>116.19140625000013</v>
      </c>
      <c r="O6" s="11">
        <f t="shared" si="0"/>
        <v>0</v>
      </c>
      <c r="P6" s="12">
        <f t="shared" si="1"/>
        <v>-8.8085937499998721</v>
      </c>
      <c r="Q6" s="220">
        <f t="shared" ref="Q6:Q7" si="7">N6/K6</f>
        <v>0.92953125000000103</v>
      </c>
      <c r="R6" s="533"/>
      <c r="S6" s="24">
        <v>0.73472222222222228</v>
      </c>
      <c r="T6" s="24">
        <v>0.77916666666666667</v>
      </c>
      <c r="U6" s="219">
        <f>(S6-T5)*24*60</f>
        <v>7.9999999999999716</v>
      </c>
      <c r="V6" s="228">
        <f>(T6-S6)*24*60</f>
        <v>63.999999999999929</v>
      </c>
      <c r="W6" s="14"/>
      <c r="X6" s="14"/>
      <c r="Y6" s="528"/>
      <c r="Z6" s="528"/>
      <c r="AA6" s="11">
        <f t="shared" si="2"/>
        <v>-140.93749999999795</v>
      </c>
      <c r="AB6" s="220">
        <f t="shared" si="3"/>
        <v>0.92953125000000103</v>
      </c>
      <c r="AC6" s="533"/>
    </row>
    <row r="7" spans="1:29">
      <c r="A7" s="561" t="s">
        <v>803</v>
      </c>
      <c r="B7" s="26" t="s">
        <v>13</v>
      </c>
      <c r="C7" s="558" t="s">
        <v>76</v>
      </c>
      <c r="D7" s="559"/>
      <c r="E7" s="26">
        <v>50.67</v>
      </c>
      <c r="F7" s="229">
        <v>1971</v>
      </c>
      <c r="G7" s="219">
        <f t="shared" si="4"/>
        <v>99870.57</v>
      </c>
      <c r="H7" s="76" t="s">
        <v>52</v>
      </c>
      <c r="I7" s="227">
        <v>18</v>
      </c>
      <c r="J7" s="18">
        <v>2000</v>
      </c>
      <c r="K7" s="9">
        <f t="shared" si="5"/>
        <v>111.11111111111111</v>
      </c>
      <c r="L7" s="227">
        <v>18</v>
      </c>
      <c r="M7" s="10">
        <f t="shared" ref="M7" si="8">F7/V7*60</f>
        <v>1847.812500000002</v>
      </c>
      <c r="N7" s="9">
        <f t="shared" si="6"/>
        <v>102.65625000000011</v>
      </c>
      <c r="O7" s="11">
        <f t="shared" si="0"/>
        <v>0</v>
      </c>
      <c r="P7" s="12">
        <f t="shared" si="1"/>
        <v>-8.4548611111110006</v>
      </c>
      <c r="Q7" s="220">
        <f t="shared" si="7"/>
        <v>0.92390625000000104</v>
      </c>
      <c r="R7" s="533"/>
      <c r="S7" s="24">
        <v>0.78472222222222221</v>
      </c>
      <c r="T7" s="24">
        <v>0.82916666666666661</v>
      </c>
      <c r="U7" s="219">
        <f t="shared" ref="U7" si="9">(S7-T6)*24*60</f>
        <v>7.9999999999999716</v>
      </c>
      <c r="V7" s="228">
        <f t="shared" ref="V7" si="10">(T7-S7)*24*60</f>
        <v>63.999999999999929</v>
      </c>
      <c r="W7" s="14"/>
      <c r="X7" s="14"/>
      <c r="Y7" s="536"/>
      <c r="Z7" s="537"/>
      <c r="AA7" s="11">
        <f t="shared" si="2"/>
        <v>-152.18749999999795</v>
      </c>
      <c r="AB7" s="220">
        <f t="shared" si="3"/>
        <v>0.92390625000000104</v>
      </c>
      <c r="AC7" s="533"/>
    </row>
    <row r="8" spans="1:29">
      <c r="A8" s="561" t="s">
        <v>803</v>
      </c>
      <c r="B8" s="26" t="s">
        <v>804</v>
      </c>
      <c r="C8" s="530"/>
      <c r="D8" s="530"/>
      <c r="E8" s="221"/>
      <c r="F8" s="16"/>
      <c r="G8" s="9"/>
      <c r="H8" s="229"/>
      <c r="I8" s="17">
        <v>17</v>
      </c>
      <c r="J8" s="18">
        <v>2000</v>
      </c>
      <c r="K8" s="9">
        <f>J8/I8</f>
        <v>117.64705882352941</v>
      </c>
      <c r="L8" s="17">
        <v>17</v>
      </c>
      <c r="M8" s="10">
        <f>AVERAGE(M5:M7)</f>
        <v>1852.291666666667</v>
      </c>
      <c r="N8" s="9">
        <f>M8/L8</f>
        <v>108.95833333333336</v>
      </c>
      <c r="O8" s="11">
        <f>L8-I8</f>
        <v>0</v>
      </c>
      <c r="P8" s="12">
        <f>N8-K8</f>
        <v>-8.6887254901960489</v>
      </c>
      <c r="Q8" s="220">
        <f>N8/K8</f>
        <v>0.92614583333333356</v>
      </c>
      <c r="R8" s="533"/>
      <c r="S8" s="24"/>
      <c r="T8" s="24"/>
      <c r="U8" s="219"/>
      <c r="V8" s="228"/>
      <c r="W8" s="9"/>
      <c r="X8" s="9"/>
      <c r="Y8" s="528"/>
      <c r="Z8" s="528"/>
      <c r="AA8" s="11">
        <f t="shared" si="2"/>
        <v>-147.70833333333303</v>
      </c>
      <c r="AB8" s="220">
        <f>M8/J8</f>
        <v>0.92614583333333345</v>
      </c>
      <c r="AC8" s="533"/>
    </row>
    <row r="9" spans="1:29" ht="15.75" customHeight="1">
      <c r="A9" s="531" t="s">
        <v>805</v>
      </c>
      <c r="B9" s="26" t="s">
        <v>15</v>
      </c>
      <c r="C9" s="558" t="s">
        <v>16</v>
      </c>
      <c r="D9" s="559"/>
      <c r="E9" s="26">
        <v>39.619999999999997</v>
      </c>
      <c r="F9" s="229">
        <v>3875</v>
      </c>
      <c r="G9" s="219">
        <f t="shared" ref="G9:G11" si="11">E9*F9</f>
        <v>153527.5</v>
      </c>
      <c r="H9" s="76" t="s">
        <v>52</v>
      </c>
      <c r="I9" s="227">
        <v>19</v>
      </c>
      <c r="J9" s="18">
        <v>1500</v>
      </c>
      <c r="K9" s="9">
        <f t="shared" ref="K9:K11" si="12">J9/I9</f>
        <v>78.94736842105263</v>
      </c>
      <c r="L9" s="227">
        <v>19</v>
      </c>
      <c r="M9" s="10">
        <f t="shared" ref="M9:M11" si="13">F9/V9*60</f>
        <v>1383.9285714285716</v>
      </c>
      <c r="N9" s="9">
        <f t="shared" ref="N9:N11" si="14">M9/L9</f>
        <v>72.838345864661662</v>
      </c>
      <c r="O9" s="11">
        <f t="shared" ref="O9:O11" si="15">L9-I9</f>
        <v>0</v>
      </c>
      <c r="P9" s="12">
        <f>N9-K9</f>
        <v>-6.1090225563909684</v>
      </c>
      <c r="Q9" s="220">
        <f>N9/K9</f>
        <v>0.92261904761904778</v>
      </c>
      <c r="R9" s="533">
        <f>Q12</f>
        <v>0.92221246104506027</v>
      </c>
      <c r="S9" s="24">
        <v>0.125</v>
      </c>
      <c r="T9" s="24">
        <v>0.24166666666666664</v>
      </c>
      <c r="U9" s="219"/>
      <c r="V9" s="228">
        <f t="shared" ref="V9:V11" si="16">(T9-S9)*24*60</f>
        <v>167.99999999999997</v>
      </c>
      <c r="W9" s="14">
        <f>T9</f>
        <v>0.24166666666666664</v>
      </c>
      <c r="X9" s="14">
        <f>S10</f>
        <v>0.26111111111111107</v>
      </c>
      <c r="Y9" s="528"/>
      <c r="Z9" s="528"/>
      <c r="AA9" s="11">
        <f t="shared" si="2"/>
        <v>-116.07142857142844</v>
      </c>
      <c r="AB9" s="220">
        <f>M9/J9</f>
        <v>0.92261904761904767</v>
      </c>
      <c r="AC9" s="533">
        <f>AB12</f>
        <v>0.92221246104506038</v>
      </c>
    </row>
    <row r="10" spans="1:29" ht="15.75" customHeight="1">
      <c r="A10" s="531" t="s">
        <v>805</v>
      </c>
      <c r="B10" s="26" t="s">
        <v>15</v>
      </c>
      <c r="C10" s="558" t="s">
        <v>17</v>
      </c>
      <c r="D10" s="559"/>
      <c r="E10" s="26">
        <v>39.799999999999997</v>
      </c>
      <c r="F10" s="229">
        <v>5230</v>
      </c>
      <c r="G10" s="219">
        <f t="shared" si="11"/>
        <v>208153.99999999997</v>
      </c>
      <c r="H10" s="76" t="s">
        <v>52</v>
      </c>
      <c r="I10" s="227">
        <v>17</v>
      </c>
      <c r="J10" s="18">
        <v>1500</v>
      </c>
      <c r="K10" s="9">
        <f t="shared" si="12"/>
        <v>88.235294117647058</v>
      </c>
      <c r="L10" s="227">
        <v>17</v>
      </c>
      <c r="M10" s="10">
        <f t="shared" si="13"/>
        <v>1382.3788546255505</v>
      </c>
      <c r="N10" s="9">
        <f t="shared" si="14"/>
        <v>81.316403213267677</v>
      </c>
      <c r="O10" s="11">
        <f t="shared" si="15"/>
        <v>0</v>
      </c>
      <c r="P10" s="12">
        <f t="shared" ref="P10:P11" si="17">N10-K10</f>
        <v>-6.9188909043793814</v>
      </c>
      <c r="Q10" s="220">
        <f t="shared" ref="Q10:Q11" si="18">N10/K10</f>
        <v>0.92158590308370036</v>
      </c>
      <c r="R10" s="533"/>
      <c r="S10" s="24">
        <v>0.26111111111111107</v>
      </c>
      <c r="T10" s="24">
        <v>0.41874999999999996</v>
      </c>
      <c r="U10" s="219">
        <f>(S10-T9)*24*60</f>
        <v>27.999999999999979</v>
      </c>
      <c r="V10" s="228">
        <f t="shared" si="16"/>
        <v>227</v>
      </c>
      <c r="W10" s="14"/>
      <c r="X10" s="14"/>
      <c r="Y10" s="528"/>
      <c r="Z10" s="528"/>
      <c r="AA10" s="11">
        <f t="shared" si="2"/>
        <v>-117.6211453744495</v>
      </c>
      <c r="AB10" s="220">
        <f t="shared" ref="AB10:AB24" si="19">M10/J10</f>
        <v>0.92158590308370036</v>
      </c>
      <c r="AC10" s="533"/>
    </row>
    <row r="11" spans="1:29" ht="15.75" customHeight="1">
      <c r="A11" s="531" t="s">
        <v>805</v>
      </c>
      <c r="B11" s="26" t="s">
        <v>15</v>
      </c>
      <c r="C11" s="558" t="s">
        <v>80</v>
      </c>
      <c r="D11" s="559"/>
      <c r="E11" s="26">
        <v>39.29</v>
      </c>
      <c r="F11" s="229">
        <v>3413</v>
      </c>
      <c r="G11" s="219">
        <f t="shared" si="11"/>
        <v>134096.76999999999</v>
      </c>
      <c r="H11" s="76" t="s">
        <v>52</v>
      </c>
      <c r="I11" s="227">
        <v>19</v>
      </c>
      <c r="J11" s="18">
        <v>1500</v>
      </c>
      <c r="K11" s="9">
        <f t="shared" si="12"/>
        <v>78.94736842105263</v>
      </c>
      <c r="L11" s="227">
        <v>19</v>
      </c>
      <c r="M11" s="10">
        <f t="shared" si="13"/>
        <v>1383.6486486486492</v>
      </c>
      <c r="N11" s="9">
        <f t="shared" si="14"/>
        <v>72.823613086771005</v>
      </c>
      <c r="O11" s="11">
        <f t="shared" si="15"/>
        <v>0</v>
      </c>
      <c r="P11" s="12">
        <f t="shared" si="17"/>
        <v>-6.1237553342816256</v>
      </c>
      <c r="Q11" s="220">
        <f t="shared" si="18"/>
        <v>0.92243243243243278</v>
      </c>
      <c r="R11" s="533"/>
      <c r="S11" s="24">
        <v>0.42291666666666661</v>
      </c>
      <c r="T11" s="24">
        <v>0.52569444444444435</v>
      </c>
      <c r="U11" s="219">
        <f t="shared" ref="U11" si="20">(S11-T10)*24*60</f>
        <v>5.9999999999999787</v>
      </c>
      <c r="V11" s="228">
        <f t="shared" si="16"/>
        <v>147.99999999999994</v>
      </c>
      <c r="W11" s="14"/>
      <c r="X11" s="14"/>
      <c r="Y11" s="528"/>
      <c r="Z11" s="528"/>
      <c r="AA11" s="11">
        <f t="shared" si="2"/>
        <v>-116.35135135135079</v>
      </c>
      <c r="AB11" s="220">
        <f t="shared" si="19"/>
        <v>0.92243243243243278</v>
      </c>
      <c r="AC11" s="533"/>
    </row>
    <row r="12" spans="1:29" ht="16.5" customHeight="1">
      <c r="A12" s="531" t="s">
        <v>805</v>
      </c>
      <c r="B12" s="26" t="s">
        <v>804</v>
      </c>
      <c r="C12" s="530"/>
      <c r="D12" s="530"/>
      <c r="E12" s="221"/>
      <c r="F12" s="18"/>
      <c r="G12" s="10"/>
      <c r="H12" s="229"/>
      <c r="I12" s="17">
        <v>18.333333333333332</v>
      </c>
      <c r="J12" s="18">
        <v>1500</v>
      </c>
      <c r="K12" s="9">
        <f>J12/I12</f>
        <v>81.818181818181827</v>
      </c>
      <c r="L12" s="17">
        <v>18.333333333333332</v>
      </c>
      <c r="M12" s="10">
        <f>AVERAGE(M9:M11)</f>
        <v>1383.3186915675906</v>
      </c>
      <c r="N12" s="9">
        <f>M12/L12</f>
        <v>75.453746812777666</v>
      </c>
      <c r="O12" s="11">
        <f>L12-I12</f>
        <v>0</v>
      </c>
      <c r="P12" s="12">
        <f>N12-K12</f>
        <v>-6.364435005404161</v>
      </c>
      <c r="Q12" s="220">
        <f>N12/K12</f>
        <v>0.92221246104506027</v>
      </c>
      <c r="R12" s="533"/>
      <c r="S12" s="24"/>
      <c r="T12" s="24"/>
      <c r="U12" s="9"/>
      <c r="V12" s="228"/>
      <c r="W12" s="9"/>
      <c r="X12" s="9"/>
      <c r="Y12" s="528"/>
      <c r="Z12" s="528"/>
      <c r="AA12" s="11">
        <f t="shared" si="2"/>
        <v>-116.68130843240942</v>
      </c>
      <c r="AB12" s="220">
        <f t="shared" si="19"/>
        <v>0.92221246104506038</v>
      </c>
      <c r="AC12" s="533"/>
    </row>
    <row r="13" spans="1:29" ht="16.5" customHeight="1">
      <c r="A13" s="556" t="s">
        <v>806</v>
      </c>
      <c r="B13" s="229" t="s">
        <v>21</v>
      </c>
      <c r="C13" s="552" t="s">
        <v>19</v>
      </c>
      <c r="D13" s="552"/>
      <c r="E13" s="26">
        <v>41</v>
      </c>
      <c r="F13" s="229">
        <v>1653</v>
      </c>
      <c r="G13" s="219">
        <f t="shared" ref="G13:G15" si="21">E13*F13</f>
        <v>67773</v>
      </c>
      <c r="H13" s="76" t="s">
        <v>52</v>
      </c>
      <c r="I13" s="227">
        <v>26</v>
      </c>
      <c r="J13" s="18">
        <v>1500</v>
      </c>
      <c r="K13" s="9">
        <f>J13/I13</f>
        <v>57.692307692307693</v>
      </c>
      <c r="L13" s="227">
        <v>26</v>
      </c>
      <c r="M13" s="10">
        <f>F13/V13*60</f>
        <v>1396.9014084507046</v>
      </c>
      <c r="N13" s="9">
        <f t="shared" ref="N13:N23" si="22">M13/L13</f>
        <v>53.726977248104021</v>
      </c>
      <c r="O13" s="11">
        <f t="shared" ref="O13" si="23">L13-I13</f>
        <v>0</v>
      </c>
      <c r="P13" s="12">
        <f t="shared" ref="P13" si="24">N13-K13</f>
        <v>-3.9653304442036728</v>
      </c>
      <c r="Q13" s="220">
        <f>N13/K13</f>
        <v>0.93126760563380295</v>
      </c>
      <c r="R13" s="533">
        <f>Q16</f>
        <v>0.92571962717648359</v>
      </c>
      <c r="S13" s="24">
        <v>0.25</v>
      </c>
      <c r="T13" s="24">
        <v>0.29930555555555555</v>
      </c>
      <c r="U13" s="219"/>
      <c r="V13" s="228">
        <f>(T13-S13)*24*60</f>
        <v>70.999999999999986</v>
      </c>
      <c r="W13" s="15"/>
      <c r="X13" s="15"/>
      <c r="Y13" s="528"/>
      <c r="Z13" s="528"/>
      <c r="AA13" s="11">
        <f t="shared" si="2"/>
        <v>-103.09859154929541</v>
      </c>
      <c r="AB13" s="220">
        <f t="shared" si="19"/>
        <v>0.93126760563380306</v>
      </c>
      <c r="AC13" s="533">
        <f>AB16</f>
        <v>0.92571962717648359</v>
      </c>
    </row>
    <row r="14" spans="1:29" ht="16.5" customHeight="1">
      <c r="A14" s="557" t="s">
        <v>806</v>
      </c>
      <c r="B14" s="229" t="s">
        <v>13</v>
      </c>
      <c r="C14" s="552" t="s">
        <v>57</v>
      </c>
      <c r="D14" s="552"/>
      <c r="E14" s="26">
        <v>50.98</v>
      </c>
      <c r="F14" s="229">
        <v>2524</v>
      </c>
      <c r="G14" s="219">
        <f t="shared" si="21"/>
        <v>128673.51999999999</v>
      </c>
      <c r="H14" s="76" t="s">
        <v>52</v>
      </c>
      <c r="I14" s="227">
        <v>17</v>
      </c>
      <c r="J14" s="18">
        <v>2000</v>
      </c>
      <c r="K14" s="9">
        <f>J14/I14</f>
        <v>117.64705882352941</v>
      </c>
      <c r="L14" s="227">
        <v>17</v>
      </c>
      <c r="M14" s="10">
        <f>F14/V14*60</f>
        <v>1846.8292682926824</v>
      </c>
      <c r="N14" s="9">
        <f t="shared" si="22"/>
        <v>108.6370157819225</v>
      </c>
      <c r="O14" s="11">
        <f>L14-I14</f>
        <v>0</v>
      </c>
      <c r="P14" s="12">
        <f>N14-K14</f>
        <v>-9.0100430416069059</v>
      </c>
      <c r="Q14" s="220">
        <f>N14/K14</f>
        <v>0.92341463414634128</v>
      </c>
      <c r="R14" s="533"/>
      <c r="S14" s="24">
        <v>0.70833333333333337</v>
      </c>
      <c r="T14" s="24">
        <v>0.76527777777777783</v>
      </c>
      <c r="U14" s="219" t="str">
        <f>IF(S14=TIME(17,0,0),"",(S14-T13)*24*60)</f>
        <v/>
      </c>
      <c r="V14" s="228">
        <f>(T14-S14)*24*60</f>
        <v>82.000000000000028</v>
      </c>
      <c r="W14" s="14"/>
      <c r="X14" s="14"/>
      <c r="Y14" s="528"/>
      <c r="Z14" s="528"/>
      <c r="AA14" s="11">
        <f t="shared" si="2"/>
        <v>-153.1707317073176</v>
      </c>
      <c r="AB14" s="220">
        <f t="shared" si="19"/>
        <v>0.92341463414634117</v>
      </c>
      <c r="AC14" s="533"/>
    </row>
    <row r="15" spans="1:29" ht="16.5" customHeight="1">
      <c r="A15" s="557" t="s">
        <v>806</v>
      </c>
      <c r="B15" s="229" t="s">
        <v>13</v>
      </c>
      <c r="C15" s="552" t="s">
        <v>54</v>
      </c>
      <c r="D15" s="552"/>
      <c r="E15" s="26">
        <v>50.92</v>
      </c>
      <c r="F15" s="229">
        <v>2710</v>
      </c>
      <c r="G15" s="219">
        <f t="shared" si="21"/>
        <v>137993.20000000001</v>
      </c>
      <c r="H15" s="76" t="s">
        <v>52</v>
      </c>
      <c r="I15" s="227">
        <v>16</v>
      </c>
      <c r="J15" s="18">
        <v>2000</v>
      </c>
      <c r="K15" s="9">
        <f t="shared" ref="K15" si="25">J15/I15</f>
        <v>125</v>
      </c>
      <c r="L15" s="227">
        <v>16</v>
      </c>
      <c r="M15" s="10">
        <f t="shared" ref="M15" si="26">F15/V15*60</f>
        <v>1847.7272727272727</v>
      </c>
      <c r="N15" s="9">
        <f t="shared" si="22"/>
        <v>115.48295454545455</v>
      </c>
      <c r="O15" s="11">
        <f t="shared" ref="O15" si="27">L15-I15</f>
        <v>0</v>
      </c>
      <c r="P15" s="12">
        <f t="shared" ref="P15" si="28">N15-K15</f>
        <v>-9.5170454545454533</v>
      </c>
      <c r="Q15" s="220">
        <f t="shared" ref="Q15:Q23" si="29">N15/K15</f>
        <v>0.92386363636363633</v>
      </c>
      <c r="R15" s="533"/>
      <c r="S15" s="24">
        <v>0.76875000000000004</v>
      </c>
      <c r="T15" s="24">
        <v>0.82986111111111116</v>
      </c>
      <c r="U15" s="219">
        <f t="shared" ref="U15" si="30">IF(S15=TIME(17,0,0),"",(S15-T14)*24*60)</f>
        <v>4.9999999999999822</v>
      </c>
      <c r="V15" s="228">
        <f t="shared" ref="V15" si="31">(T15-S15)*24*60</f>
        <v>88</v>
      </c>
      <c r="W15" s="14"/>
      <c r="X15" s="14"/>
      <c r="Y15" s="528"/>
      <c r="Z15" s="528"/>
      <c r="AA15" s="11">
        <f t="shared" si="2"/>
        <v>-152.27272727272725</v>
      </c>
      <c r="AB15" s="220">
        <f t="shared" si="19"/>
        <v>0.92386363636363633</v>
      </c>
      <c r="AC15" s="533"/>
    </row>
    <row r="16" spans="1:29" ht="16.5" customHeight="1">
      <c r="A16" s="557" t="s">
        <v>806</v>
      </c>
      <c r="B16" s="26" t="s">
        <v>804</v>
      </c>
      <c r="C16" s="530"/>
      <c r="D16" s="530"/>
      <c r="E16" s="221"/>
      <c r="F16" s="16"/>
      <c r="G16" s="9"/>
      <c r="H16" s="229"/>
      <c r="I16" s="17">
        <v>19.666666666666668</v>
      </c>
      <c r="J16" s="18">
        <v>1833.3333333333333</v>
      </c>
      <c r="K16" s="9">
        <f>J16/I16</f>
        <v>93.220338983050837</v>
      </c>
      <c r="L16" s="17">
        <v>19.666666666666668</v>
      </c>
      <c r="M16" s="10">
        <f>AVERAGE(M13:M15)</f>
        <v>1697.1526498235532</v>
      </c>
      <c r="N16" s="9">
        <f t="shared" si="22"/>
        <v>86.295897448655239</v>
      </c>
      <c r="O16" s="11">
        <f>L16-I16</f>
        <v>0</v>
      </c>
      <c r="P16" s="12">
        <f>N16-K16</f>
        <v>-6.9244415343955978</v>
      </c>
      <c r="Q16" s="220">
        <f t="shared" si="29"/>
        <v>0.92571962717648359</v>
      </c>
      <c r="R16" s="533"/>
      <c r="S16" s="24"/>
      <c r="T16" s="24"/>
      <c r="U16" s="219"/>
      <c r="V16" s="228"/>
      <c r="W16" s="9"/>
      <c r="X16" s="9"/>
      <c r="Y16" s="528"/>
      <c r="Z16" s="528"/>
      <c r="AA16" s="11">
        <f t="shared" si="2"/>
        <v>-136.18068350978001</v>
      </c>
      <c r="AB16" s="220">
        <f t="shared" si="19"/>
        <v>0.92571962717648359</v>
      </c>
      <c r="AC16" s="533"/>
    </row>
    <row r="17" spans="1:29" ht="15.75" customHeight="1">
      <c r="A17" s="554" t="s">
        <v>807</v>
      </c>
      <c r="B17" s="26" t="s">
        <v>21</v>
      </c>
      <c r="C17" s="552" t="s">
        <v>22</v>
      </c>
      <c r="D17" s="552"/>
      <c r="E17" s="26">
        <v>43.14</v>
      </c>
      <c r="F17" s="229">
        <v>1008</v>
      </c>
      <c r="G17" s="219">
        <f t="shared" ref="G17:G23" si="32">E17*F17</f>
        <v>43485.120000000003</v>
      </c>
      <c r="H17" s="76" t="s">
        <v>52</v>
      </c>
      <c r="I17" s="227">
        <v>17</v>
      </c>
      <c r="J17" s="18">
        <v>2000</v>
      </c>
      <c r="K17" s="9">
        <f t="shared" ref="K17:K24" si="33">J17/I17</f>
        <v>117.64705882352941</v>
      </c>
      <c r="L17" s="227">
        <v>17</v>
      </c>
      <c r="M17" s="10">
        <f t="shared" ref="M17:M23" si="34">F17/V17*60</f>
        <v>1889.9999999999995</v>
      </c>
      <c r="N17" s="9">
        <f t="shared" si="22"/>
        <v>111.17647058823526</v>
      </c>
      <c r="O17" s="11">
        <f t="shared" ref="O17:O23" si="35">L17-I17</f>
        <v>0</v>
      </c>
      <c r="P17" s="12">
        <f t="shared" ref="P17:P23" si="36">N17-K17</f>
        <v>-6.4705882352941444</v>
      </c>
      <c r="Q17" s="220">
        <f t="shared" si="29"/>
        <v>0.94499999999999973</v>
      </c>
      <c r="R17" s="533">
        <f>Q24</f>
        <v>0.94645921410038791</v>
      </c>
      <c r="S17" s="24">
        <v>0.20833333333333334</v>
      </c>
      <c r="T17" s="24">
        <v>0.23055555555555557</v>
      </c>
      <c r="U17" s="219"/>
      <c r="V17" s="228">
        <f>(T17-S17)*24*60</f>
        <v>32.000000000000007</v>
      </c>
      <c r="W17" s="15"/>
      <c r="X17" s="15"/>
      <c r="Y17" s="528"/>
      <c r="Z17" s="528"/>
      <c r="AA17" s="11">
        <f t="shared" si="2"/>
        <v>-110.00000000000045</v>
      </c>
      <c r="AB17" s="220">
        <f t="shared" si="19"/>
        <v>0.94499999999999973</v>
      </c>
      <c r="AC17" s="533">
        <f>AB24</f>
        <v>0.9464592141003878</v>
      </c>
    </row>
    <row r="18" spans="1:29" ht="15.75" customHeight="1">
      <c r="A18" s="555" t="s">
        <v>807</v>
      </c>
      <c r="B18" s="26" t="s">
        <v>13</v>
      </c>
      <c r="C18" s="552" t="s">
        <v>23</v>
      </c>
      <c r="D18" s="552"/>
      <c r="E18" s="26">
        <v>57.73</v>
      </c>
      <c r="F18" s="229">
        <v>2091</v>
      </c>
      <c r="G18" s="219">
        <f t="shared" si="32"/>
        <v>120713.43</v>
      </c>
      <c r="H18" s="76" t="s">
        <v>52</v>
      </c>
      <c r="I18" s="227">
        <v>16</v>
      </c>
      <c r="J18" s="18">
        <v>2000</v>
      </c>
      <c r="K18" s="9">
        <f t="shared" si="33"/>
        <v>125</v>
      </c>
      <c r="L18" s="227">
        <v>16</v>
      </c>
      <c r="M18" s="10">
        <f t="shared" si="34"/>
        <v>1845.0000000000011</v>
      </c>
      <c r="N18" s="9">
        <f t="shared" si="22"/>
        <v>115.31250000000007</v>
      </c>
      <c r="O18" s="11">
        <f t="shared" si="35"/>
        <v>0</v>
      </c>
      <c r="P18" s="12">
        <f t="shared" si="36"/>
        <v>-9.6874999999999289</v>
      </c>
      <c r="Q18" s="220">
        <f t="shared" si="29"/>
        <v>0.92250000000000054</v>
      </c>
      <c r="R18" s="533"/>
      <c r="S18" s="24">
        <v>0.23611111111111113</v>
      </c>
      <c r="T18" s="24">
        <v>0.28333333333333333</v>
      </c>
      <c r="U18" s="219">
        <f>IF(S18=TIME(17,0,0),"",(S18-T17)*24*60)</f>
        <v>8.0000000000000107</v>
      </c>
      <c r="V18" s="228">
        <f t="shared" ref="V18:V23" si="37">(T18-S18)*24*60</f>
        <v>67.999999999999957</v>
      </c>
      <c r="W18" s="14"/>
      <c r="X18" s="219"/>
      <c r="Y18" s="528"/>
      <c r="Z18" s="528"/>
      <c r="AA18" s="11">
        <f t="shared" si="2"/>
        <v>-154.99999999999886</v>
      </c>
      <c r="AB18" s="220">
        <f t="shared" si="19"/>
        <v>0.92250000000000054</v>
      </c>
      <c r="AC18" s="533"/>
    </row>
    <row r="19" spans="1:29" ht="15.75" customHeight="1">
      <c r="A19" s="555" t="s">
        <v>807</v>
      </c>
      <c r="B19" s="26" t="s">
        <v>13</v>
      </c>
      <c r="C19" s="552" t="s">
        <v>14</v>
      </c>
      <c r="D19" s="552"/>
      <c r="E19" s="26">
        <v>53.68</v>
      </c>
      <c r="F19" s="229">
        <v>1516</v>
      </c>
      <c r="G19" s="219">
        <f t="shared" si="32"/>
        <v>81378.880000000005</v>
      </c>
      <c r="H19" s="76" t="s">
        <v>52</v>
      </c>
      <c r="I19" s="227">
        <v>17</v>
      </c>
      <c r="J19" s="18">
        <v>2000</v>
      </c>
      <c r="K19" s="9">
        <f t="shared" si="33"/>
        <v>117.64705882352941</v>
      </c>
      <c r="L19" s="227">
        <v>17</v>
      </c>
      <c r="M19" s="10">
        <f t="shared" si="34"/>
        <v>1856.3265306122455</v>
      </c>
      <c r="N19" s="9">
        <f t="shared" si="22"/>
        <v>109.19567827130857</v>
      </c>
      <c r="O19" s="11">
        <f t="shared" si="35"/>
        <v>0</v>
      </c>
      <c r="P19" s="12">
        <f t="shared" si="36"/>
        <v>-8.4513805522208401</v>
      </c>
      <c r="Q19" s="220">
        <f t="shared" si="29"/>
        <v>0.92816326530612281</v>
      </c>
      <c r="R19" s="533"/>
      <c r="S19" s="24">
        <v>0.28888888888888886</v>
      </c>
      <c r="T19" s="24">
        <v>0.32291666666666663</v>
      </c>
      <c r="U19" s="219">
        <f t="shared" ref="U19:U23" si="38">IF(S19=TIME(17,0,0),"",(S19-T18)*24*60)</f>
        <v>7.9999999999999716</v>
      </c>
      <c r="V19" s="228">
        <f t="shared" si="37"/>
        <v>48.999999999999986</v>
      </c>
      <c r="W19" s="14"/>
      <c r="X19" s="219"/>
      <c r="Y19" s="528"/>
      <c r="Z19" s="528"/>
      <c r="AA19" s="11">
        <f t="shared" si="2"/>
        <v>-143.67346938775449</v>
      </c>
      <c r="AB19" s="220">
        <f t="shared" si="19"/>
        <v>0.9281632653061227</v>
      </c>
      <c r="AC19" s="533"/>
    </row>
    <row r="20" spans="1:29" ht="15.75" customHeight="1">
      <c r="A20" s="555" t="s">
        <v>807</v>
      </c>
      <c r="B20" s="26" t="s">
        <v>13</v>
      </c>
      <c r="C20" s="552" t="s">
        <v>81</v>
      </c>
      <c r="D20" s="552"/>
      <c r="E20" s="26">
        <v>58.17</v>
      </c>
      <c r="F20" s="229">
        <v>2100</v>
      </c>
      <c r="G20" s="219">
        <f t="shared" si="32"/>
        <v>122157</v>
      </c>
      <c r="H20" s="76" t="s">
        <v>52</v>
      </c>
      <c r="I20" s="227">
        <v>18</v>
      </c>
      <c r="J20" s="18">
        <v>2000</v>
      </c>
      <c r="K20" s="9">
        <f t="shared" si="33"/>
        <v>111.11111111111111</v>
      </c>
      <c r="L20" s="227">
        <v>18</v>
      </c>
      <c r="M20" s="10">
        <f t="shared" si="34"/>
        <v>1852.9411764705883</v>
      </c>
      <c r="N20" s="9">
        <f t="shared" si="22"/>
        <v>102.94117647058823</v>
      </c>
      <c r="O20" s="11">
        <f t="shared" si="35"/>
        <v>0</v>
      </c>
      <c r="P20" s="12">
        <f t="shared" si="36"/>
        <v>-8.1699346405228823</v>
      </c>
      <c r="Q20" s="220">
        <f t="shared" si="29"/>
        <v>0.92647058823529405</v>
      </c>
      <c r="R20" s="533"/>
      <c r="S20" s="24">
        <v>0.32638888888888884</v>
      </c>
      <c r="T20" s="24">
        <v>0.37361111111111106</v>
      </c>
      <c r="U20" s="219">
        <f t="shared" si="38"/>
        <v>4.9999999999999822</v>
      </c>
      <c r="V20" s="228">
        <f t="shared" si="37"/>
        <v>68</v>
      </c>
      <c r="W20" s="14"/>
      <c r="X20" s="219"/>
      <c r="Y20" s="528"/>
      <c r="Z20" s="528"/>
      <c r="AA20" s="11">
        <f t="shared" si="2"/>
        <v>-147.05882352941171</v>
      </c>
      <c r="AB20" s="220">
        <f t="shared" si="19"/>
        <v>0.92647058823529416</v>
      </c>
      <c r="AC20" s="533"/>
    </row>
    <row r="21" spans="1:29" ht="15.75" customHeight="1">
      <c r="A21" s="555" t="s">
        <v>807</v>
      </c>
      <c r="B21" s="26" t="s">
        <v>13</v>
      </c>
      <c r="C21" s="552" t="s">
        <v>85</v>
      </c>
      <c r="D21" s="552"/>
      <c r="E21" s="26">
        <v>54.09</v>
      </c>
      <c r="F21" s="229">
        <v>3834</v>
      </c>
      <c r="G21" s="219">
        <f t="shared" si="32"/>
        <v>207381.06000000003</v>
      </c>
      <c r="H21" s="76" t="s">
        <v>52</v>
      </c>
      <c r="I21" s="227">
        <v>20</v>
      </c>
      <c r="J21" s="18">
        <v>2000</v>
      </c>
      <c r="K21" s="9">
        <f t="shared" si="33"/>
        <v>100</v>
      </c>
      <c r="L21" s="227">
        <v>20</v>
      </c>
      <c r="M21" s="10">
        <f t="shared" si="34"/>
        <v>1855.16129032258</v>
      </c>
      <c r="N21" s="9">
        <f t="shared" si="22"/>
        <v>92.758064516128997</v>
      </c>
      <c r="O21" s="11">
        <f t="shared" si="35"/>
        <v>0</v>
      </c>
      <c r="P21" s="12">
        <f t="shared" si="36"/>
        <v>-7.2419354838710035</v>
      </c>
      <c r="Q21" s="220">
        <f t="shared" si="29"/>
        <v>0.92758064516129002</v>
      </c>
      <c r="R21" s="533"/>
      <c r="S21" s="24">
        <v>0.70833333333333337</v>
      </c>
      <c r="T21" s="24">
        <v>0.79444444444444451</v>
      </c>
      <c r="U21" s="219" t="str">
        <f t="shared" si="38"/>
        <v/>
      </c>
      <c r="V21" s="228">
        <f t="shared" si="37"/>
        <v>124.00000000000004</v>
      </c>
      <c r="W21" s="14"/>
      <c r="X21" s="219"/>
      <c r="Y21" s="528"/>
      <c r="Z21" s="528"/>
      <c r="AA21" s="11">
        <f t="shared" si="2"/>
        <v>-144.83870967741996</v>
      </c>
      <c r="AB21" s="220">
        <f t="shared" si="19"/>
        <v>0.92758064516129002</v>
      </c>
      <c r="AC21" s="533"/>
    </row>
    <row r="22" spans="1:29" ht="15.75" customHeight="1">
      <c r="A22" s="555" t="s">
        <v>807</v>
      </c>
      <c r="B22" s="26" t="s">
        <v>13</v>
      </c>
      <c r="C22" s="552" t="s">
        <v>56</v>
      </c>
      <c r="D22" s="552"/>
      <c r="E22" s="26">
        <v>53.27</v>
      </c>
      <c r="F22" s="229">
        <v>474</v>
      </c>
      <c r="G22" s="219">
        <f t="shared" si="32"/>
        <v>25249.980000000003</v>
      </c>
      <c r="H22" s="76" t="s">
        <v>52</v>
      </c>
      <c r="I22" s="227">
        <v>15</v>
      </c>
      <c r="J22" s="18">
        <v>2000</v>
      </c>
      <c r="K22" s="9">
        <f t="shared" si="33"/>
        <v>133.33333333333334</v>
      </c>
      <c r="L22" s="227">
        <v>15</v>
      </c>
      <c r="M22" s="10">
        <f t="shared" si="34"/>
        <v>1896.0000000000066</v>
      </c>
      <c r="N22" s="9">
        <f t="shared" si="22"/>
        <v>126.40000000000045</v>
      </c>
      <c r="O22" s="11">
        <f t="shared" si="35"/>
        <v>0</v>
      </c>
      <c r="P22" s="12">
        <f t="shared" si="36"/>
        <v>-6.9333333333328966</v>
      </c>
      <c r="Q22" s="220">
        <f t="shared" si="29"/>
        <v>0.94800000000000328</v>
      </c>
      <c r="R22" s="533"/>
      <c r="S22" s="24">
        <v>0.79791666666666672</v>
      </c>
      <c r="T22" s="24">
        <v>0.80833333333333335</v>
      </c>
      <c r="U22" s="219">
        <f t="shared" si="38"/>
        <v>4.9999999999999822</v>
      </c>
      <c r="V22" s="228">
        <f t="shared" si="37"/>
        <v>14.999999999999947</v>
      </c>
      <c r="W22" s="14"/>
      <c r="X22" s="15"/>
      <c r="Y22" s="528"/>
      <c r="Z22" s="528"/>
      <c r="AA22" s="11">
        <f t="shared" si="2"/>
        <v>-103.99999999999341</v>
      </c>
      <c r="AB22" s="220">
        <f t="shared" si="19"/>
        <v>0.94800000000000328</v>
      </c>
      <c r="AC22" s="533"/>
    </row>
    <row r="23" spans="1:29" ht="15.75" customHeight="1">
      <c r="A23" s="555" t="s">
        <v>807</v>
      </c>
      <c r="B23" s="26" t="s">
        <v>13</v>
      </c>
      <c r="C23" s="552" t="s">
        <v>83</v>
      </c>
      <c r="D23" s="552"/>
      <c r="E23" s="26">
        <v>49.91</v>
      </c>
      <c r="F23" s="229">
        <v>274</v>
      </c>
      <c r="G23" s="219">
        <f t="shared" si="32"/>
        <v>13675.339999999998</v>
      </c>
      <c r="H23" s="76" t="s">
        <v>52</v>
      </c>
      <c r="I23" s="227">
        <v>16</v>
      </c>
      <c r="J23" s="18">
        <v>2000</v>
      </c>
      <c r="K23" s="9">
        <f t="shared" si="33"/>
        <v>125</v>
      </c>
      <c r="L23" s="227">
        <v>16</v>
      </c>
      <c r="M23" s="10">
        <f t="shared" si="34"/>
        <v>2055.0000000000073</v>
      </c>
      <c r="N23" s="9">
        <f t="shared" si="22"/>
        <v>128.43750000000045</v>
      </c>
      <c r="O23" s="11">
        <f t="shared" si="35"/>
        <v>0</v>
      </c>
      <c r="P23" s="12">
        <f t="shared" si="36"/>
        <v>3.4375000000004547</v>
      </c>
      <c r="Q23" s="220">
        <f t="shared" si="29"/>
        <v>1.0275000000000036</v>
      </c>
      <c r="R23" s="533"/>
      <c r="S23" s="24">
        <v>0.81388888888888888</v>
      </c>
      <c r="T23" s="24">
        <v>0.81944444444444442</v>
      </c>
      <c r="U23" s="219">
        <f t="shared" si="38"/>
        <v>7.9999999999999716</v>
      </c>
      <c r="V23" s="228">
        <f t="shared" si="37"/>
        <v>7.9999999999999716</v>
      </c>
      <c r="W23" s="14"/>
      <c r="X23" s="15"/>
      <c r="Y23" s="536"/>
      <c r="Z23" s="537"/>
      <c r="AA23" s="11">
        <f t="shared" si="2"/>
        <v>55.000000000007276</v>
      </c>
      <c r="AB23" s="220">
        <f t="shared" si="19"/>
        <v>1.0275000000000036</v>
      </c>
      <c r="AC23" s="533"/>
    </row>
    <row r="24" spans="1:29" ht="15.75" customHeight="1">
      <c r="A24" s="555" t="s">
        <v>807</v>
      </c>
      <c r="B24" s="26" t="s">
        <v>804</v>
      </c>
      <c r="C24" s="530"/>
      <c r="D24" s="530"/>
      <c r="E24" s="221"/>
      <c r="F24" s="229"/>
      <c r="G24" s="219"/>
      <c r="H24" s="229"/>
      <c r="I24" s="17">
        <v>17</v>
      </c>
      <c r="J24" s="18">
        <v>2000</v>
      </c>
      <c r="K24" s="9">
        <f t="shared" si="33"/>
        <v>117.64705882352941</v>
      </c>
      <c r="L24" s="17">
        <v>17</v>
      </c>
      <c r="M24" s="10">
        <f>AVERAGE(M17:M23)</f>
        <v>1892.9184282007757</v>
      </c>
      <c r="N24" s="9">
        <f>M24/L24</f>
        <v>111.34814283533974</v>
      </c>
      <c r="O24" s="11">
        <f>L24-I24</f>
        <v>0</v>
      </c>
      <c r="P24" s="12">
        <f>N24-K24</f>
        <v>-6.2989159881896626</v>
      </c>
      <c r="Q24" s="220">
        <f>N24/K24</f>
        <v>0.94645921410038791</v>
      </c>
      <c r="R24" s="533"/>
      <c r="S24" s="24"/>
      <c r="T24" s="24"/>
      <c r="U24" s="9"/>
      <c r="V24" s="228"/>
      <c r="W24" s="9"/>
      <c r="X24" s="9"/>
      <c r="Y24" s="528"/>
      <c r="Z24" s="528"/>
      <c r="AA24" s="11">
        <f t="shared" si="2"/>
        <v>-107.08157179922432</v>
      </c>
      <c r="AB24" s="220">
        <f t="shared" si="19"/>
        <v>0.9464592141003878</v>
      </c>
      <c r="AC24" s="533"/>
    </row>
    <row r="25" spans="1:29" ht="15.75" customHeight="1">
      <c r="A25" s="553" t="s">
        <v>808</v>
      </c>
      <c r="B25" s="26" t="s">
        <v>24</v>
      </c>
      <c r="C25" s="552" t="s">
        <v>26</v>
      </c>
      <c r="D25" s="552"/>
      <c r="E25" s="26">
        <v>26.2</v>
      </c>
      <c r="F25" s="229">
        <v>2788</v>
      </c>
      <c r="G25" s="219">
        <f t="shared" ref="G25:G29" si="39">E25*F25</f>
        <v>73045.599999999991</v>
      </c>
      <c r="H25" s="76" t="s">
        <v>52</v>
      </c>
      <c r="I25" s="227">
        <v>20</v>
      </c>
      <c r="J25" s="18">
        <v>2400</v>
      </c>
      <c r="K25" s="9">
        <f>J25/I25</f>
        <v>120</v>
      </c>
      <c r="L25" s="227">
        <v>20</v>
      </c>
      <c r="M25" s="10">
        <f t="shared" ref="M25:M29" si="40">F25/V25*60</f>
        <v>2230.3999999999996</v>
      </c>
      <c r="N25" s="9">
        <f t="shared" ref="N25:N29" si="41">M25/L25</f>
        <v>111.51999999999998</v>
      </c>
      <c r="O25" s="11">
        <f t="shared" ref="O25:O29" si="42">L25-I25</f>
        <v>0</v>
      </c>
      <c r="P25" s="12">
        <f t="shared" ref="P25:P29" si="43">N25-K25</f>
        <v>-8.4800000000000182</v>
      </c>
      <c r="Q25" s="220">
        <f t="shared" ref="Q25:Q29" si="44">N25/K25</f>
        <v>0.92933333333333323</v>
      </c>
      <c r="R25" s="533">
        <f>Q30</f>
        <v>0.92802508343854184</v>
      </c>
      <c r="S25" s="24">
        <v>0.125</v>
      </c>
      <c r="T25" s="24">
        <v>0.17708333333333334</v>
      </c>
      <c r="U25" s="219"/>
      <c r="V25" s="228">
        <f t="shared" ref="V25:V29" si="45">(T25-S25)*24*60</f>
        <v>75.000000000000014</v>
      </c>
      <c r="W25" s="14">
        <f>T25</f>
        <v>0.17708333333333334</v>
      </c>
      <c r="X25" s="14">
        <f>S26</f>
        <v>0.19722222222222224</v>
      </c>
      <c r="Y25" s="528"/>
      <c r="Z25" s="528"/>
      <c r="AA25" s="11">
        <f t="shared" si="2"/>
        <v>-169.60000000000036</v>
      </c>
      <c r="AB25" s="220">
        <f>M25/J25</f>
        <v>0.92933333333333323</v>
      </c>
      <c r="AC25" s="533">
        <f>AB30</f>
        <v>0.92802508343854184</v>
      </c>
    </row>
    <row r="26" spans="1:29" ht="15.75" customHeight="1">
      <c r="A26" s="553" t="s">
        <v>808</v>
      </c>
      <c r="B26" s="26" t="s">
        <v>24</v>
      </c>
      <c r="C26" s="552" t="s">
        <v>79</v>
      </c>
      <c r="D26" s="552"/>
      <c r="E26" s="26">
        <v>31.29</v>
      </c>
      <c r="F26" s="229">
        <v>6028</v>
      </c>
      <c r="G26" s="219">
        <f t="shared" si="39"/>
        <v>188616.12</v>
      </c>
      <c r="H26" s="76" t="s">
        <v>52</v>
      </c>
      <c r="I26" s="227">
        <v>16</v>
      </c>
      <c r="J26" s="18">
        <v>2400</v>
      </c>
      <c r="K26" s="9">
        <f t="shared" ref="K26:K30" si="46">J26/I26</f>
        <v>150</v>
      </c>
      <c r="L26" s="227">
        <v>16</v>
      </c>
      <c r="M26" s="10">
        <f t="shared" si="40"/>
        <v>2218.8957055214728</v>
      </c>
      <c r="N26" s="9">
        <f t="shared" si="41"/>
        <v>138.68098159509205</v>
      </c>
      <c r="O26" s="11">
        <f t="shared" si="42"/>
        <v>0</v>
      </c>
      <c r="P26" s="12">
        <f t="shared" si="43"/>
        <v>-11.319018404907951</v>
      </c>
      <c r="Q26" s="220">
        <f t="shared" si="44"/>
        <v>0.92453987730061371</v>
      </c>
      <c r="R26" s="533"/>
      <c r="S26" s="24">
        <v>0.19722222222222224</v>
      </c>
      <c r="T26" s="24">
        <v>0.31041666666666667</v>
      </c>
      <c r="U26" s="219">
        <f>(S26-T25)*24*60</f>
        <v>29.000000000000018</v>
      </c>
      <c r="V26" s="228">
        <f t="shared" si="45"/>
        <v>162.99999999999997</v>
      </c>
      <c r="W26" s="14"/>
      <c r="X26" s="14"/>
      <c r="Y26" s="528"/>
      <c r="Z26" s="528"/>
      <c r="AA26" s="11">
        <f t="shared" si="2"/>
        <v>-181.10429447852721</v>
      </c>
      <c r="AB26" s="220">
        <f t="shared" ref="AB26:AB29" si="47">M26/J26</f>
        <v>0.92453987730061371</v>
      </c>
      <c r="AC26" s="533"/>
    </row>
    <row r="27" spans="1:29" ht="15.75" customHeight="1">
      <c r="A27" s="553" t="s">
        <v>808</v>
      </c>
      <c r="B27" s="26" t="s">
        <v>24</v>
      </c>
      <c r="C27" s="552" t="s">
        <v>68</v>
      </c>
      <c r="D27" s="552"/>
      <c r="E27" s="26">
        <v>24.25</v>
      </c>
      <c r="F27" s="229">
        <v>3652</v>
      </c>
      <c r="G27" s="219">
        <f t="shared" si="39"/>
        <v>88561</v>
      </c>
      <c r="H27" s="76" t="s">
        <v>52</v>
      </c>
      <c r="I27" s="227">
        <v>18</v>
      </c>
      <c r="J27" s="18">
        <v>2400</v>
      </c>
      <c r="K27" s="9">
        <f t="shared" si="46"/>
        <v>133.33333333333334</v>
      </c>
      <c r="L27" s="227">
        <v>18</v>
      </c>
      <c r="M27" s="10">
        <f t="shared" si="40"/>
        <v>2213.3333333333339</v>
      </c>
      <c r="N27" s="9">
        <f t="shared" si="41"/>
        <v>122.96296296296299</v>
      </c>
      <c r="O27" s="11">
        <f t="shared" si="42"/>
        <v>0</v>
      </c>
      <c r="P27" s="12">
        <f t="shared" si="43"/>
        <v>-10.370370370370352</v>
      </c>
      <c r="Q27" s="220">
        <f t="shared" si="44"/>
        <v>0.92222222222222239</v>
      </c>
      <c r="R27" s="533"/>
      <c r="S27" s="24">
        <v>0.31527777777777777</v>
      </c>
      <c r="T27" s="24">
        <v>0.38402777777777775</v>
      </c>
      <c r="U27" s="219">
        <f t="shared" ref="U27:U29" si="48">(S27-T26)*24*60</f>
        <v>6.9999999999999751</v>
      </c>
      <c r="V27" s="228">
        <f t="shared" si="45"/>
        <v>98.999999999999972</v>
      </c>
      <c r="W27" s="14"/>
      <c r="X27" s="14"/>
      <c r="Y27" s="528"/>
      <c r="Z27" s="528"/>
      <c r="AA27" s="11">
        <f t="shared" si="2"/>
        <v>-186.66666666666606</v>
      </c>
      <c r="AB27" s="220">
        <f t="shared" si="47"/>
        <v>0.9222222222222225</v>
      </c>
      <c r="AC27" s="533"/>
    </row>
    <row r="28" spans="1:29" ht="15.75" customHeight="1">
      <c r="A28" s="553" t="s">
        <v>808</v>
      </c>
      <c r="B28" s="26" t="s">
        <v>24</v>
      </c>
      <c r="C28" s="552" t="s">
        <v>328</v>
      </c>
      <c r="D28" s="552"/>
      <c r="E28" s="26">
        <v>25.98</v>
      </c>
      <c r="F28" s="229">
        <v>4041</v>
      </c>
      <c r="G28" s="219">
        <f t="shared" si="39"/>
        <v>104985.18000000001</v>
      </c>
      <c r="H28" s="76" t="s">
        <v>52</v>
      </c>
      <c r="I28" s="227">
        <v>17</v>
      </c>
      <c r="J28" s="18">
        <v>2400</v>
      </c>
      <c r="K28" s="9">
        <f t="shared" si="46"/>
        <v>141.1764705882353</v>
      </c>
      <c r="L28" s="227">
        <v>17</v>
      </c>
      <c r="M28" s="10">
        <f t="shared" si="40"/>
        <v>2224.4036697247707</v>
      </c>
      <c r="N28" s="9">
        <f t="shared" si="41"/>
        <v>130.8472746896924</v>
      </c>
      <c r="O28" s="11">
        <f t="shared" si="42"/>
        <v>0</v>
      </c>
      <c r="P28" s="12">
        <f t="shared" si="43"/>
        <v>-10.329195898542906</v>
      </c>
      <c r="Q28" s="220">
        <f t="shared" si="44"/>
        <v>0.92683486238532109</v>
      </c>
      <c r="R28" s="533"/>
      <c r="S28" s="24">
        <v>0.38888888888888884</v>
      </c>
      <c r="T28" s="24">
        <v>0.46458333333333329</v>
      </c>
      <c r="U28" s="219">
        <f t="shared" si="48"/>
        <v>6.9999999999999751</v>
      </c>
      <c r="V28" s="228">
        <f t="shared" si="45"/>
        <v>109.00000000000001</v>
      </c>
      <c r="W28" s="14"/>
      <c r="X28" s="14"/>
      <c r="Y28" s="528"/>
      <c r="Z28" s="528"/>
      <c r="AA28" s="11">
        <f t="shared" si="2"/>
        <v>-175.59633027522932</v>
      </c>
      <c r="AB28" s="220">
        <f t="shared" si="47"/>
        <v>0.92683486238532109</v>
      </c>
      <c r="AC28" s="533"/>
    </row>
    <row r="29" spans="1:29" ht="15.75" customHeight="1">
      <c r="A29" s="553" t="s">
        <v>808</v>
      </c>
      <c r="B29" s="26" t="s">
        <v>24</v>
      </c>
      <c r="C29" s="552" t="s">
        <v>62</v>
      </c>
      <c r="D29" s="552"/>
      <c r="E29" s="26">
        <v>22.35</v>
      </c>
      <c r="F29" s="229">
        <v>1537</v>
      </c>
      <c r="G29" s="219">
        <f t="shared" si="39"/>
        <v>34351.950000000004</v>
      </c>
      <c r="H29" s="76" t="s">
        <v>52</v>
      </c>
      <c r="I29" s="227">
        <v>16</v>
      </c>
      <c r="J29" s="18">
        <v>2400</v>
      </c>
      <c r="K29" s="9">
        <f t="shared" si="46"/>
        <v>150</v>
      </c>
      <c r="L29" s="227">
        <v>16</v>
      </c>
      <c r="M29" s="10">
        <f t="shared" si="40"/>
        <v>2249.2682926829261</v>
      </c>
      <c r="N29" s="9">
        <f t="shared" si="41"/>
        <v>140.57926829268288</v>
      </c>
      <c r="O29" s="11">
        <f t="shared" si="42"/>
        <v>0</v>
      </c>
      <c r="P29" s="12">
        <f t="shared" si="43"/>
        <v>-9.4207317073171168</v>
      </c>
      <c r="Q29" s="220">
        <f t="shared" si="44"/>
        <v>0.93719512195121923</v>
      </c>
      <c r="R29" s="533"/>
      <c r="S29" s="24">
        <v>0.47013888888888883</v>
      </c>
      <c r="T29" s="24">
        <v>0.49861111111111106</v>
      </c>
      <c r="U29" s="219">
        <f t="shared" si="48"/>
        <v>7.9999999999999716</v>
      </c>
      <c r="V29" s="228">
        <f t="shared" si="45"/>
        <v>41.000000000000014</v>
      </c>
      <c r="W29" s="14"/>
      <c r="X29" s="14"/>
      <c r="Y29" s="528"/>
      <c r="Z29" s="528"/>
      <c r="AA29" s="11">
        <f t="shared" si="2"/>
        <v>-150.73170731707387</v>
      </c>
      <c r="AB29" s="220">
        <f t="shared" si="47"/>
        <v>0.93719512195121923</v>
      </c>
      <c r="AC29" s="533"/>
    </row>
    <row r="30" spans="1:29" ht="15.75" customHeight="1">
      <c r="A30" s="553" t="s">
        <v>808</v>
      </c>
      <c r="B30" s="26" t="s">
        <v>804</v>
      </c>
      <c r="C30" s="530"/>
      <c r="D30" s="530"/>
      <c r="E30" s="221"/>
      <c r="F30" s="229"/>
      <c r="G30" s="219"/>
      <c r="H30" s="229"/>
      <c r="I30" s="17">
        <v>17.399999999999999</v>
      </c>
      <c r="J30" s="18">
        <v>2400</v>
      </c>
      <c r="K30" s="9">
        <f t="shared" si="46"/>
        <v>137.93103448275863</v>
      </c>
      <c r="L30" s="17">
        <v>17.399999999999999</v>
      </c>
      <c r="M30" s="10">
        <f>AVERAGE(M25:M29)</f>
        <v>2227.2602002525005</v>
      </c>
      <c r="N30" s="9">
        <f>M30/L30</f>
        <v>128.00345978462647</v>
      </c>
      <c r="O30" s="11">
        <f>L30-I30</f>
        <v>0</v>
      </c>
      <c r="P30" s="12">
        <f>N30-K30</f>
        <v>-9.9275746981321618</v>
      </c>
      <c r="Q30" s="220">
        <f>N30/K30</f>
        <v>0.92802508343854184</v>
      </c>
      <c r="R30" s="533"/>
      <c r="S30" s="24"/>
      <c r="T30" s="24"/>
      <c r="U30" s="219"/>
      <c r="V30" s="228"/>
      <c r="W30" s="219"/>
      <c r="X30" s="219"/>
      <c r="Y30" s="528"/>
      <c r="Z30" s="528"/>
      <c r="AA30" s="11">
        <f t="shared" si="2"/>
        <v>-172.73979974749955</v>
      </c>
      <c r="AB30" s="220">
        <f>M30/J30</f>
        <v>0.92802508343854184</v>
      </c>
      <c r="AC30" s="533"/>
    </row>
    <row r="31" spans="1:29" ht="15.75" customHeight="1">
      <c r="A31" s="550" t="s">
        <v>809</v>
      </c>
      <c r="B31" s="26" t="s">
        <v>24</v>
      </c>
      <c r="C31" s="529" t="s">
        <v>28</v>
      </c>
      <c r="D31" s="529"/>
      <c r="E31" s="26">
        <v>26.2</v>
      </c>
      <c r="F31" s="229">
        <v>4349</v>
      </c>
      <c r="G31" s="219">
        <f t="shared" ref="G31:G35" si="49">E31*F31</f>
        <v>113943.8</v>
      </c>
      <c r="H31" s="76" t="s">
        <v>52</v>
      </c>
      <c r="I31" s="227">
        <v>18</v>
      </c>
      <c r="J31" s="18">
        <v>2400</v>
      </c>
      <c r="K31" s="9">
        <f>J31/I31</f>
        <v>133.33333333333334</v>
      </c>
      <c r="L31" s="227">
        <v>18</v>
      </c>
      <c r="M31" s="10">
        <f>F31/V31*60</f>
        <v>2211.3559322033902</v>
      </c>
      <c r="N31" s="9">
        <f>M31/L31</f>
        <v>122.85310734463279</v>
      </c>
      <c r="O31" s="11">
        <f t="shared" ref="O31:O35" si="50">L31-I31</f>
        <v>0</v>
      </c>
      <c r="P31" s="12">
        <f t="shared" ref="P31:P43" si="51">N31-K31</f>
        <v>-10.480225988700553</v>
      </c>
      <c r="Q31" s="220">
        <f t="shared" ref="Q31:Q40" si="52">N31/K31</f>
        <v>0.92139830508474585</v>
      </c>
      <c r="R31" s="533">
        <f>Q36</f>
        <v>0.92722264989781067</v>
      </c>
      <c r="S31" s="24">
        <v>0.125</v>
      </c>
      <c r="T31" s="24">
        <v>0.20694444444444443</v>
      </c>
      <c r="U31" s="219"/>
      <c r="V31" s="228">
        <f t="shared" ref="V31:V35" si="53">(T31-S31)*24*60</f>
        <v>117.99999999999999</v>
      </c>
      <c r="W31" s="15">
        <f>T31</f>
        <v>0.20694444444444443</v>
      </c>
      <c r="X31" s="15">
        <f>S32</f>
        <v>0.22569444444444445</v>
      </c>
      <c r="Y31" s="528"/>
      <c r="Z31" s="528"/>
      <c r="AA31" s="11">
        <f t="shared" si="2"/>
        <v>-188.64406779660976</v>
      </c>
      <c r="AB31" s="220">
        <f>M31/J31</f>
        <v>0.92139830508474596</v>
      </c>
      <c r="AC31" s="533">
        <f>AB36</f>
        <v>0.92722264989781067</v>
      </c>
    </row>
    <row r="32" spans="1:29" ht="15.75" customHeight="1">
      <c r="A32" s="550" t="s">
        <v>809</v>
      </c>
      <c r="B32" s="26" t="s">
        <v>24</v>
      </c>
      <c r="C32" s="529" t="s">
        <v>30</v>
      </c>
      <c r="D32" s="529"/>
      <c r="E32" s="26">
        <v>24.45</v>
      </c>
      <c r="F32" s="229">
        <v>1612</v>
      </c>
      <c r="G32" s="219">
        <f t="shared" si="49"/>
        <v>39413.4</v>
      </c>
      <c r="H32" s="76" t="s">
        <v>52</v>
      </c>
      <c r="I32" s="227">
        <v>20</v>
      </c>
      <c r="J32" s="18">
        <v>2400</v>
      </c>
      <c r="K32" s="9">
        <f t="shared" ref="K32:K42" si="54">J32/I32</f>
        <v>120</v>
      </c>
      <c r="L32" s="227">
        <v>20</v>
      </c>
      <c r="M32" s="10">
        <f t="shared" ref="M32:M35" si="55">F32/V32*60</f>
        <v>2249.3023255813973</v>
      </c>
      <c r="N32" s="9">
        <f t="shared" ref="N32:N35" si="56">M32/L32</f>
        <v>112.46511627906986</v>
      </c>
      <c r="O32" s="11">
        <f t="shared" si="50"/>
        <v>0</v>
      </c>
      <c r="P32" s="12">
        <f t="shared" si="51"/>
        <v>-7.5348837209301394</v>
      </c>
      <c r="Q32" s="220">
        <f t="shared" si="52"/>
        <v>0.93720930232558219</v>
      </c>
      <c r="R32" s="533"/>
      <c r="S32" s="24">
        <v>0.22569444444444445</v>
      </c>
      <c r="T32" s="24">
        <v>0.25555555555555554</v>
      </c>
      <c r="U32" s="219">
        <f>(S32-T31)*24*60</f>
        <v>27.000000000000025</v>
      </c>
      <c r="V32" s="228">
        <f t="shared" si="53"/>
        <v>42.999999999999964</v>
      </c>
      <c r="W32" s="219"/>
      <c r="X32" s="219"/>
      <c r="Y32" s="528"/>
      <c r="Z32" s="528"/>
      <c r="AA32" s="11">
        <f t="shared" si="2"/>
        <v>-150.69767441860267</v>
      </c>
      <c r="AB32" s="220">
        <f t="shared" ref="AB32:AB56" si="57">M32/J32</f>
        <v>0.93720930232558219</v>
      </c>
      <c r="AC32" s="533"/>
    </row>
    <row r="33" spans="1:29">
      <c r="A33" s="551" t="s">
        <v>809</v>
      </c>
      <c r="B33" s="26" t="s">
        <v>24</v>
      </c>
      <c r="C33" s="529" t="s">
        <v>29</v>
      </c>
      <c r="D33" s="529"/>
      <c r="E33" s="26">
        <v>26.39</v>
      </c>
      <c r="F33" s="229">
        <v>3924</v>
      </c>
      <c r="G33" s="219">
        <f t="shared" si="49"/>
        <v>103554.36</v>
      </c>
      <c r="H33" s="76" t="s">
        <v>52</v>
      </c>
      <c r="I33" s="227">
        <v>19</v>
      </c>
      <c r="J33" s="18">
        <v>2400</v>
      </c>
      <c r="K33" s="9">
        <f t="shared" si="54"/>
        <v>126.31578947368421</v>
      </c>
      <c r="L33" s="227">
        <v>19</v>
      </c>
      <c r="M33" s="10">
        <f t="shared" si="55"/>
        <v>2221.1320754716976</v>
      </c>
      <c r="N33" s="9">
        <f t="shared" si="56"/>
        <v>116.90168818272093</v>
      </c>
      <c r="O33" s="11">
        <f t="shared" si="50"/>
        <v>0</v>
      </c>
      <c r="P33" s="12">
        <f t="shared" si="51"/>
        <v>-9.4141012909632735</v>
      </c>
      <c r="Q33" s="220">
        <f t="shared" si="52"/>
        <v>0.9254716981132074</v>
      </c>
      <c r="R33" s="533"/>
      <c r="S33" s="24">
        <v>0.26041666666666663</v>
      </c>
      <c r="T33" s="24">
        <v>0.33402777777777776</v>
      </c>
      <c r="U33" s="219">
        <f t="shared" ref="U33:U35" si="58">(S33-T32)*24*60</f>
        <v>6.9999999999999751</v>
      </c>
      <c r="V33" s="228">
        <f t="shared" si="53"/>
        <v>106.00000000000003</v>
      </c>
      <c r="W33" s="219"/>
      <c r="X33" s="219"/>
      <c r="Y33" s="528"/>
      <c r="Z33" s="528"/>
      <c r="AA33" s="11">
        <f t="shared" si="2"/>
        <v>-178.86792452830241</v>
      </c>
      <c r="AB33" s="220">
        <f t="shared" si="57"/>
        <v>0.92547169811320729</v>
      </c>
      <c r="AC33" s="533"/>
    </row>
    <row r="34" spans="1:29">
      <c r="A34" s="551" t="s">
        <v>809</v>
      </c>
      <c r="B34" s="26" t="s">
        <v>24</v>
      </c>
      <c r="C34" s="529" t="s">
        <v>27</v>
      </c>
      <c r="D34" s="529"/>
      <c r="E34" s="26">
        <v>20.52</v>
      </c>
      <c r="F34" s="229">
        <v>2371</v>
      </c>
      <c r="G34" s="219">
        <f t="shared" si="49"/>
        <v>48652.92</v>
      </c>
      <c r="H34" s="76" t="s">
        <v>52</v>
      </c>
      <c r="I34" s="227">
        <v>18</v>
      </c>
      <c r="J34" s="18">
        <v>2400</v>
      </c>
      <c r="K34" s="9">
        <f t="shared" si="54"/>
        <v>133.33333333333334</v>
      </c>
      <c r="L34" s="227">
        <v>18</v>
      </c>
      <c r="M34" s="10">
        <f t="shared" si="55"/>
        <v>2222.8124999999995</v>
      </c>
      <c r="N34" s="9">
        <f t="shared" si="56"/>
        <v>123.48958333333331</v>
      </c>
      <c r="O34" s="11">
        <f t="shared" si="50"/>
        <v>0</v>
      </c>
      <c r="P34" s="12">
        <f t="shared" si="51"/>
        <v>-9.8437500000000284</v>
      </c>
      <c r="Q34" s="220">
        <f t="shared" si="52"/>
        <v>0.92617187499999976</v>
      </c>
      <c r="R34" s="533"/>
      <c r="S34" s="24">
        <v>0.33749999999999997</v>
      </c>
      <c r="T34" s="24">
        <v>0.38194444444444442</v>
      </c>
      <c r="U34" s="219">
        <f t="shared" si="58"/>
        <v>4.9999999999999822</v>
      </c>
      <c r="V34" s="228">
        <f t="shared" si="53"/>
        <v>64.000000000000014</v>
      </c>
      <c r="W34" s="14"/>
      <c r="X34" s="14"/>
      <c r="Y34" s="528"/>
      <c r="Z34" s="528"/>
      <c r="AA34" s="11">
        <f t="shared" si="2"/>
        <v>-177.18750000000045</v>
      </c>
      <c r="AB34" s="220">
        <f t="shared" si="57"/>
        <v>0.92617187499999976</v>
      </c>
      <c r="AC34" s="533"/>
    </row>
    <row r="35" spans="1:29">
      <c r="A35" s="551" t="s">
        <v>809</v>
      </c>
      <c r="B35" s="26" t="s">
        <v>24</v>
      </c>
      <c r="C35" s="529" t="s">
        <v>50</v>
      </c>
      <c r="D35" s="529"/>
      <c r="E35" s="26">
        <v>26.2</v>
      </c>
      <c r="F35" s="229">
        <v>3222</v>
      </c>
      <c r="G35" s="219">
        <f t="shared" si="49"/>
        <v>84416.4</v>
      </c>
      <c r="H35" s="76" t="s">
        <v>52</v>
      </c>
      <c r="I35" s="227">
        <v>19</v>
      </c>
      <c r="J35" s="18">
        <v>2400</v>
      </c>
      <c r="K35" s="9">
        <f t="shared" si="54"/>
        <v>126.31578947368421</v>
      </c>
      <c r="L35" s="227">
        <v>19</v>
      </c>
      <c r="M35" s="10">
        <f t="shared" si="55"/>
        <v>2222.0689655172409</v>
      </c>
      <c r="N35" s="9">
        <f t="shared" si="56"/>
        <v>116.95099818511794</v>
      </c>
      <c r="O35" s="11">
        <f t="shared" si="50"/>
        <v>0</v>
      </c>
      <c r="P35" s="12">
        <f t="shared" si="51"/>
        <v>-9.3647912885662663</v>
      </c>
      <c r="Q35" s="220">
        <f t="shared" si="52"/>
        <v>0.92586206896551704</v>
      </c>
      <c r="R35" s="533"/>
      <c r="S35" s="24">
        <v>0.38749999999999996</v>
      </c>
      <c r="T35" s="24">
        <v>0.44791666666666663</v>
      </c>
      <c r="U35" s="219">
        <f t="shared" si="58"/>
        <v>7.9999999999999716</v>
      </c>
      <c r="V35" s="228">
        <f t="shared" si="53"/>
        <v>87.000000000000014</v>
      </c>
      <c r="W35" s="14"/>
      <c r="X35" s="14"/>
      <c r="Y35" s="528"/>
      <c r="Z35" s="528"/>
      <c r="AA35" s="11">
        <f t="shared" si="2"/>
        <v>-177.93103448275906</v>
      </c>
      <c r="AB35" s="220">
        <f t="shared" si="57"/>
        <v>0.92586206896551704</v>
      </c>
      <c r="AC35" s="533"/>
    </row>
    <row r="36" spans="1:29">
      <c r="A36" s="551" t="s">
        <v>809</v>
      </c>
      <c r="B36" s="16" t="s">
        <v>804</v>
      </c>
      <c r="C36" s="530"/>
      <c r="D36" s="530"/>
      <c r="E36" s="221"/>
      <c r="F36" s="16"/>
      <c r="G36" s="9"/>
      <c r="H36" s="229"/>
      <c r="I36" s="17">
        <v>18.8</v>
      </c>
      <c r="J36" s="18">
        <v>2400</v>
      </c>
      <c r="K36" s="9">
        <f t="shared" si="54"/>
        <v>127.6595744680851</v>
      </c>
      <c r="L36" s="17">
        <v>18.8</v>
      </c>
      <c r="M36" s="10">
        <f>AVERAGE(M31:M35)</f>
        <v>2225.3343597547455</v>
      </c>
      <c r="N36" s="9">
        <f>M36/L36</f>
        <v>118.36884892312476</v>
      </c>
      <c r="O36" s="11">
        <f>L36-I36</f>
        <v>0</v>
      </c>
      <c r="P36" s="12">
        <f t="shared" si="51"/>
        <v>-9.2907255449603383</v>
      </c>
      <c r="Q36" s="220">
        <f t="shared" si="52"/>
        <v>0.92722264989781067</v>
      </c>
      <c r="R36" s="533"/>
      <c r="S36" s="24"/>
      <c r="T36" s="24"/>
      <c r="U36" s="9"/>
      <c r="V36" s="228"/>
      <c r="W36" s="9"/>
      <c r="X36" s="9"/>
      <c r="Y36" s="528"/>
      <c r="Z36" s="528"/>
      <c r="AA36" s="11">
        <f t="shared" si="2"/>
        <v>-174.66564024525451</v>
      </c>
      <c r="AB36" s="220">
        <f t="shared" si="57"/>
        <v>0.92722264989781067</v>
      </c>
      <c r="AC36" s="533"/>
    </row>
    <row r="37" spans="1:29" ht="15.75" customHeight="1">
      <c r="A37" s="544" t="s">
        <v>810</v>
      </c>
      <c r="B37" s="26" t="s">
        <v>32</v>
      </c>
      <c r="C37" s="534" t="s">
        <v>33</v>
      </c>
      <c r="D37" s="535"/>
      <c r="E37" s="26">
        <v>27.17</v>
      </c>
      <c r="F37" s="229">
        <v>4950</v>
      </c>
      <c r="G37" s="219">
        <f t="shared" ref="G37:G42" si="59">E37*F37</f>
        <v>134491.5</v>
      </c>
      <c r="H37" s="76" t="s">
        <v>52</v>
      </c>
      <c r="I37" s="227">
        <v>10</v>
      </c>
      <c r="J37" s="18">
        <v>3000</v>
      </c>
      <c r="K37" s="9">
        <f t="shared" si="54"/>
        <v>300</v>
      </c>
      <c r="L37" s="227">
        <v>10</v>
      </c>
      <c r="M37" s="10">
        <f t="shared" ref="M37:M38" si="60">F37/V37*60</f>
        <v>2775.7009345794395</v>
      </c>
      <c r="N37" s="10">
        <f t="shared" ref="N37:N43" si="61">M37/L37</f>
        <v>277.57009345794393</v>
      </c>
      <c r="O37" s="11">
        <f t="shared" ref="O37:O43" si="62">L37-I37</f>
        <v>0</v>
      </c>
      <c r="P37" s="12">
        <f t="shared" si="51"/>
        <v>-22.429906542056074</v>
      </c>
      <c r="Q37" s="220">
        <f t="shared" si="52"/>
        <v>0.92523364485981308</v>
      </c>
      <c r="R37" s="547">
        <f>Q43</f>
        <v>0.93155095246086927</v>
      </c>
      <c r="S37" s="24">
        <v>0.20833333333333334</v>
      </c>
      <c r="T37" s="24">
        <v>0.28263888888888888</v>
      </c>
      <c r="U37" s="15"/>
      <c r="V37" s="228">
        <f t="shared" ref="V37:V42" si="63">(T37-S37)*24*60</f>
        <v>106.99999999999999</v>
      </c>
      <c r="W37" s="219"/>
      <c r="X37" s="219"/>
      <c r="Y37" s="536"/>
      <c r="Z37" s="537"/>
      <c r="AA37" s="11">
        <f t="shared" si="2"/>
        <v>-224.29906542056051</v>
      </c>
      <c r="AB37" s="220">
        <f t="shared" si="57"/>
        <v>0.92523364485981319</v>
      </c>
      <c r="AC37" s="547">
        <f>AB43</f>
        <v>0.93155095246086916</v>
      </c>
    </row>
    <row r="38" spans="1:29" ht="15.75" customHeight="1">
      <c r="A38" s="545" t="s">
        <v>810</v>
      </c>
      <c r="B38" s="26" t="s">
        <v>32</v>
      </c>
      <c r="C38" s="534" t="s">
        <v>34</v>
      </c>
      <c r="D38" s="535"/>
      <c r="E38" s="26">
        <v>21.13</v>
      </c>
      <c r="F38" s="229">
        <v>4057</v>
      </c>
      <c r="G38" s="219">
        <f t="shared" si="59"/>
        <v>85724.409999999989</v>
      </c>
      <c r="H38" s="76" t="s">
        <v>52</v>
      </c>
      <c r="I38" s="227">
        <v>10</v>
      </c>
      <c r="J38" s="18">
        <v>3000</v>
      </c>
      <c r="K38" s="9">
        <f t="shared" si="54"/>
        <v>300</v>
      </c>
      <c r="L38" s="227">
        <v>10</v>
      </c>
      <c r="M38" s="10">
        <f t="shared" si="60"/>
        <v>2766.1363636363635</v>
      </c>
      <c r="N38" s="10">
        <f t="shared" si="61"/>
        <v>276.61363636363637</v>
      </c>
      <c r="O38" s="11">
        <f t="shared" si="62"/>
        <v>0</v>
      </c>
      <c r="P38" s="12">
        <f t="shared" si="51"/>
        <v>-23.386363636363626</v>
      </c>
      <c r="Q38" s="220">
        <f t="shared" si="52"/>
        <v>0.92204545454545461</v>
      </c>
      <c r="R38" s="548"/>
      <c r="S38" s="24">
        <v>0.28819444444444442</v>
      </c>
      <c r="T38" s="24">
        <v>0.34930555555555554</v>
      </c>
      <c r="U38" s="219">
        <f>(S38-T37)*24*60</f>
        <v>7.9999999999999716</v>
      </c>
      <c r="V38" s="228">
        <f t="shared" si="63"/>
        <v>88</v>
      </c>
      <c r="W38" s="14"/>
      <c r="X38" s="14"/>
      <c r="Y38" s="536"/>
      <c r="Z38" s="537"/>
      <c r="AA38" s="11">
        <f t="shared" si="2"/>
        <v>-233.86363636363649</v>
      </c>
      <c r="AB38" s="220">
        <f t="shared" si="57"/>
        <v>0.9220454545454545</v>
      </c>
      <c r="AC38" s="548"/>
    </row>
    <row r="39" spans="1:29" ht="15.75" customHeight="1">
      <c r="A39" s="545" t="s">
        <v>810</v>
      </c>
      <c r="B39" s="26" t="s">
        <v>32</v>
      </c>
      <c r="C39" s="534" t="s">
        <v>40</v>
      </c>
      <c r="D39" s="535"/>
      <c r="E39" s="26">
        <v>35.119999999999997</v>
      </c>
      <c r="F39" s="229">
        <v>3766</v>
      </c>
      <c r="G39" s="219">
        <f t="shared" si="59"/>
        <v>132261.91999999998</v>
      </c>
      <c r="H39" s="76" t="s">
        <v>52</v>
      </c>
      <c r="I39" s="227">
        <v>10</v>
      </c>
      <c r="J39" s="18">
        <v>3000</v>
      </c>
      <c r="K39" s="9">
        <f t="shared" si="54"/>
        <v>300</v>
      </c>
      <c r="L39" s="227">
        <v>10</v>
      </c>
      <c r="M39" s="10">
        <f>F39/V39*60</f>
        <v>2789.6296296296287</v>
      </c>
      <c r="N39" s="10">
        <f t="shared" si="61"/>
        <v>278.96296296296288</v>
      </c>
      <c r="O39" s="11">
        <f t="shared" si="62"/>
        <v>0</v>
      </c>
      <c r="P39" s="12">
        <f t="shared" si="51"/>
        <v>-21.037037037037123</v>
      </c>
      <c r="Q39" s="220">
        <f t="shared" si="52"/>
        <v>0.92987654320987623</v>
      </c>
      <c r="R39" s="548"/>
      <c r="S39" s="24">
        <v>0.35277777777777775</v>
      </c>
      <c r="T39" s="24">
        <v>0.40902777777777777</v>
      </c>
      <c r="U39" s="219">
        <f t="shared" ref="U39:U42" si="64">(S39-T38)*24*60</f>
        <v>4.9999999999999822</v>
      </c>
      <c r="V39" s="228">
        <f t="shared" si="63"/>
        <v>81.000000000000028</v>
      </c>
      <c r="W39" s="14"/>
      <c r="X39" s="14"/>
      <c r="Y39" s="536"/>
      <c r="Z39" s="537"/>
      <c r="AA39" s="11">
        <f t="shared" si="2"/>
        <v>-210.37037037037135</v>
      </c>
      <c r="AB39" s="220">
        <f t="shared" si="57"/>
        <v>0.92987654320987623</v>
      </c>
      <c r="AC39" s="548"/>
    </row>
    <row r="40" spans="1:29" ht="15.75" customHeight="1">
      <c r="A40" s="545" t="s">
        <v>810</v>
      </c>
      <c r="B40" s="26" t="s">
        <v>32</v>
      </c>
      <c r="C40" s="534" t="s">
        <v>61</v>
      </c>
      <c r="D40" s="535"/>
      <c r="E40" s="26">
        <v>40.18</v>
      </c>
      <c r="F40" s="229">
        <v>1959</v>
      </c>
      <c r="G40" s="219">
        <f t="shared" si="59"/>
        <v>78712.62</v>
      </c>
      <c r="H40" s="76" t="s">
        <v>52</v>
      </c>
      <c r="I40" s="227">
        <v>10</v>
      </c>
      <c r="J40" s="18">
        <v>3000</v>
      </c>
      <c r="K40" s="9">
        <f t="shared" si="54"/>
        <v>300</v>
      </c>
      <c r="L40" s="227">
        <v>10</v>
      </c>
      <c r="M40" s="10">
        <f t="shared" ref="M40:M42" si="65">F40/V40*60</f>
        <v>2798.5714285714275</v>
      </c>
      <c r="N40" s="10">
        <f t="shared" si="61"/>
        <v>279.85714285714278</v>
      </c>
      <c r="O40" s="11">
        <f t="shared" si="62"/>
        <v>0</v>
      </c>
      <c r="P40" s="12">
        <f t="shared" si="51"/>
        <v>-20.142857142857224</v>
      </c>
      <c r="Q40" s="220">
        <f t="shared" si="52"/>
        <v>0.93285714285714261</v>
      </c>
      <c r="R40" s="548"/>
      <c r="S40" s="24">
        <v>0.41319444444444442</v>
      </c>
      <c r="T40" s="24">
        <v>0.44236111111111109</v>
      </c>
      <c r="U40" s="219">
        <f t="shared" si="64"/>
        <v>5.9999999999999787</v>
      </c>
      <c r="V40" s="228">
        <f t="shared" si="63"/>
        <v>42.000000000000014</v>
      </c>
      <c r="W40" s="14"/>
      <c r="X40" s="14"/>
      <c r="Y40" s="536"/>
      <c r="Z40" s="537"/>
      <c r="AA40" s="11">
        <f t="shared" si="2"/>
        <v>-201.42857142857247</v>
      </c>
      <c r="AB40" s="220">
        <f t="shared" si="57"/>
        <v>0.9328571428571425</v>
      </c>
      <c r="AC40" s="548"/>
    </row>
    <row r="41" spans="1:29" ht="15.75" customHeight="1">
      <c r="A41" s="545" t="s">
        <v>810</v>
      </c>
      <c r="B41" s="26" t="s">
        <v>32</v>
      </c>
      <c r="C41" s="534" t="s">
        <v>64</v>
      </c>
      <c r="D41" s="535"/>
      <c r="E41" s="26">
        <v>28.5</v>
      </c>
      <c r="F41" s="229">
        <v>1043</v>
      </c>
      <c r="G41" s="219">
        <f t="shared" si="59"/>
        <v>29725.5</v>
      </c>
      <c r="H41" s="76" t="s">
        <v>52</v>
      </c>
      <c r="I41" s="227">
        <v>10</v>
      </c>
      <c r="J41" s="18">
        <v>3000</v>
      </c>
      <c r="K41" s="9">
        <f t="shared" si="54"/>
        <v>300</v>
      </c>
      <c r="L41" s="227">
        <v>10</v>
      </c>
      <c r="M41" s="10">
        <f t="shared" si="65"/>
        <v>2844.5454545454545</v>
      </c>
      <c r="N41" s="10">
        <f t="shared" si="61"/>
        <v>284.45454545454544</v>
      </c>
      <c r="O41" s="11">
        <f t="shared" si="62"/>
        <v>0</v>
      </c>
      <c r="P41" s="12">
        <f t="shared" si="51"/>
        <v>-15.545454545454561</v>
      </c>
      <c r="Q41" s="220">
        <f>N41/K41</f>
        <v>0.94818181818181813</v>
      </c>
      <c r="R41" s="548"/>
      <c r="S41" s="24">
        <v>0.44722222222222219</v>
      </c>
      <c r="T41" s="24">
        <v>0.46249999999999997</v>
      </c>
      <c r="U41" s="219">
        <f t="shared" si="64"/>
        <v>6.9999999999999751</v>
      </c>
      <c r="V41" s="228">
        <f t="shared" si="63"/>
        <v>22</v>
      </c>
      <c r="W41" s="14"/>
      <c r="X41" s="14"/>
      <c r="Y41" s="536"/>
      <c r="Z41" s="537"/>
      <c r="AA41" s="11">
        <f t="shared" si="2"/>
        <v>-155.4545454545455</v>
      </c>
      <c r="AB41" s="220">
        <f t="shared" si="57"/>
        <v>0.94818181818181813</v>
      </c>
      <c r="AC41" s="548"/>
    </row>
    <row r="42" spans="1:29" ht="15.75" customHeight="1">
      <c r="A42" s="545" t="s">
        <v>810</v>
      </c>
      <c r="B42" s="26" t="s">
        <v>32</v>
      </c>
      <c r="C42" s="534" t="s">
        <v>78</v>
      </c>
      <c r="D42" s="535"/>
      <c r="E42" s="26">
        <v>35.869999999999997</v>
      </c>
      <c r="F42" s="229">
        <v>2933</v>
      </c>
      <c r="G42" s="219">
        <f t="shared" si="59"/>
        <v>105206.70999999999</v>
      </c>
      <c r="H42" s="76" t="s">
        <v>52</v>
      </c>
      <c r="I42" s="227">
        <v>10</v>
      </c>
      <c r="J42" s="18">
        <v>3000</v>
      </c>
      <c r="K42" s="9">
        <f t="shared" si="54"/>
        <v>300</v>
      </c>
      <c r="L42" s="227">
        <v>10</v>
      </c>
      <c r="M42" s="10">
        <f t="shared" si="65"/>
        <v>2793.3333333333326</v>
      </c>
      <c r="N42" s="10">
        <f t="shared" si="61"/>
        <v>279.33333333333326</v>
      </c>
      <c r="O42" s="11">
        <f t="shared" si="62"/>
        <v>0</v>
      </c>
      <c r="P42" s="12">
        <f t="shared" si="51"/>
        <v>-20.666666666666742</v>
      </c>
      <c r="Q42" s="220">
        <f t="shared" ref="Q42:Q43" si="66">N42/K42</f>
        <v>0.93111111111111089</v>
      </c>
      <c r="R42" s="548"/>
      <c r="S42" s="24">
        <v>0.46666666666666662</v>
      </c>
      <c r="T42" s="24">
        <v>0.51041666666666663</v>
      </c>
      <c r="U42" s="219">
        <f t="shared" si="64"/>
        <v>5.9999999999999787</v>
      </c>
      <c r="V42" s="228">
        <f t="shared" si="63"/>
        <v>63.000000000000014</v>
      </c>
      <c r="W42" s="14"/>
      <c r="X42" s="14"/>
      <c r="Y42" s="536"/>
      <c r="Z42" s="537"/>
      <c r="AA42" s="11">
        <f t="shared" si="2"/>
        <v>-206.66666666666742</v>
      </c>
      <c r="AB42" s="220">
        <f t="shared" si="57"/>
        <v>0.93111111111111089</v>
      </c>
      <c r="AC42" s="548"/>
    </row>
    <row r="43" spans="1:29" ht="15.75" customHeight="1">
      <c r="A43" s="546" t="s">
        <v>810</v>
      </c>
      <c r="B43" s="26" t="s">
        <v>804</v>
      </c>
      <c r="C43" s="540"/>
      <c r="D43" s="541"/>
      <c r="E43" s="226"/>
      <c r="F43" s="229"/>
      <c r="G43" s="219"/>
      <c r="H43" s="229"/>
      <c r="I43" s="17">
        <v>10</v>
      </c>
      <c r="J43" s="18">
        <v>3000</v>
      </c>
      <c r="K43" s="9">
        <f>J43/I43</f>
        <v>300</v>
      </c>
      <c r="L43" s="17">
        <v>10</v>
      </c>
      <c r="M43" s="10">
        <f>AVERAGE(M37:M42)</f>
        <v>2794.6528573826076</v>
      </c>
      <c r="N43" s="9">
        <f t="shared" si="61"/>
        <v>279.46528573826077</v>
      </c>
      <c r="O43" s="11">
        <f t="shared" si="62"/>
        <v>0</v>
      </c>
      <c r="P43" s="12">
        <f t="shared" si="51"/>
        <v>-20.534714261739225</v>
      </c>
      <c r="Q43" s="220">
        <f t="shared" si="66"/>
        <v>0.93155095246086927</v>
      </c>
      <c r="R43" s="549"/>
      <c r="S43" s="24"/>
      <c r="T43" s="24"/>
      <c r="U43" s="219"/>
      <c r="V43" s="228"/>
      <c r="W43" s="14"/>
      <c r="X43" s="14"/>
      <c r="Y43" s="536"/>
      <c r="Z43" s="537"/>
      <c r="AA43" s="11">
        <f t="shared" si="2"/>
        <v>-205.34714261739236</v>
      </c>
      <c r="AB43" s="220">
        <f t="shared" si="57"/>
        <v>0.93155095246086916</v>
      </c>
      <c r="AC43" s="549"/>
    </row>
    <row r="44" spans="1:29" ht="15.75" customHeight="1">
      <c r="A44" s="542" t="s">
        <v>811</v>
      </c>
      <c r="B44" s="26" t="s">
        <v>15</v>
      </c>
      <c r="C44" s="529" t="s">
        <v>20</v>
      </c>
      <c r="D44" s="529"/>
      <c r="E44" s="26">
        <v>46</v>
      </c>
      <c r="F44" s="27">
        <v>2686</v>
      </c>
      <c r="G44" s="219">
        <f t="shared" ref="G44:G48" si="67">E44*F44</f>
        <v>123556</v>
      </c>
      <c r="H44" s="76" t="s">
        <v>52</v>
      </c>
      <c r="I44" s="227">
        <v>17</v>
      </c>
      <c r="J44" s="18">
        <v>2000</v>
      </c>
      <c r="K44" s="9">
        <f t="shared" ref="K44:K48" si="68">J44/I44</f>
        <v>117.64705882352941</v>
      </c>
      <c r="L44" s="227">
        <v>17</v>
      </c>
      <c r="M44" s="10">
        <f t="shared" ref="M44:M48" si="69">F44/V44*60</f>
        <v>1852.4137931034479</v>
      </c>
      <c r="N44" s="10">
        <f>M44/L44</f>
        <v>108.96551724137929</v>
      </c>
      <c r="O44" s="11">
        <f>L44-I44</f>
        <v>0</v>
      </c>
      <c r="P44" s="12">
        <f>N44-K44</f>
        <v>-8.6815415821501176</v>
      </c>
      <c r="Q44" s="220">
        <f>N44/K44</f>
        <v>0.92620689655172395</v>
      </c>
      <c r="R44" s="533">
        <f>Q49</f>
        <v>0.92844671811757817</v>
      </c>
      <c r="S44" s="24">
        <v>0.29166666666666669</v>
      </c>
      <c r="T44" s="24">
        <v>0.35208333333333336</v>
      </c>
      <c r="U44" s="15"/>
      <c r="V44" s="228">
        <f t="shared" ref="V44:V48" si="70">(T44-S44)*24*60</f>
        <v>87.000000000000014</v>
      </c>
      <c r="W44" s="15"/>
      <c r="X44" s="15"/>
      <c r="Y44" s="528"/>
      <c r="Z44" s="528"/>
      <c r="AA44" s="11">
        <f t="shared" si="2"/>
        <v>-147.58620689655208</v>
      </c>
      <c r="AB44" s="220">
        <f t="shared" si="57"/>
        <v>0.92620689655172395</v>
      </c>
      <c r="AC44" s="533">
        <f>AB49</f>
        <v>0.92844671811757817</v>
      </c>
    </row>
    <row r="45" spans="1:29" ht="15.75" customHeight="1">
      <c r="A45" s="542" t="s">
        <v>811</v>
      </c>
      <c r="B45" s="26" t="s">
        <v>15</v>
      </c>
      <c r="C45" s="529" t="s">
        <v>65</v>
      </c>
      <c r="D45" s="529"/>
      <c r="E45" s="26">
        <v>46</v>
      </c>
      <c r="F45" s="27">
        <v>3060</v>
      </c>
      <c r="G45" s="219">
        <f t="shared" si="67"/>
        <v>140760</v>
      </c>
      <c r="H45" s="76" t="s">
        <v>52</v>
      </c>
      <c r="I45" s="227">
        <v>18</v>
      </c>
      <c r="J45" s="18">
        <v>2000</v>
      </c>
      <c r="K45" s="9">
        <f t="shared" si="68"/>
        <v>111.11111111111111</v>
      </c>
      <c r="L45" s="227">
        <v>18</v>
      </c>
      <c r="M45" s="10">
        <f t="shared" si="69"/>
        <v>1854.545454545455</v>
      </c>
      <c r="N45" s="10">
        <f t="shared" ref="N45:N48" si="71">M45/L45</f>
        <v>103.03030303030306</v>
      </c>
      <c r="O45" s="11">
        <f t="shared" ref="O45:O48" si="72">L45-I45</f>
        <v>0</v>
      </c>
      <c r="P45" s="12">
        <f t="shared" ref="P45:P48" si="73">N45-K45</f>
        <v>-8.0808080808080547</v>
      </c>
      <c r="Q45" s="220">
        <f t="shared" ref="Q45:Q48" si="74">N45/K45</f>
        <v>0.92727272727272747</v>
      </c>
      <c r="R45" s="533"/>
      <c r="S45" s="24">
        <v>0.35625000000000001</v>
      </c>
      <c r="T45" s="24">
        <v>0.42499999999999999</v>
      </c>
      <c r="U45" s="219">
        <f>IF(S45=TIME(17,0,0),"",(S45-T44)*24*60)</f>
        <v>5.9999999999999787</v>
      </c>
      <c r="V45" s="228">
        <f t="shared" si="70"/>
        <v>98.999999999999972</v>
      </c>
      <c r="W45" s="14"/>
      <c r="X45" s="14"/>
      <c r="Y45" s="528"/>
      <c r="Z45" s="528"/>
      <c r="AA45" s="11">
        <f t="shared" si="2"/>
        <v>-145.45454545454504</v>
      </c>
      <c r="AB45" s="220">
        <f t="shared" si="57"/>
        <v>0.92727272727272747</v>
      </c>
      <c r="AC45" s="533"/>
    </row>
    <row r="46" spans="1:29" ht="15.75" customHeight="1">
      <c r="A46" s="542" t="s">
        <v>811</v>
      </c>
      <c r="B46" s="26" t="s">
        <v>13</v>
      </c>
      <c r="C46" s="534" t="s">
        <v>59</v>
      </c>
      <c r="D46" s="535"/>
      <c r="E46" s="26">
        <v>55.56</v>
      </c>
      <c r="F46" s="27">
        <v>1953</v>
      </c>
      <c r="G46" s="219">
        <f t="shared" si="67"/>
        <v>108508.68000000001</v>
      </c>
      <c r="H46" s="76" t="s">
        <v>52</v>
      </c>
      <c r="I46" s="227">
        <v>17</v>
      </c>
      <c r="J46" s="18">
        <v>2000</v>
      </c>
      <c r="K46" s="9">
        <f t="shared" si="68"/>
        <v>117.64705882352941</v>
      </c>
      <c r="L46" s="227">
        <v>17</v>
      </c>
      <c r="M46" s="10">
        <f t="shared" si="69"/>
        <v>1860.0000000000018</v>
      </c>
      <c r="N46" s="10">
        <f t="shared" si="71"/>
        <v>109.41176470588246</v>
      </c>
      <c r="O46" s="11">
        <f t="shared" si="72"/>
        <v>0</v>
      </c>
      <c r="P46" s="12">
        <f t="shared" si="73"/>
        <v>-8.2352941176469443</v>
      </c>
      <c r="Q46" s="220">
        <f t="shared" si="74"/>
        <v>0.93000000000000094</v>
      </c>
      <c r="R46" s="533"/>
      <c r="S46" s="24">
        <v>0.70833333333333337</v>
      </c>
      <c r="T46" s="24">
        <v>0.75208333333333333</v>
      </c>
      <c r="U46" s="219" t="str">
        <f t="shared" ref="U46:U48" si="75">IF(S46=TIME(17,0,0),"",(S46-T45)*24*60)</f>
        <v/>
      </c>
      <c r="V46" s="228">
        <f t="shared" si="70"/>
        <v>62.999999999999936</v>
      </c>
      <c r="W46" s="14"/>
      <c r="X46" s="14"/>
      <c r="Y46" s="224"/>
      <c r="Z46" s="225"/>
      <c r="AA46" s="11">
        <f t="shared" si="2"/>
        <v>-139.99999999999818</v>
      </c>
      <c r="AB46" s="220">
        <f t="shared" si="57"/>
        <v>0.93000000000000094</v>
      </c>
      <c r="AC46" s="533"/>
    </row>
    <row r="47" spans="1:29" ht="15.75" customHeight="1">
      <c r="A47" s="542" t="s">
        <v>811</v>
      </c>
      <c r="B47" s="26" t="s">
        <v>13</v>
      </c>
      <c r="C47" s="222" t="s">
        <v>58</v>
      </c>
      <c r="D47" s="223"/>
      <c r="E47" s="26">
        <v>55.32</v>
      </c>
      <c r="F47" s="27">
        <v>1463</v>
      </c>
      <c r="G47" s="219">
        <f t="shared" si="67"/>
        <v>80933.16</v>
      </c>
      <c r="H47" s="76" t="s">
        <v>52</v>
      </c>
      <c r="I47" s="227">
        <v>15</v>
      </c>
      <c r="J47" s="18">
        <v>2000</v>
      </c>
      <c r="K47" s="9">
        <f t="shared" si="68"/>
        <v>133.33333333333334</v>
      </c>
      <c r="L47" s="227">
        <v>15</v>
      </c>
      <c r="M47" s="10">
        <f t="shared" si="69"/>
        <v>1867.6595744680853</v>
      </c>
      <c r="N47" s="10">
        <f t="shared" si="71"/>
        <v>124.51063829787236</v>
      </c>
      <c r="O47" s="11">
        <f t="shared" si="72"/>
        <v>0</v>
      </c>
      <c r="P47" s="12">
        <f t="shared" si="73"/>
        <v>-8.8226950354609812</v>
      </c>
      <c r="Q47" s="220">
        <f t="shared" si="74"/>
        <v>0.93382978723404264</v>
      </c>
      <c r="R47" s="533"/>
      <c r="S47" s="24">
        <v>0.75555555555555554</v>
      </c>
      <c r="T47" s="24">
        <v>0.78819444444444442</v>
      </c>
      <c r="U47" s="219">
        <f t="shared" si="75"/>
        <v>4.9999999999999822</v>
      </c>
      <c r="V47" s="228">
        <f t="shared" si="70"/>
        <v>46.999999999999993</v>
      </c>
      <c r="W47" s="14"/>
      <c r="X47" s="14"/>
      <c r="Y47" s="224"/>
      <c r="Z47" s="225"/>
      <c r="AA47" s="11">
        <f t="shared" si="2"/>
        <v>-132.34042553191466</v>
      </c>
      <c r="AB47" s="220">
        <f t="shared" si="57"/>
        <v>0.93382978723404264</v>
      </c>
      <c r="AC47" s="533"/>
    </row>
    <row r="48" spans="1:29" ht="15.75" customHeight="1">
      <c r="A48" s="542" t="s">
        <v>811</v>
      </c>
      <c r="B48" s="26" t="s">
        <v>13</v>
      </c>
      <c r="C48" s="222" t="s">
        <v>60</v>
      </c>
      <c r="D48" s="223"/>
      <c r="E48" s="26">
        <v>57.73</v>
      </c>
      <c r="F48" s="27">
        <v>1478</v>
      </c>
      <c r="G48" s="219">
        <f t="shared" si="67"/>
        <v>85324.94</v>
      </c>
      <c r="H48" s="76" t="s">
        <v>52</v>
      </c>
      <c r="I48" s="227">
        <v>16</v>
      </c>
      <c r="J48" s="18">
        <v>1500</v>
      </c>
      <c r="K48" s="9">
        <f t="shared" si="68"/>
        <v>93.75</v>
      </c>
      <c r="L48" s="227">
        <v>16</v>
      </c>
      <c r="M48" s="10">
        <f t="shared" si="69"/>
        <v>1385.6250000000016</v>
      </c>
      <c r="N48" s="10">
        <f t="shared" si="71"/>
        <v>86.601562500000099</v>
      </c>
      <c r="O48" s="11">
        <f t="shared" si="72"/>
        <v>0</v>
      </c>
      <c r="P48" s="12">
        <f t="shared" si="73"/>
        <v>-7.1484374999999005</v>
      </c>
      <c r="Q48" s="220">
        <f t="shared" si="74"/>
        <v>0.92375000000000107</v>
      </c>
      <c r="R48" s="533"/>
      <c r="S48" s="24">
        <v>0.79166666666666663</v>
      </c>
      <c r="T48" s="24">
        <v>0.83611111111111103</v>
      </c>
      <c r="U48" s="219">
        <f t="shared" si="75"/>
        <v>4.9999999999999822</v>
      </c>
      <c r="V48" s="228">
        <f t="shared" si="70"/>
        <v>63.999999999999929</v>
      </c>
      <c r="W48" s="14"/>
      <c r="X48" s="14"/>
      <c r="Y48" s="224"/>
      <c r="Z48" s="225"/>
      <c r="AA48" s="11">
        <f t="shared" si="2"/>
        <v>-114.37499999999841</v>
      </c>
      <c r="AB48" s="220">
        <f t="shared" si="57"/>
        <v>0.92375000000000107</v>
      </c>
      <c r="AC48" s="533"/>
    </row>
    <row r="49" spans="1:29">
      <c r="A49" s="543" t="s">
        <v>811</v>
      </c>
      <c r="B49" s="26" t="s">
        <v>804</v>
      </c>
      <c r="C49" s="530"/>
      <c r="D49" s="530"/>
      <c r="E49" s="221"/>
      <c r="F49" s="16"/>
      <c r="G49" s="9"/>
      <c r="H49" s="229"/>
      <c r="I49" s="17">
        <v>16.600000000000001</v>
      </c>
      <c r="J49" s="18">
        <v>1900</v>
      </c>
      <c r="K49" s="9">
        <f>J49/I49</f>
        <v>114.4578313253012</v>
      </c>
      <c r="L49" s="17">
        <v>16.600000000000001</v>
      </c>
      <c r="M49" s="10">
        <f>AVERAGE(M44:M48)</f>
        <v>1764.0487644233986</v>
      </c>
      <c r="N49" s="9">
        <f>M49/L49</f>
        <v>106.26799785683123</v>
      </c>
      <c r="O49" s="11">
        <f>L49-I49</f>
        <v>0</v>
      </c>
      <c r="P49" s="12">
        <f>N49-K49</f>
        <v>-8.1898334684699705</v>
      </c>
      <c r="Q49" s="220">
        <f>N49/K49</f>
        <v>0.92844671811757817</v>
      </c>
      <c r="R49" s="533"/>
      <c r="S49" s="25"/>
      <c r="T49" s="24"/>
      <c r="U49" s="9"/>
      <c r="V49" s="228"/>
      <c r="W49" s="9"/>
      <c r="X49" s="9"/>
      <c r="Y49" s="528"/>
      <c r="Z49" s="528"/>
      <c r="AA49" s="11">
        <f t="shared" si="2"/>
        <v>-135.95123557660145</v>
      </c>
      <c r="AB49" s="220">
        <f t="shared" si="57"/>
        <v>0.92844671811757817</v>
      </c>
      <c r="AC49" s="533"/>
    </row>
    <row r="50" spans="1:29" ht="15.75" customHeight="1">
      <c r="A50" s="538" t="s">
        <v>812</v>
      </c>
      <c r="B50" s="229" t="s">
        <v>32</v>
      </c>
      <c r="C50" s="529" t="s">
        <v>35</v>
      </c>
      <c r="D50" s="529"/>
      <c r="E50" s="26">
        <v>26.78</v>
      </c>
      <c r="F50" s="27">
        <v>2258</v>
      </c>
      <c r="G50" s="219">
        <f t="shared" ref="G50:G55" si="76">E50*F50</f>
        <v>60469.240000000005</v>
      </c>
      <c r="H50" s="76" t="s">
        <v>52</v>
      </c>
      <c r="I50" s="227">
        <v>10</v>
      </c>
      <c r="J50" s="18">
        <v>3000</v>
      </c>
      <c r="K50" s="9">
        <f t="shared" ref="K50:K55" si="77">J50/I50</f>
        <v>300</v>
      </c>
      <c r="L50" s="17">
        <v>10</v>
      </c>
      <c r="M50" s="10">
        <f t="shared" ref="M50:M55" si="78">F50/V50*60</f>
        <v>2764.8979591836742</v>
      </c>
      <c r="N50" s="9">
        <f>M50/L50</f>
        <v>276.48979591836741</v>
      </c>
      <c r="O50" s="11">
        <f t="shared" ref="O50:O55" si="79">L50-I50</f>
        <v>0</v>
      </c>
      <c r="P50" s="12">
        <f t="shared" ref="P50:P55" si="80">N50-K50</f>
        <v>-23.510204081632594</v>
      </c>
      <c r="Q50" s="220">
        <f>N50/K50</f>
        <v>0.92163265306122466</v>
      </c>
      <c r="R50" s="533">
        <f>Q56</f>
        <v>0.93308303840392248</v>
      </c>
      <c r="S50" s="24">
        <v>0.20833333333333334</v>
      </c>
      <c r="T50" s="24">
        <v>0.24236111111111111</v>
      </c>
      <c r="U50" s="219"/>
      <c r="V50" s="228">
        <f t="shared" ref="V50:V55" si="81">(T50-S50)*24*60</f>
        <v>48.999999999999986</v>
      </c>
      <c r="W50" s="15"/>
      <c r="X50" s="15"/>
      <c r="Y50" s="528"/>
      <c r="Z50" s="528"/>
      <c r="AA50" s="11">
        <f t="shared" si="2"/>
        <v>-235.10204081632583</v>
      </c>
      <c r="AB50" s="220">
        <f t="shared" si="57"/>
        <v>0.92163265306122477</v>
      </c>
      <c r="AC50" s="533">
        <f>AB56</f>
        <v>0.93308303840392248</v>
      </c>
    </row>
    <row r="51" spans="1:29" ht="15.75" customHeight="1">
      <c r="A51" s="538" t="s">
        <v>812</v>
      </c>
      <c r="B51" s="229" t="s">
        <v>32</v>
      </c>
      <c r="C51" s="529" t="s">
        <v>39</v>
      </c>
      <c r="D51" s="529"/>
      <c r="E51" s="26">
        <v>35.369999999999997</v>
      </c>
      <c r="F51" s="27">
        <v>1423</v>
      </c>
      <c r="G51" s="219">
        <f t="shared" si="76"/>
        <v>50331.509999999995</v>
      </c>
      <c r="H51" s="76" t="s">
        <v>52</v>
      </c>
      <c r="I51" s="227">
        <v>10</v>
      </c>
      <c r="J51" s="18">
        <v>3000</v>
      </c>
      <c r="K51" s="9">
        <f t="shared" si="77"/>
        <v>300</v>
      </c>
      <c r="L51" s="17">
        <v>10</v>
      </c>
      <c r="M51" s="10">
        <f t="shared" si="78"/>
        <v>2846.0000000000027</v>
      </c>
      <c r="N51" s="9">
        <f t="shared" ref="N51:N55" si="82">M51/L51</f>
        <v>284.60000000000025</v>
      </c>
      <c r="O51" s="11">
        <f t="shared" si="79"/>
        <v>0</v>
      </c>
      <c r="P51" s="12">
        <f t="shared" si="80"/>
        <v>-15.39999999999975</v>
      </c>
      <c r="Q51" s="220">
        <f t="shared" ref="Q51:Q55" si="83">N51/K51</f>
        <v>0.94866666666666755</v>
      </c>
      <c r="R51" s="533"/>
      <c r="S51" s="24">
        <v>0.24652777777777779</v>
      </c>
      <c r="T51" s="24">
        <v>0.2673611111111111</v>
      </c>
      <c r="U51" s="219">
        <f>(S51-T50)*24*60</f>
        <v>6.0000000000000187</v>
      </c>
      <c r="V51" s="228">
        <f t="shared" si="81"/>
        <v>29.999999999999972</v>
      </c>
      <c r="W51" s="219"/>
      <c r="X51" s="219"/>
      <c r="Y51" s="528"/>
      <c r="Z51" s="528"/>
      <c r="AA51" s="11">
        <f t="shared" si="2"/>
        <v>-153.99999999999727</v>
      </c>
      <c r="AB51" s="220">
        <f t="shared" si="57"/>
        <v>0.94866666666666755</v>
      </c>
      <c r="AC51" s="533"/>
    </row>
    <row r="52" spans="1:29" ht="15.75" customHeight="1">
      <c r="A52" s="538" t="s">
        <v>812</v>
      </c>
      <c r="B52" s="229" t="s">
        <v>32</v>
      </c>
      <c r="C52" s="529" t="s">
        <v>38</v>
      </c>
      <c r="D52" s="529"/>
      <c r="E52" s="26">
        <v>34.35</v>
      </c>
      <c r="F52" s="27">
        <v>1355</v>
      </c>
      <c r="G52" s="219">
        <f t="shared" si="76"/>
        <v>46544.25</v>
      </c>
      <c r="H52" s="76" t="s">
        <v>52</v>
      </c>
      <c r="I52" s="227">
        <v>10</v>
      </c>
      <c r="J52" s="18">
        <v>3000</v>
      </c>
      <c r="K52" s="9">
        <f t="shared" si="77"/>
        <v>300</v>
      </c>
      <c r="L52" s="17">
        <v>10</v>
      </c>
      <c r="M52" s="10">
        <f t="shared" si="78"/>
        <v>2803.4482758620711</v>
      </c>
      <c r="N52" s="9">
        <f t="shared" si="82"/>
        <v>280.34482758620709</v>
      </c>
      <c r="O52" s="11">
        <f t="shared" si="79"/>
        <v>0</v>
      </c>
      <c r="P52" s="12">
        <f t="shared" si="80"/>
        <v>-19.655172413792911</v>
      </c>
      <c r="Q52" s="220">
        <f t="shared" si="83"/>
        <v>0.9344827586206903</v>
      </c>
      <c r="R52" s="533"/>
      <c r="S52" s="24">
        <v>0.27083333333333331</v>
      </c>
      <c r="T52" s="24">
        <v>0.29097222222222219</v>
      </c>
      <c r="U52" s="219">
        <f t="shared" ref="U52:U55" si="84">(S52-T51)*24*60</f>
        <v>4.9999999999999822</v>
      </c>
      <c r="V52" s="228">
        <f t="shared" si="81"/>
        <v>28.999999999999979</v>
      </c>
      <c r="W52" s="219"/>
      <c r="X52" s="219"/>
      <c r="Y52" s="528"/>
      <c r="Z52" s="528"/>
      <c r="AA52" s="11">
        <f t="shared" si="2"/>
        <v>-196.55172413792889</v>
      </c>
      <c r="AB52" s="220">
        <f t="shared" si="57"/>
        <v>0.93448275862069041</v>
      </c>
      <c r="AC52" s="533"/>
    </row>
    <row r="53" spans="1:29" ht="15.75" customHeight="1">
      <c r="A53" s="538" t="s">
        <v>812</v>
      </c>
      <c r="B53" s="229" t="s">
        <v>15</v>
      </c>
      <c r="C53" s="529" t="s">
        <v>36</v>
      </c>
      <c r="D53" s="529"/>
      <c r="E53" s="26">
        <v>26.97</v>
      </c>
      <c r="F53" s="27">
        <v>2866</v>
      </c>
      <c r="G53" s="219">
        <f t="shared" si="76"/>
        <v>77296.01999999999</v>
      </c>
      <c r="H53" s="76" t="s">
        <v>52</v>
      </c>
      <c r="I53" s="227">
        <v>8</v>
      </c>
      <c r="J53" s="18">
        <v>1500</v>
      </c>
      <c r="K53" s="9">
        <f t="shared" si="77"/>
        <v>187.5</v>
      </c>
      <c r="L53" s="17">
        <v>8</v>
      </c>
      <c r="M53" s="10">
        <f t="shared" si="78"/>
        <v>1386.7741935483866</v>
      </c>
      <c r="N53" s="9">
        <f t="shared" si="82"/>
        <v>173.34677419354833</v>
      </c>
      <c r="O53" s="11">
        <f t="shared" si="79"/>
        <v>0</v>
      </c>
      <c r="P53" s="12">
        <f t="shared" si="80"/>
        <v>-14.153225806451672</v>
      </c>
      <c r="Q53" s="220">
        <f t="shared" si="83"/>
        <v>0.92451612903225777</v>
      </c>
      <c r="R53" s="533"/>
      <c r="S53" s="24">
        <v>0.29583333333333328</v>
      </c>
      <c r="T53" s="24">
        <v>0.38194444444444442</v>
      </c>
      <c r="U53" s="219">
        <f t="shared" si="84"/>
        <v>6.9999999999999751</v>
      </c>
      <c r="V53" s="228">
        <f t="shared" si="81"/>
        <v>124.00000000000004</v>
      </c>
      <c r="W53" s="219"/>
      <c r="X53" s="219"/>
      <c r="Y53" s="528"/>
      <c r="Z53" s="528"/>
      <c r="AA53" s="11">
        <f t="shared" si="2"/>
        <v>-113.22580645161338</v>
      </c>
      <c r="AB53" s="220">
        <f t="shared" si="57"/>
        <v>0.92451612903225777</v>
      </c>
      <c r="AC53" s="533"/>
    </row>
    <row r="54" spans="1:29">
      <c r="A54" s="539" t="s">
        <v>812</v>
      </c>
      <c r="B54" s="229" t="s">
        <v>32</v>
      </c>
      <c r="C54" s="529" t="s">
        <v>37</v>
      </c>
      <c r="D54" s="529"/>
      <c r="E54" s="26">
        <v>35.119999999999997</v>
      </c>
      <c r="F54" s="27">
        <v>1120</v>
      </c>
      <c r="G54" s="219">
        <f t="shared" si="76"/>
        <v>39334.399999999994</v>
      </c>
      <c r="H54" s="76" t="s">
        <v>52</v>
      </c>
      <c r="I54" s="227">
        <v>13</v>
      </c>
      <c r="J54" s="18">
        <v>2000</v>
      </c>
      <c r="K54" s="9">
        <f t="shared" si="77"/>
        <v>153.84615384615384</v>
      </c>
      <c r="L54" s="17">
        <v>13</v>
      </c>
      <c r="M54" s="10">
        <f t="shared" si="78"/>
        <v>1866.6666666666652</v>
      </c>
      <c r="N54" s="9">
        <f t="shared" si="82"/>
        <v>143.58974358974348</v>
      </c>
      <c r="O54" s="11">
        <f t="shared" si="79"/>
        <v>0</v>
      </c>
      <c r="P54" s="12">
        <f t="shared" si="80"/>
        <v>-10.256410256410362</v>
      </c>
      <c r="Q54" s="220">
        <f t="shared" si="83"/>
        <v>0.93333333333333268</v>
      </c>
      <c r="R54" s="533"/>
      <c r="S54" s="24">
        <v>0.38749999999999996</v>
      </c>
      <c r="T54" s="24">
        <v>0.41249999999999998</v>
      </c>
      <c r="U54" s="219">
        <f t="shared" si="84"/>
        <v>7.9999999999999716</v>
      </c>
      <c r="V54" s="228">
        <f t="shared" si="81"/>
        <v>36.000000000000028</v>
      </c>
      <c r="W54" s="14"/>
      <c r="X54" s="14"/>
      <c r="Y54" s="528"/>
      <c r="Z54" s="528"/>
      <c r="AA54" s="11">
        <f t="shared" si="2"/>
        <v>-133.33333333333485</v>
      </c>
      <c r="AB54" s="220">
        <f t="shared" si="57"/>
        <v>0.93333333333333257</v>
      </c>
      <c r="AC54" s="533"/>
    </row>
    <row r="55" spans="1:29" ht="15" customHeight="1">
      <c r="A55" s="539" t="s">
        <v>812</v>
      </c>
      <c r="B55" s="229" t="s">
        <v>32</v>
      </c>
      <c r="C55" s="534" t="s">
        <v>84</v>
      </c>
      <c r="D55" s="535"/>
      <c r="E55" s="26">
        <v>35.869999999999997</v>
      </c>
      <c r="F55" s="27">
        <v>2795</v>
      </c>
      <c r="G55" s="219">
        <f t="shared" si="76"/>
        <v>100256.65</v>
      </c>
      <c r="H55" s="76" t="s">
        <v>52</v>
      </c>
      <c r="I55" s="227">
        <v>10</v>
      </c>
      <c r="J55" s="18">
        <v>3000</v>
      </c>
      <c r="K55" s="9">
        <f t="shared" si="77"/>
        <v>300</v>
      </c>
      <c r="L55" s="17">
        <v>10</v>
      </c>
      <c r="M55" s="10">
        <f t="shared" si="78"/>
        <v>2794.9999999999991</v>
      </c>
      <c r="N55" s="9">
        <f t="shared" si="82"/>
        <v>279.49999999999989</v>
      </c>
      <c r="O55" s="11">
        <f t="shared" si="79"/>
        <v>0</v>
      </c>
      <c r="P55" s="12">
        <f t="shared" si="80"/>
        <v>-20.500000000000114</v>
      </c>
      <c r="Q55" s="220">
        <f t="shared" si="83"/>
        <v>0.93166666666666631</v>
      </c>
      <c r="R55" s="533"/>
      <c r="S55" s="24">
        <v>0.41805555555555551</v>
      </c>
      <c r="T55" s="24">
        <v>0.4597222222222222</v>
      </c>
      <c r="U55" s="219">
        <f t="shared" si="84"/>
        <v>7.9999999999999716</v>
      </c>
      <c r="V55" s="228">
        <f t="shared" si="81"/>
        <v>60.000000000000028</v>
      </c>
      <c r="W55" s="219"/>
      <c r="X55" s="219"/>
      <c r="Y55" s="536"/>
      <c r="Z55" s="537"/>
      <c r="AA55" s="11">
        <f t="shared" si="2"/>
        <v>-205.00000000000091</v>
      </c>
      <c r="AB55" s="220">
        <f t="shared" si="57"/>
        <v>0.93166666666666631</v>
      </c>
      <c r="AC55" s="533"/>
    </row>
    <row r="56" spans="1:29">
      <c r="A56" s="539" t="s">
        <v>812</v>
      </c>
      <c r="B56" s="26" t="s">
        <v>804</v>
      </c>
      <c r="C56" s="530"/>
      <c r="D56" s="530"/>
      <c r="E56" s="221"/>
      <c r="F56" s="16"/>
      <c r="G56" s="9"/>
      <c r="H56" s="229"/>
      <c r="I56" s="17">
        <v>10.166666666666666</v>
      </c>
      <c r="J56" s="18">
        <v>2583.3333333333335</v>
      </c>
      <c r="K56" s="9">
        <f>J56/I56</f>
        <v>254.09836065573774</v>
      </c>
      <c r="L56" s="17">
        <v>10.166666666666666</v>
      </c>
      <c r="M56" s="10">
        <f>AVERAGE(M50:M55)</f>
        <v>2410.4645158767999</v>
      </c>
      <c r="N56" s="9">
        <f>M56/L56</f>
        <v>237.09487041411148</v>
      </c>
      <c r="O56" s="11">
        <f>L56-I56</f>
        <v>0</v>
      </c>
      <c r="P56" s="12">
        <f>N56-K56</f>
        <v>-17.003490241626253</v>
      </c>
      <c r="Q56" s="220">
        <f>N56/K56</f>
        <v>0.93308303840392248</v>
      </c>
      <c r="R56" s="533"/>
      <c r="S56" s="24"/>
      <c r="T56" s="24"/>
      <c r="U56" s="9"/>
      <c r="V56" s="228"/>
      <c r="W56" s="9"/>
      <c r="X56" s="9"/>
      <c r="Y56" s="528"/>
      <c r="Z56" s="528"/>
      <c r="AA56" s="11">
        <f t="shared" si="2"/>
        <v>-172.86881745653363</v>
      </c>
      <c r="AB56" s="220">
        <f t="shared" si="57"/>
        <v>0.93308303840392248</v>
      </c>
      <c r="AC56" s="533"/>
    </row>
    <row r="57" spans="1:29" ht="15.75" customHeight="1">
      <c r="A57" s="531" t="s">
        <v>813</v>
      </c>
      <c r="B57" s="229" t="s">
        <v>24</v>
      </c>
      <c r="C57" s="529" t="s">
        <v>67</v>
      </c>
      <c r="D57" s="529"/>
      <c r="E57" s="26">
        <v>32.03</v>
      </c>
      <c r="F57" s="229">
        <v>774</v>
      </c>
      <c r="G57" s="219">
        <f t="shared" ref="G57:G62" si="85">E57*F57</f>
        <v>24791.22</v>
      </c>
      <c r="H57" s="76" t="s">
        <v>52</v>
      </c>
      <c r="I57" s="227">
        <v>19</v>
      </c>
      <c r="J57" s="18">
        <v>2400</v>
      </c>
      <c r="K57" s="9">
        <f t="shared" ref="K57:K59" si="86">J57/I57</f>
        <v>126.31578947368421</v>
      </c>
      <c r="L57" s="17">
        <v>19</v>
      </c>
      <c r="M57" s="10">
        <f>F57/V57*60</f>
        <v>2211.4285714285706</v>
      </c>
      <c r="N57" s="9">
        <f t="shared" ref="N57:N62" si="87">M57/L57</f>
        <v>116.39097744360897</v>
      </c>
      <c r="O57" s="11">
        <f t="shared" ref="O57:O62" si="88">L57-I57</f>
        <v>0</v>
      </c>
      <c r="P57" s="12">
        <f t="shared" ref="P57:P62" si="89">N57-K57</f>
        <v>-9.9248120300752305</v>
      </c>
      <c r="Q57" s="220">
        <f>N57/K57</f>
        <v>0.92142857142857104</v>
      </c>
      <c r="R57" s="533">
        <f>Q63</f>
        <v>0.9270219161770642</v>
      </c>
      <c r="S57" s="24">
        <v>0.125</v>
      </c>
      <c r="T57" s="24">
        <v>0.13958333333333334</v>
      </c>
      <c r="U57" s="15"/>
      <c r="V57" s="228">
        <f t="shared" ref="V57:V62" si="90">(T57-S57)*24*60</f>
        <v>21.000000000000007</v>
      </c>
      <c r="W57" s="14">
        <f>T57</f>
        <v>0.13958333333333334</v>
      </c>
      <c r="X57" s="14">
        <f>S58</f>
        <v>0.16041666666666668</v>
      </c>
      <c r="Y57" s="528"/>
      <c r="Z57" s="528"/>
      <c r="AA57" s="11">
        <f t="shared" si="2"/>
        <v>-188.57142857142935</v>
      </c>
      <c r="AB57" s="220">
        <f>M57/J57</f>
        <v>0.92142857142857115</v>
      </c>
      <c r="AC57" s="533">
        <f>AB63</f>
        <v>0.92702191617706409</v>
      </c>
    </row>
    <row r="58" spans="1:29" ht="15.75" customHeight="1">
      <c r="A58" s="531" t="s">
        <v>813</v>
      </c>
      <c r="B58" s="229" t="s">
        <v>24</v>
      </c>
      <c r="C58" s="529" t="s">
        <v>51</v>
      </c>
      <c r="D58" s="529"/>
      <c r="E58" s="26">
        <v>20.2</v>
      </c>
      <c r="F58" s="229">
        <v>1916</v>
      </c>
      <c r="G58" s="219">
        <f t="shared" si="85"/>
        <v>38703.199999999997</v>
      </c>
      <c r="H58" s="76" t="s">
        <v>52</v>
      </c>
      <c r="I58" s="227">
        <v>19</v>
      </c>
      <c r="J58" s="18">
        <v>2400</v>
      </c>
      <c r="K58" s="9">
        <f t="shared" si="86"/>
        <v>126.31578947368421</v>
      </c>
      <c r="L58" s="17">
        <v>19</v>
      </c>
      <c r="M58" s="10">
        <f t="shared" ref="M58:M62" si="91">F58/V58*60</f>
        <v>2254.117647058823</v>
      </c>
      <c r="N58" s="9">
        <f t="shared" si="87"/>
        <v>118.63777089783279</v>
      </c>
      <c r="O58" s="11">
        <f t="shared" si="88"/>
        <v>0</v>
      </c>
      <c r="P58" s="12">
        <f t="shared" si="89"/>
        <v>-7.6780185758514108</v>
      </c>
      <c r="Q58" s="220">
        <f t="shared" ref="Q58:Q63" si="92">N58/K58</f>
        <v>0.93921568627450969</v>
      </c>
      <c r="R58" s="533"/>
      <c r="S58" s="24">
        <v>0.16041666666666668</v>
      </c>
      <c r="T58" s="24">
        <v>0.19583333333333336</v>
      </c>
      <c r="U58" s="219">
        <f>(S58-T57)*24*60</f>
        <v>30.000000000000014</v>
      </c>
      <c r="V58" s="228">
        <f t="shared" si="90"/>
        <v>51.000000000000021</v>
      </c>
      <c r="W58" s="14"/>
      <c r="X58" s="14"/>
      <c r="Y58" s="528"/>
      <c r="Z58" s="528"/>
      <c r="AA58" s="11">
        <f t="shared" si="2"/>
        <v>-145.88235294117703</v>
      </c>
      <c r="AB58" s="220">
        <f t="shared" ref="AB58:AB63" si="93">M58/J58</f>
        <v>0.93921568627450958</v>
      </c>
      <c r="AC58" s="533"/>
    </row>
    <row r="59" spans="1:29" ht="15.75" customHeight="1">
      <c r="A59" s="531" t="s">
        <v>813</v>
      </c>
      <c r="B59" s="229" t="s">
        <v>24</v>
      </c>
      <c r="C59" s="529" t="s">
        <v>41</v>
      </c>
      <c r="D59" s="529"/>
      <c r="E59" s="26">
        <v>19.02</v>
      </c>
      <c r="F59" s="229">
        <v>7620</v>
      </c>
      <c r="G59" s="219">
        <f t="shared" si="85"/>
        <v>144932.4</v>
      </c>
      <c r="H59" s="76" t="s">
        <v>52</v>
      </c>
      <c r="I59" s="227">
        <v>15</v>
      </c>
      <c r="J59" s="18">
        <v>2400</v>
      </c>
      <c r="K59" s="9">
        <f t="shared" si="86"/>
        <v>160</v>
      </c>
      <c r="L59" s="17">
        <v>15</v>
      </c>
      <c r="M59" s="10">
        <f t="shared" si="91"/>
        <v>2219.4174757281558</v>
      </c>
      <c r="N59" s="9">
        <f t="shared" si="87"/>
        <v>147.96116504854371</v>
      </c>
      <c r="O59" s="11">
        <f t="shared" si="88"/>
        <v>0</v>
      </c>
      <c r="P59" s="12">
        <f t="shared" si="89"/>
        <v>-12.038834951456295</v>
      </c>
      <c r="Q59" s="220">
        <f t="shared" si="92"/>
        <v>0.9247572815533982</v>
      </c>
      <c r="R59" s="533"/>
      <c r="S59" s="24">
        <v>0.20138888888888892</v>
      </c>
      <c r="T59" s="24">
        <v>0.34444444444444444</v>
      </c>
      <c r="U59" s="219">
        <f t="shared" ref="U59:U62" si="94">(S59-T58)*24*60</f>
        <v>8.0000000000000107</v>
      </c>
      <c r="V59" s="228">
        <f t="shared" si="90"/>
        <v>205.99999999999997</v>
      </c>
      <c r="W59" s="14"/>
      <c r="X59" s="14"/>
      <c r="Y59" s="528"/>
      <c r="Z59" s="528"/>
      <c r="AA59" s="11">
        <f t="shared" si="2"/>
        <v>-180.58252427184425</v>
      </c>
      <c r="AB59" s="220">
        <f t="shared" si="93"/>
        <v>0.9247572815533982</v>
      </c>
      <c r="AC59" s="533"/>
    </row>
    <row r="60" spans="1:29" ht="15.75" customHeight="1">
      <c r="A60" s="531" t="s">
        <v>813</v>
      </c>
      <c r="B60" s="229" t="s">
        <v>24</v>
      </c>
      <c r="C60" s="529" t="s">
        <v>42</v>
      </c>
      <c r="D60" s="529"/>
      <c r="E60" s="26">
        <v>25</v>
      </c>
      <c r="F60" s="229">
        <v>2939</v>
      </c>
      <c r="G60" s="219">
        <f t="shared" si="85"/>
        <v>73475</v>
      </c>
      <c r="H60" s="76" t="s">
        <v>52</v>
      </c>
      <c r="I60" s="227">
        <v>15</v>
      </c>
      <c r="J60" s="18">
        <v>2400</v>
      </c>
      <c r="K60" s="9">
        <f>J60/I60</f>
        <v>160</v>
      </c>
      <c r="L60" s="17">
        <v>15</v>
      </c>
      <c r="M60" s="10">
        <f t="shared" si="91"/>
        <v>2232.151898734176</v>
      </c>
      <c r="N60" s="9">
        <f t="shared" si="87"/>
        <v>148.8101265822784</v>
      </c>
      <c r="O60" s="11">
        <f t="shared" si="88"/>
        <v>0</v>
      </c>
      <c r="P60" s="12">
        <f t="shared" si="89"/>
        <v>-11.1898734177216</v>
      </c>
      <c r="Q60" s="220">
        <f t="shared" si="92"/>
        <v>0.93006329113924002</v>
      </c>
      <c r="R60" s="533"/>
      <c r="S60" s="24">
        <v>0.35</v>
      </c>
      <c r="T60" s="24">
        <v>0.40486111111111112</v>
      </c>
      <c r="U60" s="219">
        <f t="shared" si="94"/>
        <v>7.9999999999999716</v>
      </c>
      <c r="V60" s="228">
        <f t="shared" si="90"/>
        <v>79.000000000000043</v>
      </c>
      <c r="W60" s="14"/>
      <c r="X60" s="14"/>
      <c r="Y60" s="528"/>
      <c r="Z60" s="528"/>
      <c r="AA60" s="11">
        <f t="shared" si="2"/>
        <v>-167.84810126582397</v>
      </c>
      <c r="AB60" s="220">
        <f t="shared" si="93"/>
        <v>0.93006329113924002</v>
      </c>
      <c r="AC60" s="533"/>
    </row>
    <row r="61" spans="1:29" ht="15.75" customHeight="1">
      <c r="A61" s="531" t="s">
        <v>813</v>
      </c>
      <c r="B61" s="229" t="s">
        <v>24</v>
      </c>
      <c r="C61" s="529" t="s">
        <v>77</v>
      </c>
      <c r="D61" s="529"/>
      <c r="E61" s="26">
        <v>28.51</v>
      </c>
      <c r="F61" s="229">
        <v>3318</v>
      </c>
      <c r="G61" s="219">
        <f t="shared" si="85"/>
        <v>94596.180000000008</v>
      </c>
      <c r="H61" s="76" t="s">
        <v>52</v>
      </c>
      <c r="I61" s="227">
        <v>19</v>
      </c>
      <c r="J61" s="18">
        <v>2400</v>
      </c>
      <c r="K61" s="9">
        <f t="shared" ref="K61:K63" si="95">J61/I61</f>
        <v>126.31578947368421</v>
      </c>
      <c r="L61" s="17">
        <v>19</v>
      </c>
      <c r="M61" s="10">
        <f t="shared" si="91"/>
        <v>2212</v>
      </c>
      <c r="N61" s="9">
        <f t="shared" si="87"/>
        <v>116.42105263157895</v>
      </c>
      <c r="O61" s="11">
        <f t="shared" si="88"/>
        <v>0</v>
      </c>
      <c r="P61" s="12">
        <f t="shared" si="89"/>
        <v>-9.8947368421052602</v>
      </c>
      <c r="Q61" s="220">
        <f t="shared" si="92"/>
        <v>0.92166666666666663</v>
      </c>
      <c r="R61" s="533"/>
      <c r="S61" s="24">
        <v>0.40833333333333333</v>
      </c>
      <c r="T61" s="24">
        <v>0.47083333333333333</v>
      </c>
      <c r="U61" s="219">
        <f t="shared" si="94"/>
        <v>4.9999999999999822</v>
      </c>
      <c r="V61" s="228">
        <f t="shared" si="90"/>
        <v>90</v>
      </c>
      <c r="W61" s="14"/>
      <c r="X61" s="14"/>
      <c r="Y61" s="528"/>
      <c r="Z61" s="528"/>
      <c r="AA61" s="11">
        <f t="shared" si="2"/>
        <v>-188</v>
      </c>
      <c r="AB61" s="220">
        <f t="shared" si="93"/>
        <v>0.92166666666666663</v>
      </c>
      <c r="AC61" s="533"/>
    </row>
    <row r="62" spans="1:29" ht="15.75" customHeight="1">
      <c r="A62" s="531" t="s">
        <v>813</v>
      </c>
      <c r="B62" s="229" t="s">
        <v>24</v>
      </c>
      <c r="C62" s="529" t="s">
        <v>25</v>
      </c>
      <c r="D62" s="529"/>
      <c r="E62" s="26">
        <v>20.52</v>
      </c>
      <c r="F62" s="229">
        <v>2923</v>
      </c>
      <c r="G62" s="219">
        <f t="shared" si="85"/>
        <v>59979.96</v>
      </c>
      <c r="H62" s="76" t="s">
        <v>52</v>
      </c>
      <c r="I62" s="227">
        <v>18</v>
      </c>
      <c r="J62" s="18">
        <v>2400</v>
      </c>
      <c r="K62" s="9">
        <f t="shared" si="95"/>
        <v>133.33333333333334</v>
      </c>
      <c r="L62" s="17">
        <v>18</v>
      </c>
      <c r="M62" s="10">
        <f t="shared" si="91"/>
        <v>2219.9999999999986</v>
      </c>
      <c r="N62" s="9">
        <f t="shared" si="87"/>
        <v>123.33333333333326</v>
      </c>
      <c r="O62" s="11">
        <f t="shared" si="88"/>
        <v>0</v>
      </c>
      <c r="P62" s="12">
        <f t="shared" si="89"/>
        <v>-10.000000000000085</v>
      </c>
      <c r="Q62" s="220">
        <f t="shared" si="92"/>
        <v>0.92499999999999938</v>
      </c>
      <c r="R62" s="533"/>
      <c r="S62" s="24">
        <v>0.47430555555555554</v>
      </c>
      <c r="T62" s="24">
        <v>0.52916666666666667</v>
      </c>
      <c r="U62" s="219">
        <f t="shared" si="94"/>
        <v>4.9999999999999822</v>
      </c>
      <c r="V62" s="228">
        <f t="shared" si="90"/>
        <v>79.000000000000043</v>
      </c>
      <c r="W62" s="14"/>
      <c r="X62" s="14"/>
      <c r="Y62" s="528"/>
      <c r="Z62" s="528"/>
      <c r="AA62" s="11">
        <f t="shared" si="2"/>
        <v>-180.00000000000136</v>
      </c>
      <c r="AB62" s="220">
        <f t="shared" si="93"/>
        <v>0.92499999999999938</v>
      </c>
      <c r="AC62" s="533"/>
    </row>
    <row r="63" spans="1:29" ht="16.5" customHeight="1">
      <c r="A63" s="532" t="s">
        <v>813</v>
      </c>
      <c r="B63" s="26" t="s">
        <v>804</v>
      </c>
      <c r="C63" s="530"/>
      <c r="D63" s="530"/>
      <c r="E63" s="221"/>
      <c r="F63" s="16"/>
      <c r="G63" s="9"/>
      <c r="H63" s="229"/>
      <c r="I63" s="17">
        <v>17.5</v>
      </c>
      <c r="J63" s="18">
        <v>2400</v>
      </c>
      <c r="K63" s="9">
        <f t="shared" si="95"/>
        <v>137.14285714285714</v>
      </c>
      <c r="L63" s="17">
        <v>17.5</v>
      </c>
      <c r="M63" s="10">
        <f>AVERAGE(M57:M62)</f>
        <v>2224.8525988249539</v>
      </c>
      <c r="N63" s="9">
        <f>M63/L63</f>
        <v>127.1344342185688</v>
      </c>
      <c r="O63" s="11">
        <f>L63-I63</f>
        <v>0</v>
      </c>
      <c r="P63" s="12">
        <f>N63-K63</f>
        <v>-10.00842292428834</v>
      </c>
      <c r="Q63" s="220">
        <f t="shared" si="92"/>
        <v>0.9270219161770642</v>
      </c>
      <c r="R63" s="533"/>
      <c r="S63" s="24"/>
      <c r="T63" s="24"/>
      <c r="U63" s="9"/>
      <c r="V63" s="228"/>
      <c r="W63" s="9"/>
      <c r="X63" s="9"/>
      <c r="Y63" s="528"/>
      <c r="Z63" s="528"/>
      <c r="AA63" s="11">
        <f t="shared" si="2"/>
        <v>-175.14740117504607</v>
      </c>
      <c r="AB63" s="220">
        <f t="shared" si="93"/>
        <v>0.92702191617706409</v>
      </c>
      <c r="AC63" s="533"/>
    </row>
    <row r="64" spans="1:29">
      <c r="D64" s="19"/>
      <c r="E64" s="19"/>
    </row>
  </sheetData>
  <mergeCells count="174">
    <mergeCell ref="S1:X2"/>
    <mergeCell ref="Y1:Z2"/>
    <mergeCell ref="AA1:AC2"/>
    <mergeCell ref="R3:R4"/>
    <mergeCell ref="S3:T3"/>
    <mergeCell ref="H3:H4"/>
    <mergeCell ref="I3:I4"/>
    <mergeCell ref="J3:J4"/>
    <mergeCell ref="K3:K4"/>
    <mergeCell ref="L3:L4"/>
    <mergeCell ref="M3:M4"/>
    <mergeCell ref="AC3:AC4"/>
    <mergeCell ref="A9:A12"/>
    <mergeCell ref="C9:D9"/>
    <mergeCell ref="R9:R12"/>
    <mergeCell ref="C11:D11"/>
    <mergeCell ref="I1:K2"/>
    <mergeCell ref="L1:N2"/>
    <mergeCell ref="O1:R2"/>
    <mergeCell ref="A5:A8"/>
    <mergeCell ref="C5:D5"/>
    <mergeCell ref="R5:R8"/>
    <mergeCell ref="A3:A4"/>
    <mergeCell ref="B3:B4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P3:P4"/>
    <mergeCell ref="Q3:Q4"/>
    <mergeCell ref="C3:D4"/>
    <mergeCell ref="E3:E4"/>
    <mergeCell ref="F3:F4"/>
    <mergeCell ref="G3:G4"/>
    <mergeCell ref="Y11:Z11"/>
    <mergeCell ref="C12:D12"/>
    <mergeCell ref="Y12:Z12"/>
    <mergeCell ref="C8:D8"/>
    <mergeCell ref="Y8:Z8"/>
    <mergeCell ref="AC17:AC24"/>
    <mergeCell ref="C18:D18"/>
    <mergeCell ref="Y18:Z18"/>
    <mergeCell ref="C19:D19"/>
    <mergeCell ref="Y19:Z19"/>
    <mergeCell ref="C20:D20"/>
    <mergeCell ref="Y20:Z20"/>
    <mergeCell ref="C21:D21"/>
    <mergeCell ref="Y21:Z21"/>
    <mergeCell ref="C22:D22"/>
    <mergeCell ref="Y22:Z22"/>
    <mergeCell ref="Y9:Z9"/>
    <mergeCell ref="AC9:AC12"/>
    <mergeCell ref="C10:D10"/>
    <mergeCell ref="Y10:Z10"/>
    <mergeCell ref="A13:A16"/>
    <mergeCell ref="C13:D13"/>
    <mergeCell ref="R13:R16"/>
    <mergeCell ref="Y13:Z13"/>
    <mergeCell ref="AC13:AC16"/>
    <mergeCell ref="C14:D14"/>
    <mergeCell ref="Y14:Z14"/>
    <mergeCell ref="C15:D15"/>
    <mergeCell ref="Y15:Z15"/>
    <mergeCell ref="C16:D16"/>
    <mergeCell ref="Y16:Z16"/>
    <mergeCell ref="A17:A24"/>
    <mergeCell ref="C17:D17"/>
    <mergeCell ref="R17:R24"/>
    <mergeCell ref="Y17:Z17"/>
    <mergeCell ref="C23:D23"/>
    <mergeCell ref="Y23:Z23"/>
    <mergeCell ref="C24:D24"/>
    <mergeCell ref="Y24:Z24"/>
    <mergeCell ref="A25:A30"/>
    <mergeCell ref="C25:D25"/>
    <mergeCell ref="R25:R30"/>
    <mergeCell ref="Y25:Z25"/>
    <mergeCell ref="Y30:Z30"/>
    <mergeCell ref="AC25:AC30"/>
    <mergeCell ref="C26:D26"/>
    <mergeCell ref="Y26:Z26"/>
    <mergeCell ref="C27:D27"/>
    <mergeCell ref="Y27:Z27"/>
    <mergeCell ref="C28:D28"/>
    <mergeCell ref="Y28:Z28"/>
    <mergeCell ref="C29:D29"/>
    <mergeCell ref="Y29:Z29"/>
    <mergeCell ref="C30:D30"/>
    <mergeCell ref="R37:R43"/>
    <mergeCell ref="Y37:Z37"/>
    <mergeCell ref="Y42:Z42"/>
    <mergeCell ref="A31:A36"/>
    <mergeCell ref="C31:D31"/>
    <mergeCell ref="R31:R36"/>
    <mergeCell ref="Y31:Z31"/>
    <mergeCell ref="AC31:AC36"/>
    <mergeCell ref="C32:D32"/>
    <mergeCell ref="Y32:Z32"/>
    <mergeCell ref="C33:D33"/>
    <mergeCell ref="Y33:Z33"/>
    <mergeCell ref="C34:D34"/>
    <mergeCell ref="Y34:Z34"/>
    <mergeCell ref="C35:D35"/>
    <mergeCell ref="Y35:Z35"/>
    <mergeCell ref="C36:D36"/>
    <mergeCell ref="Y36:Z36"/>
    <mergeCell ref="AC44:AC49"/>
    <mergeCell ref="C45:D45"/>
    <mergeCell ref="Y45:Z45"/>
    <mergeCell ref="C46:D46"/>
    <mergeCell ref="C49:D49"/>
    <mergeCell ref="Y49:Z49"/>
    <mergeCell ref="C43:D43"/>
    <mergeCell ref="Y43:Z43"/>
    <mergeCell ref="A44:A49"/>
    <mergeCell ref="C44:D44"/>
    <mergeCell ref="R44:R49"/>
    <mergeCell ref="Y44:Z44"/>
    <mergeCell ref="AC37:AC43"/>
    <mergeCell ref="C38:D38"/>
    <mergeCell ref="Y38:Z38"/>
    <mergeCell ref="C39:D39"/>
    <mergeCell ref="Y39:Z39"/>
    <mergeCell ref="C40:D40"/>
    <mergeCell ref="Y40:Z40"/>
    <mergeCell ref="C41:D41"/>
    <mergeCell ref="Y41:Z41"/>
    <mergeCell ref="C42:D42"/>
    <mergeCell ref="A37:A43"/>
    <mergeCell ref="C37:D37"/>
    <mergeCell ref="A50:A56"/>
    <mergeCell ref="C50:D50"/>
    <mergeCell ref="R50:R56"/>
    <mergeCell ref="Y50:Z50"/>
    <mergeCell ref="AC50:AC56"/>
    <mergeCell ref="C51:D51"/>
    <mergeCell ref="Y51:Z51"/>
    <mergeCell ref="C52:D52"/>
    <mergeCell ref="Y52:Z52"/>
    <mergeCell ref="C53:D53"/>
    <mergeCell ref="Y53:Z53"/>
    <mergeCell ref="C54:D54"/>
    <mergeCell ref="Y54:Z54"/>
    <mergeCell ref="C55:D55"/>
    <mergeCell ref="Y55:Z55"/>
    <mergeCell ref="C56:D56"/>
    <mergeCell ref="Y56:Z56"/>
    <mergeCell ref="Y60:Z60"/>
    <mergeCell ref="C61:D61"/>
    <mergeCell ref="Y61:Z61"/>
    <mergeCell ref="A57:A63"/>
    <mergeCell ref="C57:D57"/>
    <mergeCell ref="R57:R63"/>
    <mergeCell ref="Y57:Z57"/>
    <mergeCell ref="AC57:AC63"/>
    <mergeCell ref="C58:D58"/>
    <mergeCell ref="Y58:Z58"/>
    <mergeCell ref="C59:D59"/>
    <mergeCell ref="Y59:Z59"/>
    <mergeCell ref="C60:D60"/>
    <mergeCell ref="C62:D62"/>
    <mergeCell ref="Y62:Z62"/>
    <mergeCell ref="C63:D63"/>
    <mergeCell ref="Y63:Z63"/>
  </mergeCells>
  <phoneticPr fontId="3" type="noConversion"/>
  <conditionalFormatting sqref="O53:O63 O5:O9 O12:O14 O16:O50">
    <cfRule type="cellIs" dxfId="910" priority="33" operator="greaterThan">
      <formula>0</formula>
    </cfRule>
  </conditionalFormatting>
  <conditionalFormatting sqref="P5:P7 P53:P55 AA53:AA55 P57:P62 P25:P29 P50 P9 P12:P14 P17:P23 P44:P48 P31:P42 AA5:AA50 AA57:AA63">
    <cfRule type="cellIs" dxfId="909" priority="37" operator="lessThan">
      <formula>0</formula>
    </cfRule>
  </conditionalFormatting>
  <conditionalFormatting sqref="AB53:AB55 Q53:Q63 Q5:Q9 Q12:Q14 Q16:Q50 AB5:AB50 AB57:AB63">
    <cfRule type="cellIs" dxfId="908" priority="34" operator="greaterThan">
      <formula>1</formula>
    </cfRule>
    <cfRule type="cellIs" dxfId="907" priority="35" operator="lessThan">
      <formula>0.8</formula>
    </cfRule>
  </conditionalFormatting>
  <conditionalFormatting sqref="AC13:AC14 R13:R14 AC53 R16:R22 AC16:AC22 R53:R63 AC5:AC9 R5:R9 AC24:AC50 R24:R50">
    <cfRule type="cellIs" dxfId="906" priority="39" operator="lessThan">
      <formula>0.8</formula>
    </cfRule>
  </conditionalFormatting>
  <conditionalFormatting sqref="AC37">
    <cfRule type="cellIs" dxfId="905" priority="41" operator="lessThan">
      <formula>0.8</formula>
    </cfRule>
  </conditionalFormatting>
  <conditionalFormatting sqref="AC17:AC22">
    <cfRule type="cellIs" dxfId="904" priority="38" operator="lessThan">
      <formula>0.8</formula>
    </cfRule>
  </conditionalFormatting>
  <conditionalFormatting sqref="AC25">
    <cfRule type="cellIs" dxfId="903" priority="40" operator="lessThan">
      <formula>0.8</formula>
    </cfRule>
  </conditionalFormatting>
  <conditionalFormatting sqref="AC31:AC35">
    <cfRule type="cellIs" dxfId="902" priority="36" operator="lessThan">
      <formula>0.8</formula>
    </cfRule>
  </conditionalFormatting>
  <conditionalFormatting sqref="AA56">
    <cfRule type="cellIs" dxfId="901" priority="32" operator="lessThan">
      <formula>0</formula>
    </cfRule>
  </conditionalFormatting>
  <conditionalFormatting sqref="AB56">
    <cfRule type="cellIs" dxfId="900" priority="30" operator="greaterThan">
      <formula>1</formula>
    </cfRule>
    <cfRule type="cellIs" dxfId="899" priority="31" operator="lessThan">
      <formula>0.8</formula>
    </cfRule>
  </conditionalFormatting>
  <conditionalFormatting sqref="O15">
    <cfRule type="cellIs" dxfId="898" priority="25" operator="greaterThan">
      <formula>0</formula>
    </cfRule>
  </conditionalFormatting>
  <conditionalFormatting sqref="P15">
    <cfRule type="cellIs" dxfId="897" priority="28" operator="lessThan">
      <formula>0</formula>
    </cfRule>
  </conditionalFormatting>
  <conditionalFormatting sqref="Q15">
    <cfRule type="cellIs" dxfId="896" priority="26" operator="greaterThan">
      <formula>1</formula>
    </cfRule>
    <cfRule type="cellIs" dxfId="895" priority="27" operator="lessThan">
      <formula>0.8</formula>
    </cfRule>
  </conditionalFormatting>
  <conditionalFormatting sqref="R15 AC15">
    <cfRule type="cellIs" dxfId="894" priority="29" operator="lessThan">
      <formula>0.8</formula>
    </cfRule>
  </conditionalFormatting>
  <conditionalFormatting sqref="O10:O11">
    <cfRule type="cellIs" dxfId="893" priority="21" operator="greaterThan">
      <formula>0</formula>
    </cfRule>
  </conditionalFormatting>
  <conditionalFormatting sqref="P10:P11">
    <cfRule type="cellIs" dxfId="892" priority="24" operator="lessThan">
      <formula>0</formula>
    </cfRule>
  </conditionalFormatting>
  <conditionalFormatting sqref="Q10:Q11">
    <cfRule type="cellIs" dxfId="891" priority="22" operator="greaterThan">
      <formula>1</formula>
    </cfRule>
    <cfRule type="cellIs" dxfId="890" priority="23" operator="lessThan">
      <formula>0.8</formula>
    </cfRule>
  </conditionalFormatting>
  <conditionalFormatting sqref="O52">
    <cfRule type="cellIs" dxfId="889" priority="16" operator="greaterThan">
      <formula>0</formula>
    </cfRule>
  </conditionalFormatting>
  <conditionalFormatting sqref="P52 AA52">
    <cfRule type="cellIs" dxfId="888" priority="19" operator="lessThan">
      <formula>0</formula>
    </cfRule>
  </conditionalFormatting>
  <conditionalFormatting sqref="Q52 AB52">
    <cfRule type="cellIs" dxfId="887" priority="17" operator="greaterThan">
      <formula>1</formula>
    </cfRule>
    <cfRule type="cellIs" dxfId="886" priority="18" operator="lessThan">
      <formula>0.8</formula>
    </cfRule>
  </conditionalFormatting>
  <conditionalFormatting sqref="R52 AC52">
    <cfRule type="cellIs" dxfId="885" priority="20" operator="lessThan">
      <formula>0.8</formula>
    </cfRule>
  </conditionalFormatting>
  <conditionalFormatting sqref="R23 AC23">
    <cfRule type="cellIs" dxfId="884" priority="15" operator="lessThan">
      <formula>0.8</formula>
    </cfRule>
  </conditionalFormatting>
  <conditionalFormatting sqref="AC23">
    <cfRule type="cellIs" dxfId="883" priority="14" operator="lessThan">
      <formula>0.8</formula>
    </cfRule>
  </conditionalFormatting>
  <conditionalFormatting sqref="O51">
    <cfRule type="cellIs" dxfId="882" priority="9" operator="greaterThan">
      <formula>0</formula>
    </cfRule>
  </conditionalFormatting>
  <conditionalFormatting sqref="P51 AA51">
    <cfRule type="cellIs" dxfId="881" priority="12" operator="lessThan">
      <formula>0</formula>
    </cfRule>
  </conditionalFormatting>
  <conditionalFormatting sqref="Q51 AB51">
    <cfRule type="cellIs" dxfId="880" priority="10" operator="greaterThan">
      <formula>1</formula>
    </cfRule>
    <cfRule type="cellIs" dxfId="879" priority="11" operator="lessThan">
      <formula>0.8</formula>
    </cfRule>
  </conditionalFormatting>
  <conditionalFormatting sqref="R51 AC51">
    <cfRule type="cellIs" dxfId="878" priority="13" operator="lessThan">
      <formula>0.8</formula>
    </cfRule>
  </conditionalFormatting>
  <conditionalFormatting sqref="P8">
    <cfRule type="cellIs" dxfId="877" priority="8" operator="lessThan">
      <formula>0</formula>
    </cfRule>
  </conditionalFormatting>
  <conditionalFormatting sqref="P16">
    <cfRule type="cellIs" dxfId="876" priority="7" operator="lessThan">
      <formula>0</formula>
    </cfRule>
  </conditionalFormatting>
  <conditionalFormatting sqref="P24">
    <cfRule type="cellIs" dxfId="875" priority="6" operator="lessThan">
      <formula>0</formula>
    </cfRule>
  </conditionalFormatting>
  <conditionalFormatting sqref="P30">
    <cfRule type="cellIs" dxfId="874" priority="5" operator="lessThan">
      <formula>0</formula>
    </cfRule>
  </conditionalFormatting>
  <conditionalFormatting sqref="P43">
    <cfRule type="cellIs" dxfId="873" priority="4" operator="lessThan">
      <formula>0</formula>
    </cfRule>
  </conditionalFormatting>
  <conditionalFormatting sqref="P49">
    <cfRule type="cellIs" dxfId="872" priority="3" operator="lessThan">
      <formula>0</formula>
    </cfRule>
  </conditionalFormatting>
  <conditionalFormatting sqref="P56">
    <cfRule type="cellIs" dxfId="871" priority="2" operator="lessThan">
      <formula>0</formula>
    </cfRule>
  </conditionalFormatting>
  <conditionalFormatting sqref="P63">
    <cfRule type="cellIs" dxfId="870" priority="1" operator="lessThan">
      <formula>0</formula>
    </cfRule>
  </conditionalFormatting>
  <dataValidations count="1">
    <dataValidation type="list" allowBlank="1" showInputMessage="1" showErrorMessage="1" sqref="Z8 Z54:Z55 Y5:Z7 Y8:Y55 Z10:Z50 Y56:Z63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"/>
  <dimension ref="B1:Q28"/>
  <sheetViews>
    <sheetView zoomScale="70" zoomScaleNormal="70" workbookViewId="0">
      <selection activeCell="C3" sqref="C3:D3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521" t="s">
        <v>663</v>
      </c>
      <c r="C1" s="521"/>
      <c r="D1" s="521"/>
      <c r="E1" s="521"/>
      <c r="F1" s="521"/>
      <c r="G1" s="521"/>
      <c r="H1" s="521"/>
      <c r="I1" s="521"/>
      <c r="J1" s="521"/>
      <c r="K1" s="28"/>
      <c r="L1" s="28"/>
      <c r="M1" s="28"/>
      <c r="N1" s="28"/>
      <c r="O1" s="28"/>
      <c r="P1" s="28"/>
    </row>
    <row r="2" spans="2:17" ht="27.75" customHeight="1">
      <c r="B2" s="522"/>
      <c r="C2" s="522"/>
      <c r="D2" s="522"/>
      <c r="E2" s="522"/>
      <c r="F2" s="522"/>
      <c r="G2" s="522"/>
      <c r="H2" s="522"/>
      <c r="I2" s="522"/>
      <c r="J2" s="522"/>
      <c r="K2" s="30"/>
      <c r="L2" s="30"/>
      <c r="M2" s="30"/>
      <c r="N2" s="28"/>
      <c r="O2" s="28"/>
      <c r="P2" s="28"/>
    </row>
    <row r="3" spans="2:17" ht="46.5" customHeight="1">
      <c r="B3" s="218" t="s">
        <v>122</v>
      </c>
      <c r="C3" s="523" t="str">
        <f>TEXT('0815 4度C'!A2,"yyyy.mm.ddaaaa")</f>
        <v>2025.08.15星期五</v>
      </c>
      <c r="D3" s="523"/>
      <c r="E3" s="218" t="s">
        <v>814</v>
      </c>
      <c r="F3" s="524">
        <f>'0815 4度C'!D1</f>
        <v>129575</v>
      </c>
      <c r="G3" s="524"/>
      <c r="H3" s="218" t="s">
        <v>90</v>
      </c>
      <c r="I3" s="581">
        <f>'0815 4度C'!F1</f>
        <v>4456648.0399999991</v>
      </c>
      <c r="J3" s="581"/>
      <c r="K3" s="31"/>
      <c r="L3" s="32"/>
      <c r="M3" s="33"/>
      <c r="N3" s="33"/>
    </row>
    <row r="4" spans="2:17" ht="28.5" customHeight="1">
      <c r="B4" s="516" t="s">
        <v>815</v>
      </c>
      <c r="C4" s="516" t="s">
        <v>816</v>
      </c>
      <c r="D4" s="516"/>
      <c r="E4" s="526" t="s">
        <v>221</v>
      </c>
      <c r="F4" s="526"/>
      <c r="G4" s="526" t="s">
        <v>261</v>
      </c>
      <c r="H4" s="526"/>
      <c r="I4" s="526" t="s">
        <v>817</v>
      </c>
      <c r="J4" s="526"/>
      <c r="L4" s="33"/>
      <c r="M4" s="33"/>
      <c r="N4" s="33"/>
    </row>
    <row r="5" spans="2:17" ht="28.5" customHeight="1">
      <c r="B5" s="516"/>
      <c r="C5" s="516" t="s">
        <v>818</v>
      </c>
      <c r="D5" s="516"/>
      <c r="E5" s="516" t="s">
        <v>819</v>
      </c>
      <c r="F5" s="516"/>
      <c r="G5" s="517" t="s">
        <v>820</v>
      </c>
      <c r="H5" s="517"/>
      <c r="I5" s="582" t="s">
        <v>821</v>
      </c>
      <c r="J5" s="582"/>
      <c r="K5" s="33"/>
      <c r="L5" s="33"/>
      <c r="M5" s="33"/>
      <c r="N5" s="33"/>
    </row>
    <row r="6" spans="2:17" ht="28.5" customHeight="1">
      <c r="B6" s="516"/>
      <c r="C6" s="516" t="s">
        <v>43</v>
      </c>
      <c r="D6" s="516"/>
      <c r="E6" s="519">
        <f>AVERAGE(D13:M13)</f>
        <v>148.03915058789127</v>
      </c>
      <c r="F6" s="516">
        <f>AVERAGE(D27:O27,D13:J13)</f>
        <v>154.14311782565898</v>
      </c>
      <c r="G6" s="520">
        <f>AVERAGE(D13:J13)</f>
        <v>154.14311782565898</v>
      </c>
      <c r="H6" s="520"/>
      <c r="I6" s="520">
        <f>AVERAGE(K13:M13)</f>
        <v>133.79656036643334</v>
      </c>
      <c r="J6" s="520"/>
      <c r="K6" s="33"/>
      <c r="L6" s="33"/>
      <c r="M6" s="33"/>
      <c r="N6" s="33"/>
    </row>
    <row r="7" spans="2:17" ht="28.5" customHeight="1">
      <c r="B7" s="516"/>
      <c r="C7" s="510" t="s">
        <v>44</v>
      </c>
      <c r="D7" s="510"/>
      <c r="E7" s="511">
        <f>AVERAGE(D14:M14)</f>
        <v>137.93967740072762</v>
      </c>
      <c r="F7" s="512">
        <f>AVERAGE(D28:O28,D14:J14)</f>
        <v>143.75515720690865</v>
      </c>
      <c r="G7" s="513">
        <f>AVERAGE(D14:J14)</f>
        <v>143.75515720690865</v>
      </c>
      <c r="H7" s="513"/>
      <c r="I7" s="513">
        <f>AVERAGE(K14:M14)</f>
        <v>124.3702245196385</v>
      </c>
      <c r="J7" s="513"/>
      <c r="K7" s="33"/>
      <c r="L7" s="33"/>
      <c r="M7" s="33"/>
      <c r="N7" s="33"/>
    </row>
    <row r="8" spans="2:17" ht="28.5" customHeight="1">
      <c r="B8" s="516"/>
      <c r="C8" s="510" t="s">
        <v>45</v>
      </c>
      <c r="D8" s="510"/>
      <c r="E8" s="514">
        <f>AVERAGE(D15:M15)</f>
        <v>0.93075951378037036</v>
      </c>
      <c r="F8" s="510">
        <f>AVERAGE(D15:J15,D29:O29)</f>
        <v>0.93130786880438099</v>
      </c>
      <c r="G8" s="515">
        <f>AVERAGE(D15:J15)</f>
        <v>0.93130786880438099</v>
      </c>
      <c r="H8" s="515"/>
      <c r="I8" s="515">
        <f>AVERAGE(K15:M15)</f>
        <v>0.92948001872434582</v>
      </c>
      <c r="J8" s="515"/>
      <c r="K8" s="34" t="s">
        <v>822</v>
      </c>
      <c r="L8" s="33"/>
      <c r="M8" s="33"/>
      <c r="N8" s="33"/>
    </row>
    <row r="9" spans="2:17" ht="28.5" customHeight="1" thickBot="1">
      <c r="H9" s="36"/>
      <c r="N9" s="33"/>
      <c r="O9" s="33"/>
      <c r="P9" s="33"/>
      <c r="Q9" s="33"/>
    </row>
    <row r="10" spans="2:17" ht="30" customHeight="1">
      <c r="B10" s="501" t="s">
        <v>639</v>
      </c>
      <c r="C10" s="502"/>
      <c r="D10" s="503" t="s">
        <v>823</v>
      </c>
      <c r="E10" s="504"/>
      <c r="F10" s="504"/>
      <c r="G10" s="504"/>
      <c r="H10" s="504"/>
      <c r="I10" s="504"/>
      <c r="J10" s="505"/>
      <c r="K10" s="506" t="s">
        <v>422</v>
      </c>
      <c r="L10" s="583"/>
      <c r="M10" s="507"/>
      <c r="P10" s="37"/>
      <c r="Q10" s="37"/>
    </row>
    <row r="11" spans="2:17" ht="17.25" customHeight="1">
      <c r="B11" s="493" t="s">
        <v>824</v>
      </c>
      <c r="C11" s="494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39">
        <v>6</v>
      </c>
      <c r="J11" s="40">
        <v>7</v>
      </c>
      <c r="K11" s="38">
        <v>1</v>
      </c>
      <c r="L11" s="39">
        <v>2</v>
      </c>
      <c r="M11" s="40">
        <v>3</v>
      </c>
      <c r="P11" s="37"/>
      <c r="Q11" s="37"/>
    </row>
    <row r="12" spans="2:17" ht="34.15" customHeight="1">
      <c r="B12" s="493"/>
      <c r="C12" s="494"/>
      <c r="D12" s="41" t="s">
        <v>345</v>
      </c>
      <c r="E12" s="42" t="s">
        <v>346</v>
      </c>
      <c r="F12" s="42" t="s">
        <v>347</v>
      </c>
      <c r="G12" s="42" t="s">
        <v>348</v>
      </c>
      <c r="H12" s="42" t="s">
        <v>349</v>
      </c>
      <c r="I12" s="42" t="s">
        <v>350</v>
      </c>
      <c r="J12" s="43" t="s">
        <v>351</v>
      </c>
      <c r="K12" s="41" t="s">
        <v>352</v>
      </c>
      <c r="L12" s="42" t="s">
        <v>353</v>
      </c>
      <c r="M12" s="43" t="s">
        <v>354</v>
      </c>
    </row>
    <row r="13" spans="2:17" ht="40.15" customHeight="1">
      <c r="B13" s="508" t="s">
        <v>116</v>
      </c>
      <c r="C13" s="44" t="s">
        <v>141</v>
      </c>
      <c r="D13" s="45">
        <f>SUMIFS('0815 4度C'!$K:$K,'0815 4度C'!$A:$A,"新豐6線",'0815 4度C'!$B:$B,"平均")</f>
        <v>117.64705882352941</v>
      </c>
      <c r="E13" s="46">
        <f>SUMIFS('0815 4度C'!$K:$K,'0815 4度C'!$A:$A,"新豐2線",'0815 4度C'!$B:$B,"平均")</f>
        <v>81.818181818181827</v>
      </c>
      <c r="F13" s="47">
        <f>SUMIFS('0815 4度C'!$K:$K,'0815 4度C'!$A:$A,"新豐5線",'0815 4度C'!$B:$B,"平均")</f>
        <v>93.333333333333329</v>
      </c>
      <c r="G13" s="47">
        <f>SUMIFS('0815 4度C'!$K:$K,'0815 4度C'!$A:$A,"新豐7線",'0815 4度C'!$B:$B,"平均")</f>
        <v>117.64705882352941</v>
      </c>
      <c r="H13" s="47">
        <f>SUMIFS('0815 4度C'!$K:$K,'0815 4度C'!$A:$A,"新豐3線",'0815 4度C'!$B:$B,"平均")</f>
        <v>300</v>
      </c>
      <c r="I13" s="47">
        <f>SUMIFS('0815 4度C'!$K:$K,'0815 4度C'!$A:$A,"新豐1線",'0815 4度C'!$B:$B,"平均")</f>
        <v>114.4578313253012</v>
      </c>
      <c r="J13" s="48">
        <f>SUMIFS('0815 4度C'!$K:$K,'0815 4度C'!$A:$A,"新豐10線",'0815 4度C'!$B:$B,"平均")</f>
        <v>254.09836065573774</v>
      </c>
      <c r="K13" s="49">
        <f>SUMIFS('0815 4度C'!$K:$K,'0815 4度C'!$A:$A,"新豐8線",'0815 4度C'!$B:$B,"平均")</f>
        <v>137.93103448275863</v>
      </c>
      <c r="L13" s="50">
        <f>SUMIFS('0815 4度C'!$K:$K,'0815 4度C'!$A:$A,"新豐9線",'0815 4度C'!$B:$B,"平均")</f>
        <v>126.31578947368421</v>
      </c>
      <c r="M13" s="48">
        <f>SUMIFS('0815 4度C'!$K:$K,'0815 4度C'!$A:$A,"新豐4線",'0815 4度C'!$B:$B,"平均")</f>
        <v>137.14285714285714</v>
      </c>
    </row>
    <row r="14" spans="2:17" ht="39.6" customHeight="1">
      <c r="B14" s="508"/>
      <c r="C14" s="51" t="s">
        <v>69</v>
      </c>
      <c r="D14" s="52">
        <f>SUMIFS('0815 4度C'!$N:$N,'0815 4度C'!$A:$A,"新豐6線",'0815 4度C'!$B:$B,"平均")</f>
        <v>109.46890756302517</v>
      </c>
      <c r="E14" s="53">
        <f>SUMIFS('0815 4度C'!$N:$N,'0815 4度C'!$A:$A,"新豐2線",'0815 4度C'!$B:$B,"平均")</f>
        <v>75.685571309424532</v>
      </c>
      <c r="F14" s="53">
        <f>SUMIFS('0815 4度C'!$N:$N,'0815 4度C'!$A:$A,"新豐5線",'0815 4度C'!$B:$B,"平均")</f>
        <v>86.615248145444468</v>
      </c>
      <c r="G14" s="53">
        <f>SUMIFS('0815 4度C'!$N:$N,'0815 4度C'!$A:$A,"新豐7線",'0815 4度C'!$B:$B,"平均")</f>
        <v>110.17600149112769</v>
      </c>
      <c r="H14" s="53">
        <f>SUMIFS('0815 4度C'!$N:$N,'0815 4度C'!$A:$A,"新豐3線",'0815 4度C'!$B:$B,"平均")</f>
        <v>280.19965385014405</v>
      </c>
      <c r="I14" s="53">
        <f>SUMIFS('0815 4度C'!$N:$N,'0815 4度C'!$A:$A,"新豐1線",'0815 4度C'!$B:$B,"平均")</f>
        <v>106.37570678814576</v>
      </c>
      <c r="J14" s="54">
        <f>SUMIFS('0815 4度C'!$N:$N,'0815 4度C'!$A:$A,"新豐10線",'0815 4度C'!$B:$B,"平均")</f>
        <v>237.76501130104882</v>
      </c>
      <c r="K14" s="55">
        <f>SUMIFS('0815 4度C'!$N:$N,'0815 4度C'!$A:$A,"新豐8線",'0815 4度C'!$B:$B,"平均")</f>
        <v>127.83411490853413</v>
      </c>
      <c r="L14" s="56">
        <f>SUMIFS('0815 4度C'!$N:$N,'0815 4度C'!$A:$A,"新豐9線",'0815 4度C'!$B:$B,"平均")</f>
        <v>117.06850601674785</v>
      </c>
      <c r="M14" s="54">
        <f>SUMIFS('0815 4度C'!$N:$N,'0815 4度C'!$A:$A,"新豐4線",'0815 4度C'!$B:$B,"平均")</f>
        <v>128.20805263363351</v>
      </c>
    </row>
    <row r="15" spans="2:17" ht="40.15" customHeight="1">
      <c r="B15" s="508"/>
      <c r="C15" s="57" t="s">
        <v>825</v>
      </c>
      <c r="D15" s="58">
        <f>D14/D13</f>
        <v>0.93048571428571403</v>
      </c>
      <c r="E15" s="59">
        <f t="shared" ref="E15:M15" si="0">E14/E13</f>
        <v>0.92504587155963303</v>
      </c>
      <c r="F15" s="59">
        <f t="shared" si="0"/>
        <v>0.92802051584404788</v>
      </c>
      <c r="G15" s="59">
        <f t="shared" si="0"/>
        <v>0.93649601267458549</v>
      </c>
      <c r="H15" s="59">
        <f>H14/H13</f>
        <v>0.93399884616714679</v>
      </c>
      <c r="I15" s="59">
        <f>I14/I13</f>
        <v>0.92938775404379992</v>
      </c>
      <c r="J15" s="60">
        <f>J14/J13</f>
        <v>0.93572036705574035</v>
      </c>
      <c r="K15" s="58">
        <f>K14/K13</f>
        <v>0.9267973330868724</v>
      </c>
      <c r="L15" s="59">
        <f>L14/L13</f>
        <v>0.92679233929925386</v>
      </c>
      <c r="M15" s="60">
        <f t="shared" si="0"/>
        <v>0.9348503837869111</v>
      </c>
    </row>
    <row r="16" spans="2:17" ht="17.25" customHeight="1">
      <c r="B16" s="509" t="s">
        <v>265</v>
      </c>
      <c r="C16" s="217" t="s">
        <v>71</v>
      </c>
      <c r="D16" s="61">
        <f>VLOOKUP("新豐6線",'0815 4度C'!$A:$T,19,0)</f>
        <v>0.70833333333333337</v>
      </c>
      <c r="E16" s="24">
        <f>VLOOKUP("新豐2線",'0815 4度C'!$A:$T,19,0)</f>
        <v>0.125</v>
      </c>
      <c r="F16" s="24">
        <f>VLOOKUP("新豐5線",'0815 4度C'!$A:$T,19,0)</f>
        <v>0.25</v>
      </c>
      <c r="G16" s="24">
        <f>VLOOKUP("新豐7線",'0815 4度C'!$A:$T,19,0)</f>
        <v>0.20833333333333334</v>
      </c>
      <c r="H16" s="24">
        <f>VLOOKUP("新豐3線",'0815 4度C'!$A:$T,19,0)</f>
        <v>0.20833333333333334</v>
      </c>
      <c r="I16" s="24">
        <f>VLOOKUP("新豐1線",'0815 4度C'!$A:$T,19,0)</f>
        <v>0.29166666666666669</v>
      </c>
      <c r="J16" s="62">
        <f>VLOOKUP("新豐10線",'0815 4度C'!$A:$T,19,0)</f>
        <v>0.20833333333333334</v>
      </c>
      <c r="K16" s="63">
        <f>VLOOKUP("新豐8線",'0815 4度C'!$A:$T,19,0)</f>
        <v>0.125</v>
      </c>
      <c r="L16" s="64">
        <f>VLOOKUP("新豐9線",'0815 4度C'!$A:$T,19,0)</f>
        <v>0.125</v>
      </c>
      <c r="M16" s="65">
        <f>VLOOKUP("新豐4線",'0815 4度C'!$A:$T,19,0)</f>
        <v>0.125</v>
      </c>
    </row>
    <row r="17" spans="2:13" ht="17.25" customHeight="1">
      <c r="B17" s="493"/>
      <c r="C17" s="217" t="s">
        <v>144</v>
      </c>
      <c r="D17" s="63">
        <f>LOOKUP(2,1/(('0815 4度C'!$A:$A="新豐6線")*('0815 4度C'!$T:$T&lt;&gt;"")),'0815 4度C'!$T:$T)</f>
        <v>0.81319444444444444</v>
      </c>
      <c r="E17" s="24">
        <f>LOOKUP(2,1/(('0815 4度C'!$A:$A="新豐2線")*('0815 4度C'!$T:$T&lt;&gt;"")),'0815 4度C'!$T:$T)</f>
        <v>0.50694444444444442</v>
      </c>
      <c r="F17" s="24">
        <f>LOOKUP(2,1/(('0815 4度C'!$A:$A="新豐5線")*('0815 4度C'!$T:$T&lt;&gt;"")),'0815 4度C'!$T:$T)</f>
        <v>0.82430555555555562</v>
      </c>
      <c r="G17" s="24">
        <f>LOOKUP(2,1/(('0815 4度C'!$A:$A="新豐7線")*('0815 4度C'!$T:$T&lt;&gt;"")),'0815 4度C'!$T:$T)</f>
        <v>0.81180555555555545</v>
      </c>
      <c r="H17" s="24">
        <f>LOOKUP(2,1/(('0815 4度C'!$A:$A="新豐3線")*('0815 4度C'!$T:$T&lt;&gt;"")),'0815 4度C'!$T:$T)</f>
        <v>0.50763888888888886</v>
      </c>
      <c r="I17" s="24">
        <f>LOOKUP(2,1/(('0815 4度C'!$A:$A="新豐1線")*('0815 4度C'!$T:$T&lt;&gt;"")),'0815 4度C'!$T:$T)</f>
        <v>0.82847222222222217</v>
      </c>
      <c r="J17" s="62">
        <f>LOOKUP(2,1/(('0815 4度C'!$A:$A="新豐10線")*('0815 4度C'!$T:$T&lt;&gt;"")),'0815 4度C'!$T:$T)</f>
        <v>0.44930555555555551</v>
      </c>
      <c r="K17" s="61">
        <f>LOOKUP(2,1/(('0815 4度C'!$A:$A="新豐8線")*('0815 4度C'!$T:$T&lt;&gt;"")),'0815 4度C'!$T:$T)</f>
        <v>0.48125000000000001</v>
      </c>
      <c r="L17" s="24">
        <f>LOOKUP(2,1/(('0815 4度C'!$A:$A="新豐9線")*('0815 4度C'!$T:$T&lt;&gt;"")),'0815 4度C'!$T:$T)</f>
        <v>0.47916666666666652</v>
      </c>
      <c r="M17" s="62">
        <f>LOOKUP(2,1/(('0815 4度C'!$A:$A="新豐4線")*('0815 4度C'!$T:$T&lt;&gt;"")),'0815 4度C'!$T:$T)</f>
        <v>0.51111111111111107</v>
      </c>
    </row>
    <row r="18" spans="2:13" ht="17.25" customHeight="1">
      <c r="B18" s="493" t="s">
        <v>826</v>
      </c>
      <c r="C18" s="494"/>
      <c r="D18" s="66">
        <f>SUMIFS('0815 4度C'!$I:$I,'0815 4度C'!$A:$A,"新豐6線",'0815 4度C'!$B:$B,"平均")</f>
        <v>17</v>
      </c>
      <c r="E18" s="67">
        <f>SUMIFS('0815 4度C'!$I:$I,'0815 4度C'!$A:$A,"新豐2線",'0815 4度C'!$B:$B,"平均")</f>
        <v>18.333333333333332</v>
      </c>
      <c r="F18" s="67">
        <f>SUMIFS('0815 4度C'!$I:$I,'0815 4度C'!$A:$A,"新豐5線",'0815 4度C'!$B:$B,"平均")</f>
        <v>18.75</v>
      </c>
      <c r="G18" s="67">
        <f>SUMIFS('0815 4度C'!$I:$I,'0815 4度C'!$A:$A,"新豐7線",'0815 4度C'!$B:$B,"平均")</f>
        <v>17</v>
      </c>
      <c r="H18" s="67">
        <f>SUMIFS('0815 4度C'!$I:$I,'0815 4度C'!$A:$A,"新豐3線",'0815 4度C'!$B:$B,"平均")</f>
        <v>10</v>
      </c>
      <c r="I18" s="67">
        <f>SUMIFS('0815 4度C'!$I:$I,'0815 4度C'!$A:$A,"新豐1線",'0815 4度C'!$B:$B,"平均")</f>
        <v>16.600000000000001</v>
      </c>
      <c r="J18" s="68">
        <f>SUMIFS('0815 4度C'!$I:$I,'0815 4度C'!$A:$A,"新豐10線",'0815 4度C'!$B:$B,"平均")</f>
        <v>10.166666666666666</v>
      </c>
      <c r="K18" s="66">
        <f>SUMIFS('0815 4度C'!$I:$I,'0815 4度C'!$A:$A,"新豐8線",'0815 4度C'!$B:$B,"平均")</f>
        <v>17.399999999999999</v>
      </c>
      <c r="L18" s="67">
        <f>SUMIFS('0815 4度C'!$I:$I,'0815 4度C'!$A:$A,"新豐9線",'0815 4度C'!$B:$B,"平均")</f>
        <v>19</v>
      </c>
      <c r="M18" s="68">
        <f>SUMIFS('0815 4度C'!$I:$I,'0815 4度C'!$A:$A,"新豐4線",'0815 4度C'!$B:$B,"平均")</f>
        <v>17.5</v>
      </c>
    </row>
    <row r="19" spans="2:13" ht="17.25" customHeight="1">
      <c r="B19" s="495" t="s">
        <v>827</v>
      </c>
      <c r="C19" s="496"/>
      <c r="D19" s="69" t="s">
        <v>46</v>
      </c>
      <c r="E19" s="70" t="s">
        <v>47</v>
      </c>
      <c r="F19" s="70" t="s">
        <v>93</v>
      </c>
      <c r="G19" s="70" t="s">
        <v>93</v>
      </c>
      <c r="H19" s="70" t="s">
        <v>48</v>
      </c>
      <c r="I19" s="70" t="s">
        <v>46</v>
      </c>
      <c r="J19" s="71" t="s">
        <v>48</v>
      </c>
      <c r="K19" s="69" t="s">
        <v>72</v>
      </c>
      <c r="L19" s="70" t="s">
        <v>828</v>
      </c>
      <c r="M19" s="71" t="s">
        <v>72</v>
      </c>
    </row>
    <row r="20" spans="2:13" ht="17.25" customHeight="1">
      <c r="B20" s="495" t="s">
        <v>409</v>
      </c>
      <c r="C20" s="496"/>
      <c r="D20" s="69"/>
      <c r="E20" s="70"/>
      <c r="F20" s="70" t="s">
        <v>149</v>
      </c>
      <c r="G20" s="70" t="s">
        <v>46</v>
      </c>
      <c r="H20" s="70"/>
      <c r="I20" s="70"/>
      <c r="J20" s="71"/>
      <c r="K20" s="69"/>
      <c r="L20" s="70"/>
      <c r="M20" s="71"/>
    </row>
    <row r="21" spans="2:13" ht="17.25" customHeight="1" thickBot="1">
      <c r="B21" s="497" t="s">
        <v>829</v>
      </c>
      <c r="C21" s="498"/>
      <c r="D21" s="72"/>
      <c r="E21" s="73" t="s">
        <v>830</v>
      </c>
      <c r="F21" s="499" t="s">
        <v>831</v>
      </c>
      <c r="G21" s="500"/>
      <c r="H21" s="73" t="s">
        <v>73</v>
      </c>
      <c r="I21" s="73" t="s">
        <v>152</v>
      </c>
      <c r="J21" s="74" t="s">
        <v>832</v>
      </c>
      <c r="K21" s="75"/>
      <c r="L21" s="73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86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">
    <pageSetUpPr fitToPage="1"/>
  </sheetPr>
  <dimension ref="A1:AC66"/>
  <sheetViews>
    <sheetView zoomScale="80" zoomScaleNormal="80" workbookViewId="0">
      <pane ySplit="4" topLeftCell="A5" activePane="bottomLeft" state="frozen"/>
      <selection activeCell="C3" sqref="C3:D3"/>
      <selection pane="bottomLeft" activeCell="C3" sqref="C3:D4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320</v>
      </c>
      <c r="B1" s="1"/>
      <c r="C1" s="2" t="s">
        <v>96</v>
      </c>
      <c r="D1" s="3">
        <f>SUM(F5:F65)</f>
        <v>129575</v>
      </c>
      <c r="E1" s="219" t="s">
        <v>833</v>
      </c>
      <c r="F1" s="1">
        <f>SUM(G5:G65)</f>
        <v>4456648.0399999991</v>
      </c>
      <c r="G1" s="1" t="s">
        <v>153</v>
      </c>
      <c r="H1" s="4">
        <f>L8+L12+L45+L51+L17+L58+L31+L38+L25+L65</f>
        <v>161.75</v>
      </c>
      <c r="I1" s="572" t="s">
        <v>360</v>
      </c>
      <c r="J1" s="572"/>
      <c r="K1" s="572"/>
      <c r="L1" s="572" t="s">
        <v>154</v>
      </c>
      <c r="M1" s="572"/>
      <c r="N1" s="572"/>
      <c r="O1" s="572" t="s">
        <v>97</v>
      </c>
      <c r="P1" s="572"/>
      <c r="Q1" s="572"/>
      <c r="R1" s="572"/>
      <c r="S1" s="572" t="s">
        <v>277</v>
      </c>
      <c r="T1" s="572"/>
      <c r="U1" s="572"/>
      <c r="V1" s="572"/>
      <c r="W1" s="572"/>
      <c r="X1" s="572"/>
      <c r="Y1" s="572" t="s">
        <v>278</v>
      </c>
      <c r="Z1" s="572"/>
      <c r="AA1" s="572" t="s">
        <v>155</v>
      </c>
      <c r="AB1" s="573"/>
      <c r="AC1" s="573"/>
    </row>
    <row r="2" spans="1:29" ht="26.25" customHeight="1">
      <c r="A2" s="22">
        <v>45884</v>
      </c>
      <c r="B2" s="23" t="s">
        <v>74</v>
      </c>
      <c r="C2" s="2" t="s">
        <v>834</v>
      </c>
      <c r="D2" s="6">
        <f>AVERAGE(N8,N12,N45,N51,N17,N58,N25,N31,N38,N65)</f>
        <v>137.93967740072759</v>
      </c>
      <c r="E2" s="7" t="s">
        <v>0</v>
      </c>
      <c r="F2" s="8">
        <f>F1/D1</f>
        <v>34.394351070808405</v>
      </c>
      <c r="G2" s="1" t="s">
        <v>117</v>
      </c>
      <c r="H2" s="230">
        <f>COUNT(H5:H65)</f>
        <v>0</v>
      </c>
      <c r="I2" s="572"/>
      <c r="J2" s="572"/>
      <c r="K2" s="572"/>
      <c r="L2" s="572"/>
      <c r="M2" s="572"/>
      <c r="N2" s="572"/>
      <c r="O2" s="572"/>
      <c r="P2" s="572"/>
      <c r="Q2" s="572"/>
      <c r="R2" s="572"/>
      <c r="S2" s="572"/>
      <c r="T2" s="572"/>
      <c r="U2" s="572"/>
      <c r="V2" s="572"/>
      <c r="W2" s="572"/>
      <c r="X2" s="572"/>
      <c r="Y2" s="572"/>
      <c r="Z2" s="572"/>
      <c r="AA2" s="573"/>
      <c r="AB2" s="573"/>
      <c r="AC2" s="573"/>
    </row>
    <row r="3" spans="1:29" ht="23.25" customHeight="1">
      <c r="A3" s="528" t="s">
        <v>156</v>
      </c>
      <c r="B3" s="528" t="s">
        <v>118</v>
      </c>
      <c r="C3" s="528" t="s">
        <v>835</v>
      </c>
      <c r="D3" s="528"/>
      <c r="E3" s="570" t="s">
        <v>286</v>
      </c>
      <c r="F3" s="528" t="s">
        <v>120</v>
      </c>
      <c r="G3" s="570" t="s">
        <v>288</v>
      </c>
      <c r="H3" s="563" t="s">
        <v>289</v>
      </c>
      <c r="I3" s="561" t="s">
        <v>101</v>
      </c>
      <c r="J3" s="566" t="s">
        <v>836</v>
      </c>
      <c r="K3" s="568" t="s">
        <v>116</v>
      </c>
      <c r="L3" s="561" t="s">
        <v>101</v>
      </c>
      <c r="M3" s="566" t="s">
        <v>162</v>
      </c>
      <c r="N3" s="568" t="s">
        <v>116</v>
      </c>
      <c r="O3" s="561" t="s">
        <v>837</v>
      </c>
      <c r="P3" s="568" t="s">
        <v>116</v>
      </c>
      <c r="Q3" s="567" t="s">
        <v>159</v>
      </c>
      <c r="R3" s="542" t="s">
        <v>86</v>
      </c>
      <c r="S3" s="569" t="s">
        <v>1</v>
      </c>
      <c r="T3" s="569"/>
      <c r="U3" s="563" t="s">
        <v>2</v>
      </c>
      <c r="V3" s="563" t="s">
        <v>66</v>
      </c>
      <c r="W3" s="528" t="s">
        <v>838</v>
      </c>
      <c r="X3" s="528"/>
      <c r="Y3" s="564" t="s">
        <v>161</v>
      </c>
      <c r="Z3" s="565"/>
      <c r="AA3" s="566" t="s">
        <v>839</v>
      </c>
      <c r="AB3" s="567" t="s">
        <v>159</v>
      </c>
      <c r="AC3" s="542" t="s">
        <v>86</v>
      </c>
    </row>
    <row r="4" spans="1:29">
      <c r="A4" s="528"/>
      <c r="B4" s="528"/>
      <c r="C4" s="528"/>
      <c r="D4" s="528"/>
      <c r="E4" s="571"/>
      <c r="F4" s="528"/>
      <c r="G4" s="571"/>
      <c r="H4" s="563"/>
      <c r="I4" s="561"/>
      <c r="J4" s="566"/>
      <c r="K4" s="568"/>
      <c r="L4" s="561"/>
      <c r="M4" s="566"/>
      <c r="N4" s="568"/>
      <c r="O4" s="561"/>
      <c r="P4" s="568"/>
      <c r="Q4" s="567"/>
      <c r="R4" s="542"/>
      <c r="S4" s="229" t="s">
        <v>3</v>
      </c>
      <c r="T4" s="229" t="s">
        <v>4</v>
      </c>
      <c r="U4" s="563"/>
      <c r="V4" s="563"/>
      <c r="W4" s="219" t="s">
        <v>840</v>
      </c>
      <c r="X4" s="219" t="s">
        <v>75</v>
      </c>
      <c r="Y4" s="565"/>
      <c r="Z4" s="565"/>
      <c r="AA4" s="566"/>
      <c r="AB4" s="567"/>
      <c r="AC4" s="542"/>
    </row>
    <row r="5" spans="1:29">
      <c r="A5" s="560" t="s">
        <v>367</v>
      </c>
      <c r="B5" s="26" t="s">
        <v>13</v>
      </c>
      <c r="C5" s="562" t="s">
        <v>53</v>
      </c>
      <c r="D5" s="562"/>
      <c r="E5" s="26">
        <v>46.93</v>
      </c>
      <c r="F5" s="229">
        <v>778</v>
      </c>
      <c r="G5" s="219">
        <f>E5*F5</f>
        <v>36511.54</v>
      </c>
      <c r="H5" s="76" t="s">
        <v>52</v>
      </c>
      <c r="I5" s="227">
        <v>17</v>
      </c>
      <c r="J5" s="18">
        <v>2000</v>
      </c>
      <c r="K5" s="9">
        <f>J5/I5</f>
        <v>117.64705882352941</v>
      </c>
      <c r="L5" s="227">
        <v>17</v>
      </c>
      <c r="M5" s="10">
        <f>F5/V5*60</f>
        <v>1867.1999999999948</v>
      </c>
      <c r="N5" s="9">
        <f>M5/L5</f>
        <v>109.83529411764675</v>
      </c>
      <c r="O5" s="11">
        <f t="shared" ref="O5:O7" si="0">L5-I5</f>
        <v>0</v>
      </c>
      <c r="P5" s="12">
        <f t="shared" ref="P5:P7" si="1">N5-K5</f>
        <v>-7.811764705882652</v>
      </c>
      <c r="Q5" s="220">
        <f>N5/K5</f>
        <v>0.93359999999999743</v>
      </c>
      <c r="R5" s="533">
        <f>Q8</f>
        <v>0.93048571428571403</v>
      </c>
      <c r="S5" s="24">
        <v>0.70833333333333337</v>
      </c>
      <c r="T5" s="24">
        <v>0.72569444444444453</v>
      </c>
      <c r="U5" s="219"/>
      <c r="V5" s="228">
        <f>(T5-S5)*24*60</f>
        <v>25.000000000000071</v>
      </c>
      <c r="W5" s="14"/>
      <c r="X5" s="13"/>
      <c r="Y5" s="528"/>
      <c r="Z5" s="528"/>
      <c r="AA5" s="11">
        <f t="shared" ref="AA5:AA65" si="2">M5-J5</f>
        <v>-132.80000000000518</v>
      </c>
      <c r="AB5" s="220">
        <f t="shared" ref="AB5:AB7" si="3">M5/J5</f>
        <v>0.93359999999999743</v>
      </c>
      <c r="AC5" s="533">
        <f>AB8</f>
        <v>0.93048571428571392</v>
      </c>
    </row>
    <row r="6" spans="1:29">
      <c r="A6" s="561" t="s">
        <v>367</v>
      </c>
      <c r="B6" s="26" t="s">
        <v>13</v>
      </c>
      <c r="C6" s="562" t="s">
        <v>55</v>
      </c>
      <c r="D6" s="562"/>
      <c r="E6" s="26">
        <v>50.49</v>
      </c>
      <c r="F6" s="229">
        <v>1735</v>
      </c>
      <c r="G6" s="219">
        <f t="shared" ref="G6:G7" si="4">E6*F6</f>
        <v>87600.150000000009</v>
      </c>
      <c r="H6" s="76" t="s">
        <v>52</v>
      </c>
      <c r="I6" s="227">
        <v>16</v>
      </c>
      <c r="J6" s="18">
        <v>2000</v>
      </c>
      <c r="K6" s="9">
        <f t="shared" ref="K6:K7" si="5">J6/I6</f>
        <v>125</v>
      </c>
      <c r="L6" s="227">
        <v>16</v>
      </c>
      <c r="M6" s="10">
        <f>F6/V6*60</f>
        <v>1858.9285714285727</v>
      </c>
      <c r="N6" s="9">
        <f t="shared" ref="N6:N7" si="6">M6/L6</f>
        <v>116.18303571428579</v>
      </c>
      <c r="O6" s="11">
        <f t="shared" si="0"/>
        <v>0</v>
      </c>
      <c r="P6" s="12">
        <f t="shared" si="1"/>
        <v>-8.8169642857142065</v>
      </c>
      <c r="Q6" s="220">
        <f t="shared" ref="Q6:Q7" si="7">N6/K6</f>
        <v>0.9294642857142863</v>
      </c>
      <c r="R6" s="533"/>
      <c r="S6" s="24">
        <v>0.73125000000000007</v>
      </c>
      <c r="T6" s="24">
        <v>0.77013888888888893</v>
      </c>
      <c r="U6" s="219">
        <f>(S6-T5)*24*60</f>
        <v>7.9999999999999716</v>
      </c>
      <c r="V6" s="228">
        <f>(T6-S6)*24*60</f>
        <v>55.999999999999957</v>
      </c>
      <c r="W6" s="14"/>
      <c r="X6" s="14"/>
      <c r="Y6" s="528"/>
      <c r="Z6" s="528"/>
      <c r="AA6" s="11">
        <f t="shared" si="2"/>
        <v>-141.0714285714273</v>
      </c>
      <c r="AB6" s="220">
        <f t="shared" si="3"/>
        <v>0.9294642857142863</v>
      </c>
      <c r="AC6" s="533"/>
    </row>
    <row r="7" spans="1:29">
      <c r="A7" s="561" t="s">
        <v>367</v>
      </c>
      <c r="B7" s="26" t="s">
        <v>13</v>
      </c>
      <c r="C7" s="558" t="s">
        <v>76</v>
      </c>
      <c r="D7" s="559"/>
      <c r="E7" s="26">
        <v>50.67</v>
      </c>
      <c r="F7" s="229">
        <v>1733</v>
      </c>
      <c r="G7" s="219">
        <f t="shared" si="4"/>
        <v>87811.11</v>
      </c>
      <c r="H7" s="76" t="s">
        <v>52</v>
      </c>
      <c r="I7" s="227">
        <v>18</v>
      </c>
      <c r="J7" s="18">
        <v>2000</v>
      </c>
      <c r="K7" s="9">
        <f t="shared" si="5"/>
        <v>111.11111111111111</v>
      </c>
      <c r="L7" s="227">
        <v>18</v>
      </c>
      <c r="M7" s="10">
        <f t="shared" ref="M7" si="8">F7/V7*60</f>
        <v>1856.7857142857156</v>
      </c>
      <c r="N7" s="9">
        <f t="shared" si="6"/>
        <v>103.15476190476198</v>
      </c>
      <c r="O7" s="11">
        <f t="shared" si="0"/>
        <v>0</v>
      </c>
      <c r="P7" s="12">
        <f t="shared" si="1"/>
        <v>-7.956349206349131</v>
      </c>
      <c r="Q7" s="220">
        <f t="shared" si="7"/>
        <v>0.9283928571428578</v>
      </c>
      <c r="R7" s="533"/>
      <c r="S7" s="24">
        <v>0.77430555555555558</v>
      </c>
      <c r="T7" s="24">
        <v>0.81319444444444444</v>
      </c>
      <c r="U7" s="219">
        <f t="shared" ref="U7" si="9">(S7-T6)*24*60</f>
        <v>5.9999999999999787</v>
      </c>
      <c r="V7" s="228">
        <f t="shared" ref="V7" si="10">(T7-S7)*24*60</f>
        <v>55.999999999999957</v>
      </c>
      <c r="W7" s="14"/>
      <c r="X7" s="14"/>
      <c r="Y7" s="536"/>
      <c r="Z7" s="537"/>
      <c r="AA7" s="11">
        <f t="shared" si="2"/>
        <v>-143.21428571428442</v>
      </c>
      <c r="AB7" s="220">
        <f t="shared" si="3"/>
        <v>0.9283928571428578</v>
      </c>
      <c r="AC7" s="533"/>
    </row>
    <row r="8" spans="1:29">
      <c r="A8" s="561" t="s">
        <v>367</v>
      </c>
      <c r="B8" s="26" t="s">
        <v>82</v>
      </c>
      <c r="C8" s="530"/>
      <c r="D8" s="530"/>
      <c r="E8" s="221"/>
      <c r="F8" s="16"/>
      <c r="G8" s="9"/>
      <c r="H8" s="229"/>
      <c r="I8" s="17">
        <v>17</v>
      </c>
      <c r="J8" s="18">
        <v>2000</v>
      </c>
      <c r="K8" s="9">
        <f>J8/I8</f>
        <v>117.64705882352941</v>
      </c>
      <c r="L8" s="17">
        <v>17</v>
      </c>
      <c r="M8" s="10">
        <f>AVERAGE(M5:M7)</f>
        <v>1860.9714285714279</v>
      </c>
      <c r="N8" s="9">
        <f>M8/L8</f>
        <v>109.46890756302517</v>
      </c>
      <c r="O8" s="11">
        <f>L8-I8</f>
        <v>0</v>
      </c>
      <c r="P8" s="12">
        <f>N8-K8</f>
        <v>-8.1781512605042366</v>
      </c>
      <c r="Q8" s="220">
        <f>N8/K8</f>
        <v>0.93048571428571403</v>
      </c>
      <c r="R8" s="533"/>
      <c r="S8" s="24"/>
      <c r="T8" s="24"/>
      <c r="U8" s="219"/>
      <c r="V8" s="228"/>
      <c r="W8" s="9"/>
      <c r="X8" s="9"/>
      <c r="Y8" s="528"/>
      <c r="Z8" s="528"/>
      <c r="AA8" s="11">
        <f t="shared" si="2"/>
        <v>-139.02857142857215</v>
      </c>
      <c r="AB8" s="220">
        <f>M8/J8</f>
        <v>0.93048571428571392</v>
      </c>
      <c r="AC8" s="533"/>
    </row>
    <row r="9" spans="1:29" ht="15.75" customHeight="1">
      <c r="A9" s="531" t="s">
        <v>841</v>
      </c>
      <c r="B9" s="26" t="s">
        <v>15</v>
      </c>
      <c r="C9" s="558" t="s">
        <v>16</v>
      </c>
      <c r="D9" s="559"/>
      <c r="E9" s="26">
        <v>39.619999999999997</v>
      </c>
      <c r="F9" s="229">
        <v>3696</v>
      </c>
      <c r="G9" s="219">
        <f t="shared" ref="G9:G11" si="11">E9*F9</f>
        <v>146435.51999999999</v>
      </c>
      <c r="H9" s="76" t="s">
        <v>52</v>
      </c>
      <c r="I9" s="227">
        <v>19</v>
      </c>
      <c r="J9" s="18">
        <v>1500</v>
      </c>
      <c r="K9" s="9">
        <f t="shared" ref="K9:K11" si="12">J9/I9</f>
        <v>78.94736842105263</v>
      </c>
      <c r="L9" s="227">
        <v>19</v>
      </c>
      <c r="M9" s="10">
        <f t="shared" ref="M9:M11" si="13">F9/V9*60</f>
        <v>1386</v>
      </c>
      <c r="N9" s="9">
        <f t="shared" ref="N9:N11" si="14">M9/L9</f>
        <v>72.94736842105263</v>
      </c>
      <c r="O9" s="11">
        <f t="shared" ref="O9:O11" si="15">L9-I9</f>
        <v>0</v>
      </c>
      <c r="P9" s="12">
        <f>N9-K9</f>
        <v>-6</v>
      </c>
      <c r="Q9" s="220">
        <f>N9/K9</f>
        <v>0.92400000000000004</v>
      </c>
      <c r="R9" s="533">
        <f>Q12</f>
        <v>0.92504587155963303</v>
      </c>
      <c r="S9" s="24">
        <v>0.125</v>
      </c>
      <c r="T9" s="24">
        <v>0.2361111111111111</v>
      </c>
      <c r="U9" s="219"/>
      <c r="V9" s="228">
        <f t="shared" ref="V9:V11" si="16">(T9-S9)*24*60</f>
        <v>160</v>
      </c>
      <c r="W9" s="14">
        <f>T9</f>
        <v>0.2361111111111111</v>
      </c>
      <c r="X9" s="14">
        <f>S10</f>
        <v>0.25416666666666665</v>
      </c>
      <c r="Y9" s="528"/>
      <c r="Z9" s="528"/>
      <c r="AA9" s="11">
        <f t="shared" si="2"/>
        <v>-114</v>
      </c>
      <c r="AB9" s="220">
        <f>M9/J9</f>
        <v>0.92400000000000004</v>
      </c>
      <c r="AC9" s="533">
        <f>AB12</f>
        <v>0.92504587155963314</v>
      </c>
    </row>
    <row r="10" spans="1:29" ht="15.75" customHeight="1">
      <c r="A10" s="531" t="s">
        <v>369</v>
      </c>
      <c r="B10" s="26" t="s">
        <v>15</v>
      </c>
      <c r="C10" s="558" t="s">
        <v>17</v>
      </c>
      <c r="D10" s="559"/>
      <c r="E10" s="26">
        <v>39.799999999999997</v>
      </c>
      <c r="F10" s="229">
        <v>5042</v>
      </c>
      <c r="G10" s="219">
        <f t="shared" si="11"/>
        <v>200671.59999999998</v>
      </c>
      <c r="H10" s="76" t="s">
        <v>52</v>
      </c>
      <c r="I10" s="227">
        <v>17</v>
      </c>
      <c r="J10" s="18">
        <v>1500</v>
      </c>
      <c r="K10" s="9">
        <f t="shared" si="12"/>
        <v>88.235294117647058</v>
      </c>
      <c r="L10" s="227">
        <v>17</v>
      </c>
      <c r="M10" s="10">
        <f t="shared" si="13"/>
        <v>1387.7064220183483</v>
      </c>
      <c r="N10" s="9">
        <f t="shared" si="14"/>
        <v>81.629789530491081</v>
      </c>
      <c r="O10" s="11">
        <f t="shared" si="15"/>
        <v>0</v>
      </c>
      <c r="P10" s="12">
        <f t="shared" ref="P10:P11" si="17">N10-K10</f>
        <v>-6.605504587155977</v>
      </c>
      <c r="Q10" s="220">
        <f t="shared" ref="Q10:Q11" si="18">N10/K10</f>
        <v>0.92513761467889888</v>
      </c>
      <c r="R10" s="533"/>
      <c r="S10" s="24">
        <v>0.25416666666666665</v>
      </c>
      <c r="T10" s="24">
        <v>0.40555555555555556</v>
      </c>
      <c r="U10" s="219">
        <f>(S10-T9)*24*60</f>
        <v>25.999999999999986</v>
      </c>
      <c r="V10" s="228">
        <f t="shared" si="16"/>
        <v>218.00000000000003</v>
      </c>
      <c r="W10" s="14"/>
      <c r="X10" s="14"/>
      <c r="Y10" s="528"/>
      <c r="Z10" s="528"/>
      <c r="AA10" s="11">
        <f t="shared" si="2"/>
        <v>-112.29357798165165</v>
      </c>
      <c r="AB10" s="220">
        <f t="shared" ref="AB10:AB25" si="19">M10/J10</f>
        <v>0.92513761467889888</v>
      </c>
      <c r="AC10" s="533"/>
    </row>
    <row r="11" spans="1:29" ht="15.75" customHeight="1">
      <c r="A11" s="531" t="s">
        <v>842</v>
      </c>
      <c r="B11" s="26" t="s">
        <v>15</v>
      </c>
      <c r="C11" s="558" t="s">
        <v>80</v>
      </c>
      <c r="D11" s="559"/>
      <c r="E11" s="26">
        <v>39.29</v>
      </c>
      <c r="F11" s="229">
        <v>3241</v>
      </c>
      <c r="G11" s="219">
        <f t="shared" si="11"/>
        <v>127338.89</v>
      </c>
      <c r="H11" s="76" t="s">
        <v>52</v>
      </c>
      <c r="I11" s="227">
        <v>19</v>
      </c>
      <c r="J11" s="18">
        <v>1500</v>
      </c>
      <c r="K11" s="9">
        <f t="shared" si="12"/>
        <v>78.94736842105263</v>
      </c>
      <c r="L11" s="227">
        <v>19</v>
      </c>
      <c r="M11" s="10">
        <f t="shared" si="13"/>
        <v>1389.0000000000005</v>
      </c>
      <c r="N11" s="9">
        <f t="shared" si="14"/>
        <v>73.105263157894754</v>
      </c>
      <c r="O11" s="11">
        <f t="shared" si="15"/>
        <v>0</v>
      </c>
      <c r="P11" s="12">
        <f t="shared" si="17"/>
        <v>-5.842105263157876</v>
      </c>
      <c r="Q11" s="220">
        <f t="shared" si="18"/>
        <v>0.92600000000000027</v>
      </c>
      <c r="R11" s="533"/>
      <c r="S11" s="24">
        <v>0.40972222222222221</v>
      </c>
      <c r="T11" s="24">
        <v>0.50694444444444442</v>
      </c>
      <c r="U11" s="219">
        <f t="shared" ref="U11" si="20">(S11-T10)*24*60</f>
        <v>5.9999999999999787</v>
      </c>
      <c r="V11" s="228">
        <f t="shared" si="16"/>
        <v>139.99999999999997</v>
      </c>
      <c r="W11" s="14"/>
      <c r="X11" s="14"/>
      <c r="Y11" s="528"/>
      <c r="Z11" s="528"/>
      <c r="AA11" s="11">
        <f t="shared" si="2"/>
        <v>-110.99999999999955</v>
      </c>
      <c r="AB11" s="220">
        <f t="shared" si="19"/>
        <v>0.92600000000000027</v>
      </c>
      <c r="AC11" s="533"/>
    </row>
    <row r="12" spans="1:29" ht="16.5" customHeight="1">
      <c r="A12" s="531" t="s">
        <v>842</v>
      </c>
      <c r="B12" s="26" t="s">
        <v>82</v>
      </c>
      <c r="C12" s="530"/>
      <c r="D12" s="530"/>
      <c r="E12" s="221"/>
      <c r="F12" s="18"/>
      <c r="G12" s="10"/>
      <c r="H12" s="229"/>
      <c r="I12" s="17">
        <v>18.333333333333332</v>
      </c>
      <c r="J12" s="18">
        <v>1500</v>
      </c>
      <c r="K12" s="9">
        <f>J12/I12</f>
        <v>81.818181818181827</v>
      </c>
      <c r="L12" s="17">
        <v>18.333333333333332</v>
      </c>
      <c r="M12" s="10">
        <f>AVERAGE(M9:M11)</f>
        <v>1387.5688073394497</v>
      </c>
      <c r="N12" s="9">
        <f>M12/L12</f>
        <v>75.685571309424532</v>
      </c>
      <c r="O12" s="11">
        <f>L12-I12</f>
        <v>0</v>
      </c>
      <c r="P12" s="12">
        <f>N12-K12</f>
        <v>-6.1326105087572955</v>
      </c>
      <c r="Q12" s="220">
        <f>N12/K12</f>
        <v>0.92504587155963303</v>
      </c>
      <c r="R12" s="533"/>
      <c r="S12" s="24"/>
      <c r="T12" s="24"/>
      <c r="U12" s="9"/>
      <c r="V12" s="228"/>
      <c r="W12" s="9"/>
      <c r="X12" s="9"/>
      <c r="Y12" s="528"/>
      <c r="Z12" s="528"/>
      <c r="AA12" s="11">
        <f t="shared" si="2"/>
        <v>-112.43119266055032</v>
      </c>
      <c r="AB12" s="220">
        <f t="shared" si="19"/>
        <v>0.92504587155963314</v>
      </c>
      <c r="AC12" s="533"/>
    </row>
    <row r="13" spans="1:29" ht="16.5" customHeight="1">
      <c r="A13" s="556" t="s">
        <v>373</v>
      </c>
      <c r="B13" s="229" t="s">
        <v>21</v>
      </c>
      <c r="C13" s="552" t="s">
        <v>19</v>
      </c>
      <c r="D13" s="552"/>
      <c r="E13" s="26">
        <v>41</v>
      </c>
      <c r="F13" s="229">
        <v>1761</v>
      </c>
      <c r="G13" s="219">
        <f t="shared" ref="G13:G16" si="21">E13*F13</f>
        <v>72201</v>
      </c>
      <c r="H13" s="76" t="s">
        <v>52</v>
      </c>
      <c r="I13" s="227">
        <v>26</v>
      </c>
      <c r="J13" s="18">
        <v>1500</v>
      </c>
      <c r="K13" s="9">
        <f>J13/I13</f>
        <v>57.692307692307693</v>
      </c>
      <c r="L13" s="227">
        <v>26</v>
      </c>
      <c r="M13" s="10">
        <f>F13/V13*60</f>
        <v>1390.2631578947373</v>
      </c>
      <c r="N13" s="9">
        <f t="shared" ref="N13:N24" si="22">M13/L13</f>
        <v>53.471659919028362</v>
      </c>
      <c r="O13" s="11">
        <f t="shared" ref="O13" si="23">L13-I13</f>
        <v>0</v>
      </c>
      <c r="P13" s="12">
        <f t="shared" ref="P13" si="24">N13-K13</f>
        <v>-4.2206477732793317</v>
      </c>
      <c r="Q13" s="220">
        <f>N13/K13</f>
        <v>0.92684210526315824</v>
      </c>
      <c r="R13" s="533">
        <f>Q17</f>
        <v>0.92802051584404788</v>
      </c>
      <c r="S13" s="24">
        <v>0.25</v>
      </c>
      <c r="T13" s="24">
        <v>0.30277777777777776</v>
      </c>
      <c r="U13" s="219"/>
      <c r="V13" s="228">
        <f>(T13-S13)*24*60</f>
        <v>75.999999999999972</v>
      </c>
      <c r="W13" s="15"/>
      <c r="X13" s="15"/>
      <c r="Y13" s="528"/>
      <c r="Z13" s="528"/>
      <c r="AA13" s="11">
        <f t="shared" si="2"/>
        <v>-109.73684210526267</v>
      </c>
      <c r="AB13" s="220">
        <f t="shared" si="19"/>
        <v>0.92684210526315824</v>
      </c>
      <c r="AC13" s="533">
        <f>AB17</f>
        <v>0.92802051584404788</v>
      </c>
    </row>
    <row r="14" spans="1:29" ht="16.5" customHeight="1">
      <c r="A14" s="557" t="s">
        <v>843</v>
      </c>
      <c r="B14" s="229" t="s">
        <v>15</v>
      </c>
      <c r="C14" s="552" t="s">
        <v>49</v>
      </c>
      <c r="D14" s="552"/>
      <c r="E14" s="26">
        <v>39.29</v>
      </c>
      <c r="F14" s="229">
        <v>2823</v>
      </c>
      <c r="G14" s="219">
        <f t="shared" si="21"/>
        <v>110915.67</v>
      </c>
      <c r="H14" s="76" t="s">
        <v>52</v>
      </c>
      <c r="I14" s="227">
        <v>16</v>
      </c>
      <c r="J14" s="18">
        <v>1500</v>
      </c>
      <c r="K14" s="9">
        <f>J14/I14</f>
        <v>93.75</v>
      </c>
      <c r="L14" s="227">
        <v>16</v>
      </c>
      <c r="M14" s="10">
        <f>F14/V14*60</f>
        <v>1388.3606557377052</v>
      </c>
      <c r="N14" s="9">
        <f t="shared" si="22"/>
        <v>86.772540983606575</v>
      </c>
      <c r="O14" s="11">
        <f>L14-I14</f>
        <v>0</v>
      </c>
      <c r="P14" s="12">
        <f>N14-K14</f>
        <v>-6.9774590163934249</v>
      </c>
      <c r="Q14" s="220">
        <f>N14/K14</f>
        <v>0.92557377049180345</v>
      </c>
      <c r="R14" s="533"/>
      <c r="S14" s="24">
        <v>0.30694444444444441</v>
      </c>
      <c r="T14" s="24">
        <v>0.39166666666666661</v>
      </c>
      <c r="U14" s="219">
        <f>IF(S14=TIME(17,0,0),"",(S14-T13)*24*60)</f>
        <v>5.9999999999999787</v>
      </c>
      <c r="V14" s="228">
        <f>(T14-S14)*24*60</f>
        <v>121.99999999999997</v>
      </c>
      <c r="W14" s="14"/>
      <c r="X14" s="14"/>
      <c r="Y14" s="528"/>
      <c r="Z14" s="528"/>
      <c r="AA14" s="11">
        <f t="shared" si="2"/>
        <v>-111.6393442622948</v>
      </c>
      <c r="AB14" s="220">
        <f t="shared" si="19"/>
        <v>0.92557377049180345</v>
      </c>
      <c r="AC14" s="533"/>
    </row>
    <row r="15" spans="1:29" ht="16.5" customHeight="1">
      <c r="A15" s="557" t="s">
        <v>844</v>
      </c>
      <c r="B15" s="229" t="s">
        <v>13</v>
      </c>
      <c r="C15" s="552" t="s">
        <v>57</v>
      </c>
      <c r="D15" s="552"/>
      <c r="E15" s="26">
        <v>50.98</v>
      </c>
      <c r="F15" s="229">
        <v>2381</v>
      </c>
      <c r="G15" s="219">
        <f t="shared" si="21"/>
        <v>121383.37999999999</v>
      </c>
      <c r="H15" s="76" t="s">
        <v>52</v>
      </c>
      <c r="I15" s="227">
        <v>17</v>
      </c>
      <c r="J15" s="18">
        <v>2000</v>
      </c>
      <c r="K15" s="9">
        <f t="shared" ref="K15:K16" si="25">J15/I15</f>
        <v>117.64705882352941</v>
      </c>
      <c r="L15" s="227">
        <v>17</v>
      </c>
      <c r="M15" s="10">
        <f t="shared" ref="M15:M16" si="26">F15/V15*60</f>
        <v>1855.3246753246742</v>
      </c>
      <c r="N15" s="9">
        <f t="shared" si="22"/>
        <v>109.13674560733378</v>
      </c>
      <c r="O15" s="11">
        <f t="shared" ref="O15:O16" si="27">L15-I15</f>
        <v>0</v>
      </c>
      <c r="P15" s="12">
        <f t="shared" ref="P15:P16" si="28">N15-K15</f>
        <v>-8.5103132161956268</v>
      </c>
      <c r="Q15" s="220">
        <f t="shared" ref="Q15:Q24" si="29">N15/K15</f>
        <v>0.92766233766233719</v>
      </c>
      <c r="R15" s="533"/>
      <c r="S15" s="24">
        <v>0.70833333333333337</v>
      </c>
      <c r="T15" s="24">
        <v>0.76180555555555562</v>
      </c>
      <c r="U15" s="219" t="str">
        <f t="shared" ref="U15:U16" si="30">IF(S15=TIME(17,0,0),"",(S15-T14)*24*60)</f>
        <v/>
      </c>
      <c r="V15" s="228">
        <f t="shared" ref="V15:V16" si="31">(T15-S15)*24*60</f>
        <v>77.000000000000043</v>
      </c>
      <c r="W15" s="14"/>
      <c r="X15" s="14"/>
      <c r="Y15" s="528"/>
      <c r="Z15" s="528"/>
      <c r="AA15" s="11">
        <f t="shared" si="2"/>
        <v>-144.67532467532578</v>
      </c>
      <c r="AB15" s="220">
        <f t="shared" si="19"/>
        <v>0.92766233766233708</v>
      </c>
      <c r="AC15" s="533"/>
    </row>
    <row r="16" spans="1:29" ht="16.5" customHeight="1">
      <c r="A16" s="557" t="s">
        <v>373</v>
      </c>
      <c r="B16" s="229" t="s">
        <v>13</v>
      </c>
      <c r="C16" s="552" t="s">
        <v>54</v>
      </c>
      <c r="D16" s="552"/>
      <c r="E16" s="26">
        <v>50.92</v>
      </c>
      <c r="F16" s="229">
        <v>2545</v>
      </c>
      <c r="G16" s="219">
        <f t="shared" si="21"/>
        <v>129591.40000000001</v>
      </c>
      <c r="H16" s="76" t="s">
        <v>52</v>
      </c>
      <c r="I16" s="227">
        <v>16</v>
      </c>
      <c r="J16" s="18">
        <v>2000</v>
      </c>
      <c r="K16" s="9">
        <f t="shared" si="25"/>
        <v>125</v>
      </c>
      <c r="L16" s="227">
        <v>16</v>
      </c>
      <c r="M16" s="10">
        <f t="shared" si="26"/>
        <v>1862.1951219512189</v>
      </c>
      <c r="N16" s="9">
        <f t="shared" si="22"/>
        <v>116.38719512195118</v>
      </c>
      <c r="O16" s="11">
        <f t="shared" si="27"/>
        <v>0</v>
      </c>
      <c r="P16" s="12">
        <f t="shared" si="28"/>
        <v>-8.61280487804882</v>
      </c>
      <c r="Q16" s="220">
        <f t="shared" si="29"/>
        <v>0.93109756097560947</v>
      </c>
      <c r="R16" s="533"/>
      <c r="S16" s="24">
        <v>0.76736111111111116</v>
      </c>
      <c r="T16" s="24">
        <v>0.82430555555555562</v>
      </c>
      <c r="U16" s="219">
        <f t="shared" si="30"/>
        <v>7.9999999999999716</v>
      </c>
      <c r="V16" s="228">
        <f t="shared" si="31"/>
        <v>82.000000000000028</v>
      </c>
      <c r="W16" s="14"/>
      <c r="X16" s="14"/>
      <c r="Y16" s="528"/>
      <c r="Z16" s="528"/>
      <c r="AA16" s="11">
        <f t="shared" si="2"/>
        <v>-137.80487804878112</v>
      </c>
      <c r="AB16" s="220">
        <f t="shared" si="19"/>
        <v>0.93109756097560947</v>
      </c>
      <c r="AC16" s="533"/>
    </row>
    <row r="17" spans="1:29" ht="16.5" customHeight="1">
      <c r="A17" s="557" t="s">
        <v>844</v>
      </c>
      <c r="B17" s="26" t="s">
        <v>82</v>
      </c>
      <c r="C17" s="530"/>
      <c r="D17" s="530"/>
      <c r="E17" s="221"/>
      <c r="F17" s="16"/>
      <c r="G17" s="9"/>
      <c r="H17" s="229"/>
      <c r="I17" s="17">
        <v>18.75</v>
      </c>
      <c r="J17" s="18">
        <v>1750</v>
      </c>
      <c r="K17" s="9">
        <f>J17/I17</f>
        <v>93.333333333333329</v>
      </c>
      <c r="L17" s="17">
        <v>18.75</v>
      </c>
      <c r="M17" s="10">
        <f>AVERAGE(M13:M16)</f>
        <v>1624.0359027270838</v>
      </c>
      <c r="N17" s="9">
        <f t="shared" si="22"/>
        <v>86.615248145444468</v>
      </c>
      <c r="O17" s="11">
        <f>L17-I17</f>
        <v>0</v>
      </c>
      <c r="P17" s="12">
        <f>N17-K17</f>
        <v>-6.7180851878888603</v>
      </c>
      <c r="Q17" s="220">
        <f t="shared" si="29"/>
        <v>0.92802051584404788</v>
      </c>
      <c r="R17" s="533"/>
      <c r="S17" s="24"/>
      <c r="T17" s="24"/>
      <c r="U17" s="219"/>
      <c r="V17" s="228"/>
      <c r="W17" s="9"/>
      <c r="X17" s="9"/>
      <c r="Y17" s="528"/>
      <c r="Z17" s="528"/>
      <c r="AA17" s="11">
        <f t="shared" si="2"/>
        <v>-125.96409727291621</v>
      </c>
      <c r="AB17" s="220">
        <f t="shared" si="19"/>
        <v>0.92802051584404788</v>
      </c>
      <c r="AC17" s="533"/>
    </row>
    <row r="18" spans="1:29" ht="15.75" customHeight="1">
      <c r="A18" s="554" t="s">
        <v>469</v>
      </c>
      <c r="B18" s="26" t="s">
        <v>21</v>
      </c>
      <c r="C18" s="552" t="s">
        <v>22</v>
      </c>
      <c r="D18" s="552"/>
      <c r="E18" s="26">
        <v>43.14</v>
      </c>
      <c r="F18" s="229">
        <v>1019</v>
      </c>
      <c r="G18" s="219">
        <f t="shared" ref="G18:G24" si="32">E18*F18</f>
        <v>43959.66</v>
      </c>
      <c r="H18" s="76" t="s">
        <v>52</v>
      </c>
      <c r="I18" s="227">
        <v>17</v>
      </c>
      <c r="J18" s="18">
        <v>2000</v>
      </c>
      <c r="K18" s="9">
        <f t="shared" ref="K18:K25" si="33">J18/I18</f>
        <v>117.64705882352941</v>
      </c>
      <c r="L18" s="227">
        <v>17</v>
      </c>
      <c r="M18" s="10">
        <f t="shared" ref="M18:M24" si="34">F18/V18*60</f>
        <v>1852.7272727272727</v>
      </c>
      <c r="N18" s="9">
        <f t="shared" si="22"/>
        <v>108.98395721925134</v>
      </c>
      <c r="O18" s="11">
        <f t="shared" ref="O18:O24" si="35">L18-I18</f>
        <v>0</v>
      </c>
      <c r="P18" s="12">
        <f t="shared" ref="P18:P24" si="36">N18-K18</f>
        <v>-8.6631016042780686</v>
      </c>
      <c r="Q18" s="220">
        <f t="shared" si="29"/>
        <v>0.92636363636363639</v>
      </c>
      <c r="R18" s="533">
        <f>Q25</f>
        <v>0.93649601267458549</v>
      </c>
      <c r="S18" s="24">
        <v>0.20833333333333334</v>
      </c>
      <c r="T18" s="24">
        <v>0.23125000000000001</v>
      </c>
      <c r="U18" s="219"/>
      <c r="V18" s="228">
        <f>(T18-S18)*24*60</f>
        <v>33</v>
      </c>
      <c r="W18" s="15"/>
      <c r="X18" s="15"/>
      <c r="Y18" s="528"/>
      <c r="Z18" s="528"/>
      <c r="AA18" s="11">
        <f t="shared" si="2"/>
        <v>-147.27272727272725</v>
      </c>
      <c r="AB18" s="220">
        <f t="shared" si="19"/>
        <v>0.92636363636363639</v>
      </c>
      <c r="AC18" s="533">
        <f>AB25</f>
        <v>0.93649601267458538</v>
      </c>
    </row>
    <row r="19" spans="1:29" ht="15.75" customHeight="1">
      <c r="A19" s="555" t="s">
        <v>845</v>
      </c>
      <c r="B19" s="26" t="s">
        <v>13</v>
      </c>
      <c r="C19" s="552" t="s">
        <v>23</v>
      </c>
      <c r="D19" s="552"/>
      <c r="E19" s="26">
        <v>57.73</v>
      </c>
      <c r="F19" s="229">
        <v>2157</v>
      </c>
      <c r="G19" s="219">
        <f t="shared" si="32"/>
        <v>124523.60999999999</v>
      </c>
      <c r="H19" s="76" t="s">
        <v>52</v>
      </c>
      <c r="I19" s="227">
        <v>16</v>
      </c>
      <c r="J19" s="18">
        <v>2000</v>
      </c>
      <c r="K19" s="9">
        <f t="shared" si="33"/>
        <v>125</v>
      </c>
      <c r="L19" s="227">
        <v>16</v>
      </c>
      <c r="M19" s="10">
        <f t="shared" si="34"/>
        <v>1848.8571428571422</v>
      </c>
      <c r="N19" s="9">
        <f t="shared" si="22"/>
        <v>115.55357142857139</v>
      </c>
      <c r="O19" s="11">
        <f t="shared" si="35"/>
        <v>0</v>
      </c>
      <c r="P19" s="12">
        <f t="shared" si="36"/>
        <v>-9.446428571428612</v>
      </c>
      <c r="Q19" s="220">
        <f t="shared" si="29"/>
        <v>0.92442857142857116</v>
      </c>
      <c r="R19" s="533"/>
      <c r="S19" s="24">
        <v>0.23541666666666669</v>
      </c>
      <c r="T19" s="24">
        <v>0.28402777777777782</v>
      </c>
      <c r="U19" s="219">
        <f>IF(S19=TIME(17,0,0),"",(S19-T18)*24*60)</f>
        <v>6.0000000000000187</v>
      </c>
      <c r="V19" s="228">
        <f t="shared" ref="V19:V24" si="37">(T19-S19)*24*60</f>
        <v>70.000000000000028</v>
      </c>
      <c r="W19" s="14"/>
      <c r="X19" s="219"/>
      <c r="Y19" s="528"/>
      <c r="Z19" s="528"/>
      <c r="AA19" s="11">
        <f t="shared" si="2"/>
        <v>-151.14285714285779</v>
      </c>
      <c r="AB19" s="220">
        <f t="shared" si="19"/>
        <v>0.92442857142857116</v>
      </c>
      <c r="AC19" s="533"/>
    </row>
    <row r="20" spans="1:29" ht="15.75" customHeight="1">
      <c r="A20" s="555" t="s">
        <v>469</v>
      </c>
      <c r="B20" s="26" t="s">
        <v>13</v>
      </c>
      <c r="C20" s="552" t="s">
        <v>14</v>
      </c>
      <c r="D20" s="552"/>
      <c r="E20" s="26">
        <v>53.68</v>
      </c>
      <c r="F20" s="229">
        <v>1494</v>
      </c>
      <c r="G20" s="219">
        <f t="shared" si="32"/>
        <v>80197.919999999998</v>
      </c>
      <c r="H20" s="76" t="s">
        <v>52</v>
      </c>
      <c r="I20" s="227">
        <v>17</v>
      </c>
      <c r="J20" s="18">
        <v>2000</v>
      </c>
      <c r="K20" s="9">
        <f t="shared" si="33"/>
        <v>117.64705882352941</v>
      </c>
      <c r="L20" s="227">
        <v>17</v>
      </c>
      <c r="M20" s="10">
        <f t="shared" si="34"/>
        <v>1867.5000000000007</v>
      </c>
      <c r="N20" s="9">
        <f t="shared" si="22"/>
        <v>109.85294117647062</v>
      </c>
      <c r="O20" s="11">
        <f t="shared" si="35"/>
        <v>0</v>
      </c>
      <c r="P20" s="12">
        <f t="shared" si="36"/>
        <v>-7.7941176470587834</v>
      </c>
      <c r="Q20" s="220">
        <f t="shared" si="29"/>
        <v>0.9337500000000003</v>
      </c>
      <c r="R20" s="533"/>
      <c r="S20" s="24">
        <v>0.28958333333333336</v>
      </c>
      <c r="T20" s="24">
        <v>0.32291666666666669</v>
      </c>
      <c r="U20" s="219">
        <f t="shared" ref="U20:U24" si="38">IF(S20=TIME(17,0,0),"",(S20-T19)*24*60)</f>
        <v>7.9999999999999716</v>
      </c>
      <c r="V20" s="228">
        <f t="shared" si="37"/>
        <v>47.999999999999986</v>
      </c>
      <c r="W20" s="14"/>
      <c r="X20" s="219"/>
      <c r="Y20" s="528"/>
      <c r="Z20" s="528"/>
      <c r="AA20" s="11">
        <f t="shared" si="2"/>
        <v>-132.49999999999932</v>
      </c>
      <c r="AB20" s="220">
        <f t="shared" si="19"/>
        <v>0.9337500000000003</v>
      </c>
      <c r="AC20" s="533"/>
    </row>
    <row r="21" spans="1:29" ht="15.75" customHeight="1">
      <c r="A21" s="555" t="s">
        <v>469</v>
      </c>
      <c r="B21" s="26" t="s">
        <v>13</v>
      </c>
      <c r="C21" s="552" t="s">
        <v>81</v>
      </c>
      <c r="D21" s="552"/>
      <c r="E21" s="26">
        <v>58.17</v>
      </c>
      <c r="F21" s="229">
        <v>2026</v>
      </c>
      <c r="G21" s="219">
        <f t="shared" si="32"/>
        <v>117852.42</v>
      </c>
      <c r="H21" s="76" t="s">
        <v>52</v>
      </c>
      <c r="I21" s="227">
        <v>18</v>
      </c>
      <c r="J21" s="18">
        <v>2000</v>
      </c>
      <c r="K21" s="9">
        <f t="shared" si="33"/>
        <v>111.11111111111111</v>
      </c>
      <c r="L21" s="227">
        <v>18</v>
      </c>
      <c r="M21" s="10">
        <f t="shared" si="34"/>
        <v>1841.8181818181818</v>
      </c>
      <c r="N21" s="9">
        <f t="shared" si="22"/>
        <v>102.32323232323232</v>
      </c>
      <c r="O21" s="11">
        <f t="shared" si="35"/>
        <v>0</v>
      </c>
      <c r="P21" s="12">
        <f t="shared" si="36"/>
        <v>-8.7878787878787961</v>
      </c>
      <c r="Q21" s="220">
        <f t="shared" si="29"/>
        <v>0.92090909090909079</v>
      </c>
      <c r="R21" s="533"/>
      <c r="S21" s="24">
        <v>0.3263888888888889</v>
      </c>
      <c r="T21" s="24">
        <v>0.37222222222222223</v>
      </c>
      <c r="U21" s="219">
        <f t="shared" si="38"/>
        <v>4.9999999999999822</v>
      </c>
      <c r="V21" s="228">
        <f t="shared" si="37"/>
        <v>66</v>
      </c>
      <c r="W21" s="14"/>
      <c r="X21" s="219"/>
      <c r="Y21" s="528"/>
      <c r="Z21" s="528"/>
      <c r="AA21" s="11">
        <f t="shared" si="2"/>
        <v>-158.18181818181824</v>
      </c>
      <c r="AB21" s="220">
        <f t="shared" si="19"/>
        <v>0.9209090909090909</v>
      </c>
      <c r="AC21" s="533"/>
    </row>
    <row r="22" spans="1:29" ht="15.75" customHeight="1">
      <c r="A22" s="555" t="s">
        <v>469</v>
      </c>
      <c r="B22" s="26" t="s">
        <v>13</v>
      </c>
      <c r="C22" s="552" t="s">
        <v>85</v>
      </c>
      <c r="D22" s="552"/>
      <c r="E22" s="26">
        <v>54.09</v>
      </c>
      <c r="F22" s="229">
        <v>3424</v>
      </c>
      <c r="G22" s="219">
        <f t="shared" si="32"/>
        <v>185204.16</v>
      </c>
      <c r="H22" s="76" t="s">
        <v>52</v>
      </c>
      <c r="I22" s="227">
        <v>20</v>
      </c>
      <c r="J22" s="18">
        <v>2000</v>
      </c>
      <c r="K22" s="9">
        <f t="shared" si="33"/>
        <v>100</v>
      </c>
      <c r="L22" s="227">
        <v>20</v>
      </c>
      <c r="M22" s="10">
        <f t="shared" si="34"/>
        <v>1850.810810810812</v>
      </c>
      <c r="N22" s="9">
        <f t="shared" si="22"/>
        <v>92.540540540540604</v>
      </c>
      <c r="O22" s="11">
        <f t="shared" si="35"/>
        <v>0</v>
      </c>
      <c r="P22" s="12">
        <f t="shared" si="36"/>
        <v>-7.4594594594593957</v>
      </c>
      <c r="Q22" s="220">
        <f t="shared" si="29"/>
        <v>0.92540540540540606</v>
      </c>
      <c r="R22" s="533"/>
      <c r="S22" s="24">
        <v>0.70833333333333337</v>
      </c>
      <c r="T22" s="24">
        <v>0.78541666666666665</v>
      </c>
      <c r="U22" s="219" t="str">
        <f t="shared" si="38"/>
        <v/>
      </c>
      <c r="V22" s="228">
        <f t="shared" si="37"/>
        <v>110.99999999999993</v>
      </c>
      <c r="W22" s="14"/>
      <c r="X22" s="219"/>
      <c r="Y22" s="528"/>
      <c r="Z22" s="528"/>
      <c r="AA22" s="11">
        <f t="shared" si="2"/>
        <v>-149.18918918918803</v>
      </c>
      <c r="AB22" s="220">
        <f t="shared" si="19"/>
        <v>0.92540540540540595</v>
      </c>
      <c r="AC22" s="533"/>
    </row>
    <row r="23" spans="1:29" ht="15.75" customHeight="1">
      <c r="A23" s="555" t="s">
        <v>845</v>
      </c>
      <c r="B23" s="26" t="s">
        <v>13</v>
      </c>
      <c r="C23" s="552" t="s">
        <v>56</v>
      </c>
      <c r="D23" s="552"/>
      <c r="E23" s="26">
        <v>53.27</v>
      </c>
      <c r="F23" s="229">
        <v>405</v>
      </c>
      <c r="G23" s="219">
        <f t="shared" si="32"/>
        <v>21574.350000000002</v>
      </c>
      <c r="H23" s="76" t="s">
        <v>52</v>
      </c>
      <c r="I23" s="227">
        <v>15</v>
      </c>
      <c r="J23" s="18">
        <v>2000</v>
      </c>
      <c r="K23" s="9">
        <f t="shared" si="33"/>
        <v>133.33333333333334</v>
      </c>
      <c r="L23" s="227">
        <v>15</v>
      </c>
      <c r="M23" s="10">
        <f t="shared" si="34"/>
        <v>1869.2307692307759</v>
      </c>
      <c r="N23" s="9">
        <f t="shared" si="22"/>
        <v>124.61538461538505</v>
      </c>
      <c r="O23" s="11">
        <f t="shared" si="35"/>
        <v>0</v>
      </c>
      <c r="P23" s="12">
        <f t="shared" si="36"/>
        <v>-8.7179487179482891</v>
      </c>
      <c r="Q23" s="220">
        <f t="shared" si="29"/>
        <v>0.93461538461538785</v>
      </c>
      <c r="R23" s="533"/>
      <c r="S23" s="24">
        <v>0.79027777777777775</v>
      </c>
      <c r="T23" s="24">
        <v>0.79930555555555549</v>
      </c>
      <c r="U23" s="219">
        <f t="shared" si="38"/>
        <v>6.9999999999999751</v>
      </c>
      <c r="V23" s="228">
        <f t="shared" si="37"/>
        <v>12.999999999999954</v>
      </c>
      <c r="W23" s="14"/>
      <c r="X23" s="15"/>
      <c r="Y23" s="528"/>
      <c r="Z23" s="528"/>
      <c r="AA23" s="11">
        <f t="shared" si="2"/>
        <v>-130.76923076922412</v>
      </c>
      <c r="AB23" s="220">
        <f t="shared" si="19"/>
        <v>0.93461538461538796</v>
      </c>
      <c r="AC23" s="533"/>
    </row>
    <row r="24" spans="1:29" ht="15.75" customHeight="1">
      <c r="A24" s="555" t="s">
        <v>469</v>
      </c>
      <c r="B24" s="26" t="s">
        <v>13</v>
      </c>
      <c r="C24" s="552" t="s">
        <v>83</v>
      </c>
      <c r="D24" s="552"/>
      <c r="E24" s="26">
        <v>49.91</v>
      </c>
      <c r="F24" s="229">
        <v>396</v>
      </c>
      <c r="G24" s="219">
        <f t="shared" si="32"/>
        <v>19764.359999999997</v>
      </c>
      <c r="H24" s="76" t="s">
        <v>52</v>
      </c>
      <c r="I24" s="227">
        <v>16</v>
      </c>
      <c r="J24" s="18">
        <v>2000</v>
      </c>
      <c r="K24" s="9">
        <f t="shared" si="33"/>
        <v>125</v>
      </c>
      <c r="L24" s="227">
        <v>16</v>
      </c>
      <c r="M24" s="10">
        <f t="shared" si="34"/>
        <v>1980.0000000000073</v>
      </c>
      <c r="N24" s="9">
        <f t="shared" si="22"/>
        <v>123.75000000000045</v>
      </c>
      <c r="O24" s="11">
        <f t="shared" si="35"/>
        <v>0</v>
      </c>
      <c r="P24" s="12">
        <f t="shared" si="36"/>
        <v>-1.2499999999995453</v>
      </c>
      <c r="Q24" s="220">
        <f t="shared" si="29"/>
        <v>0.99000000000000365</v>
      </c>
      <c r="R24" s="533"/>
      <c r="S24" s="24">
        <v>0.80347222222222214</v>
      </c>
      <c r="T24" s="24">
        <v>0.81180555555555545</v>
      </c>
      <c r="U24" s="219">
        <f t="shared" si="38"/>
        <v>5.9999999999999787</v>
      </c>
      <c r="V24" s="228">
        <f t="shared" si="37"/>
        <v>11.999999999999957</v>
      </c>
      <c r="W24" s="14"/>
      <c r="X24" s="15"/>
      <c r="Y24" s="536"/>
      <c r="Z24" s="537"/>
      <c r="AA24" s="11">
        <f t="shared" si="2"/>
        <v>-19.999999999992724</v>
      </c>
      <c r="AB24" s="220">
        <f t="shared" si="19"/>
        <v>0.99000000000000365</v>
      </c>
      <c r="AC24" s="533"/>
    </row>
    <row r="25" spans="1:29" ht="15.75" customHeight="1">
      <c r="A25" s="555" t="s">
        <v>469</v>
      </c>
      <c r="B25" s="26" t="s">
        <v>846</v>
      </c>
      <c r="C25" s="530"/>
      <c r="D25" s="530"/>
      <c r="E25" s="221"/>
      <c r="F25" s="229"/>
      <c r="G25" s="219"/>
      <c r="H25" s="229"/>
      <c r="I25" s="17">
        <v>17</v>
      </c>
      <c r="J25" s="18">
        <v>2000</v>
      </c>
      <c r="K25" s="9">
        <f t="shared" si="33"/>
        <v>117.64705882352941</v>
      </c>
      <c r="L25" s="17">
        <v>17</v>
      </c>
      <c r="M25" s="10">
        <f>AVERAGE(M18:M24)</f>
        <v>1872.9920253491707</v>
      </c>
      <c r="N25" s="9">
        <f>M25/L25</f>
        <v>110.17600149112769</v>
      </c>
      <c r="O25" s="11">
        <f>L25-I25</f>
        <v>0</v>
      </c>
      <c r="P25" s="12">
        <f>N25-K25</f>
        <v>-7.4710573324017133</v>
      </c>
      <c r="Q25" s="220">
        <f>N25/K25</f>
        <v>0.93649601267458549</v>
      </c>
      <c r="R25" s="533"/>
      <c r="S25" s="24"/>
      <c r="T25" s="24"/>
      <c r="U25" s="9"/>
      <c r="V25" s="228"/>
      <c r="W25" s="9"/>
      <c r="X25" s="9"/>
      <c r="Y25" s="528"/>
      <c r="Z25" s="528"/>
      <c r="AA25" s="11">
        <f t="shared" si="2"/>
        <v>-127.00797465082928</v>
      </c>
      <c r="AB25" s="220">
        <f t="shared" si="19"/>
        <v>0.93649601267458538</v>
      </c>
      <c r="AC25" s="533"/>
    </row>
    <row r="26" spans="1:29" ht="15.75" customHeight="1">
      <c r="A26" s="553" t="s">
        <v>377</v>
      </c>
      <c r="B26" s="26" t="s">
        <v>24</v>
      </c>
      <c r="C26" s="552" t="s">
        <v>26</v>
      </c>
      <c r="D26" s="552"/>
      <c r="E26" s="26">
        <v>26.2</v>
      </c>
      <c r="F26" s="229">
        <v>2748</v>
      </c>
      <c r="G26" s="219">
        <f t="shared" ref="G26:G30" si="39">E26*F26</f>
        <v>71997.599999999991</v>
      </c>
      <c r="H26" s="76" t="s">
        <v>52</v>
      </c>
      <c r="I26" s="227">
        <v>20</v>
      </c>
      <c r="J26" s="18">
        <v>2400</v>
      </c>
      <c r="K26" s="9">
        <f>J26/I26</f>
        <v>120</v>
      </c>
      <c r="L26" s="227">
        <v>20</v>
      </c>
      <c r="M26" s="10">
        <f t="shared" ref="M26:M30" si="40">F26/V26*60</f>
        <v>2228.1081081081079</v>
      </c>
      <c r="N26" s="9">
        <f t="shared" ref="N26:N30" si="41">M26/L26</f>
        <v>111.40540540540539</v>
      </c>
      <c r="O26" s="11">
        <f t="shared" ref="O26:O30" si="42">L26-I26</f>
        <v>0</v>
      </c>
      <c r="P26" s="12">
        <f t="shared" ref="P26:P30" si="43">N26-K26</f>
        <v>-8.5945945945946107</v>
      </c>
      <c r="Q26" s="220">
        <f t="shared" ref="Q26:Q30" si="44">N26/K26</f>
        <v>0.92837837837837822</v>
      </c>
      <c r="R26" s="533">
        <f>Q31</f>
        <v>0.9267973330868724</v>
      </c>
      <c r="S26" s="24">
        <v>0.125</v>
      </c>
      <c r="T26" s="24">
        <v>0.1763888888888889</v>
      </c>
      <c r="U26" s="219"/>
      <c r="V26" s="228">
        <f t="shared" ref="V26:V30" si="45">(T26-S26)*24*60</f>
        <v>74.000000000000014</v>
      </c>
      <c r="W26" s="14">
        <f>T26</f>
        <v>0.1763888888888889</v>
      </c>
      <c r="X26" s="14">
        <f>S27</f>
        <v>0.19444444444444445</v>
      </c>
      <c r="Y26" s="528"/>
      <c r="Z26" s="528"/>
      <c r="AA26" s="11">
        <f t="shared" si="2"/>
        <v>-171.8918918918921</v>
      </c>
      <c r="AB26" s="220">
        <f>M26/J26</f>
        <v>0.92837837837837833</v>
      </c>
      <c r="AC26" s="533">
        <f>AB31</f>
        <v>0.9267973330868724</v>
      </c>
    </row>
    <row r="27" spans="1:29" ht="15.75" customHeight="1">
      <c r="A27" s="553" t="s">
        <v>377</v>
      </c>
      <c r="B27" s="26" t="s">
        <v>24</v>
      </c>
      <c r="C27" s="552" t="s">
        <v>79</v>
      </c>
      <c r="D27" s="552"/>
      <c r="E27" s="26">
        <v>31.29</v>
      </c>
      <c r="F27" s="229">
        <v>5680</v>
      </c>
      <c r="G27" s="219">
        <f t="shared" si="39"/>
        <v>177727.19999999998</v>
      </c>
      <c r="H27" s="76" t="s">
        <v>52</v>
      </c>
      <c r="I27" s="227">
        <v>16</v>
      </c>
      <c r="J27" s="18">
        <v>2400</v>
      </c>
      <c r="K27" s="9">
        <f t="shared" ref="K27:K31" si="46">J27/I27</f>
        <v>150</v>
      </c>
      <c r="L27" s="227">
        <v>16</v>
      </c>
      <c r="M27" s="10">
        <f t="shared" si="40"/>
        <v>2212.9870129870128</v>
      </c>
      <c r="N27" s="9">
        <f t="shared" si="41"/>
        <v>138.3116883116883</v>
      </c>
      <c r="O27" s="11">
        <f t="shared" si="42"/>
        <v>0</v>
      </c>
      <c r="P27" s="12">
        <f t="shared" si="43"/>
        <v>-11.6883116883117</v>
      </c>
      <c r="Q27" s="220">
        <f t="shared" si="44"/>
        <v>0.92207792207792205</v>
      </c>
      <c r="R27" s="533"/>
      <c r="S27" s="24">
        <v>0.19444444444444445</v>
      </c>
      <c r="T27" s="24">
        <v>0.30138888888888893</v>
      </c>
      <c r="U27" s="219">
        <f>(S27-T26)*24*60</f>
        <v>25.999999999999986</v>
      </c>
      <c r="V27" s="228">
        <f t="shared" si="45"/>
        <v>154.00000000000003</v>
      </c>
      <c r="W27" s="14"/>
      <c r="X27" s="14"/>
      <c r="Y27" s="528"/>
      <c r="Z27" s="528"/>
      <c r="AA27" s="11">
        <f t="shared" si="2"/>
        <v>-187.0129870129872</v>
      </c>
      <c r="AB27" s="220">
        <f t="shared" ref="AB27:AB30" si="47">M27/J27</f>
        <v>0.92207792207792205</v>
      </c>
      <c r="AC27" s="533"/>
    </row>
    <row r="28" spans="1:29" ht="15.75" customHeight="1">
      <c r="A28" s="553" t="s">
        <v>847</v>
      </c>
      <c r="B28" s="26" t="s">
        <v>24</v>
      </c>
      <c r="C28" s="552" t="s">
        <v>68</v>
      </c>
      <c r="D28" s="552"/>
      <c r="E28" s="26">
        <v>24.25</v>
      </c>
      <c r="F28" s="229">
        <v>3393</v>
      </c>
      <c r="G28" s="219">
        <f t="shared" si="39"/>
        <v>82280.25</v>
      </c>
      <c r="H28" s="76" t="s">
        <v>52</v>
      </c>
      <c r="I28" s="227">
        <v>18</v>
      </c>
      <c r="J28" s="18">
        <v>2400</v>
      </c>
      <c r="K28" s="9">
        <f t="shared" si="46"/>
        <v>133.33333333333334</v>
      </c>
      <c r="L28" s="227">
        <v>18</v>
      </c>
      <c r="M28" s="10">
        <f t="shared" si="40"/>
        <v>2212.8260869565215</v>
      </c>
      <c r="N28" s="9">
        <f t="shared" si="41"/>
        <v>122.93478260869564</v>
      </c>
      <c r="O28" s="11">
        <f t="shared" si="42"/>
        <v>0</v>
      </c>
      <c r="P28" s="12">
        <f t="shared" si="43"/>
        <v>-10.398550724637701</v>
      </c>
      <c r="Q28" s="220">
        <f t="shared" si="44"/>
        <v>0.92201086956521727</v>
      </c>
      <c r="R28" s="533"/>
      <c r="S28" s="24">
        <v>0.30555555555555558</v>
      </c>
      <c r="T28" s="24">
        <v>0.36944444444444446</v>
      </c>
      <c r="U28" s="219">
        <f t="shared" ref="U28:U30" si="48">(S28-T27)*24*60</f>
        <v>5.9999999999999787</v>
      </c>
      <c r="V28" s="228">
        <f t="shared" si="45"/>
        <v>92</v>
      </c>
      <c r="W28" s="14"/>
      <c r="X28" s="14"/>
      <c r="Y28" s="528"/>
      <c r="Z28" s="528"/>
      <c r="AA28" s="11">
        <f t="shared" si="2"/>
        <v>-187.17391304347848</v>
      </c>
      <c r="AB28" s="220">
        <f t="shared" si="47"/>
        <v>0.92201086956521727</v>
      </c>
      <c r="AC28" s="533"/>
    </row>
    <row r="29" spans="1:29" ht="15.75" customHeight="1">
      <c r="A29" s="553" t="s">
        <v>377</v>
      </c>
      <c r="B29" s="26" t="s">
        <v>24</v>
      </c>
      <c r="C29" s="552" t="s">
        <v>328</v>
      </c>
      <c r="D29" s="552"/>
      <c r="E29" s="26">
        <v>25.98</v>
      </c>
      <c r="F29" s="229">
        <v>4026</v>
      </c>
      <c r="G29" s="219">
        <f t="shared" si="39"/>
        <v>104595.48</v>
      </c>
      <c r="H29" s="76" t="s">
        <v>52</v>
      </c>
      <c r="I29" s="227">
        <v>17</v>
      </c>
      <c r="J29" s="18">
        <v>2400</v>
      </c>
      <c r="K29" s="9">
        <f t="shared" si="46"/>
        <v>141.1764705882353</v>
      </c>
      <c r="L29" s="227">
        <v>17</v>
      </c>
      <c r="M29" s="10">
        <f t="shared" si="40"/>
        <v>2216.1467889908254</v>
      </c>
      <c r="N29" s="9">
        <f t="shared" si="41"/>
        <v>130.36157582298972</v>
      </c>
      <c r="O29" s="11">
        <f t="shared" si="42"/>
        <v>0</v>
      </c>
      <c r="P29" s="12">
        <f t="shared" si="43"/>
        <v>-10.814894765245583</v>
      </c>
      <c r="Q29" s="220">
        <f t="shared" si="44"/>
        <v>0.9233944954128438</v>
      </c>
      <c r="R29" s="533"/>
      <c r="S29" s="24">
        <v>0.37430555555555556</v>
      </c>
      <c r="T29" s="24">
        <v>0.45</v>
      </c>
      <c r="U29" s="219">
        <f t="shared" si="48"/>
        <v>6.9999999999999751</v>
      </c>
      <c r="V29" s="228">
        <f t="shared" si="45"/>
        <v>109.00000000000001</v>
      </c>
      <c r="W29" s="14"/>
      <c r="X29" s="14"/>
      <c r="Y29" s="528"/>
      <c r="Z29" s="528"/>
      <c r="AA29" s="11">
        <f t="shared" si="2"/>
        <v>-183.85321100917463</v>
      </c>
      <c r="AB29" s="220">
        <f t="shared" si="47"/>
        <v>0.92339449541284391</v>
      </c>
      <c r="AC29" s="533"/>
    </row>
    <row r="30" spans="1:29" ht="15.75" customHeight="1">
      <c r="A30" s="553" t="s">
        <v>847</v>
      </c>
      <c r="B30" s="26" t="s">
        <v>24</v>
      </c>
      <c r="C30" s="552" t="s">
        <v>62</v>
      </c>
      <c r="D30" s="552"/>
      <c r="E30" s="26">
        <v>22.35</v>
      </c>
      <c r="F30" s="229">
        <v>1501</v>
      </c>
      <c r="G30" s="219">
        <f t="shared" si="39"/>
        <v>33547.35</v>
      </c>
      <c r="H30" s="76" t="s">
        <v>52</v>
      </c>
      <c r="I30" s="227">
        <v>16</v>
      </c>
      <c r="J30" s="18">
        <v>2400</v>
      </c>
      <c r="K30" s="9">
        <f t="shared" si="46"/>
        <v>150</v>
      </c>
      <c r="L30" s="227">
        <v>16</v>
      </c>
      <c r="M30" s="10">
        <f t="shared" si="40"/>
        <v>2251.4999999999991</v>
      </c>
      <c r="N30" s="9">
        <f t="shared" si="41"/>
        <v>140.71874999999994</v>
      </c>
      <c r="O30" s="11">
        <f t="shared" si="42"/>
        <v>0</v>
      </c>
      <c r="P30" s="12">
        <f t="shared" si="43"/>
        <v>-9.2812500000000568</v>
      </c>
      <c r="Q30" s="220">
        <f t="shared" si="44"/>
        <v>0.93812499999999965</v>
      </c>
      <c r="R30" s="533"/>
      <c r="S30" s="24">
        <v>0.45347222222222222</v>
      </c>
      <c r="T30" s="24">
        <v>0.48125000000000001</v>
      </c>
      <c r="U30" s="219">
        <f t="shared" si="48"/>
        <v>4.9999999999999822</v>
      </c>
      <c r="V30" s="228">
        <f t="shared" si="45"/>
        <v>40.000000000000014</v>
      </c>
      <c r="W30" s="14"/>
      <c r="X30" s="14"/>
      <c r="Y30" s="528"/>
      <c r="Z30" s="528"/>
      <c r="AA30" s="11">
        <f t="shared" si="2"/>
        <v>-148.50000000000091</v>
      </c>
      <c r="AB30" s="220">
        <f t="shared" si="47"/>
        <v>0.93812499999999965</v>
      </c>
      <c r="AC30" s="533"/>
    </row>
    <row r="31" spans="1:29" ht="15.75" customHeight="1">
      <c r="A31" s="553" t="s">
        <v>848</v>
      </c>
      <c r="B31" s="26" t="s">
        <v>82</v>
      </c>
      <c r="C31" s="530"/>
      <c r="D31" s="530"/>
      <c r="E31" s="221"/>
      <c r="F31" s="229"/>
      <c r="G31" s="219"/>
      <c r="H31" s="229"/>
      <c r="I31" s="17">
        <v>17.399999999999999</v>
      </c>
      <c r="J31" s="18">
        <v>2400</v>
      </c>
      <c r="K31" s="9">
        <f t="shared" si="46"/>
        <v>137.93103448275863</v>
      </c>
      <c r="L31" s="17">
        <v>17.399999999999999</v>
      </c>
      <c r="M31" s="10">
        <f>AVERAGE(M26:M30)</f>
        <v>2224.3135994084937</v>
      </c>
      <c r="N31" s="9">
        <f>M31/L31</f>
        <v>127.83411490853413</v>
      </c>
      <c r="O31" s="11">
        <f>L31-I31</f>
        <v>0</v>
      </c>
      <c r="P31" s="12">
        <f>N31-K31</f>
        <v>-10.096919574224501</v>
      </c>
      <c r="Q31" s="220">
        <f>N31/K31</f>
        <v>0.9267973330868724</v>
      </c>
      <c r="R31" s="533"/>
      <c r="S31" s="24"/>
      <c r="T31" s="24"/>
      <c r="U31" s="219"/>
      <c r="V31" s="228"/>
      <c r="W31" s="219"/>
      <c r="X31" s="219"/>
      <c r="Y31" s="528"/>
      <c r="Z31" s="528"/>
      <c r="AA31" s="11">
        <f t="shared" si="2"/>
        <v>-175.6864005915063</v>
      </c>
      <c r="AB31" s="220">
        <f>M31/J31</f>
        <v>0.9267973330868724</v>
      </c>
      <c r="AC31" s="533"/>
    </row>
    <row r="32" spans="1:29" ht="15.75" customHeight="1">
      <c r="A32" s="550" t="s">
        <v>481</v>
      </c>
      <c r="B32" s="26" t="s">
        <v>24</v>
      </c>
      <c r="C32" s="529" t="s">
        <v>28</v>
      </c>
      <c r="D32" s="529"/>
      <c r="E32" s="26">
        <v>26.2</v>
      </c>
      <c r="F32" s="229">
        <v>4179</v>
      </c>
      <c r="G32" s="219">
        <f t="shared" ref="G32:G37" si="49">E32*F32</f>
        <v>109489.8</v>
      </c>
      <c r="H32" s="76" t="s">
        <v>52</v>
      </c>
      <c r="I32" s="227">
        <v>18</v>
      </c>
      <c r="J32" s="18">
        <v>2400</v>
      </c>
      <c r="K32" s="9">
        <f>J32/I32</f>
        <v>133.33333333333334</v>
      </c>
      <c r="L32" s="227">
        <v>18</v>
      </c>
      <c r="M32" s="10">
        <f>F32/V32*60</f>
        <v>2218.9380530973453</v>
      </c>
      <c r="N32" s="9">
        <f>M32/L32</f>
        <v>123.27433628318585</v>
      </c>
      <c r="O32" s="11">
        <f t="shared" ref="O32:O37" si="50">L32-I32</f>
        <v>0</v>
      </c>
      <c r="P32" s="12">
        <f t="shared" ref="P32:P45" si="51">N32-K32</f>
        <v>-10.058997050147497</v>
      </c>
      <c r="Q32" s="220">
        <f t="shared" ref="Q32:Q42" si="52">N32/K32</f>
        <v>0.92455752212389375</v>
      </c>
      <c r="R32" s="533">
        <f>Q38</f>
        <v>0.92679233929925386</v>
      </c>
      <c r="S32" s="24">
        <v>0.125</v>
      </c>
      <c r="T32" s="24">
        <v>0.20347222222222222</v>
      </c>
      <c r="U32" s="219"/>
      <c r="V32" s="228">
        <f t="shared" ref="V32:V37" si="53">(T32-S32)*24*60</f>
        <v>113</v>
      </c>
      <c r="W32" s="15">
        <f>T32</f>
        <v>0.20347222222222222</v>
      </c>
      <c r="X32" s="15">
        <f>S33</f>
        <v>0.2208333333333333</v>
      </c>
      <c r="Y32" s="528"/>
      <c r="Z32" s="528"/>
      <c r="AA32" s="11">
        <f t="shared" si="2"/>
        <v>-181.06194690265465</v>
      </c>
      <c r="AB32" s="220">
        <f>M32/J32</f>
        <v>0.92455752212389386</v>
      </c>
      <c r="AC32" s="533">
        <f>AB38</f>
        <v>0.92679233929925375</v>
      </c>
    </row>
    <row r="33" spans="1:29" ht="15.75" customHeight="1">
      <c r="A33" s="550" t="s">
        <v>481</v>
      </c>
      <c r="B33" s="26" t="s">
        <v>24</v>
      </c>
      <c r="C33" s="529" t="s">
        <v>30</v>
      </c>
      <c r="D33" s="529"/>
      <c r="E33" s="26">
        <v>24.45</v>
      </c>
      <c r="F33" s="229">
        <v>1624</v>
      </c>
      <c r="G33" s="219">
        <f t="shared" si="49"/>
        <v>39706.799999999996</v>
      </c>
      <c r="H33" s="76" t="s">
        <v>52</v>
      </c>
      <c r="I33" s="227">
        <v>20</v>
      </c>
      <c r="J33" s="18">
        <v>2400</v>
      </c>
      <c r="K33" s="9">
        <f t="shared" ref="K33:K44" si="54">J33/I33</f>
        <v>120</v>
      </c>
      <c r="L33" s="227">
        <v>20</v>
      </c>
      <c r="M33" s="10">
        <f t="shared" ref="M33:M37" si="55">F33/V33*60</f>
        <v>2214.5454545454563</v>
      </c>
      <c r="N33" s="9">
        <f t="shared" ref="N33:N37" si="56">M33/L33</f>
        <v>110.72727272727282</v>
      </c>
      <c r="O33" s="11">
        <f t="shared" si="50"/>
        <v>0</v>
      </c>
      <c r="P33" s="12">
        <f t="shared" si="51"/>
        <v>-9.272727272727181</v>
      </c>
      <c r="Q33" s="220">
        <f t="shared" si="52"/>
        <v>0.92272727272727351</v>
      </c>
      <c r="R33" s="533"/>
      <c r="S33" s="24">
        <v>0.2208333333333333</v>
      </c>
      <c r="T33" s="24">
        <v>0.25138888888888883</v>
      </c>
      <c r="U33" s="219">
        <f>(S33-T32)*24*60</f>
        <v>24.99999999999995</v>
      </c>
      <c r="V33" s="228">
        <f t="shared" si="53"/>
        <v>43.999999999999964</v>
      </c>
      <c r="W33" s="219"/>
      <c r="X33" s="219"/>
      <c r="Y33" s="528"/>
      <c r="Z33" s="528"/>
      <c r="AA33" s="11">
        <f t="shared" si="2"/>
        <v>-185.45454545454368</v>
      </c>
      <c r="AB33" s="220">
        <f t="shared" ref="AB33:AB58" si="57">M33/J33</f>
        <v>0.92272727272727351</v>
      </c>
      <c r="AC33" s="533"/>
    </row>
    <row r="34" spans="1:29">
      <c r="A34" s="551" t="s">
        <v>481</v>
      </c>
      <c r="B34" s="26" t="s">
        <v>24</v>
      </c>
      <c r="C34" s="529" t="s">
        <v>31</v>
      </c>
      <c r="D34" s="529"/>
      <c r="E34" s="26">
        <v>26.2</v>
      </c>
      <c r="F34" s="229">
        <v>2051</v>
      </c>
      <c r="G34" s="219">
        <f t="shared" si="49"/>
        <v>53736.2</v>
      </c>
      <c r="H34" s="76" t="s">
        <v>52</v>
      </c>
      <c r="I34" s="227">
        <v>20</v>
      </c>
      <c r="J34" s="18">
        <v>2400</v>
      </c>
      <c r="K34" s="9">
        <f t="shared" si="54"/>
        <v>120</v>
      </c>
      <c r="L34" s="227">
        <v>20</v>
      </c>
      <c r="M34" s="10">
        <f t="shared" si="55"/>
        <v>2237.4545454545469</v>
      </c>
      <c r="N34" s="9">
        <f t="shared" si="56"/>
        <v>111.87272727272735</v>
      </c>
      <c r="O34" s="11">
        <f t="shared" si="50"/>
        <v>0</v>
      </c>
      <c r="P34" s="12">
        <f t="shared" si="51"/>
        <v>-8.1272727272726542</v>
      </c>
      <c r="Q34" s="220">
        <f t="shared" si="52"/>
        <v>0.93227272727272792</v>
      </c>
      <c r="R34" s="533"/>
      <c r="S34" s="24">
        <v>0.25624999999999992</v>
      </c>
      <c r="T34" s="24">
        <v>0.29444444444444434</v>
      </c>
      <c r="U34" s="219">
        <f t="shared" ref="U34:U37" si="58">(S34-T33)*24*60</f>
        <v>6.9999999999999751</v>
      </c>
      <c r="V34" s="228">
        <f t="shared" si="53"/>
        <v>54.999999999999964</v>
      </c>
      <c r="W34" s="219"/>
      <c r="X34" s="219"/>
      <c r="Y34" s="528"/>
      <c r="Z34" s="528"/>
      <c r="AA34" s="11">
        <f t="shared" si="2"/>
        <v>-162.54545454545314</v>
      </c>
      <c r="AB34" s="220">
        <f t="shared" si="57"/>
        <v>0.93227272727272781</v>
      </c>
      <c r="AC34" s="533"/>
    </row>
    <row r="35" spans="1:29">
      <c r="A35" s="551" t="s">
        <v>481</v>
      </c>
      <c r="B35" s="26" t="s">
        <v>24</v>
      </c>
      <c r="C35" s="529" t="s">
        <v>29</v>
      </c>
      <c r="D35" s="529"/>
      <c r="E35" s="26">
        <v>26.39</v>
      </c>
      <c r="F35" s="229">
        <v>3816</v>
      </c>
      <c r="G35" s="219">
        <f t="shared" si="49"/>
        <v>100704.24</v>
      </c>
      <c r="H35" s="76" t="s">
        <v>52</v>
      </c>
      <c r="I35" s="227">
        <v>19</v>
      </c>
      <c r="J35" s="18">
        <v>2400</v>
      </c>
      <c r="K35" s="9">
        <f t="shared" si="54"/>
        <v>126.31578947368421</v>
      </c>
      <c r="L35" s="227">
        <v>19</v>
      </c>
      <c r="M35" s="10">
        <f t="shared" si="55"/>
        <v>2222.9126213592226</v>
      </c>
      <c r="N35" s="9">
        <f t="shared" si="56"/>
        <v>116.99540112416962</v>
      </c>
      <c r="O35" s="11">
        <f t="shared" si="50"/>
        <v>0</v>
      </c>
      <c r="P35" s="12">
        <f t="shared" si="51"/>
        <v>-9.3203883495145874</v>
      </c>
      <c r="Q35" s="220">
        <f t="shared" si="52"/>
        <v>0.92621359223300948</v>
      </c>
      <c r="R35" s="533"/>
      <c r="S35" s="24">
        <v>0.29930555555555544</v>
      </c>
      <c r="T35" s="24">
        <v>0.37083333333333324</v>
      </c>
      <c r="U35" s="219">
        <f t="shared" si="58"/>
        <v>6.9999999999999751</v>
      </c>
      <c r="V35" s="228">
        <f t="shared" si="53"/>
        <v>103.00000000000003</v>
      </c>
      <c r="W35" s="14"/>
      <c r="X35" s="14"/>
      <c r="Y35" s="528"/>
      <c r="Z35" s="528"/>
      <c r="AA35" s="11">
        <f t="shared" si="2"/>
        <v>-177.08737864077739</v>
      </c>
      <c r="AB35" s="220">
        <f t="shared" si="57"/>
        <v>0.92621359223300948</v>
      </c>
      <c r="AC35" s="533"/>
    </row>
    <row r="36" spans="1:29">
      <c r="A36" s="551" t="s">
        <v>849</v>
      </c>
      <c r="B36" s="26" t="s">
        <v>24</v>
      </c>
      <c r="C36" s="529" t="s">
        <v>27</v>
      </c>
      <c r="D36" s="529"/>
      <c r="E36" s="26">
        <v>20.52</v>
      </c>
      <c r="F36" s="229">
        <v>2330</v>
      </c>
      <c r="G36" s="219">
        <f t="shared" si="49"/>
        <v>47811.6</v>
      </c>
      <c r="H36" s="76" t="s">
        <v>52</v>
      </c>
      <c r="I36" s="227">
        <v>18</v>
      </c>
      <c r="J36" s="18">
        <v>2400</v>
      </c>
      <c r="K36" s="9">
        <f t="shared" si="54"/>
        <v>133.33333333333334</v>
      </c>
      <c r="L36" s="227">
        <v>18</v>
      </c>
      <c r="M36" s="10">
        <f t="shared" si="55"/>
        <v>2219.0476190476184</v>
      </c>
      <c r="N36" s="9">
        <f t="shared" si="56"/>
        <v>123.28042328042324</v>
      </c>
      <c r="O36" s="11">
        <f t="shared" si="50"/>
        <v>0</v>
      </c>
      <c r="P36" s="12">
        <f t="shared" si="51"/>
        <v>-10.052910052910107</v>
      </c>
      <c r="Q36" s="220">
        <f t="shared" si="52"/>
        <v>0.9246031746031742</v>
      </c>
      <c r="R36" s="533"/>
      <c r="S36" s="24">
        <v>0.37499999999999989</v>
      </c>
      <c r="T36" s="24">
        <v>0.4187499999999999</v>
      </c>
      <c r="U36" s="219">
        <f t="shared" si="58"/>
        <v>5.9999999999999787</v>
      </c>
      <c r="V36" s="228">
        <f t="shared" si="53"/>
        <v>63.000000000000014</v>
      </c>
      <c r="W36" s="14"/>
      <c r="X36" s="14"/>
      <c r="Y36" s="528"/>
      <c r="Z36" s="528"/>
      <c r="AA36" s="11">
        <f t="shared" si="2"/>
        <v>-180.95238095238165</v>
      </c>
      <c r="AB36" s="220">
        <f t="shared" si="57"/>
        <v>0.92460317460317432</v>
      </c>
      <c r="AC36" s="533"/>
    </row>
    <row r="37" spans="1:29">
      <c r="A37" s="551" t="s">
        <v>481</v>
      </c>
      <c r="B37" s="26" t="s">
        <v>24</v>
      </c>
      <c r="C37" s="529" t="s">
        <v>50</v>
      </c>
      <c r="D37" s="529"/>
      <c r="E37" s="26">
        <v>26.2</v>
      </c>
      <c r="F37" s="229">
        <v>2940</v>
      </c>
      <c r="G37" s="219">
        <f t="shared" si="49"/>
        <v>77028</v>
      </c>
      <c r="H37" s="76" t="s">
        <v>52</v>
      </c>
      <c r="I37" s="227">
        <v>19</v>
      </c>
      <c r="J37" s="18">
        <v>2400</v>
      </c>
      <c r="K37" s="9">
        <f t="shared" si="54"/>
        <v>126.31578947368421</v>
      </c>
      <c r="L37" s="227">
        <v>19</v>
      </c>
      <c r="M37" s="10">
        <f t="shared" si="55"/>
        <v>2232.9113924050644</v>
      </c>
      <c r="N37" s="9">
        <f t="shared" si="56"/>
        <v>117.52165223184549</v>
      </c>
      <c r="O37" s="11">
        <f t="shared" si="50"/>
        <v>0</v>
      </c>
      <c r="P37" s="12">
        <f t="shared" si="51"/>
        <v>-8.7941372418387118</v>
      </c>
      <c r="Q37" s="220">
        <f t="shared" si="52"/>
        <v>0.93037974683544356</v>
      </c>
      <c r="R37" s="533"/>
      <c r="S37" s="24">
        <v>0.42430555555555544</v>
      </c>
      <c r="T37" s="24">
        <v>0.47916666666666652</v>
      </c>
      <c r="U37" s="219">
        <f t="shared" si="58"/>
        <v>7.9999999999999716</v>
      </c>
      <c r="V37" s="228">
        <f t="shared" si="53"/>
        <v>78.999999999999957</v>
      </c>
      <c r="W37" s="14"/>
      <c r="X37" s="14"/>
      <c r="Y37" s="528"/>
      <c r="Z37" s="528"/>
      <c r="AA37" s="11">
        <f t="shared" si="2"/>
        <v>-167.08860759493564</v>
      </c>
      <c r="AB37" s="220">
        <f t="shared" si="57"/>
        <v>0.93037974683544344</v>
      </c>
      <c r="AC37" s="533"/>
    </row>
    <row r="38" spans="1:29">
      <c r="A38" s="551" t="s">
        <v>481</v>
      </c>
      <c r="B38" s="16" t="s">
        <v>82</v>
      </c>
      <c r="C38" s="530"/>
      <c r="D38" s="530"/>
      <c r="E38" s="221"/>
      <c r="F38" s="16"/>
      <c r="G38" s="9"/>
      <c r="H38" s="229"/>
      <c r="I38" s="17">
        <v>19</v>
      </c>
      <c r="J38" s="18">
        <v>2400</v>
      </c>
      <c r="K38" s="9">
        <f t="shared" si="54"/>
        <v>126.31578947368421</v>
      </c>
      <c r="L38" s="17">
        <v>19</v>
      </c>
      <c r="M38" s="10">
        <f>AVERAGE(M32:M37)</f>
        <v>2224.301614318209</v>
      </c>
      <c r="N38" s="9">
        <f>M38/L38</f>
        <v>117.06850601674785</v>
      </c>
      <c r="O38" s="11">
        <f>L38-I38</f>
        <v>0</v>
      </c>
      <c r="P38" s="12">
        <f t="shared" si="51"/>
        <v>-9.2472834569363584</v>
      </c>
      <c r="Q38" s="220">
        <f t="shared" si="52"/>
        <v>0.92679233929925386</v>
      </c>
      <c r="R38" s="533"/>
      <c r="S38" s="24"/>
      <c r="T38" s="24"/>
      <c r="U38" s="9"/>
      <c r="V38" s="228"/>
      <c r="W38" s="9"/>
      <c r="X38" s="9"/>
      <c r="Y38" s="528"/>
      <c r="Z38" s="528"/>
      <c r="AA38" s="11">
        <f t="shared" si="2"/>
        <v>-175.69838568179102</v>
      </c>
      <c r="AB38" s="220">
        <f t="shared" si="57"/>
        <v>0.92679233929925375</v>
      </c>
      <c r="AC38" s="533"/>
    </row>
    <row r="39" spans="1:29" ht="15.75" customHeight="1">
      <c r="A39" s="544" t="s">
        <v>850</v>
      </c>
      <c r="B39" s="26" t="s">
        <v>32</v>
      </c>
      <c r="C39" s="534" t="s">
        <v>33</v>
      </c>
      <c r="D39" s="535"/>
      <c r="E39" s="26">
        <v>27.17</v>
      </c>
      <c r="F39" s="229">
        <v>4856</v>
      </c>
      <c r="G39" s="219">
        <f t="shared" ref="G39:G44" si="59">E39*F39</f>
        <v>131937.52000000002</v>
      </c>
      <c r="H39" s="76" t="s">
        <v>52</v>
      </c>
      <c r="I39" s="227">
        <v>10</v>
      </c>
      <c r="J39" s="18">
        <v>3000</v>
      </c>
      <c r="K39" s="9">
        <f t="shared" si="54"/>
        <v>300</v>
      </c>
      <c r="L39" s="227">
        <v>10</v>
      </c>
      <c r="M39" s="10">
        <f t="shared" ref="M39:M40" si="60">F39/V39*60</f>
        <v>2774.8571428571431</v>
      </c>
      <c r="N39" s="10">
        <f t="shared" ref="N39:N45" si="61">M39/L39</f>
        <v>277.48571428571432</v>
      </c>
      <c r="O39" s="11">
        <f t="shared" ref="O39:O45" si="62">L39-I39</f>
        <v>0</v>
      </c>
      <c r="P39" s="12">
        <f t="shared" si="51"/>
        <v>-22.514285714285677</v>
      </c>
      <c r="Q39" s="220">
        <f t="shared" si="52"/>
        <v>0.92495238095238108</v>
      </c>
      <c r="R39" s="547">
        <f>Q45</f>
        <v>0.93399884616714679</v>
      </c>
      <c r="S39" s="24">
        <v>0.20833333333333334</v>
      </c>
      <c r="T39" s="24">
        <v>0.28125</v>
      </c>
      <c r="U39" s="15"/>
      <c r="V39" s="228">
        <f t="shared" ref="V39:V44" si="63">(T39-S39)*24*60</f>
        <v>104.99999999999999</v>
      </c>
      <c r="W39" s="219"/>
      <c r="X39" s="219"/>
      <c r="Y39" s="536"/>
      <c r="Z39" s="537"/>
      <c r="AA39" s="11">
        <f t="shared" si="2"/>
        <v>-225.14285714285688</v>
      </c>
      <c r="AB39" s="220">
        <f t="shared" si="57"/>
        <v>0.92495238095238108</v>
      </c>
      <c r="AC39" s="547">
        <f>AB45</f>
        <v>0.93399884616714679</v>
      </c>
    </row>
    <row r="40" spans="1:29" ht="15.75" customHeight="1">
      <c r="A40" s="545" t="s">
        <v>850</v>
      </c>
      <c r="B40" s="26" t="s">
        <v>32</v>
      </c>
      <c r="C40" s="534" t="s">
        <v>34</v>
      </c>
      <c r="D40" s="535"/>
      <c r="E40" s="26">
        <v>21.13</v>
      </c>
      <c r="F40" s="229">
        <v>3951</v>
      </c>
      <c r="G40" s="219">
        <f t="shared" si="59"/>
        <v>83484.62999999999</v>
      </c>
      <c r="H40" s="76" t="s">
        <v>52</v>
      </c>
      <c r="I40" s="227">
        <v>10</v>
      </c>
      <c r="J40" s="18">
        <v>3000</v>
      </c>
      <c r="K40" s="9">
        <f t="shared" si="54"/>
        <v>300</v>
      </c>
      <c r="L40" s="227">
        <v>10</v>
      </c>
      <c r="M40" s="10">
        <f t="shared" si="60"/>
        <v>2788.9411764705878</v>
      </c>
      <c r="N40" s="10">
        <f t="shared" si="61"/>
        <v>278.89411764705881</v>
      </c>
      <c r="O40" s="11">
        <f t="shared" si="62"/>
        <v>0</v>
      </c>
      <c r="P40" s="12">
        <f t="shared" si="51"/>
        <v>-21.105882352941194</v>
      </c>
      <c r="Q40" s="220">
        <f t="shared" si="52"/>
        <v>0.92964705882352938</v>
      </c>
      <c r="R40" s="548"/>
      <c r="S40" s="24">
        <v>0.28472222222222221</v>
      </c>
      <c r="T40" s="24">
        <v>0.34375</v>
      </c>
      <c r="U40" s="219">
        <f>(S40-T39)*24*60</f>
        <v>4.9999999999999822</v>
      </c>
      <c r="V40" s="228">
        <f t="shared" si="63"/>
        <v>85.000000000000014</v>
      </c>
      <c r="W40" s="14"/>
      <c r="X40" s="14"/>
      <c r="Y40" s="536"/>
      <c r="Z40" s="537"/>
      <c r="AA40" s="11">
        <f t="shared" si="2"/>
        <v>-211.05882352941217</v>
      </c>
      <c r="AB40" s="220">
        <f t="shared" si="57"/>
        <v>0.92964705882352927</v>
      </c>
      <c r="AC40" s="548"/>
    </row>
    <row r="41" spans="1:29" ht="15.75" customHeight="1">
      <c r="A41" s="545" t="s">
        <v>850</v>
      </c>
      <c r="B41" s="26" t="s">
        <v>32</v>
      </c>
      <c r="C41" s="534" t="s">
        <v>40</v>
      </c>
      <c r="D41" s="535"/>
      <c r="E41" s="26">
        <v>35.119999999999997</v>
      </c>
      <c r="F41" s="229">
        <v>3748</v>
      </c>
      <c r="G41" s="219">
        <f t="shared" si="59"/>
        <v>131629.75999999998</v>
      </c>
      <c r="H41" s="76" t="s">
        <v>52</v>
      </c>
      <c r="I41" s="227">
        <v>10</v>
      </c>
      <c r="J41" s="18">
        <v>3000</v>
      </c>
      <c r="K41" s="9">
        <f t="shared" si="54"/>
        <v>300</v>
      </c>
      <c r="L41" s="227">
        <v>10</v>
      </c>
      <c r="M41" s="10">
        <f>F41/V41*60</f>
        <v>2776.2962962962952</v>
      </c>
      <c r="N41" s="10">
        <f t="shared" si="61"/>
        <v>277.62962962962951</v>
      </c>
      <c r="O41" s="11">
        <f t="shared" si="62"/>
        <v>0</v>
      </c>
      <c r="P41" s="12">
        <f t="shared" si="51"/>
        <v>-22.370370370370495</v>
      </c>
      <c r="Q41" s="220">
        <f t="shared" si="52"/>
        <v>0.92543209876543164</v>
      </c>
      <c r="R41" s="548"/>
      <c r="S41" s="24">
        <v>0.34791666666666665</v>
      </c>
      <c r="T41" s="24">
        <v>0.40416666666666667</v>
      </c>
      <c r="U41" s="219">
        <f t="shared" ref="U41:U44" si="64">(S41-T40)*24*60</f>
        <v>5.9999999999999787</v>
      </c>
      <c r="V41" s="228">
        <f t="shared" si="63"/>
        <v>81.000000000000028</v>
      </c>
      <c r="W41" s="14"/>
      <c r="X41" s="14"/>
      <c r="Y41" s="536"/>
      <c r="Z41" s="537"/>
      <c r="AA41" s="11">
        <f t="shared" si="2"/>
        <v>-223.70370370370483</v>
      </c>
      <c r="AB41" s="220">
        <f t="shared" si="57"/>
        <v>0.92543209876543175</v>
      </c>
      <c r="AC41" s="548"/>
    </row>
    <row r="42" spans="1:29" ht="15.75" customHeight="1">
      <c r="A42" s="545" t="s">
        <v>381</v>
      </c>
      <c r="B42" s="26" t="s">
        <v>32</v>
      </c>
      <c r="C42" s="534" t="s">
        <v>61</v>
      </c>
      <c r="D42" s="535"/>
      <c r="E42" s="26">
        <v>40.18</v>
      </c>
      <c r="F42" s="229">
        <v>1883</v>
      </c>
      <c r="G42" s="219">
        <f t="shared" si="59"/>
        <v>75658.94</v>
      </c>
      <c r="H42" s="76" t="s">
        <v>52</v>
      </c>
      <c r="I42" s="227">
        <v>10</v>
      </c>
      <c r="J42" s="18">
        <v>3000</v>
      </c>
      <c r="K42" s="9">
        <f t="shared" si="54"/>
        <v>300</v>
      </c>
      <c r="L42" s="227">
        <v>10</v>
      </c>
      <c r="M42" s="10">
        <f t="shared" ref="M42:M44" si="65">F42/V42*60</f>
        <v>2824.4999999999991</v>
      </c>
      <c r="N42" s="10">
        <f t="shared" si="61"/>
        <v>282.44999999999993</v>
      </c>
      <c r="O42" s="11">
        <f t="shared" si="62"/>
        <v>0</v>
      </c>
      <c r="P42" s="12">
        <f t="shared" si="51"/>
        <v>-17.550000000000068</v>
      </c>
      <c r="Q42" s="220">
        <f t="shared" si="52"/>
        <v>0.94149999999999978</v>
      </c>
      <c r="R42" s="548"/>
      <c r="S42" s="24">
        <v>0.40763888888888888</v>
      </c>
      <c r="T42" s="24">
        <v>0.43541666666666667</v>
      </c>
      <c r="U42" s="219">
        <f t="shared" si="64"/>
        <v>4.9999999999999822</v>
      </c>
      <c r="V42" s="228">
        <f t="shared" si="63"/>
        <v>40.000000000000014</v>
      </c>
      <c r="W42" s="14"/>
      <c r="X42" s="14"/>
      <c r="Y42" s="536"/>
      <c r="Z42" s="537"/>
      <c r="AA42" s="11">
        <f t="shared" si="2"/>
        <v>-175.50000000000091</v>
      </c>
      <c r="AB42" s="220">
        <f t="shared" si="57"/>
        <v>0.94149999999999967</v>
      </c>
      <c r="AC42" s="548"/>
    </row>
    <row r="43" spans="1:29" ht="15.75" customHeight="1">
      <c r="A43" s="545" t="s">
        <v>381</v>
      </c>
      <c r="B43" s="26" t="s">
        <v>32</v>
      </c>
      <c r="C43" s="534" t="s">
        <v>64</v>
      </c>
      <c r="D43" s="535"/>
      <c r="E43" s="26">
        <v>28.5</v>
      </c>
      <c r="F43" s="229">
        <v>1236</v>
      </c>
      <c r="G43" s="219">
        <f t="shared" si="59"/>
        <v>35226</v>
      </c>
      <c r="H43" s="76" t="s">
        <v>52</v>
      </c>
      <c r="I43" s="227">
        <v>10</v>
      </c>
      <c r="J43" s="18">
        <v>3000</v>
      </c>
      <c r="K43" s="9">
        <f t="shared" si="54"/>
        <v>300</v>
      </c>
      <c r="L43" s="227">
        <v>10</v>
      </c>
      <c r="M43" s="10">
        <f t="shared" si="65"/>
        <v>2852.3076923076937</v>
      </c>
      <c r="N43" s="10">
        <f t="shared" si="61"/>
        <v>285.2307692307694</v>
      </c>
      <c r="O43" s="11">
        <f t="shared" si="62"/>
        <v>0</v>
      </c>
      <c r="P43" s="12">
        <f t="shared" si="51"/>
        <v>-14.769230769230603</v>
      </c>
      <c r="Q43" s="220">
        <f>N43/K43</f>
        <v>0.95076923076923137</v>
      </c>
      <c r="R43" s="548"/>
      <c r="S43" s="24">
        <v>0.44027777777777777</v>
      </c>
      <c r="T43" s="24">
        <v>0.45833333333333331</v>
      </c>
      <c r="U43" s="219">
        <f t="shared" si="64"/>
        <v>6.9999999999999751</v>
      </c>
      <c r="V43" s="228">
        <f t="shared" si="63"/>
        <v>25.999999999999986</v>
      </c>
      <c r="W43" s="14"/>
      <c r="X43" s="14"/>
      <c r="Y43" s="536"/>
      <c r="Z43" s="537"/>
      <c r="AA43" s="11">
        <f t="shared" si="2"/>
        <v>-147.69230769230626</v>
      </c>
      <c r="AB43" s="220">
        <f t="shared" si="57"/>
        <v>0.95076923076923125</v>
      </c>
      <c r="AC43" s="548"/>
    </row>
    <row r="44" spans="1:29" ht="15.75" customHeight="1">
      <c r="A44" s="545" t="s">
        <v>381</v>
      </c>
      <c r="B44" s="26" t="s">
        <v>32</v>
      </c>
      <c r="C44" s="534" t="s">
        <v>78</v>
      </c>
      <c r="D44" s="535"/>
      <c r="E44" s="26">
        <v>35.869999999999997</v>
      </c>
      <c r="F44" s="229">
        <v>3028</v>
      </c>
      <c r="G44" s="219">
        <f t="shared" si="59"/>
        <v>108614.35999999999</v>
      </c>
      <c r="H44" s="76" t="s">
        <v>52</v>
      </c>
      <c r="I44" s="227">
        <v>10</v>
      </c>
      <c r="J44" s="18">
        <v>3000</v>
      </c>
      <c r="K44" s="9">
        <f t="shared" si="54"/>
        <v>300</v>
      </c>
      <c r="L44" s="227">
        <v>10</v>
      </c>
      <c r="M44" s="10">
        <f t="shared" si="65"/>
        <v>2795.0769230769224</v>
      </c>
      <c r="N44" s="10">
        <f t="shared" si="61"/>
        <v>279.50769230769225</v>
      </c>
      <c r="O44" s="11">
        <f t="shared" si="62"/>
        <v>0</v>
      </c>
      <c r="P44" s="12">
        <f t="shared" si="51"/>
        <v>-20.492307692307747</v>
      </c>
      <c r="Q44" s="220">
        <f t="shared" ref="Q44:Q45" si="66">N44/K44</f>
        <v>0.93169230769230749</v>
      </c>
      <c r="R44" s="548"/>
      <c r="S44" s="24">
        <v>0.46249999999999997</v>
      </c>
      <c r="T44" s="24">
        <v>0.50763888888888886</v>
      </c>
      <c r="U44" s="219">
        <f t="shared" si="64"/>
        <v>5.9999999999999787</v>
      </c>
      <c r="V44" s="228">
        <f t="shared" si="63"/>
        <v>65.000000000000014</v>
      </c>
      <c r="W44" s="14"/>
      <c r="X44" s="14"/>
      <c r="Y44" s="536"/>
      <c r="Z44" s="537"/>
      <c r="AA44" s="11">
        <f t="shared" si="2"/>
        <v>-204.92307692307759</v>
      </c>
      <c r="AB44" s="220">
        <f t="shared" si="57"/>
        <v>0.93169230769230749</v>
      </c>
      <c r="AC44" s="548"/>
    </row>
    <row r="45" spans="1:29" ht="15.75" customHeight="1">
      <c r="A45" s="546" t="s">
        <v>381</v>
      </c>
      <c r="B45" s="26" t="s">
        <v>82</v>
      </c>
      <c r="C45" s="540"/>
      <c r="D45" s="541"/>
      <c r="E45" s="226"/>
      <c r="F45" s="229"/>
      <c r="G45" s="219"/>
      <c r="H45" s="229"/>
      <c r="I45" s="17">
        <v>10</v>
      </c>
      <c r="J45" s="18">
        <v>3000</v>
      </c>
      <c r="K45" s="9">
        <f>J45/I45</f>
        <v>300</v>
      </c>
      <c r="L45" s="17">
        <v>10</v>
      </c>
      <c r="M45" s="10">
        <f>AVERAGE(M39:M44)</f>
        <v>2801.9965385014402</v>
      </c>
      <c r="N45" s="9">
        <f t="shared" si="61"/>
        <v>280.19965385014405</v>
      </c>
      <c r="O45" s="11">
        <f t="shared" si="62"/>
        <v>0</v>
      </c>
      <c r="P45" s="12">
        <f t="shared" si="51"/>
        <v>-19.800346149855955</v>
      </c>
      <c r="Q45" s="220">
        <f t="shared" si="66"/>
        <v>0.93399884616714679</v>
      </c>
      <c r="R45" s="549"/>
      <c r="S45" s="24"/>
      <c r="T45" s="24"/>
      <c r="U45" s="219"/>
      <c r="V45" s="228"/>
      <c r="W45" s="14"/>
      <c r="X45" s="14"/>
      <c r="Y45" s="536"/>
      <c r="Z45" s="537"/>
      <c r="AA45" s="11">
        <f t="shared" si="2"/>
        <v>-198.00346149855977</v>
      </c>
      <c r="AB45" s="220">
        <f t="shared" si="57"/>
        <v>0.93399884616714679</v>
      </c>
      <c r="AC45" s="549"/>
    </row>
    <row r="46" spans="1:29" ht="15.75" customHeight="1">
      <c r="A46" s="542" t="s">
        <v>383</v>
      </c>
      <c r="B46" s="26" t="s">
        <v>15</v>
      </c>
      <c r="C46" s="529" t="s">
        <v>20</v>
      </c>
      <c r="D46" s="529"/>
      <c r="E46" s="26">
        <v>46</v>
      </c>
      <c r="F46" s="27">
        <v>2500</v>
      </c>
      <c r="G46" s="219">
        <f t="shared" ref="G46:G50" si="67">E46*F46</f>
        <v>115000</v>
      </c>
      <c r="H46" s="76" t="s">
        <v>52</v>
      </c>
      <c r="I46" s="227">
        <v>17</v>
      </c>
      <c r="J46" s="18">
        <v>2000</v>
      </c>
      <c r="K46" s="9">
        <f t="shared" ref="K46:K50" si="68">J46/I46</f>
        <v>117.64705882352941</v>
      </c>
      <c r="L46" s="227">
        <v>17</v>
      </c>
      <c r="M46" s="10">
        <f t="shared" ref="M46:M50" si="69">F46/V46*60</f>
        <v>1851.8518518518511</v>
      </c>
      <c r="N46" s="10">
        <f>M46/L46</f>
        <v>108.9324618736383</v>
      </c>
      <c r="O46" s="11">
        <f>L46-I46</f>
        <v>0</v>
      </c>
      <c r="P46" s="12">
        <f>N46-K46</f>
        <v>-8.7145969498911029</v>
      </c>
      <c r="Q46" s="220">
        <f>N46/K46</f>
        <v>0.9259259259259256</v>
      </c>
      <c r="R46" s="533">
        <f>Q51</f>
        <v>0.92938775404379992</v>
      </c>
      <c r="S46" s="24">
        <v>0.29166666666666669</v>
      </c>
      <c r="T46" s="24">
        <v>0.34791666666666671</v>
      </c>
      <c r="U46" s="15"/>
      <c r="V46" s="228">
        <f t="shared" ref="V46:V50" si="70">(T46-S46)*24*60</f>
        <v>81.000000000000028</v>
      </c>
      <c r="W46" s="15"/>
      <c r="X46" s="15"/>
      <c r="Y46" s="528"/>
      <c r="Z46" s="528"/>
      <c r="AA46" s="11">
        <f t="shared" si="2"/>
        <v>-148.14814814814895</v>
      </c>
      <c r="AB46" s="220">
        <f t="shared" si="57"/>
        <v>0.92592592592592549</v>
      </c>
      <c r="AC46" s="533">
        <f>AB51</f>
        <v>0.92938775404379992</v>
      </c>
    </row>
    <row r="47" spans="1:29" ht="15.75" customHeight="1">
      <c r="A47" s="542" t="s">
        <v>383</v>
      </c>
      <c r="B47" s="26" t="s">
        <v>15</v>
      </c>
      <c r="C47" s="529" t="s">
        <v>65</v>
      </c>
      <c r="D47" s="529"/>
      <c r="E47" s="26">
        <v>46</v>
      </c>
      <c r="F47" s="27">
        <v>2858</v>
      </c>
      <c r="G47" s="219">
        <f t="shared" si="67"/>
        <v>131468</v>
      </c>
      <c r="H47" s="76" t="s">
        <v>52</v>
      </c>
      <c r="I47" s="227">
        <v>18</v>
      </c>
      <c r="J47" s="18">
        <v>2000</v>
      </c>
      <c r="K47" s="9">
        <f t="shared" si="68"/>
        <v>111.11111111111111</v>
      </c>
      <c r="L47" s="227">
        <v>18</v>
      </c>
      <c r="M47" s="10">
        <f t="shared" si="69"/>
        <v>1863.9130434782608</v>
      </c>
      <c r="N47" s="10">
        <f t="shared" ref="N47:N50" si="71">M47/L47</f>
        <v>103.55072463768116</v>
      </c>
      <c r="O47" s="11">
        <f t="shared" ref="O47:O50" si="72">L47-I47</f>
        <v>0</v>
      </c>
      <c r="P47" s="12">
        <f t="shared" ref="P47:P50" si="73">N47-K47</f>
        <v>-7.5603864734299577</v>
      </c>
      <c r="Q47" s="220">
        <f t="shared" ref="Q47:Q50" si="74">N47/K47</f>
        <v>0.93195652173913035</v>
      </c>
      <c r="R47" s="533"/>
      <c r="S47" s="24">
        <v>0.35347222222222224</v>
      </c>
      <c r="T47" s="24">
        <v>0.41736111111111113</v>
      </c>
      <c r="U47" s="219">
        <f>IF(S47=TIME(17,0,0),"",(S47-T46)*24*60)</f>
        <v>7.9999999999999716</v>
      </c>
      <c r="V47" s="228">
        <f t="shared" si="70"/>
        <v>92</v>
      </c>
      <c r="W47" s="14"/>
      <c r="X47" s="14"/>
      <c r="Y47" s="528"/>
      <c r="Z47" s="528"/>
      <c r="AA47" s="11">
        <f t="shared" si="2"/>
        <v>-136.08695652173924</v>
      </c>
      <c r="AB47" s="220">
        <f t="shared" si="57"/>
        <v>0.93195652173913035</v>
      </c>
      <c r="AC47" s="533"/>
    </row>
    <row r="48" spans="1:29" ht="15.75" customHeight="1">
      <c r="A48" s="542" t="s">
        <v>383</v>
      </c>
      <c r="B48" s="26" t="s">
        <v>13</v>
      </c>
      <c r="C48" s="534" t="s">
        <v>59</v>
      </c>
      <c r="D48" s="535"/>
      <c r="E48" s="26">
        <v>55.56</v>
      </c>
      <c r="F48" s="27">
        <v>1814</v>
      </c>
      <c r="G48" s="219">
        <f t="shared" si="67"/>
        <v>100785.84000000001</v>
      </c>
      <c r="H48" s="76" t="s">
        <v>52</v>
      </c>
      <c r="I48" s="227">
        <v>17</v>
      </c>
      <c r="J48" s="18">
        <v>2000</v>
      </c>
      <c r="K48" s="9">
        <f t="shared" si="68"/>
        <v>117.64705882352941</v>
      </c>
      <c r="L48" s="227">
        <v>17</v>
      </c>
      <c r="M48" s="10">
        <f t="shared" si="69"/>
        <v>1844.7457627118661</v>
      </c>
      <c r="N48" s="10">
        <f t="shared" si="71"/>
        <v>108.51445663010976</v>
      </c>
      <c r="O48" s="11">
        <f t="shared" si="72"/>
        <v>0</v>
      </c>
      <c r="P48" s="12">
        <f t="shared" si="73"/>
        <v>-9.1326021934196433</v>
      </c>
      <c r="Q48" s="220">
        <f t="shared" si="74"/>
        <v>0.92237288135593298</v>
      </c>
      <c r="R48" s="533"/>
      <c r="S48" s="24">
        <v>0.70833333333333337</v>
      </c>
      <c r="T48" s="24">
        <v>0.74930555555555556</v>
      </c>
      <c r="U48" s="219" t="str">
        <f t="shared" ref="U48:U50" si="75">IF(S48=TIME(17,0,0),"",(S48-T47)*24*60)</f>
        <v/>
      </c>
      <c r="V48" s="228">
        <f t="shared" si="70"/>
        <v>58.99999999999995</v>
      </c>
      <c r="W48" s="14"/>
      <c r="X48" s="14"/>
      <c r="Y48" s="224"/>
      <c r="Z48" s="225"/>
      <c r="AA48" s="11">
        <f t="shared" si="2"/>
        <v>-155.25423728813394</v>
      </c>
      <c r="AB48" s="220">
        <f t="shared" si="57"/>
        <v>0.92237288135593298</v>
      </c>
      <c r="AC48" s="533"/>
    </row>
    <row r="49" spans="1:29" ht="15.75" customHeight="1">
      <c r="A49" s="542" t="s">
        <v>383</v>
      </c>
      <c r="B49" s="26" t="s">
        <v>13</v>
      </c>
      <c r="C49" s="222" t="s">
        <v>58</v>
      </c>
      <c r="D49" s="223"/>
      <c r="E49" s="26">
        <v>55.32</v>
      </c>
      <c r="F49" s="27">
        <v>1276</v>
      </c>
      <c r="G49" s="219">
        <f t="shared" si="67"/>
        <v>70588.320000000007</v>
      </c>
      <c r="H49" s="76" t="s">
        <v>52</v>
      </c>
      <c r="I49" s="227">
        <v>15</v>
      </c>
      <c r="J49" s="18">
        <v>2000</v>
      </c>
      <c r="K49" s="9">
        <f t="shared" si="68"/>
        <v>133.33333333333334</v>
      </c>
      <c r="L49" s="227">
        <v>15</v>
      </c>
      <c r="M49" s="10">
        <f t="shared" si="69"/>
        <v>1867.317073170731</v>
      </c>
      <c r="N49" s="10">
        <f t="shared" si="71"/>
        <v>124.48780487804873</v>
      </c>
      <c r="O49" s="11">
        <f t="shared" si="72"/>
        <v>0</v>
      </c>
      <c r="P49" s="12">
        <f t="shared" si="73"/>
        <v>-8.8455284552846081</v>
      </c>
      <c r="Q49" s="220">
        <f t="shared" si="74"/>
        <v>0.93365853658536546</v>
      </c>
      <c r="R49" s="533"/>
      <c r="S49" s="24">
        <v>0.75486111111111109</v>
      </c>
      <c r="T49" s="24">
        <v>0.78333333333333333</v>
      </c>
      <c r="U49" s="219">
        <f t="shared" si="75"/>
        <v>7.9999999999999716</v>
      </c>
      <c r="V49" s="228">
        <f t="shared" si="70"/>
        <v>41.000000000000014</v>
      </c>
      <c r="W49" s="14"/>
      <c r="X49" s="14"/>
      <c r="Y49" s="224"/>
      <c r="Z49" s="225"/>
      <c r="AA49" s="11">
        <f t="shared" si="2"/>
        <v>-132.68292682926904</v>
      </c>
      <c r="AB49" s="220">
        <f t="shared" si="57"/>
        <v>0.93365853658536546</v>
      </c>
      <c r="AC49" s="533"/>
    </row>
    <row r="50" spans="1:29" ht="15.75" customHeight="1">
      <c r="A50" s="542" t="s">
        <v>383</v>
      </c>
      <c r="B50" s="26" t="s">
        <v>13</v>
      </c>
      <c r="C50" s="222" t="s">
        <v>60</v>
      </c>
      <c r="D50" s="223"/>
      <c r="E50" s="26">
        <v>57.73</v>
      </c>
      <c r="F50" s="27">
        <v>1378</v>
      </c>
      <c r="G50" s="219">
        <f t="shared" si="67"/>
        <v>79551.94</v>
      </c>
      <c r="H50" s="76" t="s">
        <v>52</v>
      </c>
      <c r="I50" s="227">
        <v>16</v>
      </c>
      <c r="J50" s="18">
        <v>1500</v>
      </c>
      <c r="K50" s="9">
        <f t="shared" si="68"/>
        <v>93.75</v>
      </c>
      <c r="L50" s="227">
        <v>16</v>
      </c>
      <c r="M50" s="10">
        <f t="shared" si="69"/>
        <v>1401.3559322033911</v>
      </c>
      <c r="N50" s="10">
        <f t="shared" si="71"/>
        <v>87.584745762711947</v>
      </c>
      <c r="O50" s="11">
        <f t="shared" si="72"/>
        <v>0</v>
      </c>
      <c r="P50" s="12">
        <f t="shared" si="73"/>
        <v>-6.1652542372880532</v>
      </c>
      <c r="Q50" s="220">
        <f t="shared" si="74"/>
        <v>0.93423728813559415</v>
      </c>
      <c r="R50" s="533"/>
      <c r="S50" s="24">
        <v>0.78749999999999998</v>
      </c>
      <c r="T50" s="24">
        <v>0.82847222222222217</v>
      </c>
      <c r="U50" s="219">
        <f t="shared" si="75"/>
        <v>5.9999999999999787</v>
      </c>
      <c r="V50" s="228">
        <f t="shared" si="70"/>
        <v>58.99999999999995</v>
      </c>
      <c r="W50" s="14"/>
      <c r="X50" s="14"/>
      <c r="Y50" s="224"/>
      <c r="Z50" s="225"/>
      <c r="AA50" s="11">
        <f t="shared" si="2"/>
        <v>-98.644067796608851</v>
      </c>
      <c r="AB50" s="220">
        <f t="shared" si="57"/>
        <v>0.93423728813559415</v>
      </c>
      <c r="AC50" s="533"/>
    </row>
    <row r="51" spans="1:29">
      <c r="A51" s="543" t="s">
        <v>383</v>
      </c>
      <c r="B51" s="26" t="s">
        <v>82</v>
      </c>
      <c r="C51" s="530"/>
      <c r="D51" s="530"/>
      <c r="E51" s="221"/>
      <c r="F51" s="16"/>
      <c r="G51" s="9"/>
      <c r="H51" s="229"/>
      <c r="I51" s="17">
        <v>16.600000000000001</v>
      </c>
      <c r="J51" s="18">
        <v>1900</v>
      </c>
      <c r="K51" s="9">
        <f>J51/I51</f>
        <v>114.4578313253012</v>
      </c>
      <c r="L51" s="17">
        <v>16.600000000000001</v>
      </c>
      <c r="M51" s="10">
        <f>AVERAGE(M46:M50)</f>
        <v>1765.8367326832199</v>
      </c>
      <c r="N51" s="9">
        <f>M51/L51</f>
        <v>106.37570678814576</v>
      </c>
      <c r="O51" s="11">
        <f>L51-I51</f>
        <v>0</v>
      </c>
      <c r="P51" s="12">
        <f>N51-K51</f>
        <v>-8.0821245371554369</v>
      </c>
      <c r="Q51" s="220">
        <f>N51/K51</f>
        <v>0.92938775404379992</v>
      </c>
      <c r="R51" s="533"/>
      <c r="S51" s="25"/>
      <c r="T51" s="24"/>
      <c r="U51" s="9"/>
      <c r="V51" s="228"/>
      <c r="W51" s="9"/>
      <c r="X51" s="9"/>
      <c r="Y51" s="528"/>
      <c r="Z51" s="528"/>
      <c r="AA51" s="11">
        <f t="shared" si="2"/>
        <v>-134.16326731678009</v>
      </c>
      <c r="AB51" s="220">
        <f t="shared" si="57"/>
        <v>0.92938775404379992</v>
      </c>
      <c r="AC51" s="533"/>
    </row>
    <row r="52" spans="1:29" ht="15.75" customHeight="1">
      <c r="A52" s="538" t="s">
        <v>385</v>
      </c>
      <c r="B52" s="229" t="s">
        <v>32</v>
      </c>
      <c r="C52" s="529" t="s">
        <v>35</v>
      </c>
      <c r="D52" s="529"/>
      <c r="E52" s="26">
        <v>26.78</v>
      </c>
      <c r="F52" s="27">
        <v>2152</v>
      </c>
      <c r="G52" s="219">
        <f t="shared" ref="G52:G57" si="76">E52*F52</f>
        <v>57630.560000000005</v>
      </c>
      <c r="H52" s="76" t="s">
        <v>52</v>
      </c>
      <c r="I52" s="227">
        <v>10</v>
      </c>
      <c r="J52" s="18">
        <v>3000</v>
      </c>
      <c r="K52" s="9">
        <f t="shared" ref="K52:K57" si="77">J52/I52</f>
        <v>300</v>
      </c>
      <c r="L52" s="17">
        <v>10</v>
      </c>
      <c r="M52" s="10">
        <f t="shared" ref="M52:M57" si="78">F52/V52*60</f>
        <v>2806.9565217391305</v>
      </c>
      <c r="N52" s="9">
        <f>M52/L52</f>
        <v>280.69565217391306</v>
      </c>
      <c r="O52" s="11">
        <f t="shared" ref="O52:O57" si="79">L52-I52</f>
        <v>0</v>
      </c>
      <c r="P52" s="12">
        <f t="shared" ref="P52:P57" si="80">N52-K52</f>
        <v>-19.304347826086939</v>
      </c>
      <c r="Q52" s="220">
        <f>N52/K52</f>
        <v>0.93565217391304356</v>
      </c>
      <c r="R52" s="533">
        <f>Q58</f>
        <v>0.93572036705574035</v>
      </c>
      <c r="S52" s="24">
        <v>0.20833333333333334</v>
      </c>
      <c r="T52" s="24">
        <v>0.24027777777777778</v>
      </c>
      <c r="U52" s="219"/>
      <c r="V52" s="228">
        <f t="shared" ref="V52:V57" si="81">(T52-S52)*24*60</f>
        <v>46</v>
      </c>
      <c r="W52" s="15"/>
      <c r="X52" s="15"/>
      <c r="Y52" s="528"/>
      <c r="Z52" s="528"/>
      <c r="AA52" s="11">
        <f t="shared" si="2"/>
        <v>-193.04347826086951</v>
      </c>
      <c r="AB52" s="220">
        <f t="shared" si="57"/>
        <v>0.93565217391304345</v>
      </c>
      <c r="AC52" s="533">
        <f>AB58</f>
        <v>0.93572036705574035</v>
      </c>
    </row>
    <row r="53" spans="1:29" ht="15.75" customHeight="1">
      <c r="A53" s="538" t="s">
        <v>385</v>
      </c>
      <c r="B53" s="229" t="s">
        <v>32</v>
      </c>
      <c r="C53" s="529" t="s">
        <v>39</v>
      </c>
      <c r="D53" s="529"/>
      <c r="E53" s="26">
        <v>35.369999999999997</v>
      </c>
      <c r="F53" s="27">
        <v>1359</v>
      </c>
      <c r="G53" s="219">
        <f t="shared" si="76"/>
        <v>48067.829999999994</v>
      </c>
      <c r="H53" s="76" t="s">
        <v>52</v>
      </c>
      <c r="I53" s="227">
        <v>10</v>
      </c>
      <c r="J53" s="18">
        <v>3000</v>
      </c>
      <c r="K53" s="9">
        <f t="shared" si="77"/>
        <v>300</v>
      </c>
      <c r="L53" s="17">
        <v>10</v>
      </c>
      <c r="M53" s="10">
        <f t="shared" si="78"/>
        <v>2811.7241379310362</v>
      </c>
      <c r="N53" s="9">
        <f t="shared" ref="N53:N57" si="82">M53/L53</f>
        <v>281.1724137931036</v>
      </c>
      <c r="O53" s="11">
        <f t="shared" si="79"/>
        <v>0</v>
      </c>
      <c r="P53" s="12">
        <f t="shared" si="80"/>
        <v>-18.827586206896399</v>
      </c>
      <c r="Q53" s="220">
        <f t="shared" ref="Q53:Q57" si="83">N53/K53</f>
        <v>0.93724137931034535</v>
      </c>
      <c r="R53" s="533"/>
      <c r="S53" s="24">
        <v>0.24444444444444446</v>
      </c>
      <c r="T53" s="24">
        <v>0.26458333333333334</v>
      </c>
      <c r="U53" s="219">
        <f>(S53-T52)*24*60</f>
        <v>6.0000000000000187</v>
      </c>
      <c r="V53" s="228">
        <f t="shared" si="81"/>
        <v>28.999999999999979</v>
      </c>
      <c r="W53" s="219"/>
      <c r="X53" s="219"/>
      <c r="Y53" s="528"/>
      <c r="Z53" s="528"/>
      <c r="AA53" s="11">
        <f t="shared" si="2"/>
        <v>-188.27586206896376</v>
      </c>
      <c r="AB53" s="220">
        <f t="shared" si="57"/>
        <v>0.93724137931034546</v>
      </c>
      <c r="AC53" s="533"/>
    </row>
    <row r="54" spans="1:29" ht="15.75" customHeight="1">
      <c r="A54" s="538" t="s">
        <v>385</v>
      </c>
      <c r="B54" s="229" t="s">
        <v>32</v>
      </c>
      <c r="C54" s="529" t="s">
        <v>38</v>
      </c>
      <c r="D54" s="529"/>
      <c r="E54" s="26">
        <v>34.35</v>
      </c>
      <c r="F54" s="27">
        <v>1268</v>
      </c>
      <c r="G54" s="219">
        <f t="shared" si="76"/>
        <v>43555.8</v>
      </c>
      <c r="H54" s="76" t="s">
        <v>52</v>
      </c>
      <c r="I54" s="227">
        <v>10</v>
      </c>
      <c r="J54" s="18">
        <v>3000</v>
      </c>
      <c r="K54" s="9">
        <f t="shared" si="77"/>
        <v>300</v>
      </c>
      <c r="L54" s="17">
        <v>10</v>
      </c>
      <c r="M54" s="10">
        <f t="shared" si="78"/>
        <v>2817.7777777777792</v>
      </c>
      <c r="N54" s="9">
        <f t="shared" si="82"/>
        <v>281.77777777777794</v>
      </c>
      <c r="O54" s="11">
        <f t="shared" si="79"/>
        <v>0</v>
      </c>
      <c r="P54" s="12">
        <f t="shared" si="80"/>
        <v>-18.222222222222058</v>
      </c>
      <c r="Q54" s="220">
        <f t="shared" si="83"/>
        <v>0.93925925925925979</v>
      </c>
      <c r="R54" s="533"/>
      <c r="S54" s="24">
        <v>0.26944444444444443</v>
      </c>
      <c r="T54" s="24">
        <v>0.28819444444444442</v>
      </c>
      <c r="U54" s="219">
        <f t="shared" ref="U54:U57" si="84">(S54-T53)*24*60</f>
        <v>6.9999999999999751</v>
      </c>
      <c r="V54" s="228">
        <f t="shared" si="81"/>
        <v>26.999999999999986</v>
      </c>
      <c r="W54" s="219"/>
      <c r="X54" s="219"/>
      <c r="Y54" s="528"/>
      <c r="Z54" s="528"/>
      <c r="AA54" s="11">
        <f t="shared" si="2"/>
        <v>-182.22222222222081</v>
      </c>
      <c r="AB54" s="220">
        <f t="shared" si="57"/>
        <v>0.93925925925925968</v>
      </c>
      <c r="AC54" s="533"/>
    </row>
    <row r="55" spans="1:29" ht="15.75" customHeight="1">
      <c r="A55" s="538" t="s">
        <v>385</v>
      </c>
      <c r="B55" s="229" t="s">
        <v>15</v>
      </c>
      <c r="C55" s="529" t="s">
        <v>36</v>
      </c>
      <c r="D55" s="529"/>
      <c r="E55" s="26">
        <v>26.97</v>
      </c>
      <c r="F55" s="27">
        <v>2814</v>
      </c>
      <c r="G55" s="219">
        <f t="shared" si="76"/>
        <v>75893.58</v>
      </c>
      <c r="H55" s="76" t="s">
        <v>52</v>
      </c>
      <c r="I55" s="227">
        <v>8</v>
      </c>
      <c r="J55" s="18">
        <v>1500</v>
      </c>
      <c r="K55" s="9">
        <f t="shared" si="77"/>
        <v>187.5</v>
      </c>
      <c r="L55" s="17">
        <v>8</v>
      </c>
      <c r="M55" s="10">
        <f t="shared" si="78"/>
        <v>1395.3719008264466</v>
      </c>
      <c r="N55" s="9">
        <f t="shared" si="82"/>
        <v>174.42148760330582</v>
      </c>
      <c r="O55" s="11">
        <f t="shared" si="79"/>
        <v>0</v>
      </c>
      <c r="P55" s="12">
        <f t="shared" si="80"/>
        <v>-13.07851239669418</v>
      </c>
      <c r="Q55" s="220">
        <f t="shared" si="83"/>
        <v>0.93024793388429772</v>
      </c>
      <c r="R55" s="533"/>
      <c r="S55" s="24">
        <v>0.29166666666666663</v>
      </c>
      <c r="T55" s="24">
        <v>0.37569444444444439</v>
      </c>
      <c r="U55" s="219">
        <f t="shared" si="84"/>
        <v>4.9999999999999822</v>
      </c>
      <c r="V55" s="228">
        <f t="shared" si="81"/>
        <v>120.99999999999997</v>
      </c>
      <c r="W55" s="219"/>
      <c r="X55" s="219"/>
      <c r="Y55" s="528"/>
      <c r="Z55" s="528"/>
      <c r="AA55" s="11">
        <f t="shared" si="2"/>
        <v>-104.62809917355344</v>
      </c>
      <c r="AB55" s="220">
        <f t="shared" si="57"/>
        <v>0.93024793388429772</v>
      </c>
      <c r="AC55" s="533"/>
    </row>
    <row r="56" spans="1:29">
      <c r="A56" s="539" t="s">
        <v>385</v>
      </c>
      <c r="B56" s="229" t="s">
        <v>32</v>
      </c>
      <c r="C56" s="529" t="s">
        <v>37</v>
      </c>
      <c r="D56" s="529"/>
      <c r="E56" s="26">
        <v>35.119999999999997</v>
      </c>
      <c r="F56" s="27">
        <v>1101</v>
      </c>
      <c r="G56" s="219">
        <f t="shared" si="76"/>
        <v>38667.119999999995</v>
      </c>
      <c r="H56" s="76" t="s">
        <v>52</v>
      </c>
      <c r="I56" s="227">
        <v>13</v>
      </c>
      <c r="J56" s="18">
        <v>2000</v>
      </c>
      <c r="K56" s="9">
        <f t="shared" si="77"/>
        <v>153.84615384615384</v>
      </c>
      <c r="L56" s="17">
        <v>13</v>
      </c>
      <c r="M56" s="10">
        <f t="shared" si="78"/>
        <v>1887.4285714285695</v>
      </c>
      <c r="N56" s="9">
        <f t="shared" si="82"/>
        <v>145.18681318681303</v>
      </c>
      <c r="O56" s="11">
        <f t="shared" si="79"/>
        <v>0</v>
      </c>
      <c r="P56" s="12">
        <f t="shared" si="80"/>
        <v>-8.6593406593408133</v>
      </c>
      <c r="Q56" s="220">
        <f t="shared" si="83"/>
        <v>0.94371428571428473</v>
      </c>
      <c r="R56" s="533"/>
      <c r="S56" s="24">
        <v>0.38055555555555548</v>
      </c>
      <c r="T56" s="24">
        <v>0.40486111111111106</v>
      </c>
      <c r="U56" s="219">
        <f t="shared" si="84"/>
        <v>6.9999999999999751</v>
      </c>
      <c r="V56" s="228">
        <f t="shared" si="81"/>
        <v>35.000000000000036</v>
      </c>
      <c r="W56" s="14"/>
      <c r="X56" s="14"/>
      <c r="Y56" s="528"/>
      <c r="Z56" s="528"/>
      <c r="AA56" s="11">
        <f t="shared" si="2"/>
        <v>-112.57142857143049</v>
      </c>
      <c r="AB56" s="220">
        <f t="shared" si="57"/>
        <v>0.94371428571428473</v>
      </c>
      <c r="AC56" s="533"/>
    </row>
    <row r="57" spans="1:29" ht="15" customHeight="1">
      <c r="A57" s="539" t="s">
        <v>385</v>
      </c>
      <c r="B57" s="229" t="s">
        <v>32</v>
      </c>
      <c r="C57" s="534" t="s">
        <v>84</v>
      </c>
      <c r="D57" s="535"/>
      <c r="E57" s="26">
        <v>35.869999999999997</v>
      </c>
      <c r="F57" s="27">
        <v>2738</v>
      </c>
      <c r="G57" s="219">
        <f t="shared" si="76"/>
        <v>98212.06</v>
      </c>
      <c r="H57" s="76" t="s">
        <v>52</v>
      </c>
      <c r="I57" s="227">
        <v>10</v>
      </c>
      <c r="J57" s="18">
        <v>3000</v>
      </c>
      <c r="K57" s="9">
        <f t="shared" si="77"/>
        <v>300</v>
      </c>
      <c r="L57" s="17">
        <v>10</v>
      </c>
      <c r="M57" s="10">
        <f t="shared" si="78"/>
        <v>2784.4067796610157</v>
      </c>
      <c r="N57" s="9">
        <f t="shared" si="82"/>
        <v>278.44067796610159</v>
      </c>
      <c r="O57" s="11">
        <f t="shared" si="79"/>
        <v>0</v>
      </c>
      <c r="P57" s="12">
        <f t="shared" si="80"/>
        <v>-21.559322033898411</v>
      </c>
      <c r="Q57" s="220">
        <f t="shared" si="83"/>
        <v>0.92813559322033867</v>
      </c>
      <c r="R57" s="533"/>
      <c r="S57" s="24">
        <v>0.40833333333333327</v>
      </c>
      <c r="T57" s="24">
        <v>0.44930555555555551</v>
      </c>
      <c r="U57" s="219">
        <f t="shared" si="84"/>
        <v>4.9999999999999822</v>
      </c>
      <c r="V57" s="228">
        <f t="shared" si="81"/>
        <v>59.000000000000028</v>
      </c>
      <c r="W57" s="219"/>
      <c r="X57" s="219"/>
      <c r="Y57" s="536"/>
      <c r="Z57" s="537"/>
      <c r="AA57" s="11">
        <f t="shared" si="2"/>
        <v>-215.59322033898434</v>
      </c>
      <c r="AB57" s="220">
        <f t="shared" si="57"/>
        <v>0.92813559322033856</v>
      </c>
      <c r="AC57" s="533"/>
    </row>
    <row r="58" spans="1:29">
      <c r="A58" s="539" t="s">
        <v>385</v>
      </c>
      <c r="B58" s="26" t="s">
        <v>82</v>
      </c>
      <c r="C58" s="530"/>
      <c r="D58" s="530"/>
      <c r="E58" s="221"/>
      <c r="F58" s="16"/>
      <c r="G58" s="9"/>
      <c r="H58" s="229"/>
      <c r="I58" s="17">
        <v>10.166666666666666</v>
      </c>
      <c r="J58" s="18">
        <v>2583.3333333333335</v>
      </c>
      <c r="K58" s="9">
        <f>J58/I58</f>
        <v>254.09836065573774</v>
      </c>
      <c r="L58" s="17">
        <v>10.166666666666666</v>
      </c>
      <c r="M58" s="10">
        <f>AVERAGE(M52:M57)</f>
        <v>2417.2776148939961</v>
      </c>
      <c r="N58" s="9">
        <f>M58/L58</f>
        <v>237.76501130104882</v>
      </c>
      <c r="O58" s="11">
        <f>L58-I58</f>
        <v>0</v>
      </c>
      <c r="P58" s="12">
        <f>N58-K58</f>
        <v>-16.33334935468892</v>
      </c>
      <c r="Q58" s="220">
        <f>N58/K58</f>
        <v>0.93572036705574035</v>
      </c>
      <c r="R58" s="533"/>
      <c r="S58" s="24"/>
      <c r="T58" s="24"/>
      <c r="U58" s="9"/>
      <c r="V58" s="228"/>
      <c r="W58" s="9"/>
      <c r="X58" s="9"/>
      <c r="Y58" s="528"/>
      <c r="Z58" s="528"/>
      <c r="AA58" s="11">
        <f t="shared" si="2"/>
        <v>-166.0557184393374</v>
      </c>
      <c r="AB58" s="220">
        <f t="shared" si="57"/>
        <v>0.93572036705574035</v>
      </c>
      <c r="AC58" s="533"/>
    </row>
    <row r="59" spans="1:29" ht="15.75" customHeight="1">
      <c r="A59" s="531" t="s">
        <v>499</v>
      </c>
      <c r="B59" s="229" t="s">
        <v>24</v>
      </c>
      <c r="C59" s="529" t="s">
        <v>67</v>
      </c>
      <c r="D59" s="529"/>
      <c r="E59" s="26">
        <v>32.03</v>
      </c>
      <c r="F59" s="229">
        <v>736</v>
      </c>
      <c r="G59" s="219">
        <f t="shared" ref="G59:G64" si="85">E59*F59</f>
        <v>23574.080000000002</v>
      </c>
      <c r="H59" s="76" t="s">
        <v>52</v>
      </c>
      <c r="I59" s="227">
        <v>19</v>
      </c>
      <c r="J59" s="18">
        <v>2400</v>
      </c>
      <c r="K59" s="9">
        <f t="shared" ref="K59:K61" si="86">J59/I59</f>
        <v>126.31578947368421</v>
      </c>
      <c r="L59" s="17">
        <v>19</v>
      </c>
      <c r="M59" s="10">
        <f>F59/V59*60</f>
        <v>2324.2105263157878</v>
      </c>
      <c r="N59" s="9">
        <f t="shared" ref="N59:N64" si="87">M59/L59</f>
        <v>122.32686980609409</v>
      </c>
      <c r="O59" s="11">
        <f t="shared" ref="O59:O64" si="88">L59-I59</f>
        <v>0</v>
      </c>
      <c r="P59" s="12">
        <f t="shared" ref="P59:P64" si="89">N59-K59</f>
        <v>-3.9889196675901104</v>
      </c>
      <c r="Q59" s="220">
        <f>N59/K59</f>
        <v>0.96842105263157829</v>
      </c>
      <c r="R59" s="533">
        <f>Q65</f>
        <v>0.9348503837869111</v>
      </c>
      <c r="S59" s="24">
        <v>0.125</v>
      </c>
      <c r="T59" s="24">
        <v>0.13819444444444445</v>
      </c>
      <c r="U59" s="15"/>
      <c r="V59" s="228">
        <f t="shared" ref="V59:V64" si="90">(T59-S59)*24*60</f>
        <v>19.000000000000014</v>
      </c>
      <c r="W59" s="14">
        <f>T59</f>
        <v>0.13819444444444445</v>
      </c>
      <c r="X59" s="14">
        <f>S60</f>
        <v>0.15625</v>
      </c>
      <c r="Y59" s="528"/>
      <c r="Z59" s="528"/>
      <c r="AA59" s="11">
        <f t="shared" si="2"/>
        <v>-75.789473684212226</v>
      </c>
      <c r="AB59" s="220">
        <f>M59/J59</f>
        <v>0.96842105263157829</v>
      </c>
      <c r="AC59" s="533">
        <f>AB65</f>
        <v>0.93485038378691099</v>
      </c>
    </row>
    <row r="60" spans="1:29" ht="15.75" customHeight="1">
      <c r="A60" s="531" t="s">
        <v>499</v>
      </c>
      <c r="B60" s="229" t="s">
        <v>24</v>
      </c>
      <c r="C60" s="529" t="s">
        <v>51</v>
      </c>
      <c r="D60" s="529"/>
      <c r="E60" s="26">
        <v>20.2</v>
      </c>
      <c r="F60" s="229">
        <v>1864</v>
      </c>
      <c r="G60" s="219">
        <f t="shared" si="85"/>
        <v>37652.799999999996</v>
      </c>
      <c r="H60" s="76" t="s">
        <v>52</v>
      </c>
      <c r="I60" s="227">
        <v>19</v>
      </c>
      <c r="J60" s="18">
        <v>2400</v>
      </c>
      <c r="K60" s="9">
        <f t="shared" si="86"/>
        <v>126.31578947368421</v>
      </c>
      <c r="L60" s="17">
        <v>19</v>
      </c>
      <c r="M60" s="10">
        <f t="shared" ref="M60:M64" si="91">F60/V60*60</f>
        <v>2236.8000000000006</v>
      </c>
      <c r="N60" s="9">
        <f t="shared" si="87"/>
        <v>117.72631578947372</v>
      </c>
      <c r="O60" s="11">
        <f t="shared" si="88"/>
        <v>0</v>
      </c>
      <c r="P60" s="12">
        <f t="shared" si="89"/>
        <v>-8.5894736842104891</v>
      </c>
      <c r="Q60" s="220">
        <f t="shared" ref="Q60:Q65" si="92">N60/K60</f>
        <v>0.93200000000000027</v>
      </c>
      <c r="R60" s="533"/>
      <c r="S60" s="24">
        <v>0.15625</v>
      </c>
      <c r="T60" s="24">
        <v>0.19097222222222221</v>
      </c>
      <c r="U60" s="219">
        <f>(S60-T59)*24*60</f>
        <v>25.999999999999986</v>
      </c>
      <c r="V60" s="228">
        <f t="shared" si="90"/>
        <v>49.999999999999986</v>
      </c>
      <c r="W60" s="14"/>
      <c r="X60" s="14"/>
      <c r="Y60" s="528"/>
      <c r="Z60" s="528"/>
      <c r="AA60" s="11">
        <f t="shared" si="2"/>
        <v>-163.19999999999936</v>
      </c>
      <c r="AB60" s="220">
        <f t="shared" ref="AB60:AB65" si="93">M60/J60</f>
        <v>0.93200000000000027</v>
      </c>
      <c r="AC60" s="533"/>
    </row>
    <row r="61" spans="1:29" ht="15.75" customHeight="1">
      <c r="A61" s="531" t="s">
        <v>499</v>
      </c>
      <c r="B61" s="229" t="s">
        <v>24</v>
      </c>
      <c r="C61" s="529" t="s">
        <v>41</v>
      </c>
      <c r="D61" s="529"/>
      <c r="E61" s="26">
        <v>19.02</v>
      </c>
      <c r="F61" s="229">
        <v>7228</v>
      </c>
      <c r="G61" s="219">
        <f t="shared" si="85"/>
        <v>137476.56</v>
      </c>
      <c r="H61" s="76" t="s">
        <v>52</v>
      </c>
      <c r="I61" s="227">
        <v>15</v>
      </c>
      <c r="J61" s="18">
        <v>2400</v>
      </c>
      <c r="K61" s="9">
        <f t="shared" si="86"/>
        <v>160</v>
      </c>
      <c r="L61" s="17">
        <v>15</v>
      </c>
      <c r="M61" s="10">
        <f t="shared" si="91"/>
        <v>2212.6530612244896</v>
      </c>
      <c r="N61" s="9">
        <f t="shared" si="87"/>
        <v>147.51020408163265</v>
      </c>
      <c r="O61" s="11">
        <f t="shared" si="88"/>
        <v>0</v>
      </c>
      <c r="P61" s="12">
        <f t="shared" si="89"/>
        <v>-12.489795918367349</v>
      </c>
      <c r="Q61" s="220">
        <f t="shared" si="92"/>
        <v>0.92193877551020409</v>
      </c>
      <c r="R61" s="533"/>
      <c r="S61" s="24">
        <v>0.19583333333333333</v>
      </c>
      <c r="T61" s="24">
        <v>0.33194444444444443</v>
      </c>
      <c r="U61" s="219">
        <f t="shared" ref="U61:U64" si="94">(S61-T60)*24*60</f>
        <v>7.0000000000000151</v>
      </c>
      <c r="V61" s="228">
        <f t="shared" si="90"/>
        <v>196</v>
      </c>
      <c r="W61" s="14"/>
      <c r="X61" s="14"/>
      <c r="Y61" s="528"/>
      <c r="Z61" s="528"/>
      <c r="AA61" s="11">
        <f t="shared" si="2"/>
        <v>-187.34693877551035</v>
      </c>
      <c r="AB61" s="220">
        <f t="shared" si="93"/>
        <v>0.92193877551020398</v>
      </c>
      <c r="AC61" s="533"/>
    </row>
    <row r="62" spans="1:29" ht="15.75" customHeight="1">
      <c r="A62" s="531" t="s">
        <v>499</v>
      </c>
      <c r="B62" s="229" t="s">
        <v>24</v>
      </c>
      <c r="C62" s="529" t="s">
        <v>42</v>
      </c>
      <c r="D62" s="529"/>
      <c r="E62" s="26">
        <v>25</v>
      </c>
      <c r="F62" s="229">
        <v>2868</v>
      </c>
      <c r="G62" s="219">
        <f t="shared" si="85"/>
        <v>71700</v>
      </c>
      <c r="H62" s="76" t="s">
        <v>52</v>
      </c>
      <c r="I62" s="227">
        <v>15</v>
      </c>
      <c r="J62" s="18">
        <v>2400</v>
      </c>
      <c r="K62" s="9">
        <f>J62/I62</f>
        <v>160</v>
      </c>
      <c r="L62" s="17">
        <v>15</v>
      </c>
      <c r="M62" s="10">
        <f t="shared" si="91"/>
        <v>2234.8051948051952</v>
      </c>
      <c r="N62" s="9">
        <f t="shared" si="87"/>
        <v>148.987012987013</v>
      </c>
      <c r="O62" s="11">
        <f t="shared" si="88"/>
        <v>0</v>
      </c>
      <c r="P62" s="12">
        <f t="shared" si="89"/>
        <v>-11.012987012986997</v>
      </c>
      <c r="Q62" s="220">
        <f t="shared" si="92"/>
        <v>0.93116883116883131</v>
      </c>
      <c r="R62" s="533"/>
      <c r="S62" s="24">
        <v>0.33749999999999997</v>
      </c>
      <c r="T62" s="24">
        <v>0.39097222222222217</v>
      </c>
      <c r="U62" s="219">
        <f t="shared" si="94"/>
        <v>7.9999999999999716</v>
      </c>
      <c r="V62" s="228">
        <f t="shared" si="90"/>
        <v>76.999999999999972</v>
      </c>
      <c r="W62" s="14"/>
      <c r="X62" s="14"/>
      <c r="Y62" s="528"/>
      <c r="Z62" s="528"/>
      <c r="AA62" s="11">
        <f t="shared" si="2"/>
        <v>-165.19480519480476</v>
      </c>
      <c r="AB62" s="220">
        <f t="shared" si="93"/>
        <v>0.93116883116883131</v>
      </c>
      <c r="AC62" s="533"/>
    </row>
    <row r="63" spans="1:29" ht="15.75" customHeight="1">
      <c r="A63" s="531" t="s">
        <v>499</v>
      </c>
      <c r="B63" s="229" t="s">
        <v>24</v>
      </c>
      <c r="C63" s="529" t="s">
        <v>77</v>
      </c>
      <c r="D63" s="529"/>
      <c r="E63" s="26">
        <v>28.51</v>
      </c>
      <c r="F63" s="229">
        <v>3192</v>
      </c>
      <c r="G63" s="219">
        <f t="shared" si="85"/>
        <v>91003.92</v>
      </c>
      <c r="H63" s="76" t="s">
        <v>52</v>
      </c>
      <c r="I63" s="227">
        <v>19</v>
      </c>
      <c r="J63" s="18">
        <v>2400</v>
      </c>
      <c r="K63" s="9">
        <f t="shared" ref="K63:K65" si="95">J63/I63</f>
        <v>126.31578947368421</v>
      </c>
      <c r="L63" s="17">
        <v>19</v>
      </c>
      <c r="M63" s="10">
        <f t="shared" si="91"/>
        <v>2226.9767441860463</v>
      </c>
      <c r="N63" s="9">
        <f t="shared" si="87"/>
        <v>117.20930232558139</v>
      </c>
      <c r="O63" s="11">
        <f t="shared" si="88"/>
        <v>0</v>
      </c>
      <c r="P63" s="12">
        <f t="shared" si="89"/>
        <v>-9.1064871481028149</v>
      </c>
      <c r="Q63" s="220">
        <f t="shared" si="92"/>
        <v>0.9279069767441861</v>
      </c>
      <c r="R63" s="533"/>
      <c r="S63" s="24">
        <v>0.39513888888888882</v>
      </c>
      <c r="T63" s="24">
        <v>0.45486111111111105</v>
      </c>
      <c r="U63" s="219">
        <f t="shared" si="94"/>
        <v>5.9999999999999787</v>
      </c>
      <c r="V63" s="228">
        <f t="shared" si="90"/>
        <v>86.000000000000014</v>
      </c>
      <c r="W63" s="14"/>
      <c r="X63" s="14"/>
      <c r="Y63" s="528"/>
      <c r="Z63" s="528"/>
      <c r="AA63" s="11">
        <f t="shared" si="2"/>
        <v>-173.02325581395371</v>
      </c>
      <c r="AB63" s="220">
        <f t="shared" si="93"/>
        <v>0.92790697674418599</v>
      </c>
      <c r="AC63" s="533"/>
    </row>
    <row r="64" spans="1:29" ht="15.75" customHeight="1">
      <c r="A64" s="531" t="s">
        <v>499</v>
      </c>
      <c r="B64" s="229" t="s">
        <v>24</v>
      </c>
      <c r="C64" s="529" t="s">
        <v>25</v>
      </c>
      <c r="D64" s="529"/>
      <c r="E64" s="26">
        <v>20.52</v>
      </c>
      <c r="F64" s="229">
        <v>2783</v>
      </c>
      <c r="G64" s="219">
        <f t="shared" si="85"/>
        <v>57107.159999999996</v>
      </c>
      <c r="H64" s="76" t="s">
        <v>52</v>
      </c>
      <c r="I64" s="227">
        <v>18</v>
      </c>
      <c r="J64" s="18">
        <v>2400</v>
      </c>
      <c r="K64" s="9">
        <f t="shared" si="95"/>
        <v>133.33333333333334</v>
      </c>
      <c r="L64" s="17">
        <v>18</v>
      </c>
      <c r="M64" s="10">
        <f t="shared" si="91"/>
        <v>2226.3999999999983</v>
      </c>
      <c r="N64" s="9">
        <f t="shared" si="87"/>
        <v>123.6888888888888</v>
      </c>
      <c r="O64" s="11">
        <f t="shared" si="88"/>
        <v>0</v>
      </c>
      <c r="P64" s="12">
        <f t="shared" si="89"/>
        <v>-9.6444444444445452</v>
      </c>
      <c r="Q64" s="220">
        <f t="shared" si="92"/>
        <v>0.92766666666666586</v>
      </c>
      <c r="R64" s="533"/>
      <c r="S64" s="24">
        <v>0.4590277777777777</v>
      </c>
      <c r="T64" s="24">
        <v>0.51111111111111107</v>
      </c>
      <c r="U64" s="219">
        <f t="shared" si="94"/>
        <v>5.9999999999999787</v>
      </c>
      <c r="V64" s="228">
        <f t="shared" si="90"/>
        <v>75.000000000000057</v>
      </c>
      <c r="W64" s="14"/>
      <c r="X64" s="14"/>
      <c r="Y64" s="528"/>
      <c r="Z64" s="528"/>
      <c r="AA64" s="11">
        <f t="shared" si="2"/>
        <v>-173.60000000000173</v>
      </c>
      <c r="AB64" s="220">
        <f t="shared" si="93"/>
        <v>0.92766666666666597</v>
      </c>
      <c r="AC64" s="533"/>
    </row>
    <row r="65" spans="1:29" ht="16.5" customHeight="1">
      <c r="A65" s="532" t="s">
        <v>499</v>
      </c>
      <c r="B65" s="26" t="s">
        <v>82</v>
      </c>
      <c r="C65" s="530"/>
      <c r="D65" s="530"/>
      <c r="E65" s="221"/>
      <c r="F65" s="16"/>
      <c r="G65" s="9"/>
      <c r="H65" s="229"/>
      <c r="I65" s="17">
        <v>17.5</v>
      </c>
      <c r="J65" s="18">
        <v>2400</v>
      </c>
      <c r="K65" s="9">
        <f t="shared" si="95"/>
        <v>137.14285714285714</v>
      </c>
      <c r="L65" s="17">
        <v>17.5</v>
      </c>
      <c r="M65" s="10">
        <f>AVERAGE(M59:M64)</f>
        <v>2243.6409210885863</v>
      </c>
      <c r="N65" s="9">
        <f>M65/L65</f>
        <v>128.20805263363351</v>
      </c>
      <c r="O65" s="11">
        <f>L65-I65</f>
        <v>0</v>
      </c>
      <c r="P65" s="12">
        <f>N65-K65</f>
        <v>-8.9348045092236248</v>
      </c>
      <c r="Q65" s="220">
        <f t="shared" si="92"/>
        <v>0.9348503837869111</v>
      </c>
      <c r="R65" s="533"/>
      <c r="S65" s="24"/>
      <c r="T65" s="24"/>
      <c r="U65" s="9"/>
      <c r="V65" s="228"/>
      <c r="W65" s="9"/>
      <c r="X65" s="9"/>
      <c r="Y65" s="528"/>
      <c r="Z65" s="528"/>
      <c r="AA65" s="11">
        <f t="shared" si="2"/>
        <v>-156.35907891141369</v>
      </c>
      <c r="AB65" s="220">
        <f t="shared" si="93"/>
        <v>0.93485038378691099</v>
      </c>
      <c r="AC65" s="533"/>
    </row>
    <row r="66" spans="1:29">
      <c r="D66" s="19"/>
      <c r="E66" s="19"/>
    </row>
  </sheetData>
  <mergeCells count="178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2"/>
    <mergeCell ref="C9:D9"/>
    <mergeCell ref="R9:R12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AC13:AC17"/>
    <mergeCell ref="C14:D14"/>
    <mergeCell ref="Y14:Z14"/>
    <mergeCell ref="C15:D15"/>
    <mergeCell ref="Y15:Z15"/>
    <mergeCell ref="C16:D16"/>
    <mergeCell ref="AC9:AC12"/>
    <mergeCell ref="C10:D10"/>
    <mergeCell ref="Y10:Z10"/>
    <mergeCell ref="C11:D11"/>
    <mergeCell ref="Y11:Z11"/>
    <mergeCell ref="C12:D12"/>
    <mergeCell ref="Y12:Z12"/>
    <mergeCell ref="Y16:Z16"/>
    <mergeCell ref="C17:D17"/>
    <mergeCell ref="Y17:Z17"/>
    <mergeCell ref="Y30:Z30"/>
    <mergeCell ref="A18:A25"/>
    <mergeCell ref="C18:D18"/>
    <mergeCell ref="R18:R25"/>
    <mergeCell ref="Y18:Z18"/>
    <mergeCell ref="Y23:Z23"/>
    <mergeCell ref="C24:D24"/>
    <mergeCell ref="Y24:Z24"/>
    <mergeCell ref="A13:A17"/>
    <mergeCell ref="C13:D13"/>
    <mergeCell ref="R13:R17"/>
    <mergeCell ref="Y13:Z13"/>
    <mergeCell ref="C25:D25"/>
    <mergeCell ref="Y25:Z25"/>
    <mergeCell ref="AC18:AC25"/>
    <mergeCell ref="C19:D19"/>
    <mergeCell ref="Y19:Z19"/>
    <mergeCell ref="C20:D20"/>
    <mergeCell ref="Y20:Z20"/>
    <mergeCell ref="C21:D21"/>
    <mergeCell ref="Y21:Z21"/>
    <mergeCell ref="C22:D22"/>
    <mergeCell ref="Y22:Z22"/>
    <mergeCell ref="C23:D23"/>
    <mergeCell ref="C31:D31"/>
    <mergeCell ref="A32:A38"/>
    <mergeCell ref="C32:D32"/>
    <mergeCell ref="R32:R38"/>
    <mergeCell ref="Y32:Z32"/>
    <mergeCell ref="AC32:AC38"/>
    <mergeCell ref="C33:D33"/>
    <mergeCell ref="Y33:Z33"/>
    <mergeCell ref="C34:D34"/>
    <mergeCell ref="Y34:Z34"/>
    <mergeCell ref="C35:D35"/>
    <mergeCell ref="A26:A31"/>
    <mergeCell ref="C26:D26"/>
    <mergeCell ref="R26:R31"/>
    <mergeCell ref="Y26:Z26"/>
    <mergeCell ref="Y31:Z31"/>
    <mergeCell ref="AC26:AC31"/>
    <mergeCell ref="C27:D27"/>
    <mergeCell ref="Y27:Z27"/>
    <mergeCell ref="C28:D28"/>
    <mergeCell ref="Y28:Z28"/>
    <mergeCell ref="C29:D29"/>
    <mergeCell ref="Y29:Z29"/>
    <mergeCell ref="C30:D30"/>
    <mergeCell ref="Y35:Z35"/>
    <mergeCell ref="C36:D36"/>
    <mergeCell ref="Y36:Z36"/>
    <mergeCell ref="C37:D37"/>
    <mergeCell ref="Y37:Z37"/>
    <mergeCell ref="C38:D38"/>
    <mergeCell ref="Y38:Z38"/>
    <mergeCell ref="Y42:Z42"/>
    <mergeCell ref="C43:D43"/>
    <mergeCell ref="Y43:Z43"/>
    <mergeCell ref="A39:A45"/>
    <mergeCell ref="C39:D39"/>
    <mergeCell ref="R39:R45"/>
    <mergeCell ref="Y39:Z39"/>
    <mergeCell ref="A46:A51"/>
    <mergeCell ref="C46:D46"/>
    <mergeCell ref="R46:R51"/>
    <mergeCell ref="Y46:Z46"/>
    <mergeCell ref="AC46:AC51"/>
    <mergeCell ref="C47:D47"/>
    <mergeCell ref="Y47:Z47"/>
    <mergeCell ref="C48:D48"/>
    <mergeCell ref="C51:D51"/>
    <mergeCell ref="Y51:Z51"/>
    <mergeCell ref="AC39:AC45"/>
    <mergeCell ref="C40:D40"/>
    <mergeCell ref="Y40:Z40"/>
    <mergeCell ref="C41:D41"/>
    <mergeCell ref="Y41:Z41"/>
    <mergeCell ref="C42:D42"/>
    <mergeCell ref="C44:D44"/>
    <mergeCell ref="Y44:Z44"/>
    <mergeCell ref="C45:D45"/>
    <mergeCell ref="Y45:Z45"/>
    <mergeCell ref="A52:A58"/>
    <mergeCell ref="C52:D52"/>
    <mergeCell ref="R52:R58"/>
    <mergeCell ref="Y52:Z52"/>
    <mergeCell ref="AC52:AC58"/>
    <mergeCell ref="C53:D53"/>
    <mergeCell ref="Y53:Z53"/>
    <mergeCell ref="C54:D54"/>
    <mergeCell ref="Y54:Z54"/>
    <mergeCell ref="C55:D55"/>
    <mergeCell ref="Y55:Z55"/>
    <mergeCell ref="C56:D56"/>
    <mergeCell ref="Y56:Z56"/>
    <mergeCell ref="C57:D57"/>
    <mergeCell ref="Y57:Z57"/>
    <mergeCell ref="C58:D58"/>
    <mergeCell ref="Y58:Z58"/>
    <mergeCell ref="Y62:Z62"/>
    <mergeCell ref="C63:D63"/>
    <mergeCell ref="Y63:Z63"/>
    <mergeCell ref="A59:A65"/>
    <mergeCell ref="C59:D59"/>
    <mergeCell ref="R59:R65"/>
    <mergeCell ref="Y59:Z59"/>
    <mergeCell ref="AC59:AC65"/>
    <mergeCell ref="C60:D60"/>
    <mergeCell ref="Y60:Z60"/>
    <mergeCell ref="C61:D61"/>
    <mergeCell ref="Y61:Z61"/>
    <mergeCell ref="C62:D62"/>
    <mergeCell ref="C64:D64"/>
    <mergeCell ref="Y64:Z64"/>
    <mergeCell ref="C65:D65"/>
    <mergeCell ref="Y65:Z65"/>
  </mergeCells>
  <phoneticPr fontId="3" type="noConversion"/>
  <conditionalFormatting sqref="O55:O65 O5:O9 O12:O14 O17:O52">
    <cfRule type="cellIs" dxfId="868" priority="33" operator="greaterThan">
      <formula>0</formula>
    </cfRule>
  </conditionalFormatting>
  <conditionalFormatting sqref="P5:P7 P55:P57 AA55:AA57 P59:P64 P26:P30 P52 P9 P12:P14 P18:P24 P46:P50 P32:P44 AA5:AA52 AA59:AA65">
    <cfRule type="cellIs" dxfId="867" priority="37" operator="lessThan">
      <formula>0</formula>
    </cfRule>
  </conditionalFormatting>
  <conditionalFormatting sqref="AB55:AB57 Q55:Q65 Q5:Q9 Q12:Q14 Q17:Q52 AB5:AB52 AB59:AB65">
    <cfRule type="cellIs" dxfId="866" priority="34" operator="greaterThan">
      <formula>1</formula>
    </cfRule>
    <cfRule type="cellIs" dxfId="865" priority="35" operator="lessThan">
      <formula>0.8</formula>
    </cfRule>
  </conditionalFormatting>
  <conditionalFormatting sqref="AC13:AC14 R13:R14 AC55 R17:R23 AC17:AC23 R55:R65 AC5:AC9 R5:R9 AC25:AC52 R25:R52">
    <cfRule type="cellIs" dxfId="864" priority="39" operator="lessThan">
      <formula>0.8</formula>
    </cfRule>
  </conditionalFormatting>
  <conditionalFormatting sqref="AC39">
    <cfRule type="cellIs" dxfId="863" priority="41" operator="lessThan">
      <formula>0.8</formula>
    </cfRule>
  </conditionalFormatting>
  <conditionalFormatting sqref="AC18:AC23">
    <cfRule type="cellIs" dxfId="862" priority="38" operator="lessThan">
      <formula>0.8</formula>
    </cfRule>
  </conditionalFormatting>
  <conditionalFormatting sqref="AC26">
    <cfRule type="cellIs" dxfId="861" priority="40" operator="lessThan">
      <formula>0.8</formula>
    </cfRule>
  </conditionalFormatting>
  <conditionalFormatting sqref="AC32:AC37">
    <cfRule type="cellIs" dxfId="860" priority="36" operator="lessThan">
      <formula>0.8</formula>
    </cfRule>
  </conditionalFormatting>
  <conditionalFormatting sqref="AA58">
    <cfRule type="cellIs" dxfId="859" priority="32" operator="lessThan">
      <formula>0</formula>
    </cfRule>
  </conditionalFormatting>
  <conditionalFormatting sqref="AB58">
    <cfRule type="cellIs" dxfId="858" priority="30" operator="greaterThan">
      <formula>1</formula>
    </cfRule>
    <cfRule type="cellIs" dxfId="857" priority="31" operator="lessThan">
      <formula>0.8</formula>
    </cfRule>
  </conditionalFormatting>
  <conditionalFormatting sqref="O15:O16">
    <cfRule type="cellIs" dxfId="856" priority="25" operator="greaterThan">
      <formula>0</formula>
    </cfRule>
  </conditionalFormatting>
  <conditionalFormatting sqref="P15:P16">
    <cfRule type="cellIs" dxfId="855" priority="28" operator="lessThan">
      <formula>0</formula>
    </cfRule>
  </conditionalFormatting>
  <conditionalFormatting sqref="Q15:Q16">
    <cfRule type="cellIs" dxfId="854" priority="26" operator="greaterThan">
      <formula>1</formula>
    </cfRule>
    <cfRule type="cellIs" dxfId="853" priority="27" operator="lessThan">
      <formula>0.8</formula>
    </cfRule>
  </conditionalFormatting>
  <conditionalFormatting sqref="R15:R16 AC15:AC16">
    <cfRule type="cellIs" dxfId="852" priority="29" operator="lessThan">
      <formula>0.8</formula>
    </cfRule>
  </conditionalFormatting>
  <conditionalFormatting sqref="O10:O11">
    <cfRule type="cellIs" dxfId="851" priority="21" operator="greaterThan">
      <formula>0</formula>
    </cfRule>
  </conditionalFormatting>
  <conditionalFormatting sqref="P10:P11">
    <cfRule type="cellIs" dxfId="850" priority="24" operator="lessThan">
      <formula>0</formula>
    </cfRule>
  </conditionalFormatting>
  <conditionalFormatting sqref="Q10:Q11">
    <cfRule type="cellIs" dxfId="849" priority="22" operator="greaterThan">
      <formula>1</formula>
    </cfRule>
    <cfRule type="cellIs" dxfId="848" priority="23" operator="lessThan">
      <formula>0.8</formula>
    </cfRule>
  </conditionalFormatting>
  <conditionalFormatting sqref="O54">
    <cfRule type="cellIs" dxfId="847" priority="16" operator="greaterThan">
      <formula>0</formula>
    </cfRule>
  </conditionalFormatting>
  <conditionalFormatting sqref="P54 AA54">
    <cfRule type="cellIs" dxfId="846" priority="19" operator="lessThan">
      <formula>0</formula>
    </cfRule>
  </conditionalFormatting>
  <conditionalFormatting sqref="Q54 AB54">
    <cfRule type="cellIs" dxfId="845" priority="17" operator="greaterThan">
      <formula>1</formula>
    </cfRule>
    <cfRule type="cellIs" dxfId="844" priority="18" operator="lessThan">
      <formula>0.8</formula>
    </cfRule>
  </conditionalFormatting>
  <conditionalFormatting sqref="R54 AC54">
    <cfRule type="cellIs" dxfId="843" priority="20" operator="lessThan">
      <formula>0.8</formula>
    </cfRule>
  </conditionalFormatting>
  <conditionalFormatting sqref="R24 AC24">
    <cfRule type="cellIs" dxfId="842" priority="15" operator="lessThan">
      <formula>0.8</formula>
    </cfRule>
  </conditionalFormatting>
  <conditionalFormatting sqref="AC24">
    <cfRule type="cellIs" dxfId="841" priority="14" operator="lessThan">
      <formula>0.8</formula>
    </cfRule>
  </conditionalFormatting>
  <conditionalFormatting sqref="O53">
    <cfRule type="cellIs" dxfId="840" priority="9" operator="greaterThan">
      <formula>0</formula>
    </cfRule>
  </conditionalFormatting>
  <conditionalFormatting sqref="P53 AA53">
    <cfRule type="cellIs" dxfId="839" priority="12" operator="lessThan">
      <formula>0</formula>
    </cfRule>
  </conditionalFormatting>
  <conditionalFormatting sqref="Q53 AB53">
    <cfRule type="cellIs" dxfId="838" priority="10" operator="greaterThan">
      <formula>1</formula>
    </cfRule>
    <cfRule type="cellIs" dxfId="837" priority="11" operator="lessThan">
      <formula>0.8</formula>
    </cfRule>
  </conditionalFormatting>
  <conditionalFormatting sqref="R53 AC53">
    <cfRule type="cellIs" dxfId="836" priority="13" operator="lessThan">
      <formula>0.8</formula>
    </cfRule>
  </conditionalFormatting>
  <conditionalFormatting sqref="P8">
    <cfRule type="cellIs" dxfId="835" priority="8" operator="lessThan">
      <formula>0</formula>
    </cfRule>
  </conditionalFormatting>
  <conditionalFormatting sqref="P17">
    <cfRule type="cellIs" dxfId="834" priority="7" operator="lessThan">
      <formula>0</formula>
    </cfRule>
  </conditionalFormatting>
  <conditionalFormatting sqref="P25">
    <cfRule type="cellIs" dxfId="833" priority="6" operator="lessThan">
      <formula>0</formula>
    </cfRule>
  </conditionalFormatting>
  <conditionalFormatting sqref="P31">
    <cfRule type="cellIs" dxfId="832" priority="5" operator="lessThan">
      <formula>0</formula>
    </cfRule>
  </conditionalFormatting>
  <conditionalFormatting sqref="P45">
    <cfRule type="cellIs" dxfId="831" priority="4" operator="lessThan">
      <formula>0</formula>
    </cfRule>
  </conditionalFormatting>
  <conditionalFormatting sqref="P51">
    <cfRule type="cellIs" dxfId="830" priority="3" operator="lessThan">
      <formula>0</formula>
    </cfRule>
  </conditionalFormatting>
  <conditionalFormatting sqref="P58">
    <cfRule type="cellIs" dxfId="829" priority="2" operator="lessThan">
      <formula>0</formula>
    </cfRule>
  </conditionalFormatting>
  <conditionalFormatting sqref="P65">
    <cfRule type="cellIs" dxfId="828" priority="1" operator="lessThan">
      <formula>0</formula>
    </cfRule>
  </conditionalFormatting>
  <dataValidations count="1">
    <dataValidation type="list" allowBlank="1" showInputMessage="1" showErrorMessage="1" sqref="Z8 Z56:Z57 Y5:Z7 Y8:Y57 Z10:Z52 Y58:Z65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9"/>
  <dimension ref="B1:Q28"/>
  <sheetViews>
    <sheetView zoomScale="70" zoomScaleNormal="70" workbookViewId="0">
      <selection activeCell="C3" sqref="C3:D3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521" t="s">
        <v>121</v>
      </c>
      <c r="C1" s="521"/>
      <c r="D1" s="521"/>
      <c r="E1" s="521"/>
      <c r="F1" s="521"/>
      <c r="G1" s="521"/>
      <c r="H1" s="521"/>
      <c r="I1" s="521"/>
      <c r="J1" s="521"/>
      <c r="K1" s="28"/>
      <c r="L1" s="28"/>
      <c r="M1" s="28"/>
      <c r="N1" s="28"/>
      <c r="O1" s="28"/>
      <c r="P1" s="28"/>
    </row>
    <row r="2" spans="2:17" ht="27.75" customHeight="1">
      <c r="B2" s="522"/>
      <c r="C2" s="522"/>
      <c r="D2" s="522"/>
      <c r="E2" s="522"/>
      <c r="F2" s="522"/>
      <c r="G2" s="522"/>
      <c r="H2" s="522"/>
      <c r="I2" s="522"/>
      <c r="J2" s="522"/>
      <c r="K2" s="30"/>
      <c r="L2" s="30"/>
      <c r="M2" s="30"/>
      <c r="N2" s="28"/>
      <c r="O2" s="28"/>
      <c r="P2" s="28"/>
    </row>
    <row r="3" spans="2:17" ht="46.5" customHeight="1">
      <c r="B3" s="232" t="s">
        <v>122</v>
      </c>
      <c r="C3" s="523" t="str">
        <f>TEXT('0814 4度C'!A2,"yyyy.mm.ddaaaa")</f>
        <v>2025.08.14星期四</v>
      </c>
      <c r="D3" s="523"/>
      <c r="E3" s="232" t="s">
        <v>123</v>
      </c>
      <c r="F3" s="524">
        <f>'0814 4度C'!D1</f>
        <v>154459</v>
      </c>
      <c r="G3" s="524"/>
      <c r="H3" s="232" t="s">
        <v>90</v>
      </c>
      <c r="I3" s="581">
        <f>'0814 4度C'!F1</f>
        <v>5220507.6900000013</v>
      </c>
      <c r="J3" s="581"/>
      <c r="K3" s="31"/>
      <c r="L3" s="32"/>
      <c r="M3" s="33"/>
      <c r="N3" s="33"/>
    </row>
    <row r="4" spans="2:17" ht="28.5" customHeight="1">
      <c r="B4" s="516" t="s">
        <v>124</v>
      </c>
      <c r="C4" s="516" t="s">
        <v>105</v>
      </c>
      <c r="D4" s="516"/>
      <c r="E4" s="526" t="s">
        <v>106</v>
      </c>
      <c r="F4" s="526"/>
      <c r="G4" s="526" t="s">
        <v>107</v>
      </c>
      <c r="H4" s="526"/>
      <c r="I4" s="526" t="s">
        <v>108</v>
      </c>
      <c r="J4" s="526"/>
      <c r="L4" s="33"/>
      <c r="M4" s="33"/>
      <c r="N4" s="33"/>
    </row>
    <row r="5" spans="2:17" ht="28.5" customHeight="1">
      <c r="B5" s="516"/>
      <c r="C5" s="516" t="s">
        <v>109</v>
      </c>
      <c r="D5" s="516"/>
      <c r="E5" s="516" t="s">
        <v>125</v>
      </c>
      <c r="F5" s="516"/>
      <c r="G5" s="517" t="s">
        <v>110</v>
      </c>
      <c r="H5" s="517"/>
      <c r="I5" s="582" t="s">
        <v>111</v>
      </c>
      <c r="J5" s="582"/>
      <c r="K5" s="33"/>
      <c r="L5" s="33"/>
      <c r="M5" s="33"/>
      <c r="N5" s="33"/>
    </row>
    <row r="6" spans="2:17" ht="28.5" customHeight="1">
      <c r="B6" s="516"/>
      <c r="C6" s="516" t="s">
        <v>43</v>
      </c>
      <c r="D6" s="516"/>
      <c r="E6" s="519">
        <f>AVERAGE(D13:M13)</f>
        <v>148.75955288102099</v>
      </c>
      <c r="F6" s="516">
        <f>AVERAGE(D27:O27,D13:J13)</f>
        <v>154.3595680421092</v>
      </c>
      <c r="G6" s="520">
        <f>AVERAGE(D13:J13)</f>
        <v>154.3595680421092</v>
      </c>
      <c r="H6" s="520"/>
      <c r="I6" s="520">
        <f>AVERAGE(K13:M13)</f>
        <v>135.69285083848192</v>
      </c>
      <c r="J6" s="520"/>
      <c r="K6" s="33"/>
      <c r="L6" s="33"/>
      <c r="M6" s="33"/>
      <c r="N6" s="33"/>
    </row>
    <row r="7" spans="2:17" ht="28.5" customHeight="1">
      <c r="B7" s="516"/>
      <c r="C7" s="510" t="s">
        <v>44</v>
      </c>
      <c r="D7" s="510"/>
      <c r="E7" s="511">
        <f>AVERAGE(D14:M14)</f>
        <v>138.41749114908686</v>
      </c>
      <c r="F7" s="512">
        <f>AVERAGE(D28:O28,D14:J14)</f>
        <v>143.88284706393577</v>
      </c>
      <c r="G7" s="513">
        <f>AVERAGE(D14:J14)</f>
        <v>143.88284706393577</v>
      </c>
      <c r="H7" s="513"/>
      <c r="I7" s="513">
        <f>AVERAGE(K14:M14)</f>
        <v>125.66499401443934</v>
      </c>
      <c r="J7" s="513"/>
      <c r="K7" s="33"/>
      <c r="L7" s="33"/>
      <c r="M7" s="33"/>
      <c r="N7" s="33"/>
    </row>
    <row r="8" spans="2:17" ht="28.5" customHeight="1">
      <c r="B8" s="516"/>
      <c r="C8" s="510" t="s">
        <v>45</v>
      </c>
      <c r="D8" s="510"/>
      <c r="E8" s="514">
        <f>AVERAGE(D15:M15)</f>
        <v>0.92986376974973461</v>
      </c>
      <c r="F8" s="510">
        <f>AVERAGE(D15:J15,D29:O29)</f>
        <v>0.93146667326764143</v>
      </c>
      <c r="G8" s="515">
        <f>AVERAGE(D15:J15)</f>
        <v>0.93146667326764143</v>
      </c>
      <c r="H8" s="515"/>
      <c r="I8" s="515">
        <f>AVERAGE(K15:M15)</f>
        <v>0.92612366154128545</v>
      </c>
      <c r="J8" s="515"/>
      <c r="K8" s="34" t="s">
        <v>126</v>
      </c>
      <c r="L8" s="33"/>
      <c r="M8" s="33"/>
      <c r="N8" s="33"/>
    </row>
    <row r="9" spans="2:17" ht="28.5" customHeight="1" thickBot="1">
      <c r="H9" s="36"/>
      <c r="N9" s="33"/>
      <c r="O9" s="33"/>
      <c r="P9" s="33"/>
      <c r="Q9" s="33"/>
    </row>
    <row r="10" spans="2:17" ht="30" customHeight="1">
      <c r="B10" s="501" t="s">
        <v>127</v>
      </c>
      <c r="C10" s="502"/>
      <c r="D10" s="503" t="s">
        <v>128</v>
      </c>
      <c r="E10" s="504"/>
      <c r="F10" s="504"/>
      <c r="G10" s="504"/>
      <c r="H10" s="504"/>
      <c r="I10" s="504"/>
      <c r="J10" s="505"/>
      <c r="K10" s="506" t="s">
        <v>851</v>
      </c>
      <c r="L10" s="583"/>
      <c r="M10" s="507"/>
      <c r="P10" s="37"/>
      <c r="Q10" s="37"/>
    </row>
    <row r="11" spans="2:17" ht="17.25" customHeight="1">
      <c r="B11" s="493" t="s">
        <v>130</v>
      </c>
      <c r="C11" s="494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39">
        <v>6</v>
      </c>
      <c r="J11" s="40">
        <v>7</v>
      </c>
      <c r="K11" s="38">
        <v>1</v>
      </c>
      <c r="L11" s="39">
        <v>2</v>
      </c>
      <c r="M11" s="40">
        <v>3</v>
      </c>
      <c r="P11" s="37"/>
      <c r="Q11" s="37"/>
    </row>
    <row r="12" spans="2:17" ht="34.15" customHeight="1">
      <c r="B12" s="493"/>
      <c r="C12" s="494"/>
      <c r="D12" s="41" t="s">
        <v>345</v>
      </c>
      <c r="E12" s="42" t="s">
        <v>346</v>
      </c>
      <c r="F12" s="42" t="s">
        <v>347</v>
      </c>
      <c r="G12" s="42" t="s">
        <v>348</v>
      </c>
      <c r="H12" s="42" t="s">
        <v>349</v>
      </c>
      <c r="I12" s="42" t="s">
        <v>350</v>
      </c>
      <c r="J12" s="43" t="s">
        <v>351</v>
      </c>
      <c r="K12" s="41" t="s">
        <v>352</v>
      </c>
      <c r="L12" s="42" t="s">
        <v>353</v>
      </c>
      <c r="M12" s="43" t="s">
        <v>354</v>
      </c>
    </row>
    <row r="13" spans="2:17" ht="40.15" customHeight="1">
      <c r="B13" s="508" t="s">
        <v>116</v>
      </c>
      <c r="C13" s="44" t="s">
        <v>852</v>
      </c>
      <c r="D13" s="45">
        <f>SUMIFS('0814 4度C'!$K:$K,'0814 4度C'!$A:$A,"新豐6線",'0814 4度C'!$B:$B,"平均")</f>
        <v>117.64705882352941</v>
      </c>
      <c r="E13" s="46">
        <f>SUMIFS('0814 4度C'!$K:$K,'0814 4度C'!$A:$A,"新豐2線",'0814 4度C'!$B:$B,"平均")</f>
        <v>83.333333333333329</v>
      </c>
      <c r="F13" s="47">
        <f>SUMIFS('0814 4度C'!$K:$K,'0814 4度C'!$A:$A,"新豐5線",'0814 4度C'!$B:$B,"平均")</f>
        <v>93.333333333333329</v>
      </c>
      <c r="G13" s="47">
        <f>SUMIFS('0814 4度C'!$K:$K,'0814 4度C'!$A:$A,"新豐7線",'0814 4度C'!$B:$B,"平均")</f>
        <v>117.64705882352941</v>
      </c>
      <c r="H13" s="47">
        <f>SUMIFS('0814 4度C'!$K:$K,'0814 4度C'!$A:$A,"新豐3線",'0814 4度C'!$B:$B,"平均")</f>
        <v>300</v>
      </c>
      <c r="I13" s="47">
        <f>SUMIFS('0814 4度C'!$K:$K,'0814 4度C'!$A:$A,"新豐1線",'0814 4度C'!$B:$B,"平均")</f>
        <v>114.4578313253012</v>
      </c>
      <c r="J13" s="48">
        <f>SUMIFS('0814 4度C'!$K:$K,'0814 4度C'!$A:$A,"新豐10線",'0814 4度C'!$B:$B,"平均")</f>
        <v>254.09836065573774</v>
      </c>
      <c r="K13" s="49">
        <f>SUMIFS('0814 4度C'!$K:$K,'0814 4度C'!$A:$A,"新豐8線",'0814 4度C'!$B:$B,"平均")</f>
        <v>139.80582524271844</v>
      </c>
      <c r="L13" s="50">
        <f>SUMIFS('0814 4度C'!$K:$K,'0814 4度C'!$A:$A,"新豐9線",'0814 4度C'!$B:$B,"平均")</f>
        <v>127.27272727272727</v>
      </c>
      <c r="M13" s="48">
        <f>SUMIFS('0814 4度C'!$K:$K,'0814 4度C'!$A:$A,"新豐4線",'0814 4度C'!$B:$B,"平均")</f>
        <v>140</v>
      </c>
    </row>
    <row r="14" spans="2:17" ht="39.6" customHeight="1">
      <c r="B14" s="508"/>
      <c r="C14" s="51" t="s">
        <v>853</v>
      </c>
      <c r="D14" s="52">
        <f>SUMIFS('0814 4度C'!$N:$N,'0814 4度C'!$A:$A,"新豐6線",'0814 4度C'!$B:$B,"平均")</f>
        <v>110.06449948400406</v>
      </c>
      <c r="E14" s="53">
        <f>SUMIFS('0814 4度C'!$N:$N,'0814 4度C'!$A:$A,"新豐2線",'0814 4度C'!$B:$B,"平均")</f>
        <v>77.071719327342805</v>
      </c>
      <c r="F14" s="53">
        <f>SUMIFS('0814 4度C'!$N:$N,'0814 4度C'!$A:$A,"新豐5線",'0814 4度C'!$B:$B,"平均")</f>
        <v>86.141077858892203</v>
      </c>
      <c r="G14" s="53">
        <f>SUMIFS('0814 4度C'!$N:$N,'0814 4度C'!$A:$A,"新豐7線",'0814 4度C'!$B:$B,"平均")</f>
        <v>111.12872432540459</v>
      </c>
      <c r="H14" s="53">
        <f>SUMIFS('0814 4度C'!$N:$N,'0814 4度C'!$A:$A,"新豐3線",'0814 4度C'!$B:$B,"平均")</f>
        <v>279.46285256872522</v>
      </c>
      <c r="I14" s="53">
        <f>SUMIFS('0814 4度C'!$N:$N,'0814 4度C'!$A:$A,"新豐1線",'0814 4度C'!$B:$B,"平均")</f>
        <v>106.15446061890825</v>
      </c>
      <c r="J14" s="54">
        <f>SUMIFS('0814 4度C'!$N:$N,'0814 4度C'!$A:$A,"新豐10線",'0814 4度C'!$B:$B,"平均")</f>
        <v>237.15659526427325</v>
      </c>
      <c r="K14" s="55">
        <f>SUMIFS('0814 4度C'!$N:$N,'0814 4度C'!$A:$A,"新豐8線",'0814 4度C'!$B:$B,"平均")</f>
        <v>129.64259898773463</v>
      </c>
      <c r="L14" s="56">
        <f>SUMIFS('0814 4度C'!$N:$N,'0814 4度C'!$A:$A,"新豐9線",'0814 4度C'!$B:$B,"平均")</f>
        <v>117.96896638761132</v>
      </c>
      <c r="M14" s="54">
        <f>SUMIFS('0814 4度C'!$N:$N,'0814 4度C'!$A:$A,"新豐4線",'0814 4度C'!$B:$B,"平均")</f>
        <v>129.38341666797209</v>
      </c>
    </row>
    <row r="15" spans="2:17" ht="40.15" customHeight="1">
      <c r="B15" s="508"/>
      <c r="C15" s="57" t="s">
        <v>854</v>
      </c>
      <c r="D15" s="58">
        <f>D14/D13</f>
        <v>0.9355482456140346</v>
      </c>
      <c r="E15" s="59">
        <f t="shared" ref="E15:M15" si="0">E14/E13</f>
        <v>0.92486063192811374</v>
      </c>
      <c r="F15" s="59">
        <f t="shared" si="0"/>
        <v>0.92294011991670222</v>
      </c>
      <c r="G15" s="59">
        <f t="shared" si="0"/>
        <v>0.94459415676593905</v>
      </c>
      <c r="H15" s="59">
        <f>H14/H13</f>
        <v>0.93154284189575076</v>
      </c>
      <c r="I15" s="59">
        <f>I14/I13</f>
        <v>0.92745476119677739</v>
      </c>
      <c r="J15" s="60">
        <f>J14/J13</f>
        <v>0.93332595555617204</v>
      </c>
      <c r="K15" s="58">
        <f>K14/K13</f>
        <v>0.92730470109282415</v>
      </c>
      <c r="L15" s="59">
        <f>L14/L13</f>
        <v>0.92689902161694615</v>
      </c>
      <c r="M15" s="60">
        <f t="shared" si="0"/>
        <v>0.92416726191408627</v>
      </c>
    </row>
    <row r="16" spans="2:17" ht="17.25" customHeight="1">
      <c r="B16" s="509" t="s">
        <v>855</v>
      </c>
      <c r="C16" s="231" t="s">
        <v>71</v>
      </c>
      <c r="D16" s="61">
        <f>VLOOKUP("新豐6線",'0814 4度C'!$A:$T,19,0)</f>
        <v>0.70833333333333337</v>
      </c>
      <c r="E16" s="24">
        <f>VLOOKUP("新豐2線",'0814 4度C'!$A:$T,19,0)</f>
        <v>0.125</v>
      </c>
      <c r="F16" s="24">
        <f>VLOOKUP("新豐5線",'0814 4度C'!$A:$T,19,0)</f>
        <v>0.25</v>
      </c>
      <c r="G16" s="24">
        <f>VLOOKUP("新豐7線",'0814 4度C'!$A:$T,19,0)</f>
        <v>0.20833333333333334</v>
      </c>
      <c r="H16" s="24">
        <f>VLOOKUP("新豐3線",'0814 4度C'!$A:$T,19,0)</f>
        <v>0.20833333333333334</v>
      </c>
      <c r="I16" s="24">
        <f>VLOOKUP("新豐1線",'0814 4度C'!$A:$T,19,0)</f>
        <v>0.29166666666666669</v>
      </c>
      <c r="J16" s="62">
        <f>VLOOKUP("新豐10線",'0814 4度C'!$A:$T,19,0)</f>
        <v>0.20833333333333334</v>
      </c>
      <c r="K16" s="63">
        <f>VLOOKUP("新豐8線",'0814 4度C'!$A:$T,19,0)</f>
        <v>0.125</v>
      </c>
      <c r="L16" s="64">
        <f>VLOOKUP("新豐9線",'0814 4度C'!$A:$T,19,0)</f>
        <v>0.125</v>
      </c>
      <c r="M16" s="65">
        <f>VLOOKUP("新豐4線",'0814 4度C'!$A:$T,19,0)</f>
        <v>0.125</v>
      </c>
    </row>
    <row r="17" spans="2:13" ht="17.25" customHeight="1">
      <c r="B17" s="493"/>
      <c r="C17" s="231" t="s">
        <v>144</v>
      </c>
      <c r="D17" s="63">
        <f>LOOKUP(2,1/(('0814 4度C'!$A:$A="新豐6線")*('0814 4度C'!$T:$T&lt;&gt;"")),'0814 4度C'!$T:$T)</f>
        <v>0.81527777777777777</v>
      </c>
      <c r="E17" s="24">
        <f>LOOKUP(2,1/(('0814 4度C'!$A:$A="新豐2線")*('0814 4度C'!$T:$T&lt;&gt;"")),'0814 4度C'!$T:$T)</f>
        <v>0.62291666666666656</v>
      </c>
      <c r="F17" s="24">
        <f>LOOKUP(2,1/(('0814 4度C'!$A:$A="新豐5線")*('0814 4度C'!$T:$T&lt;&gt;"")),'0814 4度C'!$T:$T)</f>
        <v>0.83402777777777781</v>
      </c>
      <c r="G17" s="24">
        <f>LOOKUP(2,1/(('0814 4度C'!$A:$A="新豐7線")*('0814 4度C'!$T:$T&lt;&gt;"")),'0814 4度C'!$T:$T)</f>
        <v>0.80833333333333324</v>
      </c>
      <c r="H17" s="24">
        <f>LOOKUP(2,1/(('0814 4度C'!$A:$A="新豐3線")*('0814 4度C'!$T:$T&lt;&gt;"")),'0814 4度C'!$T:$T)</f>
        <v>0.5958333333333331</v>
      </c>
      <c r="I17" s="24">
        <f>LOOKUP(2,1/(('0814 4度C'!$A:$A="新豐1線")*('0814 4度C'!$T:$T&lt;&gt;"")),'0814 4度C'!$T:$T)</f>
        <v>0.82916666666666661</v>
      </c>
      <c r="J17" s="62">
        <f>LOOKUP(2,1/(('0814 4度C'!$A:$A="新豐10線")*('0814 4度C'!$T:$T&lt;&gt;"")),'0814 4度C'!$T:$T)</f>
        <v>0.48263888888888884</v>
      </c>
      <c r="K17" s="61">
        <f>LOOKUP(2,1/(('0814 4度C'!$A:$A="新豐8線")*('0814 4度C'!$T:$T&lt;&gt;"")),'0814 4度C'!$T:$T)</f>
        <v>0.61736111111111103</v>
      </c>
      <c r="L17" s="24">
        <f>LOOKUP(2,1/(('0814 4度C'!$A:$A="新豐9線")*('0814 4度C'!$T:$T&lt;&gt;"")),'0814 4度C'!$T:$T)</f>
        <v>0.60555555555555551</v>
      </c>
      <c r="M17" s="62">
        <f>LOOKUP(2,1/(('0814 4度C'!$A:$A="新豐4線")*('0814 4度C'!$T:$T&lt;&gt;"")),'0814 4度C'!$T:$T)</f>
        <v>0.64583333333333326</v>
      </c>
    </row>
    <row r="18" spans="2:13" ht="17.25" customHeight="1">
      <c r="B18" s="493" t="s">
        <v>91</v>
      </c>
      <c r="C18" s="494"/>
      <c r="D18" s="66">
        <f>SUMIFS('0814 4度C'!$I:$I,'0814 4度C'!$A:$A,"新豐6線",'0814 4度C'!$B:$B,"平均")</f>
        <v>17</v>
      </c>
      <c r="E18" s="67">
        <f>SUMIFS('0814 4度C'!$I:$I,'0814 4度C'!$A:$A,"新豐2線",'0814 4度C'!$B:$B,"平均")</f>
        <v>18</v>
      </c>
      <c r="F18" s="67">
        <f>SUMIFS('0814 4度C'!$I:$I,'0814 4度C'!$A:$A,"新豐5線",'0814 4度C'!$B:$B,"平均")</f>
        <v>18.75</v>
      </c>
      <c r="G18" s="67">
        <f>SUMIFS('0814 4度C'!$I:$I,'0814 4度C'!$A:$A,"新豐7線",'0814 4度C'!$B:$B,"平均")</f>
        <v>17</v>
      </c>
      <c r="H18" s="67">
        <f>SUMIFS('0814 4度C'!$I:$I,'0814 4度C'!$A:$A,"新豐3線",'0814 4度C'!$B:$B,"平均")</f>
        <v>10</v>
      </c>
      <c r="I18" s="67">
        <f>SUMIFS('0814 4度C'!$I:$I,'0814 4度C'!$A:$A,"新豐1線",'0814 4度C'!$B:$B,"平均")</f>
        <v>16.600000000000001</v>
      </c>
      <c r="J18" s="68">
        <f>SUMIFS('0814 4度C'!$I:$I,'0814 4度C'!$A:$A,"新豐10線",'0814 4度C'!$B:$B,"平均")</f>
        <v>10.166666666666666</v>
      </c>
      <c r="K18" s="66">
        <f>SUMIFS('0814 4度C'!$I:$I,'0814 4度C'!$A:$A,"新豐8線",'0814 4度C'!$B:$B,"平均")</f>
        <v>17.166666666666668</v>
      </c>
      <c r="L18" s="67">
        <f>SUMIFS('0814 4度C'!$I:$I,'0814 4度C'!$A:$A,"新豐9線",'0814 4度C'!$B:$B,"平均")</f>
        <v>18.857142857142858</v>
      </c>
      <c r="M18" s="68">
        <f>SUMIFS('0814 4度C'!$I:$I,'0814 4度C'!$A:$A,"新豐4線",'0814 4度C'!$B:$B,"平均")</f>
        <v>17.142857142857142</v>
      </c>
    </row>
    <row r="19" spans="2:13" ht="17.25" customHeight="1">
      <c r="B19" s="495" t="s">
        <v>92</v>
      </c>
      <c r="C19" s="496"/>
      <c r="D19" s="69" t="s">
        <v>46</v>
      </c>
      <c r="E19" s="70" t="s">
        <v>47</v>
      </c>
      <c r="F19" s="70" t="s">
        <v>856</v>
      </c>
      <c r="G19" s="70" t="s">
        <v>93</v>
      </c>
      <c r="H19" s="70" t="s">
        <v>48</v>
      </c>
      <c r="I19" s="70" t="s">
        <v>46</v>
      </c>
      <c r="J19" s="71" t="s">
        <v>48</v>
      </c>
      <c r="K19" s="69" t="s">
        <v>857</v>
      </c>
      <c r="L19" s="70" t="s">
        <v>72</v>
      </c>
      <c r="M19" s="71" t="s">
        <v>72</v>
      </c>
    </row>
    <row r="20" spans="2:13" ht="17.25" customHeight="1">
      <c r="B20" s="495" t="s">
        <v>148</v>
      </c>
      <c r="C20" s="496"/>
      <c r="D20" s="69"/>
      <c r="E20" s="70"/>
      <c r="F20" s="70" t="s">
        <v>149</v>
      </c>
      <c r="G20" s="70" t="s">
        <v>46</v>
      </c>
      <c r="H20" s="70"/>
      <c r="I20" s="70"/>
      <c r="J20" s="71"/>
      <c r="K20" s="69"/>
      <c r="L20" s="70"/>
      <c r="M20" s="71"/>
    </row>
    <row r="21" spans="2:13" ht="17.25" customHeight="1" thickBot="1">
      <c r="B21" s="497" t="s">
        <v>858</v>
      </c>
      <c r="C21" s="498"/>
      <c r="D21" s="72"/>
      <c r="E21" s="73" t="s">
        <v>150</v>
      </c>
      <c r="F21" s="499" t="s">
        <v>95</v>
      </c>
      <c r="G21" s="500"/>
      <c r="H21" s="73" t="s">
        <v>73</v>
      </c>
      <c r="I21" s="73" t="s">
        <v>152</v>
      </c>
      <c r="J21" s="74" t="s">
        <v>73</v>
      </c>
      <c r="K21" s="75"/>
      <c r="L21" s="73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82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0">
    <pageSetUpPr fitToPage="1"/>
  </sheetPr>
  <dimension ref="A1:AC71"/>
  <sheetViews>
    <sheetView zoomScale="80" zoomScaleNormal="80" workbookViewId="0">
      <pane ySplit="4" topLeftCell="A5" activePane="bottomLeft" state="frozen"/>
      <selection activeCell="C3" sqref="C3:D3"/>
      <selection pane="bottomLeft" activeCell="C3" sqref="C3:D3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112</v>
      </c>
      <c r="B1" s="1"/>
      <c r="C1" s="2" t="s">
        <v>859</v>
      </c>
      <c r="D1" s="3">
        <f>SUM(F5:F70)</f>
        <v>154459</v>
      </c>
      <c r="E1" s="233" t="s">
        <v>113</v>
      </c>
      <c r="F1" s="1">
        <f>SUM(G5:G70)</f>
        <v>5220507.6900000013</v>
      </c>
      <c r="G1" s="1" t="s">
        <v>860</v>
      </c>
      <c r="H1" s="4">
        <f>L8+L13+L49+L55+L18+L62+L33+L41+L26+L70</f>
        <v>160.68333333333334</v>
      </c>
      <c r="I1" s="572" t="s">
        <v>861</v>
      </c>
      <c r="J1" s="572"/>
      <c r="K1" s="572"/>
      <c r="L1" s="572" t="s">
        <v>862</v>
      </c>
      <c r="M1" s="572"/>
      <c r="N1" s="572"/>
      <c r="O1" s="572" t="s">
        <v>863</v>
      </c>
      <c r="P1" s="572"/>
      <c r="Q1" s="572"/>
      <c r="R1" s="572"/>
      <c r="S1" s="572" t="s">
        <v>98</v>
      </c>
      <c r="T1" s="572"/>
      <c r="U1" s="572"/>
      <c r="V1" s="572"/>
      <c r="W1" s="572"/>
      <c r="X1" s="572"/>
      <c r="Y1" s="572" t="s">
        <v>864</v>
      </c>
      <c r="Z1" s="572"/>
      <c r="AA1" s="572" t="s">
        <v>155</v>
      </c>
      <c r="AB1" s="573"/>
      <c r="AC1" s="573"/>
    </row>
    <row r="2" spans="1:29" ht="26.25" customHeight="1">
      <c r="A2" s="22">
        <v>45883</v>
      </c>
      <c r="B2" s="23" t="s">
        <v>337</v>
      </c>
      <c r="C2" s="2" t="s">
        <v>116</v>
      </c>
      <c r="D2" s="6">
        <f>AVERAGE(N8,N13,N49,N55,N18,N62,N26,N33,N41,N70)</f>
        <v>138.41749114908686</v>
      </c>
      <c r="E2" s="7" t="s">
        <v>0</v>
      </c>
      <c r="F2" s="8">
        <f>F1/D1</f>
        <v>33.798663010896107</v>
      </c>
      <c r="G2" s="1" t="s">
        <v>117</v>
      </c>
      <c r="H2" s="244">
        <f>COUNT(H5:H70)</f>
        <v>5</v>
      </c>
      <c r="I2" s="572"/>
      <c r="J2" s="572"/>
      <c r="K2" s="572"/>
      <c r="L2" s="572"/>
      <c r="M2" s="572"/>
      <c r="N2" s="572"/>
      <c r="O2" s="572"/>
      <c r="P2" s="572"/>
      <c r="Q2" s="572"/>
      <c r="R2" s="572"/>
      <c r="S2" s="572"/>
      <c r="T2" s="572"/>
      <c r="U2" s="572"/>
      <c r="V2" s="572"/>
      <c r="W2" s="572"/>
      <c r="X2" s="572"/>
      <c r="Y2" s="572"/>
      <c r="Z2" s="572"/>
      <c r="AA2" s="573"/>
      <c r="AB2" s="573"/>
      <c r="AC2" s="573"/>
    </row>
    <row r="3" spans="1:29" ht="23.25" customHeight="1">
      <c r="A3" s="528" t="s">
        <v>865</v>
      </c>
      <c r="B3" s="528" t="s">
        <v>866</v>
      </c>
      <c r="C3" s="528" t="s">
        <v>119</v>
      </c>
      <c r="D3" s="528"/>
      <c r="E3" s="570" t="s">
        <v>867</v>
      </c>
      <c r="F3" s="528" t="s">
        <v>120</v>
      </c>
      <c r="G3" s="570" t="s">
        <v>158</v>
      </c>
      <c r="H3" s="563" t="s">
        <v>868</v>
      </c>
      <c r="I3" s="561" t="s">
        <v>101</v>
      </c>
      <c r="J3" s="566" t="s">
        <v>100</v>
      </c>
      <c r="K3" s="568" t="s">
        <v>116</v>
      </c>
      <c r="L3" s="561" t="s">
        <v>869</v>
      </c>
      <c r="M3" s="566" t="s">
        <v>870</v>
      </c>
      <c r="N3" s="568" t="s">
        <v>116</v>
      </c>
      <c r="O3" s="561" t="s">
        <v>869</v>
      </c>
      <c r="P3" s="568" t="s">
        <v>116</v>
      </c>
      <c r="Q3" s="567" t="s">
        <v>102</v>
      </c>
      <c r="R3" s="542" t="s">
        <v>86</v>
      </c>
      <c r="S3" s="569" t="s">
        <v>1</v>
      </c>
      <c r="T3" s="569"/>
      <c r="U3" s="563" t="s">
        <v>2</v>
      </c>
      <c r="V3" s="563" t="s">
        <v>871</v>
      </c>
      <c r="W3" s="528" t="s">
        <v>872</v>
      </c>
      <c r="X3" s="528"/>
      <c r="Y3" s="564" t="s">
        <v>873</v>
      </c>
      <c r="Z3" s="565"/>
      <c r="AA3" s="566" t="s">
        <v>870</v>
      </c>
      <c r="AB3" s="567" t="s">
        <v>102</v>
      </c>
      <c r="AC3" s="542" t="s">
        <v>874</v>
      </c>
    </row>
    <row r="4" spans="1:29">
      <c r="A4" s="528"/>
      <c r="B4" s="528"/>
      <c r="C4" s="528"/>
      <c r="D4" s="528"/>
      <c r="E4" s="571"/>
      <c r="F4" s="528"/>
      <c r="G4" s="571"/>
      <c r="H4" s="563"/>
      <c r="I4" s="561"/>
      <c r="J4" s="566"/>
      <c r="K4" s="568"/>
      <c r="L4" s="561"/>
      <c r="M4" s="566"/>
      <c r="N4" s="568"/>
      <c r="O4" s="561"/>
      <c r="P4" s="568"/>
      <c r="Q4" s="567"/>
      <c r="R4" s="542"/>
      <c r="S4" s="243" t="s">
        <v>3</v>
      </c>
      <c r="T4" s="243" t="s">
        <v>4</v>
      </c>
      <c r="U4" s="563"/>
      <c r="V4" s="563"/>
      <c r="W4" s="233" t="s">
        <v>103</v>
      </c>
      <c r="X4" s="233" t="s">
        <v>875</v>
      </c>
      <c r="Y4" s="565"/>
      <c r="Z4" s="565"/>
      <c r="AA4" s="566"/>
      <c r="AB4" s="567"/>
      <c r="AC4" s="542"/>
    </row>
    <row r="5" spans="1:29">
      <c r="A5" s="560" t="s">
        <v>366</v>
      </c>
      <c r="B5" s="26" t="s">
        <v>13</v>
      </c>
      <c r="C5" s="562" t="s">
        <v>53</v>
      </c>
      <c r="D5" s="562"/>
      <c r="E5" s="26">
        <v>46.93</v>
      </c>
      <c r="F5" s="243">
        <v>767</v>
      </c>
      <c r="G5" s="233">
        <f>E5*F5</f>
        <v>35995.31</v>
      </c>
      <c r="H5" s="245" t="s">
        <v>52</v>
      </c>
      <c r="I5" s="241">
        <v>17</v>
      </c>
      <c r="J5" s="18">
        <v>2000</v>
      </c>
      <c r="K5" s="9">
        <f>J5/I5</f>
        <v>117.64705882352941</v>
      </c>
      <c r="L5" s="241">
        <v>17</v>
      </c>
      <c r="M5" s="10">
        <f>F5/V5*60</f>
        <v>1917.4999999999939</v>
      </c>
      <c r="N5" s="9">
        <f>M5/L5</f>
        <v>112.79411764705846</v>
      </c>
      <c r="O5" s="11">
        <f t="shared" ref="O5:O7" si="0">L5-I5</f>
        <v>0</v>
      </c>
      <c r="P5" s="12">
        <f t="shared" ref="P5:P7" si="1">N5-K5</f>
        <v>-4.8529411764709494</v>
      </c>
      <c r="Q5" s="234">
        <f>N5/K5</f>
        <v>0.95874999999999688</v>
      </c>
      <c r="R5" s="533">
        <f>Q8</f>
        <v>0.9355482456140346</v>
      </c>
      <c r="S5" s="24">
        <v>0.70833333333333337</v>
      </c>
      <c r="T5" s="24">
        <v>0.72500000000000009</v>
      </c>
      <c r="U5" s="233"/>
      <c r="V5" s="242">
        <f>(T5-S5)*24*60</f>
        <v>24.000000000000075</v>
      </c>
      <c r="W5" s="14"/>
      <c r="X5" s="13"/>
      <c r="Y5" s="528"/>
      <c r="Z5" s="528"/>
      <c r="AA5" s="11">
        <f t="shared" ref="AA5:AA68" si="2">M5-J5</f>
        <v>-82.500000000006139</v>
      </c>
      <c r="AB5" s="234">
        <f t="shared" ref="AB5:AB7" si="3">M5/J5</f>
        <v>0.95874999999999688</v>
      </c>
      <c r="AC5" s="533">
        <f>AB8</f>
        <v>0.93554824561403449</v>
      </c>
    </row>
    <row r="6" spans="1:29">
      <c r="A6" s="561" t="s">
        <v>366</v>
      </c>
      <c r="B6" s="26" t="s">
        <v>13</v>
      </c>
      <c r="C6" s="562" t="s">
        <v>55</v>
      </c>
      <c r="D6" s="562"/>
      <c r="E6" s="26">
        <v>50.49</v>
      </c>
      <c r="F6" s="243">
        <v>1748</v>
      </c>
      <c r="G6" s="233">
        <f t="shared" ref="G6:G7" si="4">E6*F6</f>
        <v>88256.52</v>
      </c>
      <c r="H6" s="245" t="s">
        <v>52</v>
      </c>
      <c r="I6" s="241">
        <v>16</v>
      </c>
      <c r="J6" s="18">
        <v>2000</v>
      </c>
      <c r="K6" s="9">
        <f t="shared" ref="K6:K7" si="5">J6/I6</f>
        <v>125</v>
      </c>
      <c r="L6" s="241">
        <v>16</v>
      </c>
      <c r="M6" s="10">
        <f>F6/V6*60</f>
        <v>1840.0000000000014</v>
      </c>
      <c r="N6" s="9">
        <f t="shared" ref="N6:N7" si="6">M6/L6</f>
        <v>115.00000000000009</v>
      </c>
      <c r="O6" s="11">
        <f t="shared" si="0"/>
        <v>0</v>
      </c>
      <c r="P6" s="12">
        <f t="shared" si="1"/>
        <v>-9.9999999999999147</v>
      </c>
      <c r="Q6" s="234">
        <f t="shared" ref="Q6:Q7" si="7">N6/K6</f>
        <v>0.92000000000000071</v>
      </c>
      <c r="R6" s="533"/>
      <c r="S6" s="24">
        <v>0.73055555555555562</v>
      </c>
      <c r="T6" s="24">
        <v>0.77013888888888893</v>
      </c>
      <c r="U6" s="233">
        <f>(S6-T5)*24*60</f>
        <v>7.9999999999999716</v>
      </c>
      <c r="V6" s="242">
        <f>(T6-S6)*24*60</f>
        <v>56.999999999999957</v>
      </c>
      <c r="W6" s="14"/>
      <c r="X6" s="14"/>
      <c r="Y6" s="528"/>
      <c r="Z6" s="528"/>
      <c r="AA6" s="11">
        <f t="shared" si="2"/>
        <v>-159.99999999999864</v>
      </c>
      <c r="AB6" s="234">
        <f t="shared" si="3"/>
        <v>0.92000000000000071</v>
      </c>
      <c r="AC6" s="533"/>
    </row>
    <row r="7" spans="1:29">
      <c r="A7" s="561" t="s">
        <v>876</v>
      </c>
      <c r="B7" s="26" t="s">
        <v>13</v>
      </c>
      <c r="C7" s="558" t="s">
        <v>76</v>
      </c>
      <c r="D7" s="559"/>
      <c r="E7" s="26">
        <v>50.67</v>
      </c>
      <c r="F7" s="243">
        <v>1763</v>
      </c>
      <c r="G7" s="233">
        <f t="shared" si="4"/>
        <v>89331.21</v>
      </c>
      <c r="H7" s="245" t="s">
        <v>52</v>
      </c>
      <c r="I7" s="241">
        <v>18</v>
      </c>
      <c r="J7" s="18">
        <v>2000</v>
      </c>
      <c r="K7" s="9">
        <f t="shared" si="5"/>
        <v>111.11111111111111</v>
      </c>
      <c r="L7" s="241">
        <v>18</v>
      </c>
      <c r="M7" s="10">
        <f t="shared" ref="M7" si="8">F7/V7*60</f>
        <v>1855.789473684212</v>
      </c>
      <c r="N7" s="9">
        <f t="shared" si="6"/>
        <v>103.09941520467845</v>
      </c>
      <c r="O7" s="11">
        <f t="shared" si="0"/>
        <v>0</v>
      </c>
      <c r="P7" s="12">
        <f t="shared" si="1"/>
        <v>-8.0116959064326636</v>
      </c>
      <c r="Q7" s="234">
        <f t="shared" si="7"/>
        <v>0.92789473684210599</v>
      </c>
      <c r="R7" s="533"/>
      <c r="S7" s="24">
        <v>0.77569444444444446</v>
      </c>
      <c r="T7" s="24">
        <v>0.81527777777777777</v>
      </c>
      <c r="U7" s="233">
        <f t="shared" ref="U7" si="9">(S7-T6)*24*60</f>
        <v>7.9999999999999716</v>
      </c>
      <c r="V7" s="242">
        <f t="shared" ref="V7" si="10">(T7-S7)*24*60</f>
        <v>56.999999999999957</v>
      </c>
      <c r="W7" s="14"/>
      <c r="X7" s="14"/>
      <c r="Y7" s="536"/>
      <c r="Z7" s="537"/>
      <c r="AA7" s="11">
        <f t="shared" si="2"/>
        <v>-144.210526315788</v>
      </c>
      <c r="AB7" s="234">
        <f t="shared" si="3"/>
        <v>0.92789473684210599</v>
      </c>
      <c r="AC7" s="533"/>
    </row>
    <row r="8" spans="1:29">
      <c r="A8" s="561" t="s">
        <v>876</v>
      </c>
      <c r="B8" s="26" t="s">
        <v>877</v>
      </c>
      <c r="C8" s="530"/>
      <c r="D8" s="530"/>
      <c r="E8" s="235"/>
      <c r="F8" s="16"/>
      <c r="G8" s="9"/>
      <c r="H8" s="243"/>
      <c r="I8" s="17">
        <v>17</v>
      </c>
      <c r="J8" s="18">
        <v>2000</v>
      </c>
      <c r="K8" s="9">
        <f>J8/I8</f>
        <v>117.64705882352941</v>
      </c>
      <c r="L8" s="17">
        <v>17</v>
      </c>
      <c r="M8" s="10">
        <f>AVERAGE(M5:M7)</f>
        <v>1871.096491228069</v>
      </c>
      <c r="N8" s="9">
        <f>M8/L8</f>
        <v>110.06449948400406</v>
      </c>
      <c r="O8" s="11">
        <f>L8-I8</f>
        <v>0</v>
      </c>
      <c r="P8" s="12">
        <f>N8-K8</f>
        <v>-7.5825593395253463</v>
      </c>
      <c r="Q8" s="234">
        <f>N8/K8</f>
        <v>0.9355482456140346</v>
      </c>
      <c r="R8" s="533"/>
      <c r="S8" s="24"/>
      <c r="T8" s="24"/>
      <c r="U8" s="233"/>
      <c r="V8" s="242"/>
      <c r="W8" s="9"/>
      <c r="X8" s="9"/>
      <c r="Y8" s="528"/>
      <c r="Z8" s="528"/>
      <c r="AA8" s="11">
        <f t="shared" si="2"/>
        <v>-128.903508771931</v>
      </c>
      <c r="AB8" s="234">
        <f>M8/J8</f>
        <v>0.93554824561403449</v>
      </c>
      <c r="AC8" s="533"/>
    </row>
    <row r="9" spans="1:29" ht="15.75" customHeight="1">
      <c r="A9" s="531" t="s">
        <v>369</v>
      </c>
      <c r="B9" s="26" t="s">
        <v>15</v>
      </c>
      <c r="C9" s="558" t="s">
        <v>16</v>
      </c>
      <c r="D9" s="559"/>
      <c r="E9" s="26">
        <v>39.619999999999997</v>
      </c>
      <c r="F9" s="243">
        <v>4498</v>
      </c>
      <c r="G9" s="233">
        <f t="shared" ref="G9:G12" si="11">E9*F9</f>
        <v>178210.75999999998</v>
      </c>
      <c r="H9" s="245" t="s">
        <v>52</v>
      </c>
      <c r="I9" s="241">
        <v>19</v>
      </c>
      <c r="J9" s="18">
        <v>1500</v>
      </c>
      <c r="K9" s="9">
        <f t="shared" ref="K9:K12" si="12">J9/I9</f>
        <v>78.94736842105263</v>
      </c>
      <c r="L9" s="241">
        <v>19</v>
      </c>
      <c r="M9" s="10">
        <f t="shared" ref="M9:M12" si="13">F9/V9*60</f>
        <v>1391.1340206185571</v>
      </c>
      <c r="N9" s="9">
        <f t="shared" ref="N9:N12" si="14">M9/L9</f>
        <v>73.217580032555631</v>
      </c>
      <c r="O9" s="11">
        <f t="shared" ref="O9:O12" si="15">L9-I9</f>
        <v>0</v>
      </c>
      <c r="P9" s="12">
        <f>N9-K9</f>
        <v>-5.7297883884969991</v>
      </c>
      <c r="Q9" s="234">
        <f>N9/K9</f>
        <v>0.9274226804123713</v>
      </c>
      <c r="R9" s="533">
        <f>Q13</f>
        <v>0.92486063192811374</v>
      </c>
      <c r="S9" s="24">
        <v>0.125</v>
      </c>
      <c r="T9" s="24">
        <v>0.25972222222222219</v>
      </c>
      <c r="U9" s="233"/>
      <c r="V9" s="242">
        <f t="shared" ref="V9:V12" si="16">(T9-S9)*24*60</f>
        <v>193.99999999999994</v>
      </c>
      <c r="W9" s="14">
        <f>T9</f>
        <v>0.25972222222222219</v>
      </c>
      <c r="X9" s="14">
        <f>S10</f>
        <v>0.2805555555555555</v>
      </c>
      <c r="Y9" s="528"/>
      <c r="Z9" s="528"/>
      <c r="AA9" s="11">
        <f t="shared" si="2"/>
        <v>-108.86597938144291</v>
      </c>
      <c r="AB9" s="234">
        <f>M9/J9</f>
        <v>0.92742268041237141</v>
      </c>
      <c r="AC9" s="533">
        <f>AB13</f>
        <v>0.92486063192811363</v>
      </c>
    </row>
    <row r="10" spans="1:29" ht="15.75" customHeight="1">
      <c r="A10" s="531" t="s">
        <v>878</v>
      </c>
      <c r="B10" s="26" t="s">
        <v>15</v>
      </c>
      <c r="C10" s="558" t="s">
        <v>17</v>
      </c>
      <c r="D10" s="559"/>
      <c r="E10" s="26">
        <v>39.799999999999997</v>
      </c>
      <c r="F10" s="243">
        <v>2600</v>
      </c>
      <c r="G10" s="233">
        <f t="shared" si="11"/>
        <v>103479.99999999999</v>
      </c>
      <c r="H10" s="245">
        <v>2</v>
      </c>
      <c r="I10" s="241">
        <v>17</v>
      </c>
      <c r="J10" s="18">
        <v>1500</v>
      </c>
      <c r="K10" s="9">
        <f t="shared" si="12"/>
        <v>88.235294117647058</v>
      </c>
      <c r="L10" s="241">
        <v>17</v>
      </c>
      <c r="M10" s="10">
        <f t="shared" si="13"/>
        <v>1380.5309734513273</v>
      </c>
      <c r="N10" s="9">
        <f t="shared" si="14"/>
        <v>81.207704320666309</v>
      </c>
      <c r="O10" s="11">
        <f t="shared" si="15"/>
        <v>0</v>
      </c>
      <c r="P10" s="12">
        <f t="shared" ref="P10:P12" si="17">N10-K10</f>
        <v>-7.0275897969807488</v>
      </c>
      <c r="Q10" s="234">
        <f t="shared" ref="Q10:Q12" si="18">N10/K10</f>
        <v>0.92035398230088483</v>
      </c>
      <c r="R10" s="533"/>
      <c r="S10" s="24">
        <v>0.2805555555555555</v>
      </c>
      <c r="T10" s="24">
        <v>0.35902777777777772</v>
      </c>
      <c r="U10" s="233">
        <f>(S10-T9)*24*60</f>
        <v>29.999999999999972</v>
      </c>
      <c r="V10" s="242">
        <f t="shared" si="16"/>
        <v>113</v>
      </c>
      <c r="W10" s="14"/>
      <c r="X10" s="14"/>
      <c r="Y10" s="528"/>
      <c r="Z10" s="528"/>
      <c r="AA10" s="11">
        <f t="shared" si="2"/>
        <v>-119.46902654867267</v>
      </c>
      <c r="AB10" s="234">
        <f t="shared" ref="AB10:AB26" si="19">M10/J10</f>
        <v>0.92035398230088483</v>
      </c>
      <c r="AC10" s="533"/>
    </row>
    <row r="11" spans="1:29" ht="15.75" customHeight="1">
      <c r="A11" s="531" t="s">
        <v>369</v>
      </c>
      <c r="B11" s="26" t="s">
        <v>15</v>
      </c>
      <c r="C11" s="558" t="s">
        <v>80</v>
      </c>
      <c r="D11" s="559"/>
      <c r="E11" s="26">
        <v>39.29</v>
      </c>
      <c r="F11" s="243">
        <v>3748</v>
      </c>
      <c r="G11" s="233">
        <f t="shared" si="11"/>
        <v>147258.91999999998</v>
      </c>
      <c r="H11" s="245" t="s">
        <v>52</v>
      </c>
      <c r="I11" s="241">
        <v>19</v>
      </c>
      <c r="J11" s="18">
        <v>1500</v>
      </c>
      <c r="K11" s="9">
        <f t="shared" si="12"/>
        <v>78.94736842105263</v>
      </c>
      <c r="L11" s="241">
        <v>19</v>
      </c>
      <c r="M11" s="10">
        <f t="shared" si="13"/>
        <v>1388.1481481481485</v>
      </c>
      <c r="N11" s="9">
        <f t="shared" si="14"/>
        <v>73.06042884990255</v>
      </c>
      <c r="O11" s="11">
        <f t="shared" si="15"/>
        <v>0</v>
      </c>
      <c r="P11" s="12">
        <f t="shared" si="17"/>
        <v>-5.88693957115008</v>
      </c>
      <c r="Q11" s="234">
        <f t="shared" si="18"/>
        <v>0.92543209876543231</v>
      </c>
      <c r="R11" s="533"/>
      <c r="S11" s="24">
        <v>0.36458333333333326</v>
      </c>
      <c r="T11" s="24">
        <v>0.47708333333333325</v>
      </c>
      <c r="U11" s="233">
        <f t="shared" ref="U11:U12" si="20">(S11-T10)*24*60</f>
        <v>7.9999999999999716</v>
      </c>
      <c r="V11" s="242">
        <f t="shared" si="16"/>
        <v>161.99999999999997</v>
      </c>
      <c r="W11" s="14">
        <f>T11</f>
        <v>0.47708333333333325</v>
      </c>
      <c r="X11" s="14">
        <f>S12</f>
        <v>0.51597222222222205</v>
      </c>
      <c r="Y11" s="528"/>
      <c r="Z11" s="528"/>
      <c r="AA11" s="11">
        <f t="shared" si="2"/>
        <v>-111.85185185185151</v>
      </c>
      <c r="AB11" s="234">
        <f t="shared" si="19"/>
        <v>0.92543209876543231</v>
      </c>
      <c r="AC11" s="533"/>
    </row>
    <row r="12" spans="1:29" ht="15.75" customHeight="1">
      <c r="A12" s="531" t="s">
        <v>369</v>
      </c>
      <c r="B12" s="26" t="s">
        <v>15</v>
      </c>
      <c r="C12" s="558" t="s">
        <v>17</v>
      </c>
      <c r="D12" s="559"/>
      <c r="E12" s="26">
        <v>39.799999999999997</v>
      </c>
      <c r="F12" s="243">
        <v>3566</v>
      </c>
      <c r="G12" s="233">
        <f t="shared" si="11"/>
        <v>141926.79999999999</v>
      </c>
      <c r="H12" s="245" t="s">
        <v>52</v>
      </c>
      <c r="I12" s="241">
        <v>17</v>
      </c>
      <c r="J12" s="18">
        <v>1500</v>
      </c>
      <c r="K12" s="9">
        <f t="shared" si="12"/>
        <v>88.235294117647058</v>
      </c>
      <c r="L12" s="241">
        <v>17</v>
      </c>
      <c r="M12" s="10">
        <f t="shared" si="13"/>
        <v>1389.3506493506486</v>
      </c>
      <c r="N12" s="9">
        <f t="shared" si="14"/>
        <v>81.726508785332271</v>
      </c>
      <c r="O12" s="11">
        <f t="shared" si="15"/>
        <v>0</v>
      </c>
      <c r="P12" s="12">
        <f t="shared" si="17"/>
        <v>-6.5087853323147868</v>
      </c>
      <c r="Q12" s="234">
        <f t="shared" si="18"/>
        <v>0.92623376623376574</v>
      </c>
      <c r="R12" s="533"/>
      <c r="S12" s="24">
        <v>0.51597222222222205</v>
      </c>
      <c r="T12" s="24">
        <v>0.62291666666666656</v>
      </c>
      <c r="U12" s="233">
        <f t="shared" si="20"/>
        <v>55.999999999999879</v>
      </c>
      <c r="V12" s="242">
        <f t="shared" si="16"/>
        <v>154.00000000000009</v>
      </c>
      <c r="W12" s="14"/>
      <c r="X12" s="14"/>
      <c r="Y12" s="528"/>
      <c r="Z12" s="528"/>
      <c r="AA12" s="11">
        <f t="shared" si="2"/>
        <v>-110.64935064935139</v>
      </c>
      <c r="AB12" s="234">
        <f t="shared" si="19"/>
        <v>0.92623376623376574</v>
      </c>
      <c r="AC12" s="533"/>
    </row>
    <row r="13" spans="1:29" ht="16.5" customHeight="1">
      <c r="A13" s="531" t="s">
        <v>878</v>
      </c>
      <c r="B13" s="26" t="s">
        <v>82</v>
      </c>
      <c r="C13" s="530"/>
      <c r="D13" s="530"/>
      <c r="E13" s="235"/>
      <c r="F13" s="18"/>
      <c r="G13" s="10"/>
      <c r="H13" s="243"/>
      <c r="I13" s="17">
        <v>18</v>
      </c>
      <c r="J13" s="18">
        <v>1500</v>
      </c>
      <c r="K13" s="9">
        <f>J13/I13</f>
        <v>83.333333333333329</v>
      </c>
      <c r="L13" s="17">
        <v>18</v>
      </c>
      <c r="M13" s="10">
        <f>AVERAGE(M9:M12)</f>
        <v>1387.2909478921704</v>
      </c>
      <c r="N13" s="9">
        <f>M13/L13</f>
        <v>77.071719327342805</v>
      </c>
      <c r="O13" s="11">
        <f>L13-I13</f>
        <v>0</v>
      </c>
      <c r="P13" s="12">
        <f>N13-K13</f>
        <v>-6.2616140059905234</v>
      </c>
      <c r="Q13" s="234">
        <f>N13/K13</f>
        <v>0.92486063192811374</v>
      </c>
      <c r="R13" s="533"/>
      <c r="S13" s="24"/>
      <c r="T13" s="24"/>
      <c r="U13" s="9"/>
      <c r="V13" s="242"/>
      <c r="W13" s="9"/>
      <c r="X13" s="9"/>
      <c r="Y13" s="528"/>
      <c r="Z13" s="528"/>
      <c r="AA13" s="11">
        <f t="shared" si="2"/>
        <v>-112.70905210782962</v>
      </c>
      <c r="AB13" s="234">
        <f t="shared" si="19"/>
        <v>0.92486063192811363</v>
      </c>
      <c r="AC13" s="533"/>
    </row>
    <row r="14" spans="1:29" ht="16.5" customHeight="1">
      <c r="A14" s="556" t="s">
        <v>373</v>
      </c>
      <c r="B14" s="243" t="s">
        <v>21</v>
      </c>
      <c r="C14" s="552" t="s">
        <v>19</v>
      </c>
      <c r="D14" s="552"/>
      <c r="E14" s="26">
        <v>41</v>
      </c>
      <c r="F14" s="243">
        <v>1827</v>
      </c>
      <c r="G14" s="233">
        <f t="shared" ref="G14:G17" si="21">E14*F14</f>
        <v>74907</v>
      </c>
      <c r="H14" s="245" t="s">
        <v>52</v>
      </c>
      <c r="I14" s="241">
        <v>26</v>
      </c>
      <c r="J14" s="18">
        <v>1500</v>
      </c>
      <c r="K14" s="9">
        <f>J14/I14</f>
        <v>57.692307692307693</v>
      </c>
      <c r="L14" s="241">
        <v>26</v>
      </c>
      <c r="M14" s="10">
        <f>F14/V14*60</f>
        <v>1387.5949367088599</v>
      </c>
      <c r="N14" s="9">
        <f t="shared" ref="N14:N25" si="22">M14/L14</f>
        <v>53.369036027263846</v>
      </c>
      <c r="O14" s="11">
        <f t="shared" ref="O14" si="23">L14-I14</f>
        <v>0</v>
      </c>
      <c r="P14" s="12">
        <f t="shared" ref="P14" si="24">N14-K14</f>
        <v>-4.3232716650438476</v>
      </c>
      <c r="Q14" s="234">
        <f>N14/K14</f>
        <v>0.92506329113924002</v>
      </c>
      <c r="R14" s="533">
        <f>Q18</f>
        <v>0.92294011991670222</v>
      </c>
      <c r="S14" s="24">
        <v>0.25</v>
      </c>
      <c r="T14" s="24">
        <v>0.30486111111111114</v>
      </c>
      <c r="U14" s="233"/>
      <c r="V14" s="242">
        <f>(T14-S14)*24*60</f>
        <v>79.000000000000043</v>
      </c>
      <c r="W14" s="15"/>
      <c r="X14" s="15"/>
      <c r="Y14" s="528"/>
      <c r="Z14" s="528"/>
      <c r="AA14" s="11">
        <f t="shared" si="2"/>
        <v>-112.4050632911401</v>
      </c>
      <c r="AB14" s="234">
        <f t="shared" si="19"/>
        <v>0.92506329113923991</v>
      </c>
      <c r="AC14" s="533">
        <f>AB18</f>
        <v>0.92294011991670222</v>
      </c>
    </row>
    <row r="15" spans="1:29" ht="16.5" customHeight="1">
      <c r="A15" s="557" t="s">
        <v>373</v>
      </c>
      <c r="B15" s="243" t="s">
        <v>15</v>
      </c>
      <c r="C15" s="552" t="s">
        <v>49</v>
      </c>
      <c r="D15" s="552"/>
      <c r="E15" s="26">
        <v>39.29</v>
      </c>
      <c r="F15" s="243">
        <v>3247</v>
      </c>
      <c r="G15" s="233">
        <f t="shared" si="21"/>
        <v>127574.62999999999</v>
      </c>
      <c r="H15" s="245" t="s">
        <v>52</v>
      </c>
      <c r="I15" s="241">
        <v>16</v>
      </c>
      <c r="J15" s="18">
        <v>1500</v>
      </c>
      <c r="K15" s="9">
        <f>J15/I15</f>
        <v>93.75</v>
      </c>
      <c r="L15" s="241">
        <v>16</v>
      </c>
      <c r="M15" s="10">
        <f>F15/V15*60</f>
        <v>1381.7021276595747</v>
      </c>
      <c r="N15" s="9">
        <f t="shared" si="22"/>
        <v>86.356382978723417</v>
      </c>
      <c r="O15" s="11">
        <f>L15-I15</f>
        <v>0</v>
      </c>
      <c r="P15" s="12">
        <f>N15-K15</f>
        <v>-7.393617021276583</v>
      </c>
      <c r="Q15" s="234">
        <f>N15/K15</f>
        <v>0.92113475177304982</v>
      </c>
      <c r="R15" s="533"/>
      <c r="S15" s="24">
        <v>0.30833333333333335</v>
      </c>
      <c r="T15" s="24">
        <v>0.40625</v>
      </c>
      <c r="U15" s="233">
        <f>IF(S15=TIME(17,0,0),"",(S15-T14)*24*60)</f>
        <v>4.9999999999999822</v>
      </c>
      <c r="V15" s="242">
        <f>(T15-S15)*24*60</f>
        <v>140.99999999999997</v>
      </c>
      <c r="W15" s="14"/>
      <c r="X15" s="14"/>
      <c r="Y15" s="528"/>
      <c r="Z15" s="528"/>
      <c r="AA15" s="11">
        <f t="shared" si="2"/>
        <v>-118.29787234042533</v>
      </c>
      <c r="AB15" s="234">
        <f t="shared" si="19"/>
        <v>0.92113475177304982</v>
      </c>
      <c r="AC15" s="533"/>
    </row>
    <row r="16" spans="1:29" ht="16.5" customHeight="1">
      <c r="A16" s="557" t="s">
        <v>879</v>
      </c>
      <c r="B16" s="243" t="s">
        <v>13</v>
      </c>
      <c r="C16" s="552" t="s">
        <v>57</v>
      </c>
      <c r="D16" s="552"/>
      <c r="E16" s="26">
        <v>50.98</v>
      </c>
      <c r="F16" s="243">
        <v>2613</v>
      </c>
      <c r="G16" s="233">
        <f t="shared" si="21"/>
        <v>133210.74</v>
      </c>
      <c r="H16" s="245" t="s">
        <v>52</v>
      </c>
      <c r="I16" s="241">
        <v>17</v>
      </c>
      <c r="J16" s="18">
        <v>2000</v>
      </c>
      <c r="K16" s="9">
        <f t="shared" ref="K16:K17" si="25">J16/I16</f>
        <v>117.64705882352941</v>
      </c>
      <c r="L16" s="241">
        <v>17</v>
      </c>
      <c r="M16" s="10">
        <f t="shared" ref="M16:M17" si="26">F16/V16*60</f>
        <v>1844.4705882352937</v>
      </c>
      <c r="N16" s="9">
        <f t="shared" si="22"/>
        <v>108.49826989619375</v>
      </c>
      <c r="O16" s="11">
        <f t="shared" ref="O16:O17" si="27">L16-I16</f>
        <v>0</v>
      </c>
      <c r="P16" s="12">
        <f t="shared" ref="P16:P17" si="28">N16-K16</f>
        <v>-9.1487889273356586</v>
      </c>
      <c r="Q16" s="234">
        <f t="shared" ref="Q16:Q25" si="29">N16/K16</f>
        <v>0.92223529411764693</v>
      </c>
      <c r="R16" s="533"/>
      <c r="S16" s="24">
        <v>0.70833333333333337</v>
      </c>
      <c r="T16" s="24">
        <v>0.76736111111111116</v>
      </c>
      <c r="U16" s="233" t="str">
        <f t="shared" ref="U16:U17" si="30">IF(S16=TIME(17,0,0),"",(S16-T15)*24*60)</f>
        <v/>
      </c>
      <c r="V16" s="242">
        <f t="shared" ref="V16:V17" si="31">(T16-S16)*24*60</f>
        <v>85.000000000000014</v>
      </c>
      <c r="W16" s="14"/>
      <c r="X16" s="14"/>
      <c r="Y16" s="528"/>
      <c r="Z16" s="528"/>
      <c r="AA16" s="11">
        <f t="shared" si="2"/>
        <v>-155.52941176470631</v>
      </c>
      <c r="AB16" s="234">
        <f t="shared" si="19"/>
        <v>0.92223529411764682</v>
      </c>
      <c r="AC16" s="533"/>
    </row>
    <row r="17" spans="1:29" ht="16.5" customHeight="1">
      <c r="A17" s="557" t="s">
        <v>373</v>
      </c>
      <c r="B17" s="243" t="s">
        <v>13</v>
      </c>
      <c r="C17" s="552" t="s">
        <v>54</v>
      </c>
      <c r="D17" s="552"/>
      <c r="E17" s="26">
        <v>50.92</v>
      </c>
      <c r="F17" s="243">
        <v>2801</v>
      </c>
      <c r="G17" s="233">
        <f t="shared" si="21"/>
        <v>142626.92000000001</v>
      </c>
      <c r="H17" s="245" t="s">
        <v>52</v>
      </c>
      <c r="I17" s="241">
        <v>16</v>
      </c>
      <c r="J17" s="18">
        <v>2000</v>
      </c>
      <c r="K17" s="9">
        <f t="shared" si="25"/>
        <v>125</v>
      </c>
      <c r="L17" s="241">
        <v>16</v>
      </c>
      <c r="M17" s="10">
        <f t="shared" si="26"/>
        <v>1846.8131868131868</v>
      </c>
      <c r="N17" s="9">
        <f t="shared" si="22"/>
        <v>115.42582417582418</v>
      </c>
      <c r="O17" s="11">
        <f t="shared" si="27"/>
        <v>0</v>
      </c>
      <c r="P17" s="12">
        <f t="shared" si="28"/>
        <v>-9.5741758241758248</v>
      </c>
      <c r="Q17" s="234">
        <f t="shared" si="29"/>
        <v>0.92340659340659337</v>
      </c>
      <c r="R17" s="533"/>
      <c r="S17" s="24">
        <v>0.77083333333333337</v>
      </c>
      <c r="T17" s="24">
        <v>0.83402777777777781</v>
      </c>
      <c r="U17" s="233">
        <f t="shared" si="30"/>
        <v>4.9999999999999822</v>
      </c>
      <c r="V17" s="242">
        <f t="shared" si="31"/>
        <v>91</v>
      </c>
      <c r="W17" s="14"/>
      <c r="X17" s="14"/>
      <c r="Y17" s="528"/>
      <c r="Z17" s="528"/>
      <c r="AA17" s="11">
        <f t="shared" si="2"/>
        <v>-153.1868131868132</v>
      </c>
      <c r="AB17" s="234">
        <f t="shared" si="19"/>
        <v>0.92340659340659337</v>
      </c>
      <c r="AC17" s="533"/>
    </row>
    <row r="18" spans="1:29" ht="16.5" customHeight="1">
      <c r="A18" s="557" t="s">
        <v>373</v>
      </c>
      <c r="B18" s="26" t="s">
        <v>877</v>
      </c>
      <c r="C18" s="530"/>
      <c r="D18" s="530"/>
      <c r="E18" s="235"/>
      <c r="F18" s="16"/>
      <c r="G18" s="9"/>
      <c r="H18" s="243"/>
      <c r="I18" s="17">
        <v>18.75</v>
      </c>
      <c r="J18" s="18">
        <v>1750</v>
      </c>
      <c r="K18" s="9">
        <f>J18/I18</f>
        <v>93.333333333333329</v>
      </c>
      <c r="L18" s="17">
        <v>18.75</v>
      </c>
      <c r="M18" s="10">
        <f>AVERAGE(M14:M17)</f>
        <v>1615.1452098542288</v>
      </c>
      <c r="N18" s="9">
        <f t="shared" si="22"/>
        <v>86.141077858892203</v>
      </c>
      <c r="O18" s="11">
        <f>L18-I18</f>
        <v>0</v>
      </c>
      <c r="P18" s="12">
        <f>N18-K18</f>
        <v>-7.1922554744411258</v>
      </c>
      <c r="Q18" s="234">
        <f t="shared" si="29"/>
        <v>0.92294011991670222</v>
      </c>
      <c r="R18" s="533"/>
      <c r="S18" s="24"/>
      <c r="T18" s="24"/>
      <c r="U18" s="233"/>
      <c r="V18" s="242"/>
      <c r="W18" s="9"/>
      <c r="X18" s="9"/>
      <c r="Y18" s="528"/>
      <c r="Z18" s="528"/>
      <c r="AA18" s="11">
        <f t="shared" si="2"/>
        <v>-134.85479014577118</v>
      </c>
      <c r="AB18" s="234">
        <f t="shared" si="19"/>
        <v>0.92294011991670222</v>
      </c>
      <c r="AC18" s="533"/>
    </row>
    <row r="19" spans="1:29" ht="15.75" customHeight="1">
      <c r="A19" s="554" t="s">
        <v>375</v>
      </c>
      <c r="B19" s="26" t="s">
        <v>21</v>
      </c>
      <c r="C19" s="552" t="s">
        <v>22</v>
      </c>
      <c r="D19" s="552"/>
      <c r="E19" s="26">
        <v>43.14</v>
      </c>
      <c r="F19" s="243">
        <v>1218</v>
      </c>
      <c r="G19" s="233">
        <f t="shared" ref="G19:G25" si="32">E19*F19</f>
        <v>52544.520000000004</v>
      </c>
      <c r="H19" s="245" t="s">
        <v>52</v>
      </c>
      <c r="I19" s="241">
        <v>17</v>
      </c>
      <c r="J19" s="18">
        <v>2000</v>
      </c>
      <c r="K19" s="9">
        <f t="shared" ref="K19:K26" si="33">J19/I19</f>
        <v>117.64705882352941</v>
      </c>
      <c r="L19" s="241">
        <v>17</v>
      </c>
      <c r="M19" s="10">
        <f t="shared" ref="M19:M25" si="34">F19/V19*60</f>
        <v>1873.8461538461549</v>
      </c>
      <c r="N19" s="9">
        <f t="shared" si="22"/>
        <v>110.22624434389147</v>
      </c>
      <c r="O19" s="11">
        <f t="shared" ref="O19:O25" si="35">L19-I19</f>
        <v>0</v>
      </c>
      <c r="P19" s="12">
        <f t="shared" ref="P19:P25" si="36">N19-K19</f>
        <v>-7.4208144796379401</v>
      </c>
      <c r="Q19" s="234">
        <f t="shared" si="29"/>
        <v>0.93692307692307752</v>
      </c>
      <c r="R19" s="533">
        <f>Q26</f>
        <v>0.94459415676593905</v>
      </c>
      <c r="S19" s="24">
        <v>0.20833333333333334</v>
      </c>
      <c r="T19" s="24">
        <v>0.23541666666666666</v>
      </c>
      <c r="U19" s="233"/>
      <c r="V19" s="242">
        <f>(T19-S19)*24*60</f>
        <v>38.999999999999979</v>
      </c>
      <c r="W19" s="15"/>
      <c r="X19" s="15"/>
      <c r="Y19" s="528"/>
      <c r="Z19" s="528"/>
      <c r="AA19" s="11">
        <f t="shared" si="2"/>
        <v>-126.15384615384505</v>
      </c>
      <c r="AB19" s="234">
        <f t="shared" si="19"/>
        <v>0.93692307692307752</v>
      </c>
      <c r="AC19" s="533">
        <f>AB26</f>
        <v>0.94459415676593905</v>
      </c>
    </row>
    <row r="20" spans="1:29" ht="15.75" customHeight="1">
      <c r="A20" s="555" t="s">
        <v>880</v>
      </c>
      <c r="B20" s="26" t="s">
        <v>13</v>
      </c>
      <c r="C20" s="552" t="s">
        <v>23</v>
      </c>
      <c r="D20" s="552"/>
      <c r="E20" s="26">
        <v>57.73</v>
      </c>
      <c r="F20" s="243">
        <v>2731</v>
      </c>
      <c r="G20" s="233">
        <f t="shared" si="32"/>
        <v>157660.63</v>
      </c>
      <c r="H20" s="245" t="s">
        <v>52</v>
      </c>
      <c r="I20" s="241">
        <v>16</v>
      </c>
      <c r="J20" s="18">
        <v>2000</v>
      </c>
      <c r="K20" s="9">
        <f t="shared" si="33"/>
        <v>125</v>
      </c>
      <c r="L20" s="241">
        <v>16</v>
      </c>
      <c r="M20" s="10">
        <f t="shared" si="34"/>
        <v>1862.0454545454552</v>
      </c>
      <c r="N20" s="9">
        <f t="shared" si="22"/>
        <v>116.37784090909095</v>
      </c>
      <c r="O20" s="11">
        <f t="shared" si="35"/>
        <v>0</v>
      </c>
      <c r="P20" s="12">
        <f t="shared" si="36"/>
        <v>-8.6221590909090509</v>
      </c>
      <c r="Q20" s="234">
        <f t="shared" si="29"/>
        <v>0.93102272727272761</v>
      </c>
      <c r="R20" s="533"/>
      <c r="S20" s="24">
        <v>0.24027777777777778</v>
      </c>
      <c r="T20" s="24">
        <v>0.30138888888888887</v>
      </c>
      <c r="U20" s="233">
        <f>IF(S20=TIME(17,0,0),"",(S20-T19)*24*60)</f>
        <v>7.0000000000000151</v>
      </c>
      <c r="V20" s="242">
        <f t="shared" ref="V20:V25" si="37">(T20-S20)*24*60</f>
        <v>87.999999999999972</v>
      </c>
      <c r="W20" s="14"/>
      <c r="X20" s="233"/>
      <c r="Y20" s="528"/>
      <c r="Z20" s="528"/>
      <c r="AA20" s="11">
        <f t="shared" si="2"/>
        <v>-137.95454545454481</v>
      </c>
      <c r="AB20" s="234">
        <f t="shared" si="19"/>
        <v>0.93102272727272761</v>
      </c>
      <c r="AC20" s="533"/>
    </row>
    <row r="21" spans="1:29" ht="15.75" customHeight="1">
      <c r="A21" s="555" t="s">
        <v>375</v>
      </c>
      <c r="B21" s="26" t="s">
        <v>13</v>
      </c>
      <c r="C21" s="552" t="s">
        <v>14</v>
      </c>
      <c r="D21" s="552"/>
      <c r="E21" s="26">
        <v>53.68</v>
      </c>
      <c r="F21" s="243">
        <v>1796</v>
      </c>
      <c r="G21" s="233">
        <f t="shared" si="32"/>
        <v>96409.279999999999</v>
      </c>
      <c r="H21" s="245" t="s">
        <v>52</v>
      </c>
      <c r="I21" s="241">
        <v>17</v>
      </c>
      <c r="J21" s="18">
        <v>2000</v>
      </c>
      <c r="K21" s="9">
        <f t="shared" si="33"/>
        <v>117.64705882352941</v>
      </c>
      <c r="L21" s="241">
        <v>17</v>
      </c>
      <c r="M21" s="10">
        <f t="shared" si="34"/>
        <v>1857.9310344827575</v>
      </c>
      <c r="N21" s="9">
        <f t="shared" si="22"/>
        <v>109.29006085192691</v>
      </c>
      <c r="O21" s="11">
        <f t="shared" si="35"/>
        <v>0</v>
      </c>
      <c r="P21" s="12">
        <f t="shared" si="36"/>
        <v>-8.356997971602496</v>
      </c>
      <c r="Q21" s="234">
        <f t="shared" si="29"/>
        <v>0.92896551724137877</v>
      </c>
      <c r="R21" s="533"/>
      <c r="S21" s="24">
        <v>0.30486111111111108</v>
      </c>
      <c r="T21" s="24">
        <v>0.34513888888888888</v>
      </c>
      <c r="U21" s="233">
        <f t="shared" ref="U21:U25" si="38">IF(S21=TIME(17,0,0),"",(S21-T20)*24*60)</f>
        <v>4.9999999999999822</v>
      </c>
      <c r="V21" s="242">
        <f t="shared" si="37"/>
        <v>58.000000000000036</v>
      </c>
      <c r="W21" s="14"/>
      <c r="X21" s="233"/>
      <c r="Y21" s="528"/>
      <c r="Z21" s="528"/>
      <c r="AA21" s="11">
        <f t="shared" si="2"/>
        <v>-142.06896551724253</v>
      </c>
      <c r="AB21" s="234">
        <f t="shared" si="19"/>
        <v>0.92896551724137877</v>
      </c>
      <c r="AC21" s="533"/>
    </row>
    <row r="22" spans="1:29" ht="15.75" customHeight="1">
      <c r="A22" s="555" t="s">
        <v>375</v>
      </c>
      <c r="B22" s="26" t="s">
        <v>13</v>
      </c>
      <c r="C22" s="552" t="s">
        <v>81</v>
      </c>
      <c r="D22" s="552"/>
      <c r="E22" s="26">
        <v>58.17</v>
      </c>
      <c r="F22" s="243">
        <v>2221</v>
      </c>
      <c r="G22" s="233">
        <f t="shared" si="32"/>
        <v>129195.57</v>
      </c>
      <c r="H22" s="245" t="s">
        <v>52</v>
      </c>
      <c r="I22" s="241">
        <v>18</v>
      </c>
      <c r="J22" s="18">
        <v>2000</v>
      </c>
      <c r="K22" s="9">
        <f t="shared" si="33"/>
        <v>111.11111111111111</v>
      </c>
      <c r="L22" s="241">
        <v>18</v>
      </c>
      <c r="M22" s="10">
        <f t="shared" si="34"/>
        <v>1850.8333333333337</v>
      </c>
      <c r="N22" s="9">
        <f t="shared" si="22"/>
        <v>102.82407407407409</v>
      </c>
      <c r="O22" s="11">
        <f t="shared" si="35"/>
        <v>0</v>
      </c>
      <c r="P22" s="12">
        <f t="shared" si="36"/>
        <v>-8.2870370370370239</v>
      </c>
      <c r="Q22" s="234">
        <f t="shared" si="29"/>
        <v>0.92541666666666678</v>
      </c>
      <c r="R22" s="533"/>
      <c r="S22" s="24">
        <v>0.35</v>
      </c>
      <c r="T22" s="24">
        <v>0.39999999999999997</v>
      </c>
      <c r="U22" s="233">
        <f t="shared" si="38"/>
        <v>6.9999999999999751</v>
      </c>
      <c r="V22" s="242">
        <f t="shared" si="37"/>
        <v>71.999999999999986</v>
      </c>
      <c r="W22" s="14"/>
      <c r="X22" s="233"/>
      <c r="Y22" s="528"/>
      <c r="Z22" s="528"/>
      <c r="AA22" s="11">
        <f t="shared" si="2"/>
        <v>-149.16666666666629</v>
      </c>
      <c r="AB22" s="234">
        <f t="shared" si="19"/>
        <v>0.92541666666666689</v>
      </c>
      <c r="AC22" s="533"/>
    </row>
    <row r="23" spans="1:29" ht="15.75" customHeight="1">
      <c r="A23" s="555" t="s">
        <v>375</v>
      </c>
      <c r="B23" s="26" t="s">
        <v>13</v>
      </c>
      <c r="C23" s="552" t="s">
        <v>85</v>
      </c>
      <c r="D23" s="552"/>
      <c r="E23" s="26">
        <v>54.09</v>
      </c>
      <c r="F23" s="243">
        <v>3366</v>
      </c>
      <c r="G23" s="233">
        <f t="shared" si="32"/>
        <v>182066.94</v>
      </c>
      <c r="H23" s="245" t="s">
        <v>52</v>
      </c>
      <c r="I23" s="241">
        <v>20</v>
      </c>
      <c r="J23" s="18">
        <v>2000</v>
      </c>
      <c r="K23" s="9">
        <f t="shared" si="33"/>
        <v>100</v>
      </c>
      <c r="L23" s="241">
        <v>20</v>
      </c>
      <c r="M23" s="10">
        <f t="shared" si="34"/>
        <v>1852.8440366972488</v>
      </c>
      <c r="N23" s="9">
        <f t="shared" si="22"/>
        <v>92.642201834862448</v>
      </c>
      <c r="O23" s="11">
        <f t="shared" si="35"/>
        <v>0</v>
      </c>
      <c r="P23" s="12">
        <f t="shared" si="36"/>
        <v>-7.3577981651375524</v>
      </c>
      <c r="Q23" s="234">
        <f t="shared" si="29"/>
        <v>0.92642201834862448</v>
      </c>
      <c r="R23" s="533"/>
      <c r="S23" s="24">
        <v>0.70833333333333337</v>
      </c>
      <c r="T23" s="24">
        <v>0.78402777777777777</v>
      </c>
      <c r="U23" s="233" t="str">
        <f t="shared" si="38"/>
        <v/>
      </c>
      <c r="V23" s="242">
        <f t="shared" si="37"/>
        <v>108.99999999999993</v>
      </c>
      <c r="W23" s="14"/>
      <c r="X23" s="233"/>
      <c r="Y23" s="528"/>
      <c r="Z23" s="528"/>
      <c r="AA23" s="11">
        <f t="shared" si="2"/>
        <v>-147.15596330275116</v>
      </c>
      <c r="AB23" s="234">
        <f t="shared" si="19"/>
        <v>0.92642201834862437</v>
      </c>
      <c r="AC23" s="533"/>
    </row>
    <row r="24" spans="1:29" ht="15.75" customHeight="1">
      <c r="A24" s="555" t="s">
        <v>375</v>
      </c>
      <c r="B24" s="26" t="s">
        <v>13</v>
      </c>
      <c r="C24" s="552" t="s">
        <v>56</v>
      </c>
      <c r="D24" s="552"/>
      <c r="E24" s="26">
        <v>53.27</v>
      </c>
      <c r="F24" s="243">
        <v>385</v>
      </c>
      <c r="G24" s="233">
        <f t="shared" si="32"/>
        <v>20508.95</v>
      </c>
      <c r="H24" s="245" t="s">
        <v>52</v>
      </c>
      <c r="I24" s="241">
        <v>15</v>
      </c>
      <c r="J24" s="18">
        <v>2000</v>
      </c>
      <c r="K24" s="9">
        <f t="shared" si="33"/>
        <v>133.33333333333334</v>
      </c>
      <c r="L24" s="241">
        <v>15</v>
      </c>
      <c r="M24" s="10">
        <f t="shared" si="34"/>
        <v>1925.000000000007</v>
      </c>
      <c r="N24" s="9">
        <f t="shared" si="22"/>
        <v>128.3333333333338</v>
      </c>
      <c r="O24" s="11">
        <f t="shared" si="35"/>
        <v>0</v>
      </c>
      <c r="P24" s="12">
        <f t="shared" si="36"/>
        <v>-4.9999999999995453</v>
      </c>
      <c r="Q24" s="234">
        <f t="shared" si="29"/>
        <v>0.96250000000000346</v>
      </c>
      <c r="R24" s="533"/>
      <c r="S24" s="24">
        <v>0.78819444444444442</v>
      </c>
      <c r="T24" s="24">
        <v>0.79652777777777772</v>
      </c>
      <c r="U24" s="233">
        <f t="shared" si="38"/>
        <v>5.9999999999999787</v>
      </c>
      <c r="V24" s="242">
        <f t="shared" si="37"/>
        <v>11.999999999999957</v>
      </c>
      <c r="W24" s="14"/>
      <c r="X24" s="15"/>
      <c r="Y24" s="528"/>
      <c r="Z24" s="528"/>
      <c r="AA24" s="11">
        <f t="shared" si="2"/>
        <v>-74.999999999992951</v>
      </c>
      <c r="AB24" s="234">
        <f t="shared" si="19"/>
        <v>0.96250000000000357</v>
      </c>
      <c r="AC24" s="533"/>
    </row>
    <row r="25" spans="1:29" ht="15.75" customHeight="1">
      <c r="A25" s="555" t="s">
        <v>880</v>
      </c>
      <c r="B25" s="26" t="s">
        <v>13</v>
      </c>
      <c r="C25" s="552" t="s">
        <v>83</v>
      </c>
      <c r="D25" s="552"/>
      <c r="E25" s="26">
        <v>49.91</v>
      </c>
      <c r="F25" s="243">
        <v>367</v>
      </c>
      <c r="G25" s="233">
        <f t="shared" si="32"/>
        <v>18316.969999999998</v>
      </c>
      <c r="H25" s="245" t="s">
        <v>52</v>
      </c>
      <c r="I25" s="241">
        <v>16</v>
      </c>
      <c r="J25" s="18">
        <v>2000</v>
      </c>
      <c r="K25" s="9">
        <f t="shared" si="33"/>
        <v>125</v>
      </c>
      <c r="L25" s="241">
        <v>16</v>
      </c>
      <c r="M25" s="10">
        <f t="shared" si="34"/>
        <v>2001.8181818181888</v>
      </c>
      <c r="N25" s="9">
        <f t="shared" si="22"/>
        <v>125.1136363636368</v>
      </c>
      <c r="O25" s="11">
        <f t="shared" si="35"/>
        <v>0</v>
      </c>
      <c r="P25" s="12">
        <f t="shared" si="36"/>
        <v>0.1136363636368003</v>
      </c>
      <c r="Q25" s="234">
        <f t="shared" si="29"/>
        <v>1.0009090909090943</v>
      </c>
      <c r="R25" s="533"/>
      <c r="S25" s="24">
        <v>0.80069444444444438</v>
      </c>
      <c r="T25" s="24">
        <v>0.80833333333333324</v>
      </c>
      <c r="U25" s="233">
        <f t="shared" si="38"/>
        <v>5.9999999999999787</v>
      </c>
      <c r="V25" s="242">
        <f t="shared" si="37"/>
        <v>10.999999999999961</v>
      </c>
      <c r="W25" s="14"/>
      <c r="X25" s="15"/>
      <c r="Y25" s="536"/>
      <c r="Z25" s="537"/>
      <c r="AA25" s="11">
        <f t="shared" si="2"/>
        <v>1.8181818181888048</v>
      </c>
      <c r="AB25" s="234">
        <f t="shared" si="19"/>
        <v>1.0009090909090943</v>
      </c>
      <c r="AC25" s="533"/>
    </row>
    <row r="26" spans="1:29" ht="15.75" customHeight="1">
      <c r="A26" s="555" t="s">
        <v>375</v>
      </c>
      <c r="B26" s="26" t="s">
        <v>82</v>
      </c>
      <c r="C26" s="530"/>
      <c r="D26" s="530"/>
      <c r="E26" s="235"/>
      <c r="F26" s="243"/>
      <c r="G26" s="233"/>
      <c r="H26" s="243"/>
      <c r="I26" s="17">
        <v>17</v>
      </c>
      <c r="J26" s="18">
        <v>2000</v>
      </c>
      <c r="K26" s="9">
        <f t="shared" si="33"/>
        <v>117.64705882352941</v>
      </c>
      <c r="L26" s="17">
        <v>17</v>
      </c>
      <c r="M26" s="10">
        <f>AVERAGE(M19:M25)</f>
        <v>1889.1883135318781</v>
      </c>
      <c r="N26" s="9">
        <f>M26/L26</f>
        <v>111.12872432540459</v>
      </c>
      <c r="O26" s="11">
        <f>L26-I26</f>
        <v>0</v>
      </c>
      <c r="P26" s="12">
        <f>N26-K26</f>
        <v>-6.5183344981248155</v>
      </c>
      <c r="Q26" s="234">
        <f>N26/K26</f>
        <v>0.94459415676593905</v>
      </c>
      <c r="R26" s="533"/>
      <c r="S26" s="24"/>
      <c r="T26" s="24"/>
      <c r="U26" s="9"/>
      <c r="V26" s="242"/>
      <c r="W26" s="9"/>
      <c r="X26" s="9"/>
      <c r="Y26" s="528"/>
      <c r="Z26" s="528"/>
      <c r="AA26" s="11">
        <f t="shared" si="2"/>
        <v>-110.81168646812193</v>
      </c>
      <c r="AB26" s="234">
        <f t="shared" si="19"/>
        <v>0.94459415676593905</v>
      </c>
      <c r="AC26" s="533"/>
    </row>
    <row r="27" spans="1:29" ht="15.75" customHeight="1">
      <c r="A27" s="553" t="s">
        <v>881</v>
      </c>
      <c r="B27" s="26" t="s">
        <v>24</v>
      </c>
      <c r="C27" s="552" t="s">
        <v>26</v>
      </c>
      <c r="D27" s="552"/>
      <c r="E27" s="26">
        <v>26.2</v>
      </c>
      <c r="F27" s="243">
        <v>3391</v>
      </c>
      <c r="G27" s="233">
        <f t="shared" ref="G27:G32" si="39">E27*F27</f>
        <v>88844.2</v>
      </c>
      <c r="H27" s="245" t="s">
        <v>52</v>
      </c>
      <c r="I27" s="241">
        <v>20</v>
      </c>
      <c r="J27" s="18">
        <v>2400</v>
      </c>
      <c r="K27" s="9">
        <f>J27/I27</f>
        <v>120</v>
      </c>
      <c r="L27" s="241">
        <v>20</v>
      </c>
      <c r="M27" s="10">
        <f t="shared" ref="M27:M32" si="40">F27/V27*60</f>
        <v>2235.8241758241757</v>
      </c>
      <c r="N27" s="9">
        <f t="shared" ref="N27:N32" si="41">M27/L27</f>
        <v>111.79120879120879</v>
      </c>
      <c r="O27" s="11">
        <f t="shared" ref="O27:O32" si="42">L27-I27</f>
        <v>0</v>
      </c>
      <c r="P27" s="12">
        <f t="shared" ref="P27:P32" si="43">N27-K27</f>
        <v>-8.2087912087912116</v>
      </c>
      <c r="Q27" s="234">
        <f t="shared" ref="Q27:Q32" si="44">N27/K27</f>
        <v>0.93159340659340661</v>
      </c>
      <c r="R27" s="533">
        <f>Q33</f>
        <v>0.92730470109282415</v>
      </c>
      <c r="S27" s="24">
        <v>0.125</v>
      </c>
      <c r="T27" s="24">
        <v>0.18819444444444444</v>
      </c>
      <c r="U27" s="233"/>
      <c r="V27" s="242">
        <f t="shared" ref="V27:V32" si="45">(T27-S27)*24*60</f>
        <v>91</v>
      </c>
      <c r="W27" s="14">
        <f>T27</f>
        <v>0.18819444444444444</v>
      </c>
      <c r="X27" s="14">
        <f>S28</f>
        <v>0.20624999999999999</v>
      </c>
      <c r="Y27" s="528"/>
      <c r="Z27" s="528"/>
      <c r="AA27" s="11">
        <f t="shared" si="2"/>
        <v>-164.17582417582435</v>
      </c>
      <c r="AB27" s="234">
        <f>M27/J27</f>
        <v>0.9315934065934065</v>
      </c>
      <c r="AC27" s="533">
        <f>AB33</f>
        <v>0.92730470109282404</v>
      </c>
    </row>
    <row r="28" spans="1:29" ht="15.75" customHeight="1">
      <c r="A28" s="553" t="s">
        <v>377</v>
      </c>
      <c r="B28" s="26" t="s">
        <v>24</v>
      </c>
      <c r="C28" s="552" t="s">
        <v>79</v>
      </c>
      <c r="D28" s="552"/>
      <c r="E28" s="26">
        <v>31.29</v>
      </c>
      <c r="F28" s="243">
        <v>4500</v>
      </c>
      <c r="G28" s="233">
        <f t="shared" si="39"/>
        <v>140805</v>
      </c>
      <c r="H28" s="245">
        <v>2</v>
      </c>
      <c r="I28" s="241">
        <v>16</v>
      </c>
      <c r="J28" s="18">
        <v>2400</v>
      </c>
      <c r="K28" s="9">
        <f t="shared" ref="K28:K33" si="46">J28/I28</f>
        <v>150</v>
      </c>
      <c r="L28" s="241">
        <v>16</v>
      </c>
      <c r="M28" s="10">
        <f t="shared" si="40"/>
        <v>2213.1147540983611</v>
      </c>
      <c r="N28" s="9">
        <f t="shared" si="41"/>
        <v>138.31967213114757</v>
      </c>
      <c r="O28" s="11">
        <f t="shared" si="42"/>
        <v>0</v>
      </c>
      <c r="P28" s="12">
        <f t="shared" si="43"/>
        <v>-11.68032786885243</v>
      </c>
      <c r="Q28" s="234">
        <f t="shared" si="44"/>
        <v>0.9221311475409838</v>
      </c>
      <c r="R28" s="533"/>
      <c r="S28" s="24">
        <v>0.20624999999999999</v>
      </c>
      <c r="T28" s="24">
        <v>0.29097222222222219</v>
      </c>
      <c r="U28" s="233">
        <f>(S28-T27)*24*60</f>
        <v>25.999999999999986</v>
      </c>
      <c r="V28" s="242">
        <f t="shared" si="45"/>
        <v>121.99999999999997</v>
      </c>
      <c r="W28" s="14"/>
      <c r="X28" s="14"/>
      <c r="Y28" s="528"/>
      <c r="Z28" s="528"/>
      <c r="AA28" s="11">
        <f t="shared" si="2"/>
        <v>-186.88524590163888</v>
      </c>
      <c r="AB28" s="234">
        <f t="shared" ref="AB28:AB32" si="47">M28/J28</f>
        <v>0.9221311475409838</v>
      </c>
      <c r="AC28" s="533"/>
    </row>
    <row r="29" spans="1:29" ht="15.75" customHeight="1">
      <c r="A29" s="553" t="s">
        <v>377</v>
      </c>
      <c r="B29" s="26" t="s">
        <v>24</v>
      </c>
      <c r="C29" s="552" t="s">
        <v>68</v>
      </c>
      <c r="D29" s="552"/>
      <c r="E29" s="26">
        <v>24.25</v>
      </c>
      <c r="F29" s="243">
        <v>4510</v>
      </c>
      <c r="G29" s="233">
        <f t="shared" si="39"/>
        <v>109367.5</v>
      </c>
      <c r="H29" s="245" t="s">
        <v>52</v>
      </c>
      <c r="I29" s="241">
        <v>18</v>
      </c>
      <c r="J29" s="18">
        <v>2400</v>
      </c>
      <c r="K29" s="9">
        <f t="shared" si="46"/>
        <v>133.33333333333334</v>
      </c>
      <c r="L29" s="241">
        <v>18</v>
      </c>
      <c r="M29" s="10">
        <f t="shared" si="40"/>
        <v>2218.0327868852464</v>
      </c>
      <c r="N29" s="9">
        <f t="shared" si="41"/>
        <v>123.22404371584702</v>
      </c>
      <c r="O29" s="11">
        <f t="shared" si="42"/>
        <v>0</v>
      </c>
      <c r="P29" s="12">
        <f t="shared" si="43"/>
        <v>-10.109289617486326</v>
      </c>
      <c r="Q29" s="234">
        <f t="shared" si="44"/>
        <v>0.92418032786885251</v>
      </c>
      <c r="R29" s="533"/>
      <c r="S29" s="24">
        <v>0.29583333333333328</v>
      </c>
      <c r="T29" s="24">
        <v>0.38055555555555548</v>
      </c>
      <c r="U29" s="233">
        <f t="shared" ref="U29:U32" si="48">(S29-T28)*24*60</f>
        <v>6.9999999999999751</v>
      </c>
      <c r="V29" s="242">
        <f t="shared" si="45"/>
        <v>121.99999999999997</v>
      </c>
      <c r="W29" s="14"/>
      <c r="X29" s="14"/>
      <c r="Y29" s="528"/>
      <c r="Z29" s="528"/>
      <c r="AA29" s="11">
        <f t="shared" si="2"/>
        <v>-181.96721311475358</v>
      </c>
      <c r="AB29" s="234">
        <f t="shared" si="47"/>
        <v>0.92418032786885262</v>
      </c>
      <c r="AC29" s="533"/>
    </row>
    <row r="30" spans="1:29" ht="15.75" customHeight="1">
      <c r="A30" s="553" t="s">
        <v>881</v>
      </c>
      <c r="B30" s="26" t="s">
        <v>24</v>
      </c>
      <c r="C30" s="552" t="s">
        <v>328</v>
      </c>
      <c r="D30" s="552"/>
      <c r="E30" s="26">
        <v>25.98</v>
      </c>
      <c r="F30" s="243">
        <v>4964</v>
      </c>
      <c r="G30" s="233">
        <f t="shared" si="39"/>
        <v>128964.72</v>
      </c>
      <c r="H30" s="245" t="s">
        <v>52</v>
      </c>
      <c r="I30" s="241">
        <v>17</v>
      </c>
      <c r="J30" s="18">
        <v>2400</v>
      </c>
      <c r="K30" s="9">
        <f t="shared" si="46"/>
        <v>141.1764705882353</v>
      </c>
      <c r="L30" s="241">
        <v>17</v>
      </c>
      <c r="M30" s="10">
        <f t="shared" si="40"/>
        <v>2222.686567164179</v>
      </c>
      <c r="N30" s="9">
        <f t="shared" si="41"/>
        <v>130.74626865671641</v>
      </c>
      <c r="O30" s="11">
        <f t="shared" si="42"/>
        <v>0</v>
      </c>
      <c r="P30" s="12">
        <f t="shared" si="43"/>
        <v>-10.430201931518894</v>
      </c>
      <c r="Q30" s="234">
        <f t="shared" si="44"/>
        <v>0.92611940298507456</v>
      </c>
      <c r="R30" s="533"/>
      <c r="S30" s="24">
        <v>0.38472222222222213</v>
      </c>
      <c r="T30" s="24">
        <v>0.47777777777777769</v>
      </c>
      <c r="U30" s="233">
        <f t="shared" si="48"/>
        <v>5.9999999999999787</v>
      </c>
      <c r="V30" s="242">
        <f t="shared" si="45"/>
        <v>134</v>
      </c>
      <c r="W30" s="14"/>
      <c r="X30" s="14"/>
      <c r="Y30" s="528"/>
      <c r="Z30" s="528"/>
      <c r="AA30" s="11">
        <f t="shared" si="2"/>
        <v>-177.313432835821</v>
      </c>
      <c r="AB30" s="234">
        <f t="shared" si="47"/>
        <v>0.92611940298507456</v>
      </c>
      <c r="AC30" s="533"/>
    </row>
    <row r="31" spans="1:29" ht="15.75" customHeight="1">
      <c r="A31" s="553" t="s">
        <v>881</v>
      </c>
      <c r="B31" s="26" t="s">
        <v>24</v>
      </c>
      <c r="C31" s="552" t="s">
        <v>62</v>
      </c>
      <c r="D31" s="552"/>
      <c r="E31" s="26">
        <v>22.35</v>
      </c>
      <c r="F31" s="243">
        <v>1907</v>
      </c>
      <c r="G31" s="233">
        <f t="shared" si="39"/>
        <v>42621.450000000004</v>
      </c>
      <c r="H31" s="245" t="s">
        <v>52</v>
      </c>
      <c r="I31" s="241">
        <v>16</v>
      </c>
      <c r="J31" s="18">
        <v>2400</v>
      </c>
      <c r="K31" s="9">
        <f t="shared" si="46"/>
        <v>150</v>
      </c>
      <c r="L31" s="241">
        <v>16</v>
      </c>
      <c r="M31" s="10">
        <f t="shared" si="40"/>
        <v>2243.5294117647031</v>
      </c>
      <c r="N31" s="9">
        <f t="shared" si="41"/>
        <v>140.22058823529395</v>
      </c>
      <c r="O31" s="11">
        <f t="shared" si="42"/>
        <v>0</v>
      </c>
      <c r="P31" s="12">
        <f t="shared" si="43"/>
        <v>-9.7794117647060546</v>
      </c>
      <c r="Q31" s="234">
        <f t="shared" si="44"/>
        <v>0.93480392156862635</v>
      </c>
      <c r="R31" s="533"/>
      <c r="S31" s="24">
        <v>0.48333333333333323</v>
      </c>
      <c r="T31" s="24">
        <v>0.51874999999999993</v>
      </c>
      <c r="U31" s="233">
        <f t="shared" si="48"/>
        <v>7.9999999999999716</v>
      </c>
      <c r="V31" s="242">
        <f t="shared" si="45"/>
        <v>51.000000000000057</v>
      </c>
      <c r="W31" s="14">
        <f>T31</f>
        <v>0.51874999999999993</v>
      </c>
      <c r="X31" s="14">
        <f>S32</f>
        <v>0.5576388888888888</v>
      </c>
      <c r="Y31" s="528"/>
      <c r="Z31" s="528"/>
      <c r="AA31" s="11">
        <f t="shared" si="2"/>
        <v>-156.47058823529687</v>
      </c>
      <c r="AB31" s="234">
        <f t="shared" si="47"/>
        <v>0.93480392156862635</v>
      </c>
      <c r="AC31" s="533"/>
    </row>
    <row r="32" spans="1:29" ht="15.75" customHeight="1">
      <c r="A32" s="553" t="s">
        <v>882</v>
      </c>
      <c r="B32" s="26" t="s">
        <v>24</v>
      </c>
      <c r="C32" s="552" t="s">
        <v>79</v>
      </c>
      <c r="D32" s="552"/>
      <c r="E32" s="26">
        <v>31.29</v>
      </c>
      <c r="F32" s="243">
        <v>3182</v>
      </c>
      <c r="G32" s="233">
        <f t="shared" si="39"/>
        <v>99564.78</v>
      </c>
      <c r="H32" s="245" t="s">
        <v>52</v>
      </c>
      <c r="I32" s="241">
        <v>16</v>
      </c>
      <c r="J32" s="18">
        <v>2400</v>
      </c>
      <c r="K32" s="9">
        <f t="shared" si="46"/>
        <v>150</v>
      </c>
      <c r="L32" s="241">
        <v>16</v>
      </c>
      <c r="M32" s="10">
        <f t="shared" si="40"/>
        <v>2219.9999999999995</v>
      </c>
      <c r="N32" s="9">
        <f t="shared" si="41"/>
        <v>138.74999999999997</v>
      </c>
      <c r="O32" s="11">
        <f t="shared" si="42"/>
        <v>0</v>
      </c>
      <c r="P32" s="12">
        <f t="shared" si="43"/>
        <v>-11.250000000000028</v>
      </c>
      <c r="Q32" s="234">
        <f t="shared" si="44"/>
        <v>0.92499999999999982</v>
      </c>
      <c r="R32" s="533"/>
      <c r="S32" s="24">
        <v>0.5576388888888888</v>
      </c>
      <c r="T32" s="24">
        <v>0.61736111111111103</v>
      </c>
      <c r="U32" s="233">
        <f t="shared" si="48"/>
        <v>55.999999999999957</v>
      </c>
      <c r="V32" s="242">
        <f t="shared" si="45"/>
        <v>86.000000000000014</v>
      </c>
      <c r="W32" s="14"/>
      <c r="X32" s="14"/>
      <c r="Y32" s="528"/>
      <c r="Z32" s="528"/>
      <c r="AA32" s="11">
        <f t="shared" si="2"/>
        <v>-180.00000000000045</v>
      </c>
      <c r="AB32" s="234">
        <f t="shared" si="47"/>
        <v>0.92499999999999982</v>
      </c>
      <c r="AC32" s="533"/>
    </row>
    <row r="33" spans="1:29" ht="15.75" customHeight="1">
      <c r="A33" s="553" t="s">
        <v>881</v>
      </c>
      <c r="B33" s="26" t="s">
        <v>877</v>
      </c>
      <c r="C33" s="530"/>
      <c r="D33" s="530"/>
      <c r="E33" s="235"/>
      <c r="F33" s="243"/>
      <c r="G33" s="233"/>
      <c r="H33" s="243"/>
      <c r="I33" s="17">
        <v>17.166666666666668</v>
      </c>
      <c r="J33" s="18">
        <v>2400</v>
      </c>
      <c r="K33" s="9">
        <f t="shared" si="46"/>
        <v>139.80582524271844</v>
      </c>
      <c r="L33" s="17">
        <v>17.166666666666668</v>
      </c>
      <c r="M33" s="10">
        <f>AVERAGE(M27:M32)</f>
        <v>2225.5312826227778</v>
      </c>
      <c r="N33" s="9">
        <f>M33/L33</f>
        <v>129.64259898773463</v>
      </c>
      <c r="O33" s="11">
        <f>L33-I33</f>
        <v>0</v>
      </c>
      <c r="P33" s="12">
        <f>N33-K33</f>
        <v>-10.163226254983812</v>
      </c>
      <c r="Q33" s="234">
        <f>N33/K33</f>
        <v>0.92730470109282415</v>
      </c>
      <c r="R33" s="533"/>
      <c r="S33" s="24"/>
      <c r="T33" s="24"/>
      <c r="U33" s="233"/>
      <c r="V33" s="242"/>
      <c r="W33" s="233"/>
      <c r="X33" s="233"/>
      <c r="Y33" s="528"/>
      <c r="Z33" s="528"/>
      <c r="AA33" s="11">
        <f t="shared" si="2"/>
        <v>-174.46871737722222</v>
      </c>
      <c r="AB33" s="234">
        <f>M33/J33</f>
        <v>0.92730470109282404</v>
      </c>
      <c r="AC33" s="533"/>
    </row>
    <row r="34" spans="1:29" ht="15.75" customHeight="1">
      <c r="A34" s="550" t="s">
        <v>883</v>
      </c>
      <c r="B34" s="26" t="s">
        <v>24</v>
      </c>
      <c r="C34" s="529" t="s">
        <v>28</v>
      </c>
      <c r="D34" s="529"/>
      <c r="E34" s="26">
        <v>26.2</v>
      </c>
      <c r="F34" s="243">
        <v>2700</v>
      </c>
      <c r="G34" s="233">
        <f t="shared" ref="G34:G40" si="49">E34*F34</f>
        <v>70740</v>
      </c>
      <c r="H34" s="245">
        <v>2</v>
      </c>
      <c r="I34" s="241">
        <v>18</v>
      </c>
      <c r="J34" s="18">
        <v>2400</v>
      </c>
      <c r="K34" s="9">
        <f>J34/I34</f>
        <v>133.33333333333334</v>
      </c>
      <c r="L34" s="241">
        <v>18</v>
      </c>
      <c r="M34" s="10">
        <f>F34/V34*60</f>
        <v>2219.1780821917814</v>
      </c>
      <c r="N34" s="9">
        <f>M34/L34</f>
        <v>123.28767123287675</v>
      </c>
      <c r="O34" s="11">
        <f t="shared" ref="O34:O40" si="50">L34-I34</f>
        <v>0</v>
      </c>
      <c r="P34" s="12">
        <f t="shared" ref="P34:P49" si="51">N34-K34</f>
        <v>-10.045662100456596</v>
      </c>
      <c r="Q34" s="234">
        <f t="shared" ref="Q34:Q45" si="52">N34/K34</f>
        <v>0.92465753424657549</v>
      </c>
      <c r="R34" s="533">
        <f>Q41</f>
        <v>0.92689902161694615</v>
      </c>
      <c r="S34" s="24">
        <v>0.125</v>
      </c>
      <c r="T34" s="24">
        <v>0.17569444444444443</v>
      </c>
      <c r="U34" s="233"/>
      <c r="V34" s="242">
        <f t="shared" ref="V34:V40" si="53">(T34-S34)*24*60</f>
        <v>72.999999999999986</v>
      </c>
      <c r="W34" s="15">
        <f>T34</f>
        <v>0.17569444444444443</v>
      </c>
      <c r="X34" s="15">
        <f>S35</f>
        <v>0.19652777777777777</v>
      </c>
      <c r="Y34" s="528"/>
      <c r="Z34" s="528"/>
      <c r="AA34" s="11">
        <f t="shared" si="2"/>
        <v>-180.82191780821859</v>
      </c>
      <c r="AB34" s="234">
        <f>M34/J34</f>
        <v>0.9246575342465756</v>
      </c>
      <c r="AC34" s="533">
        <f>AB41</f>
        <v>0.92689902161694604</v>
      </c>
    </row>
    <row r="35" spans="1:29" ht="15.75" customHeight="1">
      <c r="A35" s="550" t="s">
        <v>883</v>
      </c>
      <c r="B35" s="26" t="s">
        <v>24</v>
      </c>
      <c r="C35" s="529" t="s">
        <v>30</v>
      </c>
      <c r="D35" s="529"/>
      <c r="E35" s="26">
        <v>24.45</v>
      </c>
      <c r="F35" s="243">
        <v>1973</v>
      </c>
      <c r="G35" s="233">
        <f t="shared" si="49"/>
        <v>48239.85</v>
      </c>
      <c r="H35" s="245" t="s">
        <v>52</v>
      </c>
      <c r="I35" s="241">
        <v>20</v>
      </c>
      <c r="J35" s="18">
        <v>2400</v>
      </c>
      <c r="K35" s="9">
        <f t="shared" ref="K35:K48" si="54">J35/I35</f>
        <v>120</v>
      </c>
      <c r="L35" s="241">
        <v>20</v>
      </c>
      <c r="M35" s="10">
        <f t="shared" ref="M35:M40" si="55">F35/V35*60</f>
        <v>2233.584905660377</v>
      </c>
      <c r="N35" s="9">
        <f t="shared" ref="N35:N40" si="56">M35/L35</f>
        <v>111.67924528301884</v>
      </c>
      <c r="O35" s="11">
        <f t="shared" si="50"/>
        <v>0</v>
      </c>
      <c r="P35" s="12">
        <f t="shared" si="51"/>
        <v>-8.3207547169811562</v>
      </c>
      <c r="Q35" s="234">
        <f t="shared" si="52"/>
        <v>0.93066037735849039</v>
      </c>
      <c r="R35" s="533"/>
      <c r="S35" s="24">
        <v>0.19652777777777777</v>
      </c>
      <c r="T35" s="24">
        <v>0.23333333333333334</v>
      </c>
      <c r="U35" s="233">
        <f>(S35-T34)*24*60</f>
        <v>30.000000000000014</v>
      </c>
      <c r="V35" s="242">
        <f t="shared" si="53"/>
        <v>53.000000000000014</v>
      </c>
      <c r="W35" s="233"/>
      <c r="X35" s="233"/>
      <c r="Y35" s="528"/>
      <c r="Z35" s="528"/>
      <c r="AA35" s="11">
        <f t="shared" si="2"/>
        <v>-166.41509433962301</v>
      </c>
      <c r="AB35" s="234">
        <f t="shared" ref="AB35:AB62" si="57">M35/J35</f>
        <v>0.93066037735849039</v>
      </c>
      <c r="AC35" s="533"/>
    </row>
    <row r="36" spans="1:29">
      <c r="A36" s="551" t="s">
        <v>883</v>
      </c>
      <c r="B36" s="26" t="s">
        <v>24</v>
      </c>
      <c r="C36" s="529" t="s">
        <v>31</v>
      </c>
      <c r="D36" s="529"/>
      <c r="E36" s="26">
        <v>26.2</v>
      </c>
      <c r="F36" s="243">
        <v>2781</v>
      </c>
      <c r="G36" s="233">
        <f t="shared" si="49"/>
        <v>72862.2</v>
      </c>
      <c r="H36" s="245" t="s">
        <v>52</v>
      </c>
      <c r="I36" s="241">
        <v>20</v>
      </c>
      <c r="J36" s="18">
        <v>2400</v>
      </c>
      <c r="K36" s="9">
        <f t="shared" si="54"/>
        <v>120</v>
      </c>
      <c r="L36" s="241">
        <v>20</v>
      </c>
      <c r="M36" s="10">
        <f t="shared" si="55"/>
        <v>2224.7999999999993</v>
      </c>
      <c r="N36" s="9">
        <f t="shared" si="56"/>
        <v>111.23999999999997</v>
      </c>
      <c r="O36" s="11">
        <f t="shared" si="50"/>
        <v>0</v>
      </c>
      <c r="P36" s="12">
        <f t="shared" si="51"/>
        <v>-8.7600000000000335</v>
      </c>
      <c r="Q36" s="234">
        <f t="shared" si="52"/>
        <v>0.92699999999999971</v>
      </c>
      <c r="R36" s="533"/>
      <c r="S36" s="24">
        <v>0.23750000000000002</v>
      </c>
      <c r="T36" s="24">
        <v>0.28958333333333336</v>
      </c>
      <c r="U36" s="233">
        <f t="shared" ref="U36:U40" si="58">(S36-T35)*24*60</f>
        <v>6.0000000000000187</v>
      </c>
      <c r="V36" s="242">
        <f t="shared" si="53"/>
        <v>75.000000000000014</v>
      </c>
      <c r="W36" s="233"/>
      <c r="X36" s="233"/>
      <c r="Y36" s="528"/>
      <c r="Z36" s="528"/>
      <c r="AA36" s="11">
        <f t="shared" si="2"/>
        <v>-175.20000000000073</v>
      </c>
      <c r="AB36" s="234">
        <f t="shared" si="57"/>
        <v>0.92699999999999971</v>
      </c>
      <c r="AC36" s="533"/>
    </row>
    <row r="37" spans="1:29">
      <c r="A37" s="551" t="s">
        <v>379</v>
      </c>
      <c r="B37" s="26" t="s">
        <v>24</v>
      </c>
      <c r="C37" s="529" t="s">
        <v>29</v>
      </c>
      <c r="D37" s="529"/>
      <c r="E37" s="26">
        <v>26.39</v>
      </c>
      <c r="F37" s="243">
        <v>4699</v>
      </c>
      <c r="G37" s="233">
        <f t="shared" si="49"/>
        <v>124006.61</v>
      </c>
      <c r="H37" s="245" t="s">
        <v>52</v>
      </c>
      <c r="I37" s="241">
        <v>19</v>
      </c>
      <c r="J37" s="18">
        <v>2400</v>
      </c>
      <c r="K37" s="9">
        <f t="shared" si="54"/>
        <v>126.31578947368421</v>
      </c>
      <c r="L37" s="241">
        <v>19</v>
      </c>
      <c r="M37" s="10">
        <f t="shared" si="55"/>
        <v>2219.9999999999995</v>
      </c>
      <c r="N37" s="9">
        <f t="shared" si="56"/>
        <v>116.84210526315788</v>
      </c>
      <c r="O37" s="11">
        <f t="shared" si="50"/>
        <v>0</v>
      </c>
      <c r="P37" s="12">
        <f t="shared" si="51"/>
        <v>-9.4736842105263293</v>
      </c>
      <c r="Q37" s="234">
        <f t="shared" si="52"/>
        <v>0.92499999999999993</v>
      </c>
      <c r="R37" s="533"/>
      <c r="S37" s="24">
        <v>0.29305555555555557</v>
      </c>
      <c r="T37" s="24">
        <v>0.38125000000000003</v>
      </c>
      <c r="U37" s="233">
        <f t="shared" si="58"/>
        <v>4.9999999999999822</v>
      </c>
      <c r="V37" s="242">
        <f t="shared" si="53"/>
        <v>127.00000000000003</v>
      </c>
      <c r="W37" s="14"/>
      <c r="X37" s="14"/>
      <c r="Y37" s="528"/>
      <c r="Z37" s="528"/>
      <c r="AA37" s="11">
        <f t="shared" si="2"/>
        <v>-180.00000000000045</v>
      </c>
      <c r="AB37" s="234">
        <f t="shared" si="57"/>
        <v>0.92499999999999982</v>
      </c>
      <c r="AC37" s="533"/>
    </row>
    <row r="38" spans="1:29">
      <c r="A38" s="551" t="s">
        <v>883</v>
      </c>
      <c r="B38" s="26" t="s">
        <v>24</v>
      </c>
      <c r="C38" s="529" t="s">
        <v>27</v>
      </c>
      <c r="D38" s="529"/>
      <c r="E38" s="26">
        <v>20.52</v>
      </c>
      <c r="F38" s="243">
        <v>2857</v>
      </c>
      <c r="G38" s="233">
        <f t="shared" si="49"/>
        <v>58625.64</v>
      </c>
      <c r="H38" s="245" t="s">
        <v>52</v>
      </c>
      <c r="I38" s="241">
        <v>18</v>
      </c>
      <c r="J38" s="18">
        <v>2400</v>
      </c>
      <c r="K38" s="9">
        <f t="shared" si="54"/>
        <v>133.33333333333334</v>
      </c>
      <c r="L38" s="241">
        <v>18</v>
      </c>
      <c r="M38" s="10">
        <f t="shared" si="55"/>
        <v>2226.2337662337673</v>
      </c>
      <c r="N38" s="9">
        <f t="shared" si="56"/>
        <v>123.67965367965374</v>
      </c>
      <c r="O38" s="11">
        <f t="shared" si="50"/>
        <v>0</v>
      </c>
      <c r="P38" s="12">
        <f t="shared" si="51"/>
        <v>-9.6536796536796032</v>
      </c>
      <c r="Q38" s="234">
        <f t="shared" si="52"/>
        <v>0.92759740259740298</v>
      </c>
      <c r="R38" s="533"/>
      <c r="S38" s="24">
        <v>0.38541666666666669</v>
      </c>
      <c r="T38" s="24">
        <v>0.43888888888888888</v>
      </c>
      <c r="U38" s="233">
        <f t="shared" si="58"/>
        <v>5.9999999999999787</v>
      </c>
      <c r="V38" s="242">
        <f t="shared" si="53"/>
        <v>76.999999999999972</v>
      </c>
      <c r="W38" s="14"/>
      <c r="X38" s="14"/>
      <c r="Y38" s="528"/>
      <c r="Z38" s="528"/>
      <c r="AA38" s="11">
        <f t="shared" si="2"/>
        <v>-173.76623376623274</v>
      </c>
      <c r="AB38" s="234">
        <f t="shared" si="57"/>
        <v>0.92759740259740298</v>
      </c>
      <c r="AC38" s="533"/>
    </row>
    <row r="39" spans="1:29">
      <c r="A39" s="551" t="s">
        <v>379</v>
      </c>
      <c r="B39" s="26" t="s">
        <v>24</v>
      </c>
      <c r="C39" s="529" t="s">
        <v>50</v>
      </c>
      <c r="D39" s="529"/>
      <c r="E39" s="26">
        <v>26.2</v>
      </c>
      <c r="F39" s="243">
        <v>3949</v>
      </c>
      <c r="G39" s="233">
        <f t="shared" si="49"/>
        <v>103463.8</v>
      </c>
      <c r="H39" s="245" t="s">
        <v>52</v>
      </c>
      <c r="I39" s="241">
        <v>19</v>
      </c>
      <c r="J39" s="18">
        <v>2400</v>
      </c>
      <c r="K39" s="9">
        <f t="shared" si="54"/>
        <v>126.31578947368421</v>
      </c>
      <c r="L39" s="241">
        <v>19</v>
      </c>
      <c r="M39" s="10">
        <f t="shared" si="55"/>
        <v>2214.3925233644868</v>
      </c>
      <c r="N39" s="9">
        <f t="shared" si="56"/>
        <v>116.54697491392035</v>
      </c>
      <c r="O39" s="11">
        <f t="shared" si="50"/>
        <v>0</v>
      </c>
      <c r="P39" s="12">
        <f t="shared" si="51"/>
        <v>-9.7688145597638538</v>
      </c>
      <c r="Q39" s="234">
        <f t="shared" si="52"/>
        <v>0.92266355140186951</v>
      </c>
      <c r="R39" s="533"/>
      <c r="S39" s="24">
        <v>0.44374999999999998</v>
      </c>
      <c r="T39" s="24">
        <v>0.51805555555555549</v>
      </c>
      <c r="U39" s="233">
        <f t="shared" si="58"/>
        <v>6.9999999999999751</v>
      </c>
      <c r="V39" s="242">
        <f t="shared" si="53"/>
        <v>106.99999999999994</v>
      </c>
      <c r="W39" s="14">
        <f>T39</f>
        <v>0.51805555555555549</v>
      </c>
      <c r="X39" s="14">
        <f>S40</f>
        <v>0.55694444444444435</v>
      </c>
      <c r="Y39" s="528"/>
      <c r="Z39" s="528"/>
      <c r="AA39" s="11">
        <f t="shared" si="2"/>
        <v>-185.60747663551319</v>
      </c>
      <c r="AB39" s="234">
        <f t="shared" si="57"/>
        <v>0.92266355140186951</v>
      </c>
      <c r="AC39" s="533"/>
    </row>
    <row r="40" spans="1:29">
      <c r="A40" s="551" t="s">
        <v>379</v>
      </c>
      <c r="B40" s="26" t="s">
        <v>24</v>
      </c>
      <c r="C40" s="529" t="s">
        <v>28</v>
      </c>
      <c r="D40" s="529"/>
      <c r="E40" s="26">
        <v>26.2</v>
      </c>
      <c r="F40" s="243">
        <v>2606</v>
      </c>
      <c r="G40" s="233">
        <f t="shared" si="49"/>
        <v>68277.2</v>
      </c>
      <c r="H40" s="245" t="s">
        <v>52</v>
      </c>
      <c r="I40" s="241">
        <v>18</v>
      </c>
      <c r="J40" s="18">
        <v>2400</v>
      </c>
      <c r="K40" s="9">
        <f t="shared" si="54"/>
        <v>133.33333333333334</v>
      </c>
      <c r="L40" s="241">
        <v>18</v>
      </c>
      <c r="M40" s="10">
        <f t="shared" si="55"/>
        <v>2233.7142857142835</v>
      </c>
      <c r="N40" s="9">
        <f t="shared" si="56"/>
        <v>124.09523809523797</v>
      </c>
      <c r="O40" s="11">
        <f t="shared" si="50"/>
        <v>0</v>
      </c>
      <c r="P40" s="12">
        <f t="shared" si="51"/>
        <v>-9.2380952380953687</v>
      </c>
      <c r="Q40" s="234">
        <f t="shared" si="52"/>
        <v>0.93071428571428472</v>
      </c>
      <c r="R40" s="533"/>
      <c r="S40" s="24">
        <v>0.55694444444444435</v>
      </c>
      <c r="T40" s="24">
        <v>0.60555555555555551</v>
      </c>
      <c r="U40" s="233">
        <f t="shared" si="58"/>
        <v>55.999999999999957</v>
      </c>
      <c r="V40" s="242">
        <f t="shared" si="53"/>
        <v>70.000000000000071</v>
      </c>
      <c r="W40" s="14"/>
      <c r="X40" s="14"/>
      <c r="Y40" s="536"/>
      <c r="Z40" s="537"/>
      <c r="AA40" s="11">
        <f t="shared" si="2"/>
        <v>-166.28571428571649</v>
      </c>
      <c r="AB40" s="234">
        <f t="shared" si="57"/>
        <v>0.93071428571428483</v>
      </c>
      <c r="AC40" s="533"/>
    </row>
    <row r="41" spans="1:29">
      <c r="A41" s="551" t="s">
        <v>883</v>
      </c>
      <c r="B41" s="16" t="s">
        <v>877</v>
      </c>
      <c r="C41" s="530"/>
      <c r="D41" s="530"/>
      <c r="E41" s="235"/>
      <c r="F41" s="16"/>
      <c r="G41" s="9"/>
      <c r="H41" s="243"/>
      <c r="I41" s="17">
        <v>18.857142857142858</v>
      </c>
      <c r="J41" s="18">
        <v>2400</v>
      </c>
      <c r="K41" s="9">
        <f t="shared" si="54"/>
        <v>127.27272727272727</v>
      </c>
      <c r="L41" s="17">
        <v>18.857142857142858</v>
      </c>
      <c r="M41" s="10">
        <f>AVERAGE(M34:M40)</f>
        <v>2224.5576518806706</v>
      </c>
      <c r="N41" s="9">
        <f>M41/L41</f>
        <v>117.96896638761132</v>
      </c>
      <c r="O41" s="11">
        <f>L41-I41</f>
        <v>0</v>
      </c>
      <c r="P41" s="12">
        <f t="shared" si="51"/>
        <v>-9.303760885115949</v>
      </c>
      <c r="Q41" s="234">
        <f t="shared" si="52"/>
        <v>0.92689902161694615</v>
      </c>
      <c r="R41" s="533"/>
      <c r="S41" s="24"/>
      <c r="T41" s="24"/>
      <c r="U41" s="9"/>
      <c r="V41" s="242"/>
      <c r="W41" s="9"/>
      <c r="X41" s="9"/>
      <c r="Y41" s="528"/>
      <c r="Z41" s="528"/>
      <c r="AA41" s="11">
        <f t="shared" si="2"/>
        <v>-175.44234811932938</v>
      </c>
      <c r="AB41" s="234">
        <f t="shared" si="57"/>
        <v>0.92689902161694604</v>
      </c>
      <c r="AC41" s="533"/>
    </row>
    <row r="42" spans="1:29" ht="15.75" customHeight="1">
      <c r="A42" s="544" t="s">
        <v>884</v>
      </c>
      <c r="B42" s="26" t="s">
        <v>32</v>
      </c>
      <c r="C42" s="534" t="s">
        <v>33</v>
      </c>
      <c r="D42" s="535"/>
      <c r="E42" s="26">
        <v>27.17</v>
      </c>
      <c r="F42" s="243">
        <v>2800</v>
      </c>
      <c r="G42" s="233">
        <f t="shared" ref="G42:G48" si="59">E42*F42</f>
        <v>76076</v>
      </c>
      <c r="H42" s="245">
        <v>2</v>
      </c>
      <c r="I42" s="241">
        <v>10</v>
      </c>
      <c r="J42" s="18">
        <v>3000</v>
      </c>
      <c r="K42" s="9">
        <f t="shared" si="54"/>
        <v>300</v>
      </c>
      <c r="L42" s="241">
        <v>10</v>
      </c>
      <c r="M42" s="10">
        <f t="shared" ref="M42:M43" si="60">F42/V42*60</f>
        <v>2800.0000000000009</v>
      </c>
      <c r="N42" s="10">
        <f t="shared" ref="N42:N49" si="61">M42/L42</f>
        <v>280.00000000000011</v>
      </c>
      <c r="O42" s="11">
        <f t="shared" ref="O42:O49" si="62">L42-I42</f>
        <v>0</v>
      </c>
      <c r="P42" s="12">
        <f t="shared" si="51"/>
        <v>-19.999999999999886</v>
      </c>
      <c r="Q42" s="234">
        <f t="shared" si="52"/>
        <v>0.93333333333333368</v>
      </c>
      <c r="R42" s="547">
        <f>Q49</f>
        <v>0.93154284189575076</v>
      </c>
      <c r="S42" s="24">
        <v>0.20833333333333334</v>
      </c>
      <c r="T42" s="24">
        <v>0.25</v>
      </c>
      <c r="U42" s="15"/>
      <c r="V42" s="242">
        <f t="shared" ref="V42:V48" si="63">(T42-S42)*24*60</f>
        <v>59.999999999999986</v>
      </c>
      <c r="W42" s="233"/>
      <c r="X42" s="233"/>
      <c r="Y42" s="536"/>
      <c r="Z42" s="537"/>
      <c r="AA42" s="11">
        <f t="shared" si="2"/>
        <v>-199.99999999999909</v>
      </c>
      <c r="AB42" s="234">
        <f t="shared" si="57"/>
        <v>0.93333333333333368</v>
      </c>
      <c r="AC42" s="547">
        <f>AB49</f>
        <v>0.93154284189575065</v>
      </c>
    </row>
    <row r="43" spans="1:29" ht="15.75" customHeight="1">
      <c r="A43" s="545" t="s">
        <v>381</v>
      </c>
      <c r="B43" s="26" t="s">
        <v>32</v>
      </c>
      <c r="C43" s="534" t="s">
        <v>34</v>
      </c>
      <c r="D43" s="535"/>
      <c r="E43" s="26">
        <v>21.13</v>
      </c>
      <c r="F43" s="243">
        <v>4583</v>
      </c>
      <c r="G43" s="233">
        <f t="shared" si="59"/>
        <v>96838.79</v>
      </c>
      <c r="H43" s="245" t="s">
        <v>52</v>
      </c>
      <c r="I43" s="241">
        <v>10</v>
      </c>
      <c r="J43" s="18">
        <v>3000</v>
      </c>
      <c r="K43" s="9">
        <f t="shared" si="54"/>
        <v>300</v>
      </c>
      <c r="L43" s="241">
        <v>10</v>
      </c>
      <c r="M43" s="10">
        <f t="shared" si="60"/>
        <v>2777.5757575757584</v>
      </c>
      <c r="N43" s="10">
        <f t="shared" si="61"/>
        <v>277.75757575757586</v>
      </c>
      <c r="O43" s="11">
        <f t="shared" si="62"/>
        <v>0</v>
      </c>
      <c r="P43" s="12">
        <f t="shared" si="51"/>
        <v>-22.242424242424136</v>
      </c>
      <c r="Q43" s="234">
        <f t="shared" si="52"/>
        <v>0.92585858585858627</v>
      </c>
      <c r="R43" s="548"/>
      <c r="S43" s="24">
        <v>0.25416666666666665</v>
      </c>
      <c r="T43" s="24">
        <v>0.32291666666666663</v>
      </c>
      <c r="U43" s="233">
        <f>(S43-T42)*24*60</f>
        <v>5.9999999999999787</v>
      </c>
      <c r="V43" s="242">
        <f t="shared" si="63"/>
        <v>98.999999999999972</v>
      </c>
      <c r="W43" s="14"/>
      <c r="X43" s="14"/>
      <c r="Y43" s="536"/>
      <c r="Z43" s="537"/>
      <c r="AA43" s="11">
        <f t="shared" si="2"/>
        <v>-222.42424242424158</v>
      </c>
      <c r="AB43" s="234">
        <f t="shared" si="57"/>
        <v>0.92585858585858616</v>
      </c>
      <c r="AC43" s="548"/>
    </row>
    <row r="44" spans="1:29" ht="15.75" customHeight="1">
      <c r="A44" s="545" t="s">
        <v>381</v>
      </c>
      <c r="B44" s="26" t="s">
        <v>32</v>
      </c>
      <c r="C44" s="534" t="s">
        <v>40</v>
      </c>
      <c r="D44" s="535"/>
      <c r="E44" s="26">
        <v>35.119999999999997</v>
      </c>
      <c r="F44" s="243">
        <v>4555</v>
      </c>
      <c r="G44" s="233">
        <f t="shared" si="59"/>
        <v>159971.59999999998</v>
      </c>
      <c r="H44" s="245" t="s">
        <v>52</v>
      </c>
      <c r="I44" s="241">
        <v>10</v>
      </c>
      <c r="J44" s="18">
        <v>3000</v>
      </c>
      <c r="K44" s="9">
        <f t="shared" si="54"/>
        <v>300</v>
      </c>
      <c r="L44" s="241">
        <v>10</v>
      </c>
      <c r="M44" s="10">
        <f>F44/V44*60</f>
        <v>2788.7755102040824</v>
      </c>
      <c r="N44" s="10">
        <f t="shared" si="61"/>
        <v>278.87755102040825</v>
      </c>
      <c r="O44" s="11">
        <f t="shared" si="62"/>
        <v>0</v>
      </c>
      <c r="P44" s="12">
        <f t="shared" si="51"/>
        <v>-21.122448979591752</v>
      </c>
      <c r="Q44" s="234">
        <f t="shared" si="52"/>
        <v>0.92959183673469414</v>
      </c>
      <c r="R44" s="548"/>
      <c r="S44" s="24">
        <v>0.32708333333333328</v>
      </c>
      <c r="T44" s="24">
        <v>0.39513888888888882</v>
      </c>
      <c r="U44" s="233">
        <f t="shared" ref="U44:U48" si="64">(S44-T43)*24*60</f>
        <v>5.9999999999999787</v>
      </c>
      <c r="V44" s="242">
        <f t="shared" si="63"/>
        <v>97.999999999999972</v>
      </c>
      <c r="W44" s="14"/>
      <c r="X44" s="14"/>
      <c r="Y44" s="536"/>
      <c r="Z44" s="537"/>
      <c r="AA44" s="11">
        <f t="shared" si="2"/>
        <v>-211.22448979591763</v>
      </c>
      <c r="AB44" s="234">
        <f t="shared" si="57"/>
        <v>0.92959183673469414</v>
      </c>
      <c r="AC44" s="548"/>
    </row>
    <row r="45" spans="1:29" ht="15.75" customHeight="1">
      <c r="A45" s="545" t="s">
        <v>884</v>
      </c>
      <c r="B45" s="26" t="s">
        <v>32</v>
      </c>
      <c r="C45" s="534" t="s">
        <v>61</v>
      </c>
      <c r="D45" s="535"/>
      <c r="E45" s="26">
        <v>40.18</v>
      </c>
      <c r="F45" s="243">
        <v>1921</v>
      </c>
      <c r="G45" s="233">
        <f t="shared" si="59"/>
        <v>77185.78</v>
      </c>
      <c r="H45" s="245" t="s">
        <v>52</v>
      </c>
      <c r="I45" s="241">
        <v>10</v>
      </c>
      <c r="J45" s="18">
        <v>3000</v>
      </c>
      <c r="K45" s="9">
        <f t="shared" si="54"/>
        <v>300</v>
      </c>
      <c r="L45" s="241">
        <v>10</v>
      </c>
      <c r="M45" s="10">
        <f t="shared" ref="M45:M48" si="65">F45/V45*60</f>
        <v>2811.2195121951208</v>
      </c>
      <c r="N45" s="10">
        <f t="shared" si="61"/>
        <v>281.12195121951208</v>
      </c>
      <c r="O45" s="11">
        <f t="shared" si="62"/>
        <v>0</v>
      </c>
      <c r="P45" s="12">
        <f t="shared" si="51"/>
        <v>-18.878048780487916</v>
      </c>
      <c r="Q45" s="234">
        <f t="shared" si="52"/>
        <v>0.93707317073170693</v>
      </c>
      <c r="R45" s="548"/>
      <c r="S45" s="24">
        <v>0.39999999999999991</v>
      </c>
      <c r="T45" s="24">
        <v>0.42847222222222214</v>
      </c>
      <c r="U45" s="233">
        <f t="shared" si="64"/>
        <v>6.9999999999999751</v>
      </c>
      <c r="V45" s="242">
        <f t="shared" si="63"/>
        <v>41.000000000000014</v>
      </c>
      <c r="W45" s="14"/>
      <c r="X45" s="14"/>
      <c r="Y45" s="536"/>
      <c r="Z45" s="537"/>
      <c r="AA45" s="11">
        <f t="shared" si="2"/>
        <v>-188.78048780487916</v>
      </c>
      <c r="AB45" s="234">
        <f t="shared" si="57"/>
        <v>0.93707317073170693</v>
      </c>
      <c r="AC45" s="548"/>
    </row>
    <row r="46" spans="1:29" ht="15.75" customHeight="1">
      <c r="A46" s="545" t="s">
        <v>381</v>
      </c>
      <c r="B46" s="26" t="s">
        <v>32</v>
      </c>
      <c r="C46" s="534" t="s">
        <v>64</v>
      </c>
      <c r="D46" s="535"/>
      <c r="E46" s="26">
        <v>28.5</v>
      </c>
      <c r="F46" s="243">
        <v>1359</v>
      </c>
      <c r="G46" s="233">
        <f t="shared" si="59"/>
        <v>38731.5</v>
      </c>
      <c r="H46" s="245" t="s">
        <v>52</v>
      </c>
      <c r="I46" s="241">
        <v>10</v>
      </c>
      <c r="J46" s="18">
        <v>3000</v>
      </c>
      <c r="K46" s="9">
        <f t="shared" si="54"/>
        <v>300</v>
      </c>
      <c r="L46" s="241">
        <v>10</v>
      </c>
      <c r="M46" s="10">
        <f t="shared" si="65"/>
        <v>2811.7241379310362</v>
      </c>
      <c r="N46" s="10">
        <f t="shared" si="61"/>
        <v>281.1724137931036</v>
      </c>
      <c r="O46" s="11">
        <f t="shared" si="62"/>
        <v>0</v>
      </c>
      <c r="P46" s="12">
        <f t="shared" si="51"/>
        <v>-18.827586206896399</v>
      </c>
      <c r="Q46" s="234">
        <f>N46/K46</f>
        <v>0.93724137931034535</v>
      </c>
      <c r="R46" s="548"/>
      <c r="S46" s="24">
        <v>0.4326388888888888</v>
      </c>
      <c r="T46" s="24">
        <v>0.45277777777777767</v>
      </c>
      <c r="U46" s="233">
        <f t="shared" si="64"/>
        <v>5.9999999999999787</v>
      </c>
      <c r="V46" s="242">
        <f t="shared" si="63"/>
        <v>28.999999999999979</v>
      </c>
      <c r="W46" s="14"/>
      <c r="X46" s="14"/>
      <c r="Y46" s="536"/>
      <c r="Z46" s="537"/>
      <c r="AA46" s="11">
        <f t="shared" si="2"/>
        <v>-188.27586206896376</v>
      </c>
      <c r="AB46" s="234">
        <f t="shared" si="57"/>
        <v>0.93724137931034546</v>
      </c>
      <c r="AC46" s="548"/>
    </row>
    <row r="47" spans="1:29" ht="15.75" customHeight="1">
      <c r="A47" s="545" t="s">
        <v>381</v>
      </c>
      <c r="B47" s="26" t="s">
        <v>32</v>
      </c>
      <c r="C47" s="534" t="s">
        <v>78</v>
      </c>
      <c r="D47" s="535"/>
      <c r="E47" s="26">
        <v>35.869999999999997</v>
      </c>
      <c r="F47" s="243">
        <v>3489</v>
      </c>
      <c r="G47" s="233">
        <f t="shared" si="59"/>
        <v>125150.43</v>
      </c>
      <c r="H47" s="245" t="s">
        <v>52</v>
      </c>
      <c r="I47" s="241">
        <v>10</v>
      </c>
      <c r="J47" s="18">
        <v>3000</v>
      </c>
      <c r="K47" s="9">
        <f t="shared" si="54"/>
        <v>300</v>
      </c>
      <c r="L47" s="241">
        <v>10</v>
      </c>
      <c r="M47" s="10">
        <f t="shared" si="65"/>
        <v>2791.2000000000012</v>
      </c>
      <c r="N47" s="10">
        <f t="shared" si="61"/>
        <v>279.12000000000012</v>
      </c>
      <c r="O47" s="11">
        <f t="shared" si="62"/>
        <v>0</v>
      </c>
      <c r="P47" s="12">
        <f t="shared" si="51"/>
        <v>-20.879999999999882</v>
      </c>
      <c r="Q47" s="234">
        <f t="shared" ref="Q47:Q49" si="66">N47/K47</f>
        <v>0.93040000000000045</v>
      </c>
      <c r="R47" s="548"/>
      <c r="S47" s="24">
        <v>0.45763888888888876</v>
      </c>
      <c r="T47" s="24">
        <v>0.50972222222222208</v>
      </c>
      <c r="U47" s="233">
        <f t="shared" si="64"/>
        <v>6.9999999999999751</v>
      </c>
      <c r="V47" s="242">
        <f t="shared" si="63"/>
        <v>74.999999999999972</v>
      </c>
      <c r="W47" s="14">
        <f>T47</f>
        <v>0.50972222222222208</v>
      </c>
      <c r="X47" s="14">
        <f>S48</f>
        <v>0.55208333333333315</v>
      </c>
      <c r="Y47" s="536"/>
      <c r="Z47" s="537"/>
      <c r="AA47" s="11">
        <f t="shared" si="2"/>
        <v>-208.79999999999882</v>
      </c>
      <c r="AB47" s="234">
        <f t="shared" si="57"/>
        <v>0.93040000000000045</v>
      </c>
      <c r="AC47" s="548"/>
    </row>
    <row r="48" spans="1:29" ht="15.75" customHeight="1">
      <c r="A48" s="545" t="s">
        <v>381</v>
      </c>
      <c r="B48" s="26" t="s">
        <v>32</v>
      </c>
      <c r="C48" s="534" t="s">
        <v>33</v>
      </c>
      <c r="D48" s="535"/>
      <c r="E48" s="26">
        <v>27.17</v>
      </c>
      <c r="F48" s="243">
        <v>2921</v>
      </c>
      <c r="G48" s="233">
        <f t="shared" si="59"/>
        <v>79363.570000000007</v>
      </c>
      <c r="H48" s="245" t="s">
        <v>52</v>
      </c>
      <c r="I48" s="241">
        <v>10</v>
      </c>
      <c r="J48" s="18">
        <v>3000</v>
      </c>
      <c r="K48" s="9">
        <f t="shared" si="54"/>
        <v>300</v>
      </c>
      <c r="L48" s="241">
        <v>10</v>
      </c>
      <c r="M48" s="10">
        <f t="shared" si="65"/>
        <v>2781.9047619047647</v>
      </c>
      <c r="N48" s="10">
        <f t="shared" si="61"/>
        <v>278.19047619047649</v>
      </c>
      <c r="O48" s="11">
        <f t="shared" si="62"/>
        <v>0</v>
      </c>
      <c r="P48" s="12">
        <f t="shared" si="51"/>
        <v>-21.809523809523512</v>
      </c>
      <c r="Q48" s="234">
        <f t="shared" si="66"/>
        <v>0.92730158730158829</v>
      </c>
      <c r="R48" s="548"/>
      <c r="S48" s="24">
        <v>0.55208333333333315</v>
      </c>
      <c r="T48" s="24">
        <v>0.5958333333333331</v>
      </c>
      <c r="U48" s="233">
        <f t="shared" si="64"/>
        <v>60.999999999999943</v>
      </c>
      <c r="V48" s="242">
        <f t="shared" si="63"/>
        <v>62.999999999999936</v>
      </c>
      <c r="W48" s="14"/>
      <c r="X48" s="14"/>
      <c r="Y48" s="536"/>
      <c r="Z48" s="537"/>
      <c r="AA48" s="11">
        <f t="shared" si="2"/>
        <v>-218.09523809523535</v>
      </c>
      <c r="AB48" s="234">
        <f t="shared" si="57"/>
        <v>0.92730158730158818</v>
      </c>
      <c r="AC48" s="548"/>
    </row>
    <row r="49" spans="1:29" ht="15.75" customHeight="1">
      <c r="A49" s="546" t="s">
        <v>381</v>
      </c>
      <c r="B49" s="26" t="s">
        <v>82</v>
      </c>
      <c r="C49" s="540"/>
      <c r="D49" s="541"/>
      <c r="E49" s="240"/>
      <c r="F49" s="243"/>
      <c r="G49" s="233"/>
      <c r="H49" s="243"/>
      <c r="I49" s="17">
        <v>10</v>
      </c>
      <c r="J49" s="18">
        <v>3000</v>
      </c>
      <c r="K49" s="9">
        <f>J49/I49</f>
        <v>300</v>
      </c>
      <c r="L49" s="17">
        <v>10</v>
      </c>
      <c r="M49" s="10">
        <f>AVERAGE(M42:M48)</f>
        <v>2794.628525687252</v>
      </c>
      <c r="N49" s="9">
        <f t="shared" si="61"/>
        <v>279.46285256872522</v>
      </c>
      <c r="O49" s="11">
        <f t="shared" si="62"/>
        <v>0</v>
      </c>
      <c r="P49" s="12">
        <f t="shared" si="51"/>
        <v>-20.537147431274775</v>
      </c>
      <c r="Q49" s="234">
        <f t="shared" si="66"/>
        <v>0.93154284189575076</v>
      </c>
      <c r="R49" s="549"/>
      <c r="S49" s="24"/>
      <c r="T49" s="24"/>
      <c r="U49" s="233"/>
      <c r="V49" s="242"/>
      <c r="W49" s="14"/>
      <c r="X49" s="14"/>
      <c r="Y49" s="536"/>
      <c r="Z49" s="537"/>
      <c r="AA49" s="11">
        <f t="shared" si="2"/>
        <v>-205.37147431274798</v>
      </c>
      <c r="AB49" s="234">
        <f t="shared" si="57"/>
        <v>0.93154284189575065</v>
      </c>
      <c r="AC49" s="549"/>
    </row>
    <row r="50" spans="1:29" ht="15.75" customHeight="1">
      <c r="A50" s="542" t="s">
        <v>885</v>
      </c>
      <c r="B50" s="26" t="s">
        <v>15</v>
      </c>
      <c r="C50" s="529" t="s">
        <v>20</v>
      </c>
      <c r="D50" s="529"/>
      <c r="E50" s="26">
        <v>46</v>
      </c>
      <c r="F50" s="27">
        <v>3074</v>
      </c>
      <c r="G50" s="233">
        <f t="shared" ref="G50:G54" si="67">E50*F50</f>
        <v>141404</v>
      </c>
      <c r="H50" s="245" t="s">
        <v>52</v>
      </c>
      <c r="I50" s="241">
        <v>17</v>
      </c>
      <c r="J50" s="18">
        <v>2000</v>
      </c>
      <c r="K50" s="9">
        <f t="shared" ref="K50:K54" si="68">J50/I50</f>
        <v>117.64705882352941</v>
      </c>
      <c r="L50" s="241">
        <v>17</v>
      </c>
      <c r="M50" s="10">
        <f t="shared" ref="M50:M54" si="69">F50/V50*60</f>
        <v>1844.3999999999992</v>
      </c>
      <c r="N50" s="10">
        <f>M50/L50</f>
        <v>108.49411764705877</v>
      </c>
      <c r="O50" s="11">
        <f>L50-I50</f>
        <v>0</v>
      </c>
      <c r="P50" s="12">
        <f>N50-K50</f>
        <v>-9.1529411764706339</v>
      </c>
      <c r="Q50" s="234">
        <f>N50/K50</f>
        <v>0.92219999999999958</v>
      </c>
      <c r="R50" s="533">
        <f>Q55</f>
        <v>0.92745476119677739</v>
      </c>
      <c r="S50" s="24">
        <v>0.29166666666666669</v>
      </c>
      <c r="T50" s="24">
        <v>0.36111111111111116</v>
      </c>
      <c r="U50" s="15"/>
      <c r="V50" s="242">
        <f t="shared" ref="V50:V54" si="70">(T50-S50)*24*60</f>
        <v>100.00000000000004</v>
      </c>
      <c r="W50" s="15"/>
      <c r="X50" s="15"/>
      <c r="Y50" s="528"/>
      <c r="Z50" s="528"/>
      <c r="AA50" s="11">
        <f t="shared" si="2"/>
        <v>-155.60000000000082</v>
      </c>
      <c r="AB50" s="234">
        <f t="shared" si="57"/>
        <v>0.92219999999999958</v>
      </c>
      <c r="AC50" s="533">
        <f>AB55</f>
        <v>0.9274547611967775</v>
      </c>
    </row>
    <row r="51" spans="1:29" ht="15.75" customHeight="1">
      <c r="A51" s="542" t="s">
        <v>383</v>
      </c>
      <c r="B51" s="26" t="s">
        <v>15</v>
      </c>
      <c r="C51" s="529" t="s">
        <v>65</v>
      </c>
      <c r="D51" s="529"/>
      <c r="E51" s="26">
        <v>46</v>
      </c>
      <c r="F51" s="27">
        <v>3314</v>
      </c>
      <c r="G51" s="233">
        <f t="shared" si="67"/>
        <v>152444</v>
      </c>
      <c r="H51" s="245" t="s">
        <v>52</v>
      </c>
      <c r="I51" s="241">
        <v>18</v>
      </c>
      <c r="J51" s="18">
        <v>2000</v>
      </c>
      <c r="K51" s="9">
        <f t="shared" si="68"/>
        <v>111.11111111111111</v>
      </c>
      <c r="L51" s="241">
        <v>18</v>
      </c>
      <c r="M51" s="10">
        <f t="shared" si="69"/>
        <v>1841.1111111111109</v>
      </c>
      <c r="N51" s="10">
        <f t="shared" ref="N51:N54" si="71">M51/L51</f>
        <v>102.28395061728394</v>
      </c>
      <c r="O51" s="11">
        <f t="shared" ref="O51:O54" si="72">L51-I51</f>
        <v>0</v>
      </c>
      <c r="P51" s="12">
        <f t="shared" ref="P51:P54" si="73">N51-K51</f>
        <v>-8.8271604938271793</v>
      </c>
      <c r="Q51" s="234">
        <f t="shared" ref="Q51:Q54" si="74">N51/K51</f>
        <v>0.92055555555555535</v>
      </c>
      <c r="R51" s="533"/>
      <c r="S51" s="24">
        <v>0.36527777777777781</v>
      </c>
      <c r="T51" s="24">
        <v>0.44027777777777782</v>
      </c>
      <c r="U51" s="233">
        <f>IF(S51=TIME(17,0,0),"",(S51-T50)*24*60)</f>
        <v>5.9999999999999787</v>
      </c>
      <c r="V51" s="242">
        <f t="shared" si="70"/>
        <v>108.00000000000001</v>
      </c>
      <c r="W51" s="14"/>
      <c r="X51" s="14"/>
      <c r="Y51" s="528"/>
      <c r="Z51" s="528"/>
      <c r="AA51" s="11">
        <f t="shared" si="2"/>
        <v>-158.88888888888914</v>
      </c>
      <c r="AB51" s="234">
        <f t="shared" si="57"/>
        <v>0.92055555555555546</v>
      </c>
      <c r="AC51" s="533"/>
    </row>
    <row r="52" spans="1:29" ht="15.75" customHeight="1">
      <c r="A52" s="542" t="s">
        <v>885</v>
      </c>
      <c r="B52" s="26" t="s">
        <v>13</v>
      </c>
      <c r="C52" s="534" t="s">
        <v>59</v>
      </c>
      <c r="D52" s="535"/>
      <c r="E52" s="26">
        <v>55.56</v>
      </c>
      <c r="F52" s="27">
        <v>1836</v>
      </c>
      <c r="G52" s="233">
        <f t="shared" si="67"/>
        <v>102008.16</v>
      </c>
      <c r="H52" s="245" t="s">
        <v>52</v>
      </c>
      <c r="I52" s="241">
        <v>17</v>
      </c>
      <c r="J52" s="18">
        <v>2000</v>
      </c>
      <c r="K52" s="9">
        <f t="shared" si="68"/>
        <v>117.64705882352941</v>
      </c>
      <c r="L52" s="241">
        <v>17</v>
      </c>
      <c r="M52" s="10">
        <f t="shared" si="69"/>
        <v>1867.1186440677982</v>
      </c>
      <c r="N52" s="10">
        <f t="shared" si="71"/>
        <v>109.83050847457636</v>
      </c>
      <c r="O52" s="11">
        <f t="shared" si="72"/>
        <v>0</v>
      </c>
      <c r="P52" s="12">
        <f t="shared" si="73"/>
        <v>-7.8165503489530437</v>
      </c>
      <c r="Q52" s="234">
        <f t="shared" si="74"/>
        <v>0.93355932203389913</v>
      </c>
      <c r="R52" s="533"/>
      <c r="S52" s="24">
        <v>0.70833333333333337</v>
      </c>
      <c r="T52" s="24">
        <v>0.74930555555555556</v>
      </c>
      <c r="U52" s="233" t="str">
        <f t="shared" ref="U52:U54" si="75">IF(S52=TIME(17,0,0),"",(S52-T51)*24*60)</f>
        <v/>
      </c>
      <c r="V52" s="242">
        <f t="shared" si="70"/>
        <v>58.99999999999995</v>
      </c>
      <c r="W52" s="14"/>
      <c r="X52" s="14"/>
      <c r="Y52" s="238"/>
      <c r="Z52" s="239"/>
      <c r="AA52" s="11">
        <f t="shared" si="2"/>
        <v>-132.88135593220181</v>
      </c>
      <c r="AB52" s="234">
        <f t="shared" si="57"/>
        <v>0.93355932203389913</v>
      </c>
      <c r="AC52" s="533"/>
    </row>
    <row r="53" spans="1:29" ht="15.75" customHeight="1">
      <c r="A53" s="542" t="s">
        <v>383</v>
      </c>
      <c r="B53" s="26" t="s">
        <v>13</v>
      </c>
      <c r="C53" s="236" t="s">
        <v>58</v>
      </c>
      <c r="D53" s="237"/>
      <c r="E53" s="26">
        <v>55.32</v>
      </c>
      <c r="F53" s="27">
        <v>1399</v>
      </c>
      <c r="G53" s="233">
        <f t="shared" si="67"/>
        <v>77392.680000000008</v>
      </c>
      <c r="H53" s="245" t="s">
        <v>52</v>
      </c>
      <c r="I53" s="241">
        <v>15</v>
      </c>
      <c r="J53" s="18">
        <v>2000</v>
      </c>
      <c r="K53" s="9">
        <f t="shared" si="68"/>
        <v>133.33333333333334</v>
      </c>
      <c r="L53" s="241">
        <v>15</v>
      </c>
      <c r="M53" s="10">
        <f t="shared" si="69"/>
        <v>1865.3333333333333</v>
      </c>
      <c r="N53" s="10">
        <f t="shared" si="71"/>
        <v>124.35555555555555</v>
      </c>
      <c r="O53" s="11">
        <f t="shared" si="72"/>
        <v>0</v>
      </c>
      <c r="P53" s="12">
        <f t="shared" si="73"/>
        <v>-8.9777777777777885</v>
      </c>
      <c r="Q53" s="234">
        <f t="shared" si="74"/>
        <v>0.93266666666666664</v>
      </c>
      <c r="R53" s="533"/>
      <c r="S53" s="24">
        <v>0.75347222222222221</v>
      </c>
      <c r="T53" s="24">
        <v>0.78472222222222221</v>
      </c>
      <c r="U53" s="233">
        <f t="shared" si="75"/>
        <v>5.9999999999999787</v>
      </c>
      <c r="V53" s="242">
        <f t="shared" si="70"/>
        <v>45</v>
      </c>
      <c r="W53" s="14"/>
      <c r="X53" s="14"/>
      <c r="Y53" s="238"/>
      <c r="Z53" s="239"/>
      <c r="AA53" s="11">
        <f t="shared" si="2"/>
        <v>-134.66666666666674</v>
      </c>
      <c r="AB53" s="234">
        <f t="shared" si="57"/>
        <v>0.93266666666666664</v>
      </c>
      <c r="AC53" s="533"/>
    </row>
    <row r="54" spans="1:29" ht="15.75" customHeight="1">
      <c r="A54" s="542" t="s">
        <v>885</v>
      </c>
      <c r="B54" s="26" t="s">
        <v>13</v>
      </c>
      <c r="C54" s="236" t="s">
        <v>60</v>
      </c>
      <c r="D54" s="237"/>
      <c r="E54" s="26">
        <v>57.73</v>
      </c>
      <c r="F54" s="27">
        <v>1300</v>
      </c>
      <c r="G54" s="233">
        <f t="shared" si="67"/>
        <v>75049</v>
      </c>
      <c r="H54" s="245" t="s">
        <v>52</v>
      </c>
      <c r="I54" s="241">
        <v>16</v>
      </c>
      <c r="J54" s="18">
        <v>1500</v>
      </c>
      <c r="K54" s="9">
        <f t="shared" si="68"/>
        <v>93.75</v>
      </c>
      <c r="L54" s="241">
        <v>16</v>
      </c>
      <c r="M54" s="10">
        <f t="shared" si="69"/>
        <v>1392.857142857144</v>
      </c>
      <c r="N54" s="10">
        <f t="shared" si="71"/>
        <v>87.053571428571502</v>
      </c>
      <c r="O54" s="11">
        <f t="shared" si="72"/>
        <v>0</v>
      </c>
      <c r="P54" s="12">
        <f t="shared" si="73"/>
        <v>-6.6964285714284983</v>
      </c>
      <c r="Q54" s="234">
        <f t="shared" si="74"/>
        <v>0.92857142857142938</v>
      </c>
      <c r="R54" s="533"/>
      <c r="S54" s="24">
        <v>0.79027777777777775</v>
      </c>
      <c r="T54" s="24">
        <v>0.82916666666666661</v>
      </c>
      <c r="U54" s="233">
        <f t="shared" si="75"/>
        <v>7.9999999999999716</v>
      </c>
      <c r="V54" s="242">
        <f t="shared" si="70"/>
        <v>55.999999999999957</v>
      </c>
      <c r="W54" s="14"/>
      <c r="X54" s="14"/>
      <c r="Y54" s="238"/>
      <c r="Z54" s="239"/>
      <c r="AA54" s="11">
        <f t="shared" si="2"/>
        <v>-107.14285714285597</v>
      </c>
      <c r="AB54" s="234">
        <f t="shared" si="57"/>
        <v>0.92857142857142938</v>
      </c>
      <c r="AC54" s="533"/>
    </row>
    <row r="55" spans="1:29">
      <c r="A55" s="543" t="s">
        <v>885</v>
      </c>
      <c r="B55" s="26" t="s">
        <v>82</v>
      </c>
      <c r="C55" s="530"/>
      <c r="D55" s="530"/>
      <c r="E55" s="235"/>
      <c r="F55" s="16"/>
      <c r="G55" s="9"/>
      <c r="H55" s="243"/>
      <c r="I55" s="17">
        <v>16.600000000000001</v>
      </c>
      <c r="J55" s="18">
        <v>1900</v>
      </c>
      <c r="K55" s="9">
        <f>J55/I55</f>
        <v>114.4578313253012</v>
      </c>
      <c r="L55" s="17">
        <v>16.600000000000001</v>
      </c>
      <c r="M55" s="10">
        <f>AVERAGE(M50:M54)</f>
        <v>1762.1640462738771</v>
      </c>
      <c r="N55" s="9">
        <f>M55/L55</f>
        <v>106.15446061890825</v>
      </c>
      <c r="O55" s="11">
        <f>L55-I55</f>
        <v>0</v>
      </c>
      <c r="P55" s="12">
        <f>N55-K55</f>
        <v>-8.303370706392954</v>
      </c>
      <c r="Q55" s="234">
        <f>N55/K55</f>
        <v>0.92745476119677739</v>
      </c>
      <c r="R55" s="533"/>
      <c r="S55" s="25"/>
      <c r="T55" s="24"/>
      <c r="U55" s="9"/>
      <c r="V55" s="242"/>
      <c r="W55" s="9"/>
      <c r="X55" s="9"/>
      <c r="Y55" s="528"/>
      <c r="Z55" s="528"/>
      <c r="AA55" s="11">
        <f t="shared" si="2"/>
        <v>-137.83595372612285</v>
      </c>
      <c r="AB55" s="234">
        <f t="shared" si="57"/>
        <v>0.9274547611967775</v>
      </c>
      <c r="AC55" s="533"/>
    </row>
    <row r="56" spans="1:29" ht="15.75" customHeight="1">
      <c r="A56" s="538" t="s">
        <v>886</v>
      </c>
      <c r="B56" s="243" t="s">
        <v>32</v>
      </c>
      <c r="C56" s="529" t="s">
        <v>35</v>
      </c>
      <c r="D56" s="529"/>
      <c r="E56" s="26">
        <v>26.78</v>
      </c>
      <c r="F56" s="27">
        <v>2541</v>
      </c>
      <c r="G56" s="233">
        <f t="shared" ref="G56:G61" si="76">E56*F56</f>
        <v>68047.98</v>
      </c>
      <c r="H56" s="245" t="s">
        <v>52</v>
      </c>
      <c r="I56" s="241">
        <v>10</v>
      </c>
      <c r="J56" s="18">
        <v>3000</v>
      </c>
      <c r="K56" s="9">
        <f t="shared" ref="K56:K61" si="77">J56/I56</f>
        <v>300</v>
      </c>
      <c r="L56" s="17">
        <v>10</v>
      </c>
      <c r="M56" s="10">
        <f t="shared" ref="M56:M61" si="78">F56/V56*60</f>
        <v>2771.9999999999995</v>
      </c>
      <c r="N56" s="9">
        <f>M56/L56</f>
        <v>277.19999999999993</v>
      </c>
      <c r="O56" s="11">
        <f t="shared" ref="O56:O61" si="79">L56-I56</f>
        <v>0</v>
      </c>
      <c r="P56" s="12">
        <f t="shared" ref="P56:P61" si="80">N56-K56</f>
        <v>-22.800000000000068</v>
      </c>
      <c r="Q56" s="234">
        <f>N56/K56</f>
        <v>0.92399999999999982</v>
      </c>
      <c r="R56" s="533">
        <f>Q62</f>
        <v>0.93332595555617204</v>
      </c>
      <c r="S56" s="24">
        <v>0.20833333333333334</v>
      </c>
      <c r="T56" s="24">
        <v>0.24652777777777779</v>
      </c>
      <c r="U56" s="233"/>
      <c r="V56" s="242">
        <f t="shared" ref="V56:V61" si="81">(T56-S56)*24*60</f>
        <v>55.000000000000007</v>
      </c>
      <c r="W56" s="15"/>
      <c r="X56" s="15"/>
      <c r="Y56" s="528"/>
      <c r="Z56" s="528"/>
      <c r="AA56" s="11">
        <f t="shared" si="2"/>
        <v>-228.00000000000045</v>
      </c>
      <c r="AB56" s="234">
        <f t="shared" si="57"/>
        <v>0.92399999999999982</v>
      </c>
      <c r="AC56" s="533">
        <f>AB62</f>
        <v>0.93332595555617204</v>
      </c>
    </row>
    <row r="57" spans="1:29" ht="15.75" customHeight="1">
      <c r="A57" s="538" t="s">
        <v>385</v>
      </c>
      <c r="B57" s="243" t="s">
        <v>32</v>
      </c>
      <c r="C57" s="529" t="s">
        <v>39</v>
      </c>
      <c r="D57" s="529"/>
      <c r="E57" s="26">
        <v>35.369999999999997</v>
      </c>
      <c r="F57" s="27">
        <v>1555</v>
      </c>
      <c r="G57" s="233">
        <f t="shared" si="76"/>
        <v>55000.35</v>
      </c>
      <c r="H57" s="245" t="s">
        <v>52</v>
      </c>
      <c r="I57" s="241">
        <v>10</v>
      </c>
      <c r="J57" s="18">
        <v>3000</v>
      </c>
      <c r="K57" s="9">
        <f t="shared" si="77"/>
        <v>300</v>
      </c>
      <c r="L57" s="17">
        <v>10</v>
      </c>
      <c r="M57" s="10">
        <f t="shared" si="78"/>
        <v>2827.2727272727238</v>
      </c>
      <c r="N57" s="9">
        <f t="shared" ref="N57:N61" si="82">M57/L57</f>
        <v>282.72727272727241</v>
      </c>
      <c r="O57" s="11">
        <f t="shared" si="79"/>
        <v>0</v>
      </c>
      <c r="P57" s="12">
        <f t="shared" si="80"/>
        <v>-17.272727272727593</v>
      </c>
      <c r="Q57" s="234">
        <f t="shared" ref="Q57:Q61" si="83">N57/K57</f>
        <v>0.94242424242424139</v>
      </c>
      <c r="R57" s="533"/>
      <c r="S57" s="24">
        <v>0.25208333333333333</v>
      </c>
      <c r="T57" s="24">
        <v>0.27500000000000002</v>
      </c>
      <c r="U57" s="233">
        <f>(S57-T56)*24*60</f>
        <v>7.9999999999999716</v>
      </c>
      <c r="V57" s="242">
        <f t="shared" si="81"/>
        <v>33.000000000000043</v>
      </c>
      <c r="W57" s="233"/>
      <c r="X57" s="233"/>
      <c r="Y57" s="528"/>
      <c r="Z57" s="528"/>
      <c r="AA57" s="11">
        <f t="shared" si="2"/>
        <v>-172.72727272727616</v>
      </c>
      <c r="AB57" s="234">
        <f t="shared" si="57"/>
        <v>0.94242424242424128</v>
      </c>
      <c r="AC57" s="533"/>
    </row>
    <row r="58" spans="1:29" ht="15.75" customHeight="1">
      <c r="A58" s="538" t="s">
        <v>385</v>
      </c>
      <c r="B58" s="243" t="s">
        <v>32</v>
      </c>
      <c r="C58" s="529" t="s">
        <v>38</v>
      </c>
      <c r="D58" s="529"/>
      <c r="E58" s="26">
        <v>34.35</v>
      </c>
      <c r="F58" s="27">
        <v>1455</v>
      </c>
      <c r="G58" s="233">
        <f t="shared" si="76"/>
        <v>49979.25</v>
      </c>
      <c r="H58" s="245" t="s">
        <v>52</v>
      </c>
      <c r="I58" s="241">
        <v>10</v>
      </c>
      <c r="J58" s="18">
        <v>3000</v>
      </c>
      <c r="K58" s="9">
        <f t="shared" si="77"/>
        <v>300</v>
      </c>
      <c r="L58" s="17">
        <v>10</v>
      </c>
      <c r="M58" s="10">
        <f t="shared" si="78"/>
        <v>2816.1290322580671</v>
      </c>
      <c r="N58" s="9">
        <f t="shared" si="82"/>
        <v>281.61290322580669</v>
      </c>
      <c r="O58" s="11">
        <f t="shared" si="79"/>
        <v>0</v>
      </c>
      <c r="P58" s="12">
        <f t="shared" si="80"/>
        <v>-18.38709677419331</v>
      </c>
      <c r="Q58" s="234">
        <f t="shared" si="83"/>
        <v>0.93870967741935563</v>
      </c>
      <c r="R58" s="533"/>
      <c r="S58" s="24">
        <v>0.27847222222222223</v>
      </c>
      <c r="T58" s="24">
        <v>0.3</v>
      </c>
      <c r="U58" s="233">
        <f t="shared" ref="U58:U61" si="84">(S58-T57)*24*60</f>
        <v>4.9999999999999822</v>
      </c>
      <c r="V58" s="242">
        <f t="shared" si="81"/>
        <v>30.999999999999972</v>
      </c>
      <c r="W58" s="233"/>
      <c r="X58" s="233"/>
      <c r="Y58" s="528"/>
      <c r="Z58" s="528"/>
      <c r="AA58" s="11">
        <f t="shared" si="2"/>
        <v>-183.87096774193287</v>
      </c>
      <c r="AB58" s="234">
        <f t="shared" si="57"/>
        <v>0.93870967741935574</v>
      </c>
      <c r="AC58" s="533"/>
    </row>
    <row r="59" spans="1:29" ht="15.75" customHeight="1">
      <c r="A59" s="538" t="s">
        <v>385</v>
      </c>
      <c r="B59" s="243" t="s">
        <v>15</v>
      </c>
      <c r="C59" s="529" t="s">
        <v>36</v>
      </c>
      <c r="D59" s="529"/>
      <c r="E59" s="26">
        <v>26.97</v>
      </c>
      <c r="F59" s="27">
        <v>3190</v>
      </c>
      <c r="G59" s="233">
        <f t="shared" si="76"/>
        <v>86034.3</v>
      </c>
      <c r="H59" s="245" t="s">
        <v>52</v>
      </c>
      <c r="I59" s="241">
        <v>8</v>
      </c>
      <c r="J59" s="18">
        <v>1500</v>
      </c>
      <c r="K59" s="9">
        <f t="shared" si="77"/>
        <v>187.5</v>
      </c>
      <c r="L59" s="17">
        <v>8</v>
      </c>
      <c r="M59" s="10">
        <f t="shared" si="78"/>
        <v>1386.9565217391305</v>
      </c>
      <c r="N59" s="9">
        <f t="shared" si="82"/>
        <v>173.36956521739131</v>
      </c>
      <c r="O59" s="11">
        <f t="shared" si="79"/>
        <v>0</v>
      </c>
      <c r="P59" s="12">
        <f t="shared" si="80"/>
        <v>-14.130434782608688</v>
      </c>
      <c r="Q59" s="234">
        <f t="shared" si="83"/>
        <v>0.92463768115942035</v>
      </c>
      <c r="R59" s="533"/>
      <c r="S59" s="24">
        <v>0.3034722222222222</v>
      </c>
      <c r="T59" s="24">
        <v>0.39930555555555552</v>
      </c>
      <c r="U59" s="233">
        <f t="shared" si="84"/>
        <v>4.9999999999999822</v>
      </c>
      <c r="V59" s="242">
        <f t="shared" si="81"/>
        <v>138</v>
      </c>
      <c r="W59" s="233"/>
      <c r="X59" s="233"/>
      <c r="Y59" s="528"/>
      <c r="Z59" s="528"/>
      <c r="AA59" s="11">
        <f t="shared" si="2"/>
        <v>-113.04347826086951</v>
      </c>
      <c r="AB59" s="234">
        <f t="shared" si="57"/>
        <v>0.92463768115942035</v>
      </c>
      <c r="AC59" s="533"/>
    </row>
    <row r="60" spans="1:29">
      <c r="A60" s="539" t="s">
        <v>385</v>
      </c>
      <c r="B60" s="243" t="s">
        <v>32</v>
      </c>
      <c r="C60" s="529" t="s">
        <v>37</v>
      </c>
      <c r="D60" s="529"/>
      <c r="E60" s="26">
        <v>35.119999999999997</v>
      </c>
      <c r="F60" s="27">
        <v>1242</v>
      </c>
      <c r="G60" s="233">
        <f t="shared" si="76"/>
        <v>43619.039999999994</v>
      </c>
      <c r="H60" s="245" t="s">
        <v>52</v>
      </c>
      <c r="I60" s="241">
        <v>13</v>
      </c>
      <c r="J60" s="18">
        <v>2000</v>
      </c>
      <c r="K60" s="9">
        <f t="shared" si="77"/>
        <v>153.84615384615384</v>
      </c>
      <c r="L60" s="17">
        <v>13</v>
      </c>
      <c r="M60" s="10">
        <f t="shared" si="78"/>
        <v>1862.9999999999993</v>
      </c>
      <c r="N60" s="9">
        <f t="shared" si="82"/>
        <v>143.30769230769226</v>
      </c>
      <c r="O60" s="11">
        <f t="shared" si="79"/>
        <v>0</v>
      </c>
      <c r="P60" s="12">
        <f t="shared" si="80"/>
        <v>-10.538461538461576</v>
      </c>
      <c r="Q60" s="234">
        <f t="shared" si="83"/>
        <v>0.93149999999999977</v>
      </c>
      <c r="R60" s="533"/>
      <c r="S60" s="24">
        <v>0.40416666666666662</v>
      </c>
      <c r="T60" s="24">
        <v>0.43194444444444441</v>
      </c>
      <c r="U60" s="233">
        <f t="shared" si="84"/>
        <v>6.9999999999999751</v>
      </c>
      <c r="V60" s="242">
        <f t="shared" si="81"/>
        <v>40.000000000000014</v>
      </c>
      <c r="W60" s="14"/>
      <c r="X60" s="14"/>
      <c r="Y60" s="528"/>
      <c r="Z60" s="528"/>
      <c r="AA60" s="11">
        <f t="shared" si="2"/>
        <v>-137.00000000000068</v>
      </c>
      <c r="AB60" s="234">
        <f t="shared" si="57"/>
        <v>0.93149999999999966</v>
      </c>
      <c r="AC60" s="533"/>
    </row>
    <row r="61" spans="1:29" ht="15" customHeight="1">
      <c r="A61" s="539" t="s">
        <v>886</v>
      </c>
      <c r="B61" s="243" t="s">
        <v>32</v>
      </c>
      <c r="C61" s="534" t="s">
        <v>84</v>
      </c>
      <c r="D61" s="535"/>
      <c r="E61" s="26">
        <v>35.869999999999997</v>
      </c>
      <c r="F61" s="27">
        <v>3128</v>
      </c>
      <c r="G61" s="233">
        <f t="shared" si="76"/>
        <v>112201.35999999999</v>
      </c>
      <c r="H61" s="245" t="s">
        <v>52</v>
      </c>
      <c r="I61" s="241">
        <v>10</v>
      </c>
      <c r="J61" s="18">
        <v>3000</v>
      </c>
      <c r="K61" s="9">
        <f t="shared" si="77"/>
        <v>300</v>
      </c>
      <c r="L61" s="17">
        <v>10</v>
      </c>
      <c r="M61" s="10">
        <f t="shared" si="78"/>
        <v>2801.1940298507461</v>
      </c>
      <c r="N61" s="9">
        <f t="shared" si="82"/>
        <v>280.1194029850746</v>
      </c>
      <c r="O61" s="11">
        <f t="shared" si="79"/>
        <v>0</v>
      </c>
      <c r="P61" s="12">
        <f t="shared" si="80"/>
        <v>-19.880597014925399</v>
      </c>
      <c r="Q61" s="234">
        <f t="shared" si="83"/>
        <v>0.93373134328358198</v>
      </c>
      <c r="R61" s="533"/>
      <c r="S61" s="24">
        <v>0.43611111111111106</v>
      </c>
      <c r="T61" s="24">
        <v>0.48263888888888884</v>
      </c>
      <c r="U61" s="233">
        <f t="shared" si="84"/>
        <v>5.9999999999999787</v>
      </c>
      <c r="V61" s="242">
        <f t="shared" si="81"/>
        <v>67</v>
      </c>
      <c r="W61" s="233"/>
      <c r="X61" s="233"/>
      <c r="Y61" s="536"/>
      <c r="Z61" s="537"/>
      <c r="AA61" s="11">
        <f t="shared" si="2"/>
        <v>-198.80597014925388</v>
      </c>
      <c r="AB61" s="234">
        <f t="shared" si="57"/>
        <v>0.93373134328358209</v>
      </c>
      <c r="AC61" s="533"/>
    </row>
    <row r="62" spans="1:29">
      <c r="A62" s="539" t="s">
        <v>385</v>
      </c>
      <c r="B62" s="26" t="s">
        <v>82</v>
      </c>
      <c r="C62" s="530"/>
      <c r="D62" s="530"/>
      <c r="E62" s="235"/>
      <c r="F62" s="16"/>
      <c r="G62" s="9"/>
      <c r="H62" s="243"/>
      <c r="I62" s="17">
        <v>10.166666666666666</v>
      </c>
      <c r="J62" s="18">
        <v>2583.3333333333335</v>
      </c>
      <c r="K62" s="9">
        <f>J62/I62</f>
        <v>254.09836065573774</v>
      </c>
      <c r="L62" s="17">
        <v>10.166666666666666</v>
      </c>
      <c r="M62" s="10">
        <f>AVERAGE(M56:M61)</f>
        <v>2411.0920518534444</v>
      </c>
      <c r="N62" s="9">
        <f>M62/L62</f>
        <v>237.15659526427325</v>
      </c>
      <c r="O62" s="11">
        <f>L62-I62</f>
        <v>0</v>
      </c>
      <c r="P62" s="12">
        <f>N62-K62</f>
        <v>-16.941765391464486</v>
      </c>
      <c r="Q62" s="234">
        <f>N62/K62</f>
        <v>0.93332595555617204</v>
      </c>
      <c r="R62" s="533"/>
      <c r="S62" s="24"/>
      <c r="T62" s="24"/>
      <c r="U62" s="9"/>
      <c r="V62" s="242"/>
      <c r="W62" s="9"/>
      <c r="X62" s="9"/>
      <c r="Y62" s="528"/>
      <c r="Z62" s="528"/>
      <c r="AA62" s="11">
        <f t="shared" si="2"/>
        <v>-172.24128147988904</v>
      </c>
      <c r="AB62" s="234">
        <f t="shared" si="57"/>
        <v>0.93332595555617204</v>
      </c>
      <c r="AC62" s="533"/>
    </row>
    <row r="63" spans="1:29" ht="15.75" customHeight="1">
      <c r="A63" s="531" t="s">
        <v>387</v>
      </c>
      <c r="B63" s="243" t="s">
        <v>24</v>
      </c>
      <c r="C63" s="529" t="s">
        <v>67</v>
      </c>
      <c r="D63" s="529"/>
      <c r="E63" s="26">
        <v>32.03</v>
      </c>
      <c r="F63" s="243">
        <v>959</v>
      </c>
      <c r="G63" s="233">
        <f t="shared" ref="G63:G69" si="85">E63*F63</f>
        <v>30716.77</v>
      </c>
      <c r="H63" s="245" t="s">
        <v>52</v>
      </c>
      <c r="I63" s="241">
        <v>19</v>
      </c>
      <c r="J63" s="18">
        <v>2400</v>
      </c>
      <c r="K63" s="9">
        <f t="shared" ref="K63:K65" si="86">J63/I63</f>
        <v>126.31578947368421</v>
      </c>
      <c r="L63" s="17">
        <v>19</v>
      </c>
      <c r="M63" s="10">
        <f>F63/V63*60</f>
        <v>2213.0769230769247</v>
      </c>
      <c r="N63" s="9">
        <f t="shared" ref="N63:N69" si="87">M63/L63</f>
        <v>116.47773279352235</v>
      </c>
      <c r="O63" s="11">
        <f t="shared" ref="O63:O69" si="88">L63-I63</f>
        <v>0</v>
      </c>
      <c r="P63" s="12">
        <f t="shared" ref="P63:P69" si="89">N63-K63</f>
        <v>-9.8380566801618556</v>
      </c>
      <c r="Q63" s="234">
        <f>N63/K63</f>
        <v>0.92211538461538534</v>
      </c>
      <c r="R63" s="533">
        <f>Q70</f>
        <v>0.92416726191408627</v>
      </c>
      <c r="S63" s="24">
        <v>0.125</v>
      </c>
      <c r="T63" s="24">
        <v>0.14305555555555555</v>
      </c>
      <c r="U63" s="15"/>
      <c r="V63" s="242">
        <f t="shared" ref="V63:V69" si="90">(T63-S63)*24*60</f>
        <v>25.999999999999986</v>
      </c>
      <c r="W63" s="14">
        <f>T63</f>
        <v>0.14305555555555555</v>
      </c>
      <c r="X63" s="14">
        <f>S64</f>
        <v>0.16250000000000001</v>
      </c>
      <c r="Y63" s="528"/>
      <c r="Z63" s="528"/>
      <c r="AA63" s="11">
        <f t="shared" si="2"/>
        <v>-186.92307692307531</v>
      </c>
      <c r="AB63" s="234">
        <f>M63/J63</f>
        <v>0.92211538461538534</v>
      </c>
      <c r="AC63" s="533">
        <f>AB70</f>
        <v>0.92416726191408638</v>
      </c>
    </row>
    <row r="64" spans="1:29" ht="15.75" customHeight="1">
      <c r="A64" s="531" t="s">
        <v>887</v>
      </c>
      <c r="B64" s="243" t="s">
        <v>24</v>
      </c>
      <c r="C64" s="529" t="s">
        <v>51</v>
      </c>
      <c r="D64" s="529"/>
      <c r="E64" s="26">
        <v>20.2</v>
      </c>
      <c r="F64" s="243">
        <v>2547</v>
      </c>
      <c r="G64" s="233">
        <f t="shared" si="85"/>
        <v>51449.4</v>
      </c>
      <c r="H64" s="245" t="s">
        <v>52</v>
      </c>
      <c r="I64" s="241">
        <v>19</v>
      </c>
      <c r="J64" s="18">
        <v>2400</v>
      </c>
      <c r="K64" s="9">
        <f t="shared" si="86"/>
        <v>126.31578947368421</v>
      </c>
      <c r="L64" s="17">
        <v>19</v>
      </c>
      <c r="M64" s="10">
        <f t="shared" ref="M64:M69" si="91">F64/V64*60</f>
        <v>2214.782608695652</v>
      </c>
      <c r="N64" s="9">
        <f t="shared" si="87"/>
        <v>116.56750572082379</v>
      </c>
      <c r="O64" s="11">
        <f t="shared" si="88"/>
        <v>0</v>
      </c>
      <c r="P64" s="12">
        <f t="shared" si="89"/>
        <v>-9.7482837528604165</v>
      </c>
      <c r="Q64" s="234">
        <f t="shared" ref="Q64:Q70" si="92">N64/K64</f>
        <v>0.92282608695652169</v>
      </c>
      <c r="R64" s="533"/>
      <c r="S64" s="24">
        <v>0.16250000000000001</v>
      </c>
      <c r="T64" s="24">
        <v>0.21041666666666667</v>
      </c>
      <c r="U64" s="233">
        <f>(S64-T63)*24*60</f>
        <v>28.000000000000021</v>
      </c>
      <c r="V64" s="242">
        <f t="shared" si="90"/>
        <v>69</v>
      </c>
      <c r="W64" s="14"/>
      <c r="X64" s="14"/>
      <c r="Y64" s="528"/>
      <c r="Z64" s="528"/>
      <c r="AA64" s="11">
        <f t="shared" si="2"/>
        <v>-185.21739130434798</v>
      </c>
      <c r="AB64" s="234">
        <f t="shared" ref="AB64:AB70" si="93">M64/J64</f>
        <v>0.92282608695652169</v>
      </c>
      <c r="AC64" s="533"/>
    </row>
    <row r="65" spans="1:29" ht="15.75" customHeight="1">
      <c r="A65" s="531" t="s">
        <v>387</v>
      </c>
      <c r="B65" s="243" t="s">
        <v>24</v>
      </c>
      <c r="C65" s="529" t="s">
        <v>41</v>
      </c>
      <c r="D65" s="529"/>
      <c r="E65" s="26">
        <v>19.02</v>
      </c>
      <c r="F65" s="243">
        <v>4500</v>
      </c>
      <c r="G65" s="233">
        <f t="shared" si="85"/>
        <v>85590</v>
      </c>
      <c r="H65" s="245">
        <v>2</v>
      </c>
      <c r="I65" s="241">
        <v>15</v>
      </c>
      <c r="J65" s="18">
        <v>2400</v>
      </c>
      <c r="K65" s="9">
        <f t="shared" si="86"/>
        <v>160</v>
      </c>
      <c r="L65" s="17">
        <v>15</v>
      </c>
      <c r="M65" s="10">
        <f t="shared" si="91"/>
        <v>2213.1147540983611</v>
      </c>
      <c r="N65" s="9">
        <f t="shared" si="87"/>
        <v>147.5409836065574</v>
      </c>
      <c r="O65" s="11">
        <f t="shared" si="88"/>
        <v>0</v>
      </c>
      <c r="P65" s="12">
        <f t="shared" si="89"/>
        <v>-12.459016393442596</v>
      </c>
      <c r="Q65" s="234">
        <f t="shared" si="92"/>
        <v>0.9221311475409838</v>
      </c>
      <c r="R65" s="533"/>
      <c r="S65" s="24">
        <v>0.21597222222222223</v>
      </c>
      <c r="T65" s="24">
        <v>0.30069444444444443</v>
      </c>
      <c r="U65" s="233">
        <f t="shared" ref="U65:U69" si="94">(S65-T64)*24*60</f>
        <v>8.0000000000000107</v>
      </c>
      <c r="V65" s="242">
        <f t="shared" si="90"/>
        <v>121.99999999999997</v>
      </c>
      <c r="W65" s="14"/>
      <c r="X65" s="14"/>
      <c r="Y65" s="528"/>
      <c r="Z65" s="528"/>
      <c r="AA65" s="11">
        <f t="shared" si="2"/>
        <v>-186.88524590163888</v>
      </c>
      <c r="AB65" s="234">
        <f t="shared" si="93"/>
        <v>0.9221311475409838</v>
      </c>
      <c r="AC65" s="533"/>
    </row>
    <row r="66" spans="1:29" ht="15.75" customHeight="1">
      <c r="A66" s="531" t="s">
        <v>887</v>
      </c>
      <c r="B66" s="243" t="s">
        <v>24</v>
      </c>
      <c r="C66" s="529" t="s">
        <v>42</v>
      </c>
      <c r="D66" s="529"/>
      <c r="E66" s="26">
        <v>25</v>
      </c>
      <c r="F66" s="243">
        <v>3725</v>
      </c>
      <c r="G66" s="233">
        <f t="shared" si="85"/>
        <v>93125</v>
      </c>
      <c r="H66" s="245" t="s">
        <v>52</v>
      </c>
      <c r="I66" s="241">
        <v>15</v>
      </c>
      <c r="J66" s="18">
        <v>2400</v>
      </c>
      <c r="K66" s="9">
        <f>J66/I66</f>
        <v>160</v>
      </c>
      <c r="L66" s="17">
        <v>15</v>
      </c>
      <c r="M66" s="10">
        <f t="shared" si="91"/>
        <v>2234.9999999999991</v>
      </c>
      <c r="N66" s="9">
        <f t="shared" si="87"/>
        <v>148.99999999999994</v>
      </c>
      <c r="O66" s="11">
        <f t="shared" si="88"/>
        <v>0</v>
      </c>
      <c r="P66" s="12">
        <f t="shared" si="89"/>
        <v>-11.000000000000057</v>
      </c>
      <c r="Q66" s="234">
        <f t="shared" si="92"/>
        <v>0.93124999999999969</v>
      </c>
      <c r="R66" s="533"/>
      <c r="S66" s="24">
        <v>0.30555555555555552</v>
      </c>
      <c r="T66" s="24">
        <v>0.375</v>
      </c>
      <c r="U66" s="233">
        <f t="shared" si="94"/>
        <v>6.9999999999999751</v>
      </c>
      <c r="V66" s="242">
        <f t="shared" si="90"/>
        <v>100.00000000000004</v>
      </c>
      <c r="W66" s="14"/>
      <c r="X66" s="14"/>
      <c r="Y66" s="528"/>
      <c r="Z66" s="528"/>
      <c r="AA66" s="11">
        <f t="shared" si="2"/>
        <v>-165.00000000000091</v>
      </c>
      <c r="AB66" s="234">
        <f t="shared" si="93"/>
        <v>0.93124999999999958</v>
      </c>
      <c r="AC66" s="533"/>
    </row>
    <row r="67" spans="1:29" ht="15.75" customHeight="1">
      <c r="A67" s="531" t="s">
        <v>887</v>
      </c>
      <c r="B67" s="243" t="s">
        <v>24</v>
      </c>
      <c r="C67" s="529" t="s">
        <v>77</v>
      </c>
      <c r="D67" s="529"/>
      <c r="E67" s="26">
        <v>28.51</v>
      </c>
      <c r="F67" s="243">
        <v>3959</v>
      </c>
      <c r="G67" s="233">
        <f t="shared" si="85"/>
        <v>112871.09000000001</v>
      </c>
      <c r="H67" s="245" t="s">
        <v>52</v>
      </c>
      <c r="I67" s="241">
        <v>19</v>
      </c>
      <c r="J67" s="18">
        <v>2400</v>
      </c>
      <c r="K67" s="9">
        <f t="shared" ref="K67:K70" si="95">J67/I67</f>
        <v>126.31578947368421</v>
      </c>
      <c r="L67" s="17">
        <v>19</v>
      </c>
      <c r="M67" s="10">
        <f t="shared" si="91"/>
        <v>2219.9999999999995</v>
      </c>
      <c r="N67" s="9">
        <f t="shared" si="87"/>
        <v>116.84210526315788</v>
      </c>
      <c r="O67" s="11">
        <f t="shared" si="88"/>
        <v>0</v>
      </c>
      <c r="P67" s="12">
        <f t="shared" si="89"/>
        <v>-9.4736842105263293</v>
      </c>
      <c r="Q67" s="234">
        <f t="shared" si="92"/>
        <v>0.92499999999999993</v>
      </c>
      <c r="R67" s="533"/>
      <c r="S67" s="24">
        <v>0.37847222222222221</v>
      </c>
      <c r="T67" s="24">
        <v>0.45277777777777778</v>
      </c>
      <c r="U67" s="233">
        <f t="shared" si="94"/>
        <v>4.9999999999999822</v>
      </c>
      <c r="V67" s="242">
        <f t="shared" si="90"/>
        <v>107.00000000000001</v>
      </c>
      <c r="W67" s="14"/>
      <c r="X67" s="14"/>
      <c r="Y67" s="528"/>
      <c r="Z67" s="528"/>
      <c r="AA67" s="11">
        <f t="shared" si="2"/>
        <v>-180.00000000000045</v>
      </c>
      <c r="AB67" s="234">
        <f t="shared" si="93"/>
        <v>0.92499999999999982</v>
      </c>
      <c r="AC67" s="533"/>
    </row>
    <row r="68" spans="1:29" ht="15.75" customHeight="1">
      <c r="A68" s="531" t="s">
        <v>387</v>
      </c>
      <c r="B68" s="243" t="s">
        <v>24</v>
      </c>
      <c r="C68" s="529" t="s">
        <v>25</v>
      </c>
      <c r="D68" s="529"/>
      <c r="E68" s="26">
        <v>20.52</v>
      </c>
      <c r="F68" s="243">
        <v>3695</v>
      </c>
      <c r="G68" s="233">
        <f t="shared" si="85"/>
        <v>75821.399999999994</v>
      </c>
      <c r="H68" s="245" t="s">
        <v>52</v>
      </c>
      <c r="I68" s="241">
        <v>18</v>
      </c>
      <c r="J68" s="18">
        <v>2400</v>
      </c>
      <c r="K68" s="9">
        <f t="shared" si="95"/>
        <v>133.33333333333334</v>
      </c>
      <c r="L68" s="17">
        <v>18</v>
      </c>
      <c r="M68" s="10">
        <f t="shared" si="91"/>
        <v>2216.9999999999991</v>
      </c>
      <c r="N68" s="9">
        <f t="shared" si="87"/>
        <v>123.16666666666661</v>
      </c>
      <c r="O68" s="11">
        <f t="shared" si="88"/>
        <v>0</v>
      </c>
      <c r="P68" s="12">
        <f t="shared" si="89"/>
        <v>-10.166666666666728</v>
      </c>
      <c r="Q68" s="234">
        <f t="shared" si="92"/>
        <v>0.92374999999999952</v>
      </c>
      <c r="R68" s="533"/>
      <c r="S68" s="24">
        <v>0.45763888888888887</v>
      </c>
      <c r="T68" s="24">
        <v>0.52708333333333335</v>
      </c>
      <c r="U68" s="233">
        <f t="shared" si="94"/>
        <v>6.9999999999999751</v>
      </c>
      <c r="V68" s="242">
        <f t="shared" si="90"/>
        <v>100.00000000000004</v>
      </c>
      <c r="W68" s="14">
        <f>T68</f>
        <v>0.52708333333333335</v>
      </c>
      <c r="X68" s="14">
        <f>S69</f>
        <v>0.56805555555555554</v>
      </c>
      <c r="Y68" s="528"/>
      <c r="Z68" s="528"/>
      <c r="AA68" s="11">
        <f t="shared" si="2"/>
        <v>-183.00000000000091</v>
      </c>
      <c r="AB68" s="234">
        <f t="shared" si="93"/>
        <v>0.92374999999999963</v>
      </c>
      <c r="AC68" s="533"/>
    </row>
    <row r="69" spans="1:29" ht="15.75" customHeight="1">
      <c r="A69" s="531" t="s">
        <v>887</v>
      </c>
      <c r="B69" s="243" t="s">
        <v>24</v>
      </c>
      <c r="C69" s="534" t="s">
        <v>41</v>
      </c>
      <c r="D69" s="535"/>
      <c r="E69" s="26">
        <v>19.02</v>
      </c>
      <c r="F69" s="243">
        <v>4131</v>
      </c>
      <c r="G69" s="233">
        <f t="shared" si="85"/>
        <v>78571.62</v>
      </c>
      <c r="H69" s="245" t="s">
        <v>52</v>
      </c>
      <c r="I69" s="241">
        <v>15</v>
      </c>
      <c r="J69" s="18">
        <v>2400</v>
      </c>
      <c r="K69" s="9">
        <f t="shared" si="95"/>
        <v>160</v>
      </c>
      <c r="L69" s="17">
        <v>15</v>
      </c>
      <c r="M69" s="10">
        <f t="shared" si="91"/>
        <v>2213.035714285716</v>
      </c>
      <c r="N69" s="9">
        <f t="shared" si="87"/>
        <v>147.53571428571439</v>
      </c>
      <c r="O69" s="11">
        <f t="shared" si="88"/>
        <v>0</v>
      </c>
      <c r="P69" s="12">
        <f t="shared" si="89"/>
        <v>-12.464285714285609</v>
      </c>
      <c r="Q69" s="234">
        <f t="shared" si="92"/>
        <v>0.92209821428571492</v>
      </c>
      <c r="R69" s="533"/>
      <c r="S69" s="24">
        <v>0.56805555555555554</v>
      </c>
      <c r="T69" s="24">
        <v>0.64583333333333326</v>
      </c>
      <c r="U69" s="233">
        <f t="shared" si="94"/>
        <v>58.99999999999995</v>
      </c>
      <c r="V69" s="242">
        <f t="shared" si="90"/>
        <v>111.99999999999991</v>
      </c>
      <c r="W69" s="14"/>
      <c r="X69" s="14"/>
      <c r="Y69" s="536"/>
      <c r="Z69" s="537"/>
      <c r="AA69" s="11">
        <f t="shared" ref="AA69:AA70" si="96">M69-J69</f>
        <v>-186.96428571428396</v>
      </c>
      <c r="AB69" s="234">
        <f t="shared" si="93"/>
        <v>0.92209821428571503</v>
      </c>
      <c r="AC69" s="533"/>
    </row>
    <row r="70" spans="1:29" ht="16.5" customHeight="1">
      <c r="A70" s="532" t="s">
        <v>887</v>
      </c>
      <c r="B70" s="26" t="s">
        <v>877</v>
      </c>
      <c r="C70" s="530"/>
      <c r="D70" s="530"/>
      <c r="E70" s="235"/>
      <c r="F70" s="16"/>
      <c r="G70" s="9"/>
      <c r="H70" s="243"/>
      <c r="I70" s="17">
        <v>17.142857142857142</v>
      </c>
      <c r="J70" s="18">
        <v>2400</v>
      </c>
      <c r="K70" s="9">
        <f t="shared" si="95"/>
        <v>140</v>
      </c>
      <c r="L70" s="17">
        <v>17.142857142857142</v>
      </c>
      <c r="M70" s="10">
        <f>AVERAGE(M63:M69)</f>
        <v>2218.0014285938073</v>
      </c>
      <c r="N70" s="9">
        <f>M70/L70</f>
        <v>129.38341666797209</v>
      </c>
      <c r="O70" s="11">
        <f>L70-I70</f>
        <v>0</v>
      </c>
      <c r="P70" s="12">
        <f>N70-K70</f>
        <v>-10.616583332027915</v>
      </c>
      <c r="Q70" s="234">
        <f t="shared" si="92"/>
        <v>0.92416726191408627</v>
      </c>
      <c r="R70" s="533"/>
      <c r="S70" s="24"/>
      <c r="T70" s="24"/>
      <c r="U70" s="9"/>
      <c r="V70" s="242"/>
      <c r="W70" s="9"/>
      <c r="X70" s="9"/>
      <c r="Y70" s="528"/>
      <c r="Z70" s="528"/>
      <c r="AA70" s="11">
        <f t="shared" si="96"/>
        <v>-181.9985714061927</v>
      </c>
      <c r="AB70" s="234">
        <f t="shared" si="93"/>
        <v>0.92416726191408638</v>
      </c>
      <c r="AC70" s="533"/>
    </row>
    <row r="71" spans="1:29">
      <c r="D71" s="19"/>
      <c r="E71" s="19"/>
    </row>
  </sheetData>
  <mergeCells count="188">
    <mergeCell ref="AC63:AC70"/>
    <mergeCell ref="C64:D64"/>
    <mergeCell ref="Y64:Z64"/>
    <mergeCell ref="C65:D65"/>
    <mergeCell ref="Y65:Z65"/>
    <mergeCell ref="C66:D66"/>
    <mergeCell ref="Y66:Z66"/>
    <mergeCell ref="C67:D67"/>
    <mergeCell ref="Y67:Z67"/>
    <mergeCell ref="C68:D68"/>
    <mergeCell ref="A63:A70"/>
    <mergeCell ref="C63:D63"/>
    <mergeCell ref="R63:R70"/>
    <mergeCell ref="Y63:Z63"/>
    <mergeCell ref="Y68:Z68"/>
    <mergeCell ref="C69:D69"/>
    <mergeCell ref="Y69:Z69"/>
    <mergeCell ref="C70:D70"/>
    <mergeCell ref="Y70:Z70"/>
    <mergeCell ref="C59:D59"/>
    <mergeCell ref="Y59:Z59"/>
    <mergeCell ref="C60:D60"/>
    <mergeCell ref="Y60:Z60"/>
    <mergeCell ref="C61:D61"/>
    <mergeCell ref="Y61:Z61"/>
    <mergeCell ref="Y55:Z55"/>
    <mergeCell ref="A56:A62"/>
    <mergeCell ref="C56:D56"/>
    <mergeCell ref="R56:R62"/>
    <mergeCell ref="Y56:Z56"/>
    <mergeCell ref="C62:D62"/>
    <mergeCell ref="Y62:Z62"/>
    <mergeCell ref="AC56:AC62"/>
    <mergeCell ref="C57:D57"/>
    <mergeCell ref="Y57:Z57"/>
    <mergeCell ref="C58:D58"/>
    <mergeCell ref="Y58:Z58"/>
    <mergeCell ref="Y49:Z49"/>
    <mergeCell ref="A50:A55"/>
    <mergeCell ref="C50:D50"/>
    <mergeCell ref="R50:R55"/>
    <mergeCell ref="Y50:Z50"/>
    <mergeCell ref="AC50:AC55"/>
    <mergeCell ref="C51:D51"/>
    <mergeCell ref="Y51:Z51"/>
    <mergeCell ref="C52:D52"/>
    <mergeCell ref="C55:D55"/>
    <mergeCell ref="AC42:AC49"/>
    <mergeCell ref="C43:D43"/>
    <mergeCell ref="Y43:Z43"/>
    <mergeCell ref="C44:D44"/>
    <mergeCell ref="Y44:Z44"/>
    <mergeCell ref="C45:D45"/>
    <mergeCell ref="Y45:Z45"/>
    <mergeCell ref="C46:D46"/>
    <mergeCell ref="Y46:Z46"/>
    <mergeCell ref="C47:D47"/>
    <mergeCell ref="C41:D41"/>
    <mergeCell ref="Y41:Z41"/>
    <mergeCell ref="A42:A49"/>
    <mergeCell ref="C42:D42"/>
    <mergeCell ref="R42:R49"/>
    <mergeCell ref="Y42:Z42"/>
    <mergeCell ref="Y47:Z47"/>
    <mergeCell ref="C48:D48"/>
    <mergeCell ref="Y48:Z48"/>
    <mergeCell ref="C49:D49"/>
    <mergeCell ref="C38:D38"/>
    <mergeCell ref="Y38:Z38"/>
    <mergeCell ref="C39:D39"/>
    <mergeCell ref="Y39:Z39"/>
    <mergeCell ref="C40:D40"/>
    <mergeCell ref="Y40:Z40"/>
    <mergeCell ref="A34:A41"/>
    <mergeCell ref="C34:D34"/>
    <mergeCell ref="R34:R41"/>
    <mergeCell ref="Y34:Z34"/>
    <mergeCell ref="A27:A33"/>
    <mergeCell ref="C27:D27"/>
    <mergeCell ref="R27:R33"/>
    <mergeCell ref="Y27:Z27"/>
    <mergeCell ref="Y32:Z32"/>
    <mergeCell ref="C33:D33"/>
    <mergeCell ref="Y33:Z33"/>
    <mergeCell ref="AC34:AC41"/>
    <mergeCell ref="C35:D35"/>
    <mergeCell ref="Y35:Z35"/>
    <mergeCell ref="C36:D36"/>
    <mergeCell ref="Y36:Z36"/>
    <mergeCell ref="C37:D37"/>
    <mergeCell ref="AC27:AC33"/>
    <mergeCell ref="C28:D28"/>
    <mergeCell ref="Y28:Z28"/>
    <mergeCell ref="C29:D29"/>
    <mergeCell ref="Y29:Z29"/>
    <mergeCell ref="C30:D30"/>
    <mergeCell ref="Y30:Z30"/>
    <mergeCell ref="C31:D31"/>
    <mergeCell ref="Y31:Z31"/>
    <mergeCell ref="C32:D32"/>
    <mergeCell ref="Y37:Z37"/>
    <mergeCell ref="AC19:AC26"/>
    <mergeCell ref="C20:D20"/>
    <mergeCell ref="Y20:Z20"/>
    <mergeCell ref="C21:D21"/>
    <mergeCell ref="Y21:Z21"/>
    <mergeCell ref="C22:D22"/>
    <mergeCell ref="Y22:Z22"/>
    <mergeCell ref="C23:D23"/>
    <mergeCell ref="Y23:Z23"/>
    <mergeCell ref="C24:D24"/>
    <mergeCell ref="C26:D26"/>
    <mergeCell ref="Y26:Z26"/>
    <mergeCell ref="A19:A26"/>
    <mergeCell ref="C19:D19"/>
    <mergeCell ref="R19:R26"/>
    <mergeCell ref="Y19:Z19"/>
    <mergeCell ref="Y24:Z24"/>
    <mergeCell ref="C25:D25"/>
    <mergeCell ref="Y25:Z25"/>
    <mergeCell ref="A14:A18"/>
    <mergeCell ref="C14:D14"/>
    <mergeCell ref="R14:R18"/>
    <mergeCell ref="Y14:Z14"/>
    <mergeCell ref="AC14:AC18"/>
    <mergeCell ref="C15:D15"/>
    <mergeCell ref="Y15:Z15"/>
    <mergeCell ref="C16:D16"/>
    <mergeCell ref="Y16:Z16"/>
    <mergeCell ref="C17:D17"/>
    <mergeCell ref="AC9:AC13"/>
    <mergeCell ref="C10:D10"/>
    <mergeCell ref="Y10:Z10"/>
    <mergeCell ref="C11:D11"/>
    <mergeCell ref="Y11:Z11"/>
    <mergeCell ref="C12:D12"/>
    <mergeCell ref="Y12:Z12"/>
    <mergeCell ref="C13:D13"/>
    <mergeCell ref="Y13:Z13"/>
    <mergeCell ref="Y17:Z17"/>
    <mergeCell ref="C18:D18"/>
    <mergeCell ref="Y18:Z18"/>
    <mergeCell ref="C8:D8"/>
    <mergeCell ref="Y8:Z8"/>
    <mergeCell ref="A9:A13"/>
    <mergeCell ref="C9:D9"/>
    <mergeCell ref="R9:R13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59:O68 O70 O5:O9 O13:O15 O49:O56 O18:O47">
    <cfRule type="cellIs" dxfId="826" priority="44" operator="greaterThan">
      <formula>0</formula>
    </cfRule>
  </conditionalFormatting>
  <conditionalFormatting sqref="P5:P7 P59:P61 AA59:AA61 P63:P68 P27:P32 P56 P9 P13:P15 P19:P25 P50:P54 P34:P47 AA5:AA56 AA63:AA70">
    <cfRule type="cellIs" dxfId="825" priority="48" operator="lessThan">
      <formula>0</formula>
    </cfRule>
  </conditionalFormatting>
  <conditionalFormatting sqref="AB59:AB61 Q59:Q68 Q70 Q5:Q9 Q13:Q15 Q49:Q56 Q18:Q47 AB5:AB56 AB63:AB70">
    <cfRule type="cellIs" dxfId="824" priority="45" operator="greaterThan">
      <formula>1</formula>
    </cfRule>
    <cfRule type="cellIs" dxfId="823" priority="46" operator="lessThan">
      <formula>0.8</formula>
    </cfRule>
  </conditionalFormatting>
  <conditionalFormatting sqref="AC14:AC15 R14:R15 AC59 R59:R68 R18:R24 AC18:AC24 R70 AC5:AC9 R5:R9 R26:R47 AC26:AC47 AC49:AC56 R49:R56">
    <cfRule type="cellIs" dxfId="822" priority="50" operator="lessThan">
      <formula>0.8</formula>
    </cfRule>
  </conditionalFormatting>
  <conditionalFormatting sqref="AC42">
    <cfRule type="cellIs" dxfId="821" priority="52" operator="lessThan">
      <formula>0.8</formula>
    </cfRule>
  </conditionalFormatting>
  <conditionalFormatting sqref="AC19:AC24">
    <cfRule type="cellIs" dxfId="820" priority="49" operator="lessThan">
      <formula>0.8</formula>
    </cfRule>
  </conditionalFormatting>
  <conditionalFormatting sqref="AC27">
    <cfRule type="cellIs" dxfId="819" priority="51" operator="lessThan">
      <formula>0.8</formula>
    </cfRule>
  </conditionalFormatting>
  <conditionalFormatting sqref="AC34:AC40">
    <cfRule type="cellIs" dxfId="818" priority="47" operator="lessThan">
      <formula>0.8</formula>
    </cfRule>
  </conditionalFormatting>
  <conditionalFormatting sqref="AA62">
    <cfRule type="cellIs" dxfId="817" priority="43" operator="lessThan">
      <formula>0</formula>
    </cfRule>
  </conditionalFormatting>
  <conditionalFormatting sqref="AB62">
    <cfRule type="cellIs" dxfId="816" priority="41" operator="greaterThan">
      <formula>1</formula>
    </cfRule>
    <cfRule type="cellIs" dxfId="815" priority="42" operator="lessThan">
      <formula>0.8</formula>
    </cfRule>
  </conditionalFormatting>
  <conditionalFormatting sqref="O16:O17">
    <cfRule type="cellIs" dxfId="814" priority="36" operator="greaterThan">
      <formula>0</formula>
    </cfRule>
  </conditionalFormatting>
  <conditionalFormatting sqref="P16:P17">
    <cfRule type="cellIs" dxfId="813" priority="39" operator="lessThan">
      <formula>0</formula>
    </cfRule>
  </conditionalFormatting>
  <conditionalFormatting sqref="Q16:Q17">
    <cfRule type="cellIs" dxfId="812" priority="37" operator="greaterThan">
      <formula>1</formula>
    </cfRule>
    <cfRule type="cellIs" dxfId="811" priority="38" operator="lessThan">
      <formula>0.8</formula>
    </cfRule>
  </conditionalFormatting>
  <conditionalFormatting sqref="R16:R17 AC16:AC17">
    <cfRule type="cellIs" dxfId="810" priority="40" operator="lessThan">
      <formula>0.8</formula>
    </cfRule>
  </conditionalFormatting>
  <conditionalFormatting sqref="O10:O12">
    <cfRule type="cellIs" dxfId="809" priority="32" operator="greaterThan">
      <formula>0</formula>
    </cfRule>
  </conditionalFormatting>
  <conditionalFormatting sqref="P10:P12">
    <cfRule type="cellIs" dxfId="808" priority="35" operator="lessThan">
      <formula>0</formula>
    </cfRule>
  </conditionalFormatting>
  <conditionalFormatting sqref="Q10:Q12">
    <cfRule type="cellIs" dxfId="807" priority="33" operator="greaterThan">
      <formula>1</formula>
    </cfRule>
    <cfRule type="cellIs" dxfId="806" priority="34" operator="lessThan">
      <formula>0.8</formula>
    </cfRule>
  </conditionalFormatting>
  <conditionalFormatting sqref="O58">
    <cfRule type="cellIs" dxfId="805" priority="27" operator="greaterThan">
      <formula>0</formula>
    </cfRule>
  </conditionalFormatting>
  <conditionalFormatting sqref="P58 AA58">
    <cfRule type="cellIs" dxfId="804" priority="30" operator="lessThan">
      <formula>0</formula>
    </cfRule>
  </conditionalFormatting>
  <conditionalFormatting sqref="Q58 AB58">
    <cfRule type="cellIs" dxfId="803" priority="28" operator="greaterThan">
      <formula>1</formula>
    </cfRule>
    <cfRule type="cellIs" dxfId="802" priority="29" operator="lessThan">
      <formula>0.8</formula>
    </cfRule>
  </conditionalFormatting>
  <conditionalFormatting sqref="R58 AC58">
    <cfRule type="cellIs" dxfId="801" priority="31" operator="lessThan">
      <formula>0.8</formula>
    </cfRule>
  </conditionalFormatting>
  <conditionalFormatting sqref="O69">
    <cfRule type="cellIs" dxfId="800" priority="22" operator="greaterThan">
      <formula>0</formula>
    </cfRule>
  </conditionalFormatting>
  <conditionalFormatting sqref="P69">
    <cfRule type="cellIs" dxfId="799" priority="25" operator="lessThan">
      <formula>0</formula>
    </cfRule>
  </conditionalFormatting>
  <conditionalFormatting sqref="Q69">
    <cfRule type="cellIs" dxfId="798" priority="23" operator="greaterThan">
      <formula>1</formula>
    </cfRule>
    <cfRule type="cellIs" dxfId="797" priority="24" operator="lessThan">
      <formula>0.8</formula>
    </cfRule>
  </conditionalFormatting>
  <conditionalFormatting sqref="R69">
    <cfRule type="cellIs" dxfId="796" priority="26" operator="lessThan">
      <formula>0.8</formula>
    </cfRule>
  </conditionalFormatting>
  <conditionalFormatting sqref="O48">
    <cfRule type="cellIs" dxfId="795" priority="16" operator="greaterThan">
      <formula>0</formula>
    </cfRule>
  </conditionalFormatting>
  <conditionalFormatting sqref="P48">
    <cfRule type="cellIs" dxfId="794" priority="20" operator="lessThan">
      <formula>0</formula>
    </cfRule>
  </conditionalFormatting>
  <conditionalFormatting sqref="Q48">
    <cfRule type="cellIs" dxfId="793" priority="17" operator="greaterThan">
      <formula>1</formula>
    </cfRule>
    <cfRule type="cellIs" dxfId="792" priority="18" operator="lessThan">
      <formula>0.8</formula>
    </cfRule>
  </conditionalFormatting>
  <conditionalFormatting sqref="R48 AC48">
    <cfRule type="cellIs" dxfId="791" priority="21" operator="lessThan">
      <formula>0.8</formula>
    </cfRule>
  </conditionalFormatting>
  <conditionalFormatting sqref="AC48">
    <cfRule type="cellIs" dxfId="790" priority="19" operator="lessThan">
      <formula>0.8</formula>
    </cfRule>
  </conditionalFormatting>
  <conditionalFormatting sqref="R25 AC25">
    <cfRule type="cellIs" dxfId="789" priority="15" operator="lessThan">
      <formula>0.8</formula>
    </cfRule>
  </conditionalFormatting>
  <conditionalFormatting sqref="AC25">
    <cfRule type="cellIs" dxfId="788" priority="14" operator="lessThan">
      <formula>0.8</formula>
    </cfRule>
  </conditionalFormatting>
  <conditionalFormatting sqref="O57">
    <cfRule type="cellIs" dxfId="787" priority="9" operator="greaterThan">
      <formula>0</formula>
    </cfRule>
  </conditionalFormatting>
  <conditionalFormatting sqref="P57 AA57">
    <cfRule type="cellIs" dxfId="786" priority="12" operator="lessThan">
      <formula>0</formula>
    </cfRule>
  </conditionalFormatting>
  <conditionalFormatting sqref="Q57 AB57">
    <cfRule type="cellIs" dxfId="785" priority="10" operator="greaterThan">
      <formula>1</formula>
    </cfRule>
    <cfRule type="cellIs" dxfId="784" priority="11" operator="lessThan">
      <formula>0.8</formula>
    </cfRule>
  </conditionalFormatting>
  <conditionalFormatting sqref="R57 AC57">
    <cfRule type="cellIs" dxfId="783" priority="13" operator="lessThan">
      <formula>0.8</formula>
    </cfRule>
  </conditionalFormatting>
  <conditionalFormatting sqref="P8">
    <cfRule type="cellIs" dxfId="782" priority="8" operator="lessThan">
      <formula>0</formula>
    </cfRule>
  </conditionalFormatting>
  <conditionalFormatting sqref="P18">
    <cfRule type="cellIs" dxfId="781" priority="7" operator="lessThan">
      <formula>0</formula>
    </cfRule>
  </conditionalFormatting>
  <conditionalFormatting sqref="P26">
    <cfRule type="cellIs" dxfId="780" priority="6" operator="lessThan">
      <formula>0</formula>
    </cfRule>
  </conditionalFormatting>
  <conditionalFormatting sqref="P33">
    <cfRule type="cellIs" dxfId="779" priority="5" operator="lessThan">
      <formula>0</formula>
    </cfRule>
  </conditionalFormatting>
  <conditionalFormatting sqref="P49">
    <cfRule type="cellIs" dxfId="778" priority="4" operator="lessThan">
      <formula>0</formula>
    </cfRule>
  </conditionalFormatting>
  <conditionalFormatting sqref="P55">
    <cfRule type="cellIs" dxfId="777" priority="3" operator="lessThan">
      <formula>0</formula>
    </cfRule>
  </conditionalFormatting>
  <conditionalFormatting sqref="P62">
    <cfRule type="cellIs" dxfId="776" priority="2" operator="lessThan">
      <formula>0</formula>
    </cfRule>
  </conditionalFormatting>
  <conditionalFormatting sqref="P70">
    <cfRule type="cellIs" dxfId="775" priority="1" operator="lessThan">
      <formula>0</formula>
    </cfRule>
  </conditionalFormatting>
  <dataValidations count="1">
    <dataValidation type="list" allowBlank="1" showInputMessage="1" showErrorMessage="1" sqref="Z8 Z60:Z61 Y5:Z7 Y8:Y61 Z10:Z56 Y62:Z70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B1:Q28"/>
  <sheetViews>
    <sheetView zoomScale="70" zoomScaleNormal="70" workbookViewId="0">
      <selection activeCell="C3" sqref="C3:D3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521" t="s">
        <v>121</v>
      </c>
      <c r="C1" s="521"/>
      <c r="D1" s="521"/>
      <c r="E1" s="521"/>
      <c r="F1" s="521"/>
      <c r="G1" s="521"/>
      <c r="H1" s="521"/>
      <c r="I1" s="521"/>
      <c r="J1" s="521"/>
      <c r="K1" s="28"/>
      <c r="L1" s="28"/>
      <c r="M1" s="28"/>
      <c r="N1" s="28"/>
      <c r="O1" s="28"/>
      <c r="P1" s="28"/>
    </row>
    <row r="2" spans="2:17" ht="27.75" customHeight="1">
      <c r="B2" s="522"/>
      <c r="C2" s="522"/>
      <c r="D2" s="522"/>
      <c r="E2" s="522"/>
      <c r="F2" s="522"/>
      <c r="G2" s="522"/>
      <c r="H2" s="522"/>
      <c r="I2" s="522"/>
      <c r="J2" s="522"/>
      <c r="K2" s="30"/>
      <c r="L2" s="30"/>
      <c r="M2" s="30"/>
      <c r="N2" s="28"/>
      <c r="O2" s="28"/>
      <c r="P2" s="28"/>
    </row>
    <row r="3" spans="2:17" ht="46.5" customHeight="1">
      <c r="B3" s="204" t="s">
        <v>173</v>
      </c>
      <c r="C3" s="523" t="str">
        <f>TEXT('0813 4度C'!A2,"yyyy.mm.ddaaaa")</f>
        <v>2025.08.13星期三</v>
      </c>
      <c r="D3" s="523"/>
      <c r="E3" s="204" t="s">
        <v>217</v>
      </c>
      <c r="F3" s="524">
        <f>'0813 4度C'!D1</f>
        <v>165300</v>
      </c>
      <c r="G3" s="524"/>
      <c r="H3" s="204" t="s">
        <v>90</v>
      </c>
      <c r="I3" s="581">
        <f>'0813 4度C'!F1</f>
        <v>5601894.3000000017</v>
      </c>
      <c r="J3" s="581"/>
      <c r="K3" s="31"/>
      <c r="L3" s="32"/>
      <c r="M3" s="33"/>
      <c r="N3" s="33"/>
    </row>
    <row r="4" spans="2:17" ht="28.5" customHeight="1">
      <c r="B4" s="516" t="s">
        <v>744</v>
      </c>
      <c r="C4" s="516" t="s">
        <v>105</v>
      </c>
      <c r="D4" s="516"/>
      <c r="E4" s="526" t="s">
        <v>745</v>
      </c>
      <c r="F4" s="526"/>
      <c r="G4" s="526" t="s">
        <v>107</v>
      </c>
      <c r="H4" s="526"/>
      <c r="I4" s="526" t="s">
        <v>108</v>
      </c>
      <c r="J4" s="526"/>
      <c r="L4" s="33"/>
      <c r="M4" s="33"/>
      <c r="N4" s="33"/>
    </row>
    <row r="5" spans="2:17" ht="28.5" customHeight="1">
      <c r="B5" s="516"/>
      <c r="C5" s="516" t="s">
        <v>109</v>
      </c>
      <c r="D5" s="516"/>
      <c r="E5" s="516" t="s">
        <v>746</v>
      </c>
      <c r="F5" s="516"/>
      <c r="G5" s="517" t="s">
        <v>110</v>
      </c>
      <c r="H5" s="517"/>
      <c r="I5" s="582" t="s">
        <v>111</v>
      </c>
      <c r="J5" s="582"/>
      <c r="K5" s="33"/>
      <c r="L5" s="33"/>
      <c r="M5" s="33"/>
      <c r="N5" s="33"/>
    </row>
    <row r="6" spans="2:17" ht="28.5" customHeight="1">
      <c r="B6" s="516"/>
      <c r="C6" s="516" t="s">
        <v>43</v>
      </c>
      <c r="D6" s="516"/>
      <c r="E6" s="519">
        <f>AVERAGE(D13:M13)</f>
        <v>148.75955288102099</v>
      </c>
      <c r="F6" s="516">
        <f>AVERAGE(D27:O27,D13:J13)</f>
        <v>154.3595680421092</v>
      </c>
      <c r="G6" s="520">
        <f>AVERAGE(D13:J13)</f>
        <v>154.3595680421092</v>
      </c>
      <c r="H6" s="520"/>
      <c r="I6" s="520">
        <f>AVERAGE(K13:M13)</f>
        <v>135.69285083848192</v>
      </c>
      <c r="J6" s="520"/>
      <c r="K6" s="33"/>
      <c r="L6" s="33"/>
      <c r="M6" s="33"/>
      <c r="N6" s="33"/>
    </row>
    <row r="7" spans="2:17" ht="28.5" customHeight="1">
      <c r="B7" s="516"/>
      <c r="C7" s="510" t="s">
        <v>44</v>
      </c>
      <c r="D7" s="510"/>
      <c r="E7" s="511">
        <f>AVERAGE(D14:M14)</f>
        <v>138.16281895769981</v>
      </c>
      <c r="F7" s="512">
        <f>AVERAGE(D28:O28,D14:J14)</f>
        <v>143.52830474543171</v>
      </c>
      <c r="G7" s="513">
        <f>AVERAGE(D14:J14)</f>
        <v>143.52830474543171</v>
      </c>
      <c r="H7" s="513"/>
      <c r="I7" s="513">
        <f>AVERAGE(K14:M14)</f>
        <v>125.64335211965867</v>
      </c>
      <c r="J7" s="513"/>
      <c r="K7" s="33"/>
      <c r="L7" s="33"/>
      <c r="M7" s="33"/>
      <c r="N7" s="33"/>
    </row>
    <row r="8" spans="2:17" ht="28.5" customHeight="1">
      <c r="B8" s="516"/>
      <c r="C8" s="510" t="s">
        <v>45</v>
      </c>
      <c r="D8" s="510"/>
      <c r="E8" s="514">
        <f>AVERAGE(D15:M15)</f>
        <v>0.92788381839728429</v>
      </c>
      <c r="F8" s="510">
        <f>AVERAGE(D15:J15,D29:O29)</f>
        <v>0.92872675630110424</v>
      </c>
      <c r="G8" s="515">
        <f>AVERAGE(D15:J15)</f>
        <v>0.92872675630110424</v>
      </c>
      <c r="H8" s="515"/>
      <c r="I8" s="515">
        <f>AVERAGE(K15:M15)</f>
        <v>0.92591696328837114</v>
      </c>
      <c r="J8" s="515"/>
      <c r="K8" s="34" t="s">
        <v>747</v>
      </c>
      <c r="L8" s="33"/>
      <c r="M8" s="33"/>
      <c r="N8" s="33"/>
    </row>
    <row r="9" spans="2:17" ht="28.5" customHeight="1" thickBot="1">
      <c r="H9" s="36"/>
      <c r="N9" s="33"/>
      <c r="O9" s="33"/>
      <c r="P9" s="33"/>
      <c r="Q9" s="33"/>
    </row>
    <row r="10" spans="2:17" ht="30" customHeight="1">
      <c r="B10" s="501" t="s">
        <v>127</v>
      </c>
      <c r="C10" s="502"/>
      <c r="D10" s="503" t="s">
        <v>344</v>
      </c>
      <c r="E10" s="504"/>
      <c r="F10" s="504"/>
      <c r="G10" s="504"/>
      <c r="H10" s="504"/>
      <c r="I10" s="504"/>
      <c r="J10" s="505"/>
      <c r="K10" s="506" t="s">
        <v>181</v>
      </c>
      <c r="L10" s="583"/>
      <c r="M10" s="507"/>
      <c r="P10" s="37"/>
      <c r="Q10" s="37"/>
    </row>
    <row r="11" spans="2:17" ht="17.25" customHeight="1">
      <c r="B11" s="493" t="s">
        <v>182</v>
      </c>
      <c r="C11" s="494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39">
        <v>6</v>
      </c>
      <c r="J11" s="40">
        <v>7</v>
      </c>
      <c r="K11" s="38">
        <v>1</v>
      </c>
      <c r="L11" s="39">
        <v>2</v>
      </c>
      <c r="M11" s="40">
        <v>3</v>
      </c>
      <c r="P11" s="37"/>
      <c r="Q11" s="37"/>
    </row>
    <row r="12" spans="2:17" ht="34.15" customHeight="1">
      <c r="B12" s="493"/>
      <c r="C12" s="494"/>
      <c r="D12" s="41" t="s">
        <v>345</v>
      </c>
      <c r="E12" s="42" t="s">
        <v>346</v>
      </c>
      <c r="F12" s="42" t="s">
        <v>347</v>
      </c>
      <c r="G12" s="42" t="s">
        <v>348</v>
      </c>
      <c r="H12" s="42" t="s">
        <v>349</v>
      </c>
      <c r="I12" s="42" t="s">
        <v>350</v>
      </c>
      <c r="J12" s="43" t="s">
        <v>351</v>
      </c>
      <c r="K12" s="41" t="s">
        <v>352</v>
      </c>
      <c r="L12" s="42" t="s">
        <v>353</v>
      </c>
      <c r="M12" s="43" t="s">
        <v>354</v>
      </c>
    </row>
    <row r="13" spans="2:17" ht="40.15" customHeight="1">
      <c r="B13" s="508" t="s">
        <v>116</v>
      </c>
      <c r="C13" s="44" t="s">
        <v>141</v>
      </c>
      <c r="D13" s="45">
        <f>SUMIFS('0813 4度C'!$K:$K,'0813 4度C'!$A:$A,"新豐6線",'0813 4度C'!$B:$B,"平均")</f>
        <v>117.64705882352941</v>
      </c>
      <c r="E13" s="46">
        <f>SUMIFS('0813 4度C'!$K:$K,'0813 4度C'!$A:$A,"新豐2線",'0813 4度C'!$B:$B,"平均")</f>
        <v>83.333333333333329</v>
      </c>
      <c r="F13" s="47">
        <f>SUMIFS('0813 4度C'!$K:$K,'0813 4度C'!$A:$A,"新豐5線",'0813 4度C'!$B:$B,"平均")</f>
        <v>93.333333333333329</v>
      </c>
      <c r="G13" s="47">
        <f>SUMIFS('0813 4度C'!$K:$K,'0813 4度C'!$A:$A,"新豐7線",'0813 4度C'!$B:$B,"平均")</f>
        <v>117.64705882352941</v>
      </c>
      <c r="H13" s="47">
        <f>SUMIFS('0813 4度C'!$K:$K,'0813 4度C'!$A:$A,"新豐3線",'0813 4度C'!$B:$B,"平均")</f>
        <v>300</v>
      </c>
      <c r="I13" s="47">
        <f>SUMIFS('0813 4度C'!$K:$K,'0813 4度C'!$A:$A,"新豐1線",'0813 4度C'!$B:$B,"平均")</f>
        <v>114.4578313253012</v>
      </c>
      <c r="J13" s="48">
        <f>SUMIFS('0813 4度C'!$K:$K,'0813 4度C'!$A:$A,"新豐10線",'0813 4度C'!$B:$B,"平均")</f>
        <v>254.09836065573774</v>
      </c>
      <c r="K13" s="49">
        <f>SUMIFS('0813 4度C'!$K:$K,'0813 4度C'!$A:$A,"新豐8線",'0813 4度C'!$B:$B,"平均")</f>
        <v>139.80582524271844</v>
      </c>
      <c r="L13" s="50">
        <f>SUMIFS('0813 4度C'!$K:$K,'0813 4度C'!$A:$A,"新豐9線",'0813 4度C'!$B:$B,"平均")</f>
        <v>127.27272727272727</v>
      </c>
      <c r="M13" s="48">
        <f>SUMIFS('0813 4度C'!$K:$K,'0813 4度C'!$A:$A,"新豐4線",'0813 4度C'!$B:$B,"平均")</f>
        <v>140</v>
      </c>
    </row>
    <row r="14" spans="2:17" ht="39.6" customHeight="1">
      <c r="B14" s="508"/>
      <c r="C14" s="51" t="s">
        <v>69</v>
      </c>
      <c r="D14" s="52">
        <f>SUMIFS('0813 4度C'!$N:$N,'0813 4度C'!$A:$A,"新豐6線",'0813 4度C'!$B:$B,"平均")</f>
        <v>108.89483065953654</v>
      </c>
      <c r="E14" s="53">
        <f>SUMIFS('0813 4度C'!$N:$N,'0813 4度C'!$A:$A,"新豐2線",'0813 4度C'!$B:$B,"平均")</f>
        <v>76.987100066851198</v>
      </c>
      <c r="F14" s="53">
        <f>SUMIFS('0813 4度C'!$N:$N,'0813 4度C'!$A:$A,"新豐5線",'0813 4度C'!$B:$B,"平均")</f>
        <v>86.542186473380539</v>
      </c>
      <c r="G14" s="53">
        <f>SUMIFS('0813 4度C'!$N:$N,'0813 4度C'!$A:$A,"新豐7線",'0813 4度C'!$B:$B,"平均")</f>
        <v>109.70431782991021</v>
      </c>
      <c r="H14" s="53">
        <f>SUMIFS('0813 4度C'!$N:$N,'0813 4度C'!$A:$A,"新豐3線",'0813 4度C'!$B:$B,"平均")</f>
        <v>279.12667551611588</v>
      </c>
      <c r="I14" s="53">
        <f>SUMIFS('0813 4度C'!$N:$N,'0813 4度C'!$A:$A,"新豐1線",'0813 4度C'!$B:$B,"平均")</f>
        <v>106.19388639762747</v>
      </c>
      <c r="J14" s="54">
        <f>SUMIFS('0813 4度C'!$N:$N,'0813 4度C'!$A:$A,"新豐10線",'0813 4度C'!$B:$B,"平均")</f>
        <v>237.2491362746</v>
      </c>
      <c r="K14" s="55">
        <f>SUMIFS('0813 4度C'!$N:$N,'0813 4度C'!$A:$A,"新豐8線",'0813 4度C'!$B:$B,"平均")</f>
        <v>129.28900105912334</v>
      </c>
      <c r="L14" s="56">
        <f>SUMIFS('0813 4度C'!$N:$N,'0813 4度C'!$A:$A,"新豐9線",'0813 4度C'!$B:$B,"平均")</f>
        <v>117.75500165113337</v>
      </c>
      <c r="M14" s="54">
        <f>SUMIFS('0813 4度C'!$N:$N,'0813 4度C'!$A:$A,"新豐4線",'0813 4度C'!$B:$B,"平均")</f>
        <v>129.88605364871927</v>
      </c>
    </row>
    <row r="15" spans="2:17" ht="40.15" customHeight="1">
      <c r="B15" s="508"/>
      <c r="C15" s="57" t="s">
        <v>234</v>
      </c>
      <c r="D15" s="58">
        <f>D14/D13</f>
        <v>0.92560606060606065</v>
      </c>
      <c r="E15" s="59">
        <f t="shared" ref="E15:M15" si="0">E14/E13</f>
        <v>0.92384520080221444</v>
      </c>
      <c r="F15" s="59">
        <f t="shared" si="0"/>
        <v>0.92723771221479157</v>
      </c>
      <c r="G15" s="59">
        <f t="shared" si="0"/>
        <v>0.93248670155423685</v>
      </c>
      <c r="H15" s="59">
        <f>H14/H13</f>
        <v>0.93042225172038628</v>
      </c>
      <c r="I15" s="59">
        <f>I14/I13</f>
        <v>0.92779921800032417</v>
      </c>
      <c r="J15" s="60">
        <f>J14/J13</f>
        <v>0.93369014920971605</v>
      </c>
      <c r="K15" s="58">
        <f>K14/K13</f>
        <v>0.92477549368678502</v>
      </c>
      <c r="L15" s="59">
        <f>L14/L13</f>
        <v>0.92521787011604795</v>
      </c>
      <c r="M15" s="60">
        <f t="shared" si="0"/>
        <v>0.92775752606228046</v>
      </c>
    </row>
    <row r="16" spans="2:17" ht="17.25" customHeight="1">
      <c r="B16" s="509" t="s">
        <v>198</v>
      </c>
      <c r="C16" s="203" t="s">
        <v>71</v>
      </c>
      <c r="D16" s="61">
        <f>VLOOKUP("新豐6線",'0813 4度C'!$A:$T,19,0)</f>
        <v>0.70833333333333337</v>
      </c>
      <c r="E16" s="24">
        <f>VLOOKUP("新豐2線",'0813 4度C'!$A:$T,19,0)</f>
        <v>0.125</v>
      </c>
      <c r="F16" s="24">
        <f>VLOOKUP("新豐5線",'0813 4度C'!$A:$T,19,0)</f>
        <v>0.25</v>
      </c>
      <c r="G16" s="24">
        <f>VLOOKUP("新豐7線",'0813 4度C'!$A:$T,19,0)</f>
        <v>0.20833333333333334</v>
      </c>
      <c r="H16" s="24">
        <f>VLOOKUP("新豐3線",'0813 4度C'!$A:$T,19,0)</f>
        <v>0.20833333333333334</v>
      </c>
      <c r="I16" s="24">
        <f>VLOOKUP("新豐1線",'0813 4度C'!$A:$T,19,0)</f>
        <v>0.29166666666666669</v>
      </c>
      <c r="J16" s="62">
        <f>VLOOKUP("新豐10線",'0813 4度C'!$A:$T,19,0)</f>
        <v>0.20833333333333334</v>
      </c>
      <c r="K16" s="63">
        <f>VLOOKUP("新豐8線",'0813 4度C'!$A:$T,19,0)</f>
        <v>0.125</v>
      </c>
      <c r="L16" s="64">
        <f>VLOOKUP("新豐9線",'0813 4度C'!$A:$T,19,0)</f>
        <v>0.125</v>
      </c>
      <c r="M16" s="65">
        <f>VLOOKUP("新豐4線",'0813 4度C'!$A:$T,19,0)</f>
        <v>0.125</v>
      </c>
    </row>
    <row r="17" spans="2:13" ht="17.25" customHeight="1">
      <c r="B17" s="493"/>
      <c r="C17" s="203" t="s">
        <v>748</v>
      </c>
      <c r="D17" s="63">
        <f>LOOKUP(2,1/(('0813 4度C'!$A:$A="新豐6線")*('0813 4度C'!$T:$T&lt;&gt;"")),'0813 4度C'!$T:$T)</f>
        <v>0.83055555555555549</v>
      </c>
      <c r="E17" s="24">
        <f>LOOKUP(2,1/(('0813 4度C'!$A:$A="新豐2線")*('0813 4度C'!$T:$T&lt;&gt;"")),'0813 4度C'!$T:$T)</f>
        <v>0.63888888888888884</v>
      </c>
      <c r="F17" s="24">
        <f>LOOKUP(2,1/(('0813 4度C'!$A:$A="新豐5線")*('0813 4度C'!$T:$T&lt;&gt;"")),'0813 4度C'!$T:$T)</f>
        <v>0.84583333333333333</v>
      </c>
      <c r="G17" s="24">
        <f>LOOKUP(2,1/(('0813 4度C'!$A:$A="新豐7線")*('0813 4度C'!$T:$T&lt;&gt;"")),'0813 4度C'!$T:$T)</f>
        <v>0.82361111111111107</v>
      </c>
      <c r="H17" s="24">
        <f>LOOKUP(2,1/(('0813 4度C'!$A:$A="新豐3線")*('0813 4度C'!$T:$T&lt;&gt;"")),'0813 4度C'!$T:$T)</f>
        <v>0.60833333333333328</v>
      </c>
      <c r="I17" s="24">
        <f>LOOKUP(2,1/(('0813 4度C'!$A:$A="新豐1線")*('0813 4度C'!$T:$T&lt;&gt;"")),'0813 4度C'!$T:$T)</f>
        <v>0.84166666666666656</v>
      </c>
      <c r="J17" s="62">
        <f>LOOKUP(2,1/(('0813 4度C'!$A:$A="新豐10線")*('0813 4度C'!$T:$T&lt;&gt;"")),'0813 4度C'!$T:$T)</f>
        <v>0.49097222222222214</v>
      </c>
      <c r="K17" s="61">
        <f>LOOKUP(2,1/(('0813 4度C'!$A:$A="新豐8線")*('0813 4度C'!$T:$T&lt;&gt;"")),'0813 4度C'!$T:$T)</f>
        <v>0.63888888888888873</v>
      </c>
      <c r="L17" s="24">
        <f>LOOKUP(2,1/(('0813 4度C'!$A:$A="新豐9線")*('0813 4度C'!$T:$T&lt;&gt;"")),'0813 4度C'!$T:$T)</f>
        <v>0.63055555555555554</v>
      </c>
      <c r="M17" s="62">
        <f>LOOKUP(2,1/(('0813 4度C'!$A:$A="新豐4線")*('0813 4度C'!$T:$T&lt;&gt;"")),'0813 4度C'!$T:$T)</f>
        <v>0.68958333333333333</v>
      </c>
    </row>
    <row r="18" spans="2:13" ht="17.25" customHeight="1">
      <c r="B18" s="493" t="s">
        <v>749</v>
      </c>
      <c r="C18" s="494"/>
      <c r="D18" s="66">
        <f>SUMIFS('0813 4度C'!$I:$I,'0813 4度C'!$A:$A,"新豐6線",'0813 4度C'!$B:$B,"平均")</f>
        <v>17</v>
      </c>
      <c r="E18" s="67">
        <f>SUMIFS('0813 4度C'!$I:$I,'0813 4度C'!$A:$A,"新豐2線",'0813 4度C'!$B:$B,"平均")</f>
        <v>18</v>
      </c>
      <c r="F18" s="67">
        <f>SUMIFS('0813 4度C'!$I:$I,'0813 4度C'!$A:$A,"新豐5線",'0813 4度C'!$B:$B,"平均")</f>
        <v>18.75</v>
      </c>
      <c r="G18" s="67">
        <f>SUMIFS('0813 4度C'!$I:$I,'0813 4度C'!$A:$A,"新豐7線",'0813 4度C'!$B:$B,"平均")</f>
        <v>17</v>
      </c>
      <c r="H18" s="67">
        <f>SUMIFS('0813 4度C'!$I:$I,'0813 4度C'!$A:$A,"新豐3線",'0813 4度C'!$B:$B,"平均")</f>
        <v>10</v>
      </c>
      <c r="I18" s="67">
        <f>SUMIFS('0813 4度C'!$I:$I,'0813 4度C'!$A:$A,"新豐1線",'0813 4度C'!$B:$B,"平均")</f>
        <v>16.600000000000001</v>
      </c>
      <c r="J18" s="68">
        <f>SUMIFS('0813 4度C'!$I:$I,'0813 4度C'!$A:$A,"新豐10線",'0813 4度C'!$B:$B,"平均")</f>
        <v>10.166666666666666</v>
      </c>
      <c r="K18" s="66">
        <f>SUMIFS('0813 4度C'!$I:$I,'0813 4度C'!$A:$A,"新豐8線",'0813 4度C'!$B:$B,"平均")</f>
        <v>17.166666666666668</v>
      </c>
      <c r="L18" s="67">
        <f>SUMIFS('0813 4度C'!$I:$I,'0813 4度C'!$A:$A,"新豐9線",'0813 4度C'!$B:$B,"平均")</f>
        <v>18.857142857142858</v>
      </c>
      <c r="M18" s="68">
        <f>SUMIFS('0813 4度C'!$I:$I,'0813 4度C'!$A:$A,"新豐4線",'0813 4度C'!$B:$B,"平均")</f>
        <v>17.142857142857142</v>
      </c>
    </row>
    <row r="19" spans="2:13" ht="17.25" customHeight="1">
      <c r="B19" s="495" t="s">
        <v>92</v>
      </c>
      <c r="C19" s="496"/>
      <c r="D19" s="69" t="s">
        <v>46</v>
      </c>
      <c r="E19" s="70" t="s">
        <v>47</v>
      </c>
      <c r="F19" s="70" t="s">
        <v>93</v>
      </c>
      <c r="G19" s="70" t="s">
        <v>93</v>
      </c>
      <c r="H19" s="70" t="s">
        <v>48</v>
      </c>
      <c r="I19" s="70" t="s">
        <v>46</v>
      </c>
      <c r="J19" s="71" t="s">
        <v>48</v>
      </c>
      <c r="K19" s="69" t="s">
        <v>72</v>
      </c>
      <c r="L19" s="70" t="s">
        <v>72</v>
      </c>
      <c r="M19" s="71" t="s">
        <v>72</v>
      </c>
    </row>
    <row r="20" spans="2:13" ht="17.25" customHeight="1">
      <c r="B20" s="495" t="s">
        <v>148</v>
      </c>
      <c r="C20" s="496"/>
      <c r="D20" s="69"/>
      <c r="E20" s="70"/>
      <c r="F20" s="70" t="s">
        <v>149</v>
      </c>
      <c r="G20" s="70" t="s">
        <v>46</v>
      </c>
      <c r="H20" s="70"/>
      <c r="I20" s="70"/>
      <c r="J20" s="71"/>
      <c r="K20" s="69"/>
      <c r="L20" s="70"/>
      <c r="M20" s="71"/>
    </row>
    <row r="21" spans="2:13" ht="17.25" customHeight="1" thickBot="1">
      <c r="B21" s="497" t="s">
        <v>242</v>
      </c>
      <c r="C21" s="498"/>
      <c r="D21" s="72"/>
      <c r="E21" s="73" t="s">
        <v>204</v>
      </c>
      <c r="F21" s="499" t="s">
        <v>205</v>
      </c>
      <c r="G21" s="500"/>
      <c r="H21" s="73" t="s">
        <v>206</v>
      </c>
      <c r="I21" s="73" t="s">
        <v>152</v>
      </c>
      <c r="J21" s="74" t="s">
        <v>206</v>
      </c>
      <c r="K21" s="75"/>
      <c r="L21" s="73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774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1">
    <pageSetUpPr fitToPage="1"/>
  </sheetPr>
  <dimension ref="A1:AC71"/>
  <sheetViews>
    <sheetView zoomScale="80" zoomScaleNormal="80" workbookViewId="0">
      <pane ySplit="4" topLeftCell="A5" activePane="bottomLeft" state="frozen"/>
      <selection activeCell="C3" sqref="C3:D3"/>
      <selection pane="bottomLeft" activeCell="C3" sqref="C3:D4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208</v>
      </c>
      <c r="B1" s="1"/>
      <c r="C1" s="2" t="s">
        <v>96</v>
      </c>
      <c r="D1" s="3">
        <f>SUM(F5:F70)</f>
        <v>165300</v>
      </c>
      <c r="E1" s="206" t="s">
        <v>113</v>
      </c>
      <c r="F1" s="1">
        <f>SUM(G5:G70)</f>
        <v>5601894.3000000017</v>
      </c>
      <c r="G1" s="1" t="s">
        <v>153</v>
      </c>
      <c r="H1" s="4">
        <f>L8+L13+L49+L55+L18+L62+L33+L41+L26+L70</f>
        <v>160.68333333333334</v>
      </c>
      <c r="I1" s="572" t="s">
        <v>210</v>
      </c>
      <c r="J1" s="572"/>
      <c r="K1" s="572"/>
      <c r="L1" s="572" t="s">
        <v>154</v>
      </c>
      <c r="M1" s="572"/>
      <c r="N1" s="572"/>
      <c r="O1" s="572" t="s">
        <v>97</v>
      </c>
      <c r="P1" s="572"/>
      <c r="Q1" s="572"/>
      <c r="R1" s="572"/>
      <c r="S1" s="572" t="s">
        <v>277</v>
      </c>
      <c r="T1" s="572"/>
      <c r="U1" s="572"/>
      <c r="V1" s="572"/>
      <c r="W1" s="572"/>
      <c r="X1" s="572"/>
      <c r="Y1" s="572" t="s">
        <v>115</v>
      </c>
      <c r="Z1" s="572"/>
      <c r="AA1" s="572" t="s">
        <v>155</v>
      </c>
      <c r="AB1" s="573"/>
      <c r="AC1" s="573"/>
    </row>
    <row r="2" spans="1:29" ht="26.25" customHeight="1">
      <c r="A2" s="22">
        <v>45882</v>
      </c>
      <c r="B2" s="23" t="s">
        <v>336</v>
      </c>
      <c r="C2" s="2" t="s">
        <v>116</v>
      </c>
      <c r="D2" s="6">
        <f>AVERAGE(N8,N13,N49,N55,N18,N62,N26,N33,N41,N70)</f>
        <v>138.16281895769981</v>
      </c>
      <c r="E2" s="7" t="s">
        <v>0</v>
      </c>
      <c r="F2" s="8">
        <f>F1/D1</f>
        <v>33.889257713248647</v>
      </c>
      <c r="G2" s="1" t="s">
        <v>117</v>
      </c>
      <c r="H2" s="216">
        <f>COUNT(H5:H70)</f>
        <v>5</v>
      </c>
      <c r="I2" s="572"/>
      <c r="J2" s="572"/>
      <c r="K2" s="572"/>
      <c r="L2" s="572"/>
      <c r="M2" s="572"/>
      <c r="N2" s="572"/>
      <c r="O2" s="572"/>
      <c r="P2" s="572"/>
      <c r="Q2" s="572"/>
      <c r="R2" s="572"/>
      <c r="S2" s="572"/>
      <c r="T2" s="572"/>
      <c r="U2" s="572"/>
      <c r="V2" s="572"/>
      <c r="W2" s="572"/>
      <c r="X2" s="572"/>
      <c r="Y2" s="572"/>
      <c r="Z2" s="572"/>
      <c r="AA2" s="573"/>
      <c r="AB2" s="573"/>
      <c r="AC2" s="573"/>
    </row>
    <row r="3" spans="1:29" ht="23.25" customHeight="1">
      <c r="A3" s="528" t="s">
        <v>156</v>
      </c>
      <c r="B3" s="528" t="s">
        <v>118</v>
      </c>
      <c r="C3" s="528" t="s">
        <v>119</v>
      </c>
      <c r="D3" s="528"/>
      <c r="E3" s="570" t="s">
        <v>286</v>
      </c>
      <c r="F3" s="528" t="s">
        <v>287</v>
      </c>
      <c r="G3" s="570" t="s">
        <v>158</v>
      </c>
      <c r="H3" s="563" t="s">
        <v>750</v>
      </c>
      <c r="I3" s="561" t="s">
        <v>101</v>
      </c>
      <c r="J3" s="566" t="s">
        <v>162</v>
      </c>
      <c r="K3" s="568" t="s">
        <v>116</v>
      </c>
      <c r="L3" s="561" t="s">
        <v>101</v>
      </c>
      <c r="M3" s="566" t="s">
        <v>162</v>
      </c>
      <c r="N3" s="568" t="s">
        <v>116</v>
      </c>
      <c r="O3" s="561" t="s">
        <v>101</v>
      </c>
      <c r="P3" s="568" t="s">
        <v>116</v>
      </c>
      <c r="Q3" s="567" t="s">
        <v>751</v>
      </c>
      <c r="R3" s="542" t="s">
        <v>86</v>
      </c>
      <c r="S3" s="569" t="s">
        <v>1</v>
      </c>
      <c r="T3" s="569"/>
      <c r="U3" s="563" t="s">
        <v>2</v>
      </c>
      <c r="V3" s="563" t="s">
        <v>66</v>
      </c>
      <c r="W3" s="528" t="s">
        <v>160</v>
      </c>
      <c r="X3" s="528"/>
      <c r="Y3" s="564" t="s">
        <v>161</v>
      </c>
      <c r="Z3" s="565"/>
      <c r="AA3" s="566" t="s">
        <v>162</v>
      </c>
      <c r="AB3" s="567" t="s">
        <v>102</v>
      </c>
      <c r="AC3" s="542" t="s">
        <v>86</v>
      </c>
    </row>
    <row r="4" spans="1:29">
      <c r="A4" s="528"/>
      <c r="B4" s="528"/>
      <c r="C4" s="528"/>
      <c r="D4" s="528"/>
      <c r="E4" s="571"/>
      <c r="F4" s="528"/>
      <c r="G4" s="571"/>
      <c r="H4" s="563"/>
      <c r="I4" s="561"/>
      <c r="J4" s="566"/>
      <c r="K4" s="568"/>
      <c r="L4" s="561"/>
      <c r="M4" s="566"/>
      <c r="N4" s="568"/>
      <c r="O4" s="561"/>
      <c r="P4" s="568"/>
      <c r="Q4" s="567"/>
      <c r="R4" s="542"/>
      <c r="S4" s="215" t="s">
        <v>3</v>
      </c>
      <c r="T4" s="215" t="s">
        <v>4</v>
      </c>
      <c r="U4" s="563"/>
      <c r="V4" s="563"/>
      <c r="W4" s="206" t="s">
        <v>103</v>
      </c>
      <c r="X4" s="206" t="s">
        <v>75</v>
      </c>
      <c r="Y4" s="565"/>
      <c r="Z4" s="565"/>
      <c r="AA4" s="566"/>
      <c r="AB4" s="567"/>
      <c r="AC4" s="542"/>
    </row>
    <row r="5" spans="1:29">
      <c r="A5" s="560" t="s">
        <v>752</v>
      </c>
      <c r="B5" s="26" t="s">
        <v>13</v>
      </c>
      <c r="C5" s="562" t="s">
        <v>53</v>
      </c>
      <c r="D5" s="562"/>
      <c r="E5" s="26">
        <v>46.93</v>
      </c>
      <c r="F5" s="215">
        <v>899</v>
      </c>
      <c r="G5" s="206">
        <f>E5*F5</f>
        <v>42190.07</v>
      </c>
      <c r="H5" s="76" t="s">
        <v>52</v>
      </c>
      <c r="I5" s="213">
        <v>17</v>
      </c>
      <c r="J5" s="18">
        <v>2000</v>
      </c>
      <c r="K5" s="9">
        <f>J5/I5</f>
        <v>117.64705882352941</v>
      </c>
      <c r="L5" s="213">
        <v>17</v>
      </c>
      <c r="M5" s="10">
        <f>F5/V5*60</f>
        <v>1859.9999999999964</v>
      </c>
      <c r="N5" s="9">
        <f>M5/L5</f>
        <v>109.41176470588213</v>
      </c>
      <c r="O5" s="11">
        <f t="shared" ref="O5:O7" si="0">L5-I5</f>
        <v>0</v>
      </c>
      <c r="P5" s="12">
        <f t="shared" ref="P5:P7" si="1">N5-K5</f>
        <v>-8.2352941176472712</v>
      </c>
      <c r="Q5" s="211">
        <f>N5/K5</f>
        <v>0.92999999999999816</v>
      </c>
      <c r="R5" s="533">
        <f>Q8</f>
        <v>0.92560606060606065</v>
      </c>
      <c r="S5" s="24">
        <v>0.70833333333333337</v>
      </c>
      <c r="T5" s="24">
        <v>0.7284722222222223</v>
      </c>
      <c r="U5" s="206"/>
      <c r="V5" s="214">
        <f>(T5-S5)*24*60</f>
        <v>29.000000000000057</v>
      </c>
      <c r="W5" s="14"/>
      <c r="X5" s="13"/>
      <c r="Y5" s="528"/>
      <c r="Z5" s="528"/>
      <c r="AA5" s="11">
        <f t="shared" ref="AA5:AA68" si="2">M5-J5</f>
        <v>-140.00000000000364</v>
      </c>
      <c r="AB5" s="211">
        <f t="shared" ref="AB5:AB7" si="3">M5/J5</f>
        <v>0.92999999999999816</v>
      </c>
      <c r="AC5" s="533">
        <f>AB8</f>
        <v>0.92560606060606065</v>
      </c>
    </row>
    <row r="6" spans="1:29">
      <c r="A6" s="561" t="s">
        <v>366</v>
      </c>
      <c r="B6" s="26" t="s">
        <v>13</v>
      </c>
      <c r="C6" s="562" t="s">
        <v>55</v>
      </c>
      <c r="D6" s="562"/>
      <c r="E6" s="26">
        <v>50.49</v>
      </c>
      <c r="F6" s="215">
        <v>2034</v>
      </c>
      <c r="G6" s="206">
        <f t="shared" ref="G6:G7" si="4">E6*F6</f>
        <v>102696.66</v>
      </c>
      <c r="H6" s="76" t="s">
        <v>52</v>
      </c>
      <c r="I6" s="213">
        <v>16</v>
      </c>
      <c r="J6" s="18">
        <v>2000</v>
      </c>
      <c r="K6" s="9">
        <f t="shared" ref="K6:K7" si="5">J6/I6</f>
        <v>125</v>
      </c>
      <c r="L6" s="213">
        <v>16</v>
      </c>
      <c r="M6" s="10">
        <f>F6/V6*60</f>
        <v>1849.0909090909111</v>
      </c>
      <c r="N6" s="9">
        <f t="shared" ref="N6:N7" si="6">M6/L6</f>
        <v>115.56818181818194</v>
      </c>
      <c r="O6" s="11">
        <f t="shared" si="0"/>
        <v>0</v>
      </c>
      <c r="P6" s="12">
        <f t="shared" si="1"/>
        <v>-9.4318181818180591</v>
      </c>
      <c r="Q6" s="211">
        <f t="shared" ref="Q6:Q7" si="7">N6/K6</f>
        <v>0.92454545454545556</v>
      </c>
      <c r="R6" s="533"/>
      <c r="S6" s="24">
        <v>0.73402777777777783</v>
      </c>
      <c r="T6" s="24">
        <v>0.77986111111111112</v>
      </c>
      <c r="U6" s="206">
        <f>(S6-T5)*24*60</f>
        <v>7.9999999999999716</v>
      </c>
      <c r="V6" s="214">
        <f>(T6-S6)*24*60</f>
        <v>65.999999999999929</v>
      </c>
      <c r="W6" s="14"/>
      <c r="X6" s="14"/>
      <c r="Y6" s="528"/>
      <c r="Z6" s="528"/>
      <c r="AA6" s="11">
        <f t="shared" si="2"/>
        <v>-150.90909090908895</v>
      </c>
      <c r="AB6" s="211">
        <f t="shared" si="3"/>
        <v>0.92454545454545556</v>
      </c>
      <c r="AC6" s="533"/>
    </row>
    <row r="7" spans="1:29">
      <c r="A7" s="561" t="s">
        <v>366</v>
      </c>
      <c r="B7" s="26" t="s">
        <v>13</v>
      </c>
      <c r="C7" s="558" t="s">
        <v>76</v>
      </c>
      <c r="D7" s="559"/>
      <c r="E7" s="26">
        <v>50.67</v>
      </c>
      <c r="F7" s="215">
        <v>2029</v>
      </c>
      <c r="G7" s="206">
        <f t="shared" si="4"/>
        <v>102809.43000000001</v>
      </c>
      <c r="H7" s="76" t="s">
        <v>52</v>
      </c>
      <c r="I7" s="213">
        <v>18</v>
      </c>
      <c r="J7" s="18">
        <v>2000</v>
      </c>
      <c r="K7" s="9">
        <f t="shared" si="5"/>
        <v>111.11111111111111</v>
      </c>
      <c r="L7" s="213">
        <v>18</v>
      </c>
      <c r="M7" s="10">
        <f t="shared" ref="M7" si="8">F7/V7*60</f>
        <v>1844.5454545454566</v>
      </c>
      <c r="N7" s="9">
        <f t="shared" si="6"/>
        <v>102.47474747474759</v>
      </c>
      <c r="O7" s="11">
        <f t="shared" si="0"/>
        <v>0</v>
      </c>
      <c r="P7" s="12">
        <f t="shared" si="1"/>
        <v>-8.6363636363635266</v>
      </c>
      <c r="Q7" s="211">
        <f t="shared" si="7"/>
        <v>0.92227272727272824</v>
      </c>
      <c r="R7" s="533"/>
      <c r="S7" s="24">
        <v>0.78472222222222221</v>
      </c>
      <c r="T7" s="24">
        <v>0.83055555555555549</v>
      </c>
      <c r="U7" s="206">
        <f t="shared" ref="U7" si="9">(S7-T6)*24*60</f>
        <v>6.9999999999999751</v>
      </c>
      <c r="V7" s="214">
        <f t="shared" ref="V7" si="10">(T7-S7)*24*60</f>
        <v>65.999999999999929</v>
      </c>
      <c r="W7" s="14"/>
      <c r="X7" s="14"/>
      <c r="Y7" s="536"/>
      <c r="Z7" s="537"/>
      <c r="AA7" s="11">
        <f t="shared" si="2"/>
        <v>-155.45454545454345</v>
      </c>
      <c r="AB7" s="211">
        <f t="shared" si="3"/>
        <v>0.92227272727272824</v>
      </c>
      <c r="AC7" s="533"/>
    </row>
    <row r="8" spans="1:29">
      <c r="A8" s="561" t="s">
        <v>366</v>
      </c>
      <c r="B8" s="26" t="s">
        <v>82</v>
      </c>
      <c r="C8" s="530"/>
      <c r="D8" s="530"/>
      <c r="E8" s="205"/>
      <c r="F8" s="16"/>
      <c r="G8" s="9"/>
      <c r="H8" s="215"/>
      <c r="I8" s="17">
        <v>17</v>
      </c>
      <c r="J8" s="18">
        <v>2000</v>
      </c>
      <c r="K8" s="9">
        <f>J8/I8</f>
        <v>117.64705882352941</v>
      </c>
      <c r="L8" s="17">
        <v>17</v>
      </c>
      <c r="M8" s="10">
        <f>AVERAGE(M5:M7)</f>
        <v>1851.2121212121212</v>
      </c>
      <c r="N8" s="9">
        <f>M8/L8</f>
        <v>108.89483065953654</v>
      </c>
      <c r="O8" s="11">
        <f>L8-I8</f>
        <v>0</v>
      </c>
      <c r="P8" s="12">
        <f>N8-K8</f>
        <v>-8.7522281639928678</v>
      </c>
      <c r="Q8" s="211">
        <f>N8/K8</f>
        <v>0.92560606060606065</v>
      </c>
      <c r="R8" s="533"/>
      <c r="S8" s="24"/>
      <c r="T8" s="24"/>
      <c r="U8" s="206"/>
      <c r="V8" s="214"/>
      <c r="W8" s="9"/>
      <c r="X8" s="9"/>
      <c r="Y8" s="528"/>
      <c r="Z8" s="528"/>
      <c r="AA8" s="11">
        <f t="shared" si="2"/>
        <v>-148.78787878787875</v>
      </c>
      <c r="AB8" s="211">
        <f>M8/J8</f>
        <v>0.92560606060606065</v>
      </c>
      <c r="AC8" s="533"/>
    </row>
    <row r="9" spans="1:29" ht="15.75" customHeight="1">
      <c r="A9" s="531" t="s">
        <v>369</v>
      </c>
      <c r="B9" s="26" t="s">
        <v>15</v>
      </c>
      <c r="C9" s="558" t="s">
        <v>16</v>
      </c>
      <c r="D9" s="559"/>
      <c r="E9" s="26">
        <v>39.619999999999997</v>
      </c>
      <c r="F9" s="215">
        <v>4705</v>
      </c>
      <c r="G9" s="206">
        <f t="shared" ref="G9:G12" si="11">E9*F9</f>
        <v>186412.09999999998</v>
      </c>
      <c r="H9" s="76" t="s">
        <v>52</v>
      </c>
      <c r="I9" s="213">
        <v>19</v>
      </c>
      <c r="J9" s="18">
        <v>1500</v>
      </c>
      <c r="K9" s="9">
        <f t="shared" ref="K9:K12" si="12">J9/I9</f>
        <v>78.94736842105263</v>
      </c>
      <c r="L9" s="213">
        <v>19</v>
      </c>
      <c r="M9" s="10">
        <f t="shared" ref="M9:M12" si="13">F9/V9*60</f>
        <v>1383.8235294117646</v>
      </c>
      <c r="N9" s="9">
        <f t="shared" ref="N9:N12" si="14">M9/L9</f>
        <v>72.832817337461293</v>
      </c>
      <c r="O9" s="11">
        <f t="shared" ref="O9:O12" si="15">L9-I9</f>
        <v>0</v>
      </c>
      <c r="P9" s="12">
        <f>N9-K9</f>
        <v>-6.114551083591337</v>
      </c>
      <c r="Q9" s="211">
        <f>N9/K9</f>
        <v>0.92254901960784308</v>
      </c>
      <c r="R9" s="533">
        <f>Q13</f>
        <v>0.92384520080221444</v>
      </c>
      <c r="S9" s="24">
        <v>0.125</v>
      </c>
      <c r="T9" s="24">
        <v>0.26666666666666666</v>
      </c>
      <c r="U9" s="206"/>
      <c r="V9" s="214">
        <f t="shared" ref="V9:V12" si="16">(T9-S9)*24*60</f>
        <v>204</v>
      </c>
      <c r="W9" s="14">
        <f>T9</f>
        <v>0.26666666666666666</v>
      </c>
      <c r="X9" s="14">
        <f>S10</f>
        <v>0.28680555555555554</v>
      </c>
      <c r="Y9" s="528"/>
      <c r="Z9" s="528"/>
      <c r="AA9" s="11">
        <f t="shared" si="2"/>
        <v>-116.17647058823536</v>
      </c>
      <c r="AB9" s="211">
        <f>M9/J9</f>
        <v>0.92254901960784308</v>
      </c>
      <c r="AC9" s="533">
        <f>AB13</f>
        <v>0.92384520080221444</v>
      </c>
    </row>
    <row r="10" spans="1:29" ht="15.75" customHeight="1">
      <c r="A10" s="531" t="s">
        <v>369</v>
      </c>
      <c r="B10" s="26" t="s">
        <v>15</v>
      </c>
      <c r="C10" s="558" t="s">
        <v>17</v>
      </c>
      <c r="D10" s="559"/>
      <c r="E10" s="26">
        <v>39.799999999999997</v>
      </c>
      <c r="F10" s="215">
        <v>2600</v>
      </c>
      <c r="G10" s="206">
        <f t="shared" si="11"/>
        <v>103479.99999999999</v>
      </c>
      <c r="H10" s="76">
        <v>2</v>
      </c>
      <c r="I10" s="213">
        <v>17</v>
      </c>
      <c r="J10" s="18">
        <v>1500</v>
      </c>
      <c r="K10" s="9">
        <f t="shared" si="12"/>
        <v>88.235294117647058</v>
      </c>
      <c r="L10" s="213">
        <v>17</v>
      </c>
      <c r="M10" s="10">
        <f t="shared" si="13"/>
        <v>1392.8571428571429</v>
      </c>
      <c r="N10" s="9">
        <f t="shared" si="14"/>
        <v>81.932773109243698</v>
      </c>
      <c r="O10" s="11">
        <f t="shared" si="15"/>
        <v>0</v>
      </c>
      <c r="P10" s="12">
        <f t="shared" ref="P10:P12" si="17">N10-K10</f>
        <v>-6.3025210084033603</v>
      </c>
      <c r="Q10" s="211">
        <f t="shared" ref="Q10:Q12" si="18">N10/K10</f>
        <v>0.9285714285714286</v>
      </c>
      <c r="R10" s="533"/>
      <c r="S10" s="24">
        <v>0.28680555555555554</v>
      </c>
      <c r="T10" s="24">
        <v>0.36458333333333331</v>
      </c>
      <c r="U10" s="206">
        <f>(S10-T9)*24*60</f>
        <v>28.999999999999979</v>
      </c>
      <c r="V10" s="214">
        <f t="shared" si="16"/>
        <v>112</v>
      </c>
      <c r="W10" s="14"/>
      <c r="X10" s="14"/>
      <c r="Y10" s="528"/>
      <c r="Z10" s="528"/>
      <c r="AA10" s="11">
        <f t="shared" si="2"/>
        <v>-107.14285714285711</v>
      </c>
      <c r="AB10" s="211">
        <f t="shared" ref="AB10:AB26" si="19">M10/J10</f>
        <v>0.9285714285714286</v>
      </c>
      <c r="AC10" s="533"/>
    </row>
    <row r="11" spans="1:29" ht="15.75" customHeight="1">
      <c r="A11" s="531" t="s">
        <v>369</v>
      </c>
      <c r="B11" s="26" t="s">
        <v>15</v>
      </c>
      <c r="C11" s="558" t="s">
        <v>80</v>
      </c>
      <c r="D11" s="559"/>
      <c r="E11" s="26">
        <v>39.29</v>
      </c>
      <c r="F11" s="215">
        <v>3905</v>
      </c>
      <c r="G11" s="206">
        <f t="shared" si="11"/>
        <v>153427.44999999998</v>
      </c>
      <c r="H11" s="76" t="s">
        <v>52</v>
      </c>
      <c r="I11" s="213">
        <v>19</v>
      </c>
      <c r="J11" s="18">
        <v>1500</v>
      </c>
      <c r="K11" s="9">
        <f t="shared" si="12"/>
        <v>78.94736842105263</v>
      </c>
      <c r="L11" s="213">
        <v>19</v>
      </c>
      <c r="M11" s="10">
        <f t="shared" si="13"/>
        <v>1386.3905325443786</v>
      </c>
      <c r="N11" s="9">
        <f t="shared" si="14"/>
        <v>72.967922765493611</v>
      </c>
      <c r="O11" s="11">
        <f t="shared" si="15"/>
        <v>0</v>
      </c>
      <c r="P11" s="12">
        <f t="shared" si="17"/>
        <v>-5.9794456555590187</v>
      </c>
      <c r="Q11" s="211">
        <f t="shared" si="18"/>
        <v>0.92426035502958581</v>
      </c>
      <c r="R11" s="533"/>
      <c r="S11" s="24">
        <v>0.36805555555555552</v>
      </c>
      <c r="T11" s="24">
        <v>0.48541666666666666</v>
      </c>
      <c r="U11" s="206">
        <f t="shared" ref="U11:U12" si="20">(S11-T10)*24*60</f>
        <v>4.9999999999999822</v>
      </c>
      <c r="V11" s="214">
        <f t="shared" si="16"/>
        <v>169.00000000000003</v>
      </c>
      <c r="W11" s="14">
        <f>T11</f>
        <v>0.48541666666666666</v>
      </c>
      <c r="X11" s="14">
        <f>S12</f>
        <v>0.52708333333333324</v>
      </c>
      <c r="Y11" s="528"/>
      <c r="Z11" s="528"/>
      <c r="AA11" s="11">
        <f t="shared" si="2"/>
        <v>-113.60946745562137</v>
      </c>
      <c r="AB11" s="211">
        <f t="shared" si="19"/>
        <v>0.9242603550295857</v>
      </c>
      <c r="AC11" s="533"/>
    </row>
    <row r="12" spans="1:29" ht="15.75" customHeight="1">
      <c r="A12" s="531" t="s">
        <v>369</v>
      </c>
      <c r="B12" s="26" t="s">
        <v>15</v>
      </c>
      <c r="C12" s="558" t="s">
        <v>17</v>
      </c>
      <c r="D12" s="559"/>
      <c r="E12" s="26">
        <v>39.799999999999997</v>
      </c>
      <c r="F12" s="215">
        <v>3703</v>
      </c>
      <c r="G12" s="206">
        <f t="shared" si="11"/>
        <v>147379.4</v>
      </c>
      <c r="H12" s="76" t="s">
        <v>52</v>
      </c>
      <c r="I12" s="213">
        <v>17</v>
      </c>
      <c r="J12" s="18">
        <v>1500</v>
      </c>
      <c r="K12" s="9">
        <f t="shared" si="12"/>
        <v>88.235294117647058</v>
      </c>
      <c r="L12" s="213">
        <v>17</v>
      </c>
      <c r="M12" s="10">
        <f t="shared" si="13"/>
        <v>1379.9999999999995</v>
      </c>
      <c r="N12" s="9">
        <f t="shared" si="14"/>
        <v>81.176470588235262</v>
      </c>
      <c r="O12" s="11">
        <f t="shared" si="15"/>
        <v>0</v>
      </c>
      <c r="P12" s="12">
        <f t="shared" si="17"/>
        <v>-7.0588235294117965</v>
      </c>
      <c r="Q12" s="211">
        <f t="shared" si="18"/>
        <v>0.9199999999999996</v>
      </c>
      <c r="R12" s="533"/>
      <c r="S12" s="24">
        <v>0.52708333333333324</v>
      </c>
      <c r="T12" s="24">
        <v>0.63888888888888884</v>
      </c>
      <c r="U12" s="206">
        <f t="shared" si="20"/>
        <v>59.999999999999865</v>
      </c>
      <c r="V12" s="214">
        <f t="shared" si="16"/>
        <v>161.00000000000006</v>
      </c>
      <c r="W12" s="14"/>
      <c r="X12" s="14"/>
      <c r="Y12" s="528"/>
      <c r="Z12" s="528"/>
      <c r="AA12" s="11">
        <f t="shared" si="2"/>
        <v>-120.00000000000045</v>
      </c>
      <c r="AB12" s="211">
        <f t="shared" si="19"/>
        <v>0.91999999999999971</v>
      </c>
      <c r="AC12" s="533"/>
    </row>
    <row r="13" spans="1:29" ht="16.5" customHeight="1">
      <c r="A13" s="531" t="s">
        <v>369</v>
      </c>
      <c r="B13" s="26" t="s">
        <v>82</v>
      </c>
      <c r="C13" s="530"/>
      <c r="D13" s="530"/>
      <c r="E13" s="205"/>
      <c r="F13" s="18"/>
      <c r="G13" s="10"/>
      <c r="H13" s="215"/>
      <c r="I13" s="17">
        <v>18</v>
      </c>
      <c r="J13" s="18">
        <v>1500</v>
      </c>
      <c r="K13" s="9">
        <f>J13/I13</f>
        <v>83.333333333333329</v>
      </c>
      <c r="L13" s="17">
        <v>18</v>
      </c>
      <c r="M13" s="10">
        <f>AVERAGE(M9:M12)</f>
        <v>1385.7678012033216</v>
      </c>
      <c r="N13" s="9">
        <f>M13/L13</f>
        <v>76.987100066851198</v>
      </c>
      <c r="O13" s="11">
        <f>L13-I13</f>
        <v>0</v>
      </c>
      <c r="P13" s="12">
        <f>N13-K13</f>
        <v>-6.3462332664821304</v>
      </c>
      <c r="Q13" s="211">
        <f>N13/K13</f>
        <v>0.92384520080221444</v>
      </c>
      <c r="R13" s="533"/>
      <c r="S13" s="24"/>
      <c r="T13" s="24"/>
      <c r="U13" s="9"/>
      <c r="V13" s="214"/>
      <c r="W13" s="9"/>
      <c r="X13" s="9"/>
      <c r="Y13" s="528"/>
      <c r="Z13" s="528"/>
      <c r="AA13" s="11">
        <f t="shared" si="2"/>
        <v>-114.2321987966784</v>
      </c>
      <c r="AB13" s="211">
        <f t="shared" si="19"/>
        <v>0.92384520080221444</v>
      </c>
      <c r="AC13" s="533"/>
    </row>
    <row r="14" spans="1:29" ht="16.5" customHeight="1">
      <c r="A14" s="556" t="s">
        <v>373</v>
      </c>
      <c r="B14" s="215" t="s">
        <v>21</v>
      </c>
      <c r="C14" s="552" t="s">
        <v>19</v>
      </c>
      <c r="D14" s="552"/>
      <c r="E14" s="26">
        <v>41</v>
      </c>
      <c r="F14" s="215">
        <v>1930</v>
      </c>
      <c r="G14" s="206">
        <f t="shared" ref="G14:G17" si="21">E14*F14</f>
        <v>79130</v>
      </c>
      <c r="H14" s="76" t="s">
        <v>52</v>
      </c>
      <c r="I14" s="213">
        <v>26</v>
      </c>
      <c r="J14" s="18">
        <v>1500</v>
      </c>
      <c r="K14" s="9">
        <f>J14/I14</f>
        <v>57.692307692307693</v>
      </c>
      <c r="L14" s="213">
        <v>26</v>
      </c>
      <c r="M14" s="10">
        <f>F14/V14*60</f>
        <v>1395.1807228915657</v>
      </c>
      <c r="N14" s="9">
        <f t="shared" ref="N14:N25" si="22">M14/L14</f>
        <v>53.660797034290987</v>
      </c>
      <c r="O14" s="11">
        <f t="shared" ref="O14" si="23">L14-I14</f>
        <v>0</v>
      </c>
      <c r="P14" s="12">
        <f t="shared" ref="P14" si="24">N14-K14</f>
        <v>-4.0315106580167068</v>
      </c>
      <c r="Q14" s="211">
        <f>N14/K14</f>
        <v>0.93012048192771046</v>
      </c>
      <c r="R14" s="533">
        <f>Q18</f>
        <v>0.92723771221479157</v>
      </c>
      <c r="S14" s="24">
        <v>0.25</v>
      </c>
      <c r="T14" s="24">
        <v>0.30763888888888891</v>
      </c>
      <c r="U14" s="206"/>
      <c r="V14" s="214">
        <f>(T14-S14)*24*60</f>
        <v>83.000000000000028</v>
      </c>
      <c r="W14" s="15"/>
      <c r="X14" s="15"/>
      <c r="Y14" s="528"/>
      <c r="Z14" s="528"/>
      <c r="AA14" s="11">
        <f t="shared" si="2"/>
        <v>-104.81927710843433</v>
      </c>
      <c r="AB14" s="211">
        <f t="shared" si="19"/>
        <v>0.93012048192771046</v>
      </c>
      <c r="AC14" s="533">
        <f>AB18</f>
        <v>0.92723771221479157</v>
      </c>
    </row>
    <row r="15" spans="1:29" ht="16.5" customHeight="1">
      <c r="A15" s="557" t="s">
        <v>373</v>
      </c>
      <c r="B15" s="215" t="s">
        <v>15</v>
      </c>
      <c r="C15" s="552" t="s">
        <v>49</v>
      </c>
      <c r="D15" s="552"/>
      <c r="E15" s="26">
        <v>39.29</v>
      </c>
      <c r="F15" s="215">
        <v>3395</v>
      </c>
      <c r="G15" s="206">
        <f t="shared" si="21"/>
        <v>133389.54999999999</v>
      </c>
      <c r="H15" s="76" t="s">
        <v>52</v>
      </c>
      <c r="I15" s="213">
        <v>16</v>
      </c>
      <c r="J15" s="18">
        <v>1500</v>
      </c>
      <c r="K15" s="9">
        <f>J15/I15</f>
        <v>93.75</v>
      </c>
      <c r="L15" s="213">
        <v>16</v>
      </c>
      <c r="M15" s="10">
        <f>F15/V15*60</f>
        <v>1385.7142857142856</v>
      </c>
      <c r="N15" s="9">
        <f t="shared" si="22"/>
        <v>86.607142857142847</v>
      </c>
      <c r="O15" s="11">
        <f>L15-I15</f>
        <v>0</v>
      </c>
      <c r="P15" s="12">
        <f>N15-K15</f>
        <v>-7.142857142857153</v>
      </c>
      <c r="Q15" s="211">
        <f>N15/K15</f>
        <v>0.92380952380952375</v>
      </c>
      <c r="R15" s="533"/>
      <c r="S15" s="24">
        <v>0.3125</v>
      </c>
      <c r="T15" s="24">
        <v>0.41458333333333336</v>
      </c>
      <c r="U15" s="206">
        <f>IF(S15=TIME(17,0,0),"",(S15-T14)*24*60)</f>
        <v>6.9999999999999751</v>
      </c>
      <c r="V15" s="214">
        <f>(T15-S15)*24*60</f>
        <v>147.00000000000003</v>
      </c>
      <c r="W15" s="14"/>
      <c r="X15" s="14"/>
      <c r="Y15" s="528"/>
      <c r="Z15" s="528"/>
      <c r="AA15" s="11">
        <f t="shared" si="2"/>
        <v>-114.28571428571445</v>
      </c>
      <c r="AB15" s="211">
        <f t="shared" si="19"/>
        <v>0.92380952380952375</v>
      </c>
      <c r="AC15" s="533"/>
    </row>
    <row r="16" spans="1:29" ht="16.5" customHeight="1">
      <c r="A16" s="557" t="s">
        <v>373</v>
      </c>
      <c r="B16" s="215" t="s">
        <v>13</v>
      </c>
      <c r="C16" s="552" t="s">
        <v>57</v>
      </c>
      <c r="D16" s="552"/>
      <c r="E16" s="26">
        <v>50.98</v>
      </c>
      <c r="F16" s="215">
        <v>2780</v>
      </c>
      <c r="G16" s="206">
        <f t="shared" si="21"/>
        <v>141724.4</v>
      </c>
      <c r="H16" s="76" t="s">
        <v>52</v>
      </c>
      <c r="I16" s="213">
        <v>17</v>
      </c>
      <c r="J16" s="18">
        <v>2000</v>
      </c>
      <c r="K16" s="9">
        <f t="shared" ref="K16:K17" si="25">J16/I16</f>
        <v>117.64705882352941</v>
      </c>
      <c r="L16" s="213">
        <v>17</v>
      </c>
      <c r="M16" s="10">
        <f t="shared" ref="M16:M17" si="26">F16/V16*60</f>
        <v>1853.3333333333333</v>
      </c>
      <c r="N16" s="9">
        <f t="shared" si="22"/>
        <v>109.01960784313725</v>
      </c>
      <c r="O16" s="11">
        <f t="shared" ref="O16:O17" si="27">L16-I16</f>
        <v>0</v>
      </c>
      <c r="P16" s="12">
        <f t="shared" ref="P16:P17" si="28">N16-K16</f>
        <v>-8.6274509803921546</v>
      </c>
      <c r="Q16" s="211">
        <f t="shared" ref="Q16:Q25" si="29">N16/K16</f>
        <v>0.92666666666666664</v>
      </c>
      <c r="R16" s="533"/>
      <c r="S16" s="24">
        <v>0.70833333333333337</v>
      </c>
      <c r="T16" s="24">
        <v>0.77083333333333337</v>
      </c>
      <c r="U16" s="206" t="str">
        <f t="shared" ref="U16:U17" si="30">IF(S16=TIME(17,0,0),"",(S16-T15)*24*60)</f>
        <v/>
      </c>
      <c r="V16" s="214">
        <f t="shared" ref="V16:V17" si="31">(T16-S16)*24*60</f>
        <v>90</v>
      </c>
      <c r="W16" s="14"/>
      <c r="X16" s="14"/>
      <c r="Y16" s="528"/>
      <c r="Z16" s="528"/>
      <c r="AA16" s="11">
        <f t="shared" si="2"/>
        <v>-146.66666666666674</v>
      </c>
      <c r="AB16" s="211">
        <f t="shared" si="19"/>
        <v>0.92666666666666664</v>
      </c>
      <c r="AC16" s="533"/>
    </row>
    <row r="17" spans="1:29" ht="16.5" customHeight="1">
      <c r="A17" s="557" t="s">
        <v>373</v>
      </c>
      <c r="B17" s="215" t="s">
        <v>13</v>
      </c>
      <c r="C17" s="552" t="s">
        <v>54</v>
      </c>
      <c r="D17" s="552"/>
      <c r="E17" s="26">
        <v>50.92</v>
      </c>
      <c r="F17" s="215">
        <v>3125</v>
      </c>
      <c r="G17" s="206">
        <f t="shared" si="21"/>
        <v>159125</v>
      </c>
      <c r="H17" s="76" t="s">
        <v>52</v>
      </c>
      <c r="I17" s="213">
        <v>16</v>
      </c>
      <c r="J17" s="18">
        <v>2000</v>
      </c>
      <c r="K17" s="9">
        <f t="shared" si="25"/>
        <v>125</v>
      </c>
      <c r="L17" s="213">
        <v>16</v>
      </c>
      <c r="M17" s="10">
        <f t="shared" si="26"/>
        <v>1856.4356435643572</v>
      </c>
      <c r="N17" s="9">
        <f t="shared" si="22"/>
        <v>116.02722772277232</v>
      </c>
      <c r="O17" s="11">
        <f t="shared" si="27"/>
        <v>0</v>
      </c>
      <c r="P17" s="12">
        <f t="shared" si="28"/>
        <v>-8.9727722772276763</v>
      </c>
      <c r="Q17" s="211">
        <f t="shared" si="29"/>
        <v>0.9282178217821786</v>
      </c>
      <c r="R17" s="533"/>
      <c r="S17" s="24">
        <v>0.77569444444444446</v>
      </c>
      <c r="T17" s="24">
        <v>0.84583333333333333</v>
      </c>
      <c r="U17" s="206">
        <f t="shared" si="30"/>
        <v>6.9999999999999751</v>
      </c>
      <c r="V17" s="214">
        <f t="shared" si="31"/>
        <v>100.99999999999996</v>
      </c>
      <c r="W17" s="14"/>
      <c r="X17" s="14"/>
      <c r="Y17" s="528"/>
      <c r="Z17" s="528"/>
      <c r="AA17" s="11">
        <f t="shared" si="2"/>
        <v>-143.56435643564282</v>
      </c>
      <c r="AB17" s="211">
        <f t="shared" si="19"/>
        <v>0.9282178217821786</v>
      </c>
      <c r="AC17" s="533"/>
    </row>
    <row r="18" spans="1:29" ht="16.5" customHeight="1">
      <c r="A18" s="557" t="s">
        <v>373</v>
      </c>
      <c r="B18" s="26" t="s">
        <v>753</v>
      </c>
      <c r="C18" s="530"/>
      <c r="D18" s="530"/>
      <c r="E18" s="205"/>
      <c r="F18" s="16"/>
      <c r="G18" s="9"/>
      <c r="H18" s="215"/>
      <c r="I18" s="17">
        <v>18.75</v>
      </c>
      <c r="J18" s="18">
        <v>1750</v>
      </c>
      <c r="K18" s="9">
        <f>J18/I18</f>
        <v>93.333333333333329</v>
      </c>
      <c r="L18" s="17">
        <v>18.75</v>
      </c>
      <c r="M18" s="10">
        <f>AVERAGE(M14:M17)</f>
        <v>1622.6659963758852</v>
      </c>
      <c r="N18" s="9">
        <f t="shared" si="22"/>
        <v>86.542186473380539</v>
      </c>
      <c r="O18" s="11">
        <f>L18-I18</f>
        <v>0</v>
      </c>
      <c r="P18" s="12">
        <f>N18-K18</f>
        <v>-6.7911468599527893</v>
      </c>
      <c r="Q18" s="211">
        <f t="shared" si="29"/>
        <v>0.92723771221479157</v>
      </c>
      <c r="R18" s="533"/>
      <c r="S18" s="24"/>
      <c r="T18" s="24"/>
      <c r="U18" s="206"/>
      <c r="V18" s="214"/>
      <c r="W18" s="9"/>
      <c r="X18" s="9"/>
      <c r="Y18" s="528"/>
      <c r="Z18" s="528"/>
      <c r="AA18" s="11">
        <f t="shared" si="2"/>
        <v>-127.33400362411476</v>
      </c>
      <c r="AB18" s="211">
        <f t="shared" si="19"/>
        <v>0.92723771221479157</v>
      </c>
      <c r="AC18" s="533"/>
    </row>
    <row r="19" spans="1:29" ht="15.75" customHeight="1">
      <c r="A19" s="554" t="s">
        <v>375</v>
      </c>
      <c r="B19" s="26" t="s">
        <v>21</v>
      </c>
      <c r="C19" s="552" t="s">
        <v>22</v>
      </c>
      <c r="D19" s="552"/>
      <c r="E19" s="26">
        <v>43.14</v>
      </c>
      <c r="F19" s="215">
        <v>1297</v>
      </c>
      <c r="G19" s="206">
        <f t="shared" ref="G19:G25" si="32">E19*F19</f>
        <v>55952.58</v>
      </c>
      <c r="H19" s="76" t="s">
        <v>52</v>
      </c>
      <c r="I19" s="213">
        <v>17</v>
      </c>
      <c r="J19" s="18">
        <v>2000</v>
      </c>
      <c r="K19" s="9">
        <f t="shared" ref="K19:K26" si="33">J19/I19</f>
        <v>117.64705882352941</v>
      </c>
      <c r="L19" s="213">
        <v>17</v>
      </c>
      <c r="M19" s="10">
        <f t="shared" ref="M19:M25" si="34">F19/V19*60</f>
        <v>1852.8571428571422</v>
      </c>
      <c r="N19" s="9">
        <f t="shared" si="22"/>
        <v>108.99159663865542</v>
      </c>
      <c r="O19" s="11">
        <f t="shared" ref="O19:O25" si="35">L19-I19</f>
        <v>0</v>
      </c>
      <c r="P19" s="12">
        <f t="shared" ref="P19:P25" si="36">N19-K19</f>
        <v>-8.6554621848739828</v>
      </c>
      <c r="Q19" s="211">
        <f t="shared" si="29"/>
        <v>0.92642857142857116</v>
      </c>
      <c r="R19" s="533">
        <f>Q26</f>
        <v>0.93248670155423685</v>
      </c>
      <c r="S19" s="24">
        <v>0.20833333333333334</v>
      </c>
      <c r="T19" s="24">
        <v>0.23750000000000002</v>
      </c>
      <c r="U19" s="206"/>
      <c r="V19" s="214">
        <f>(T19-S19)*24*60</f>
        <v>42.000000000000014</v>
      </c>
      <c r="W19" s="15"/>
      <c r="X19" s="15"/>
      <c r="Y19" s="528"/>
      <c r="Z19" s="528"/>
      <c r="AA19" s="11">
        <f t="shared" si="2"/>
        <v>-147.14285714285779</v>
      </c>
      <c r="AB19" s="211">
        <f t="shared" si="19"/>
        <v>0.92642857142857116</v>
      </c>
      <c r="AC19" s="533">
        <f>AB26</f>
        <v>0.93248670155423674</v>
      </c>
    </row>
    <row r="20" spans="1:29" ht="15.75" customHeight="1">
      <c r="A20" s="555" t="s">
        <v>375</v>
      </c>
      <c r="B20" s="26" t="s">
        <v>13</v>
      </c>
      <c r="C20" s="552" t="s">
        <v>23</v>
      </c>
      <c r="D20" s="552"/>
      <c r="E20" s="26">
        <v>57.73</v>
      </c>
      <c r="F20" s="215">
        <v>3149</v>
      </c>
      <c r="G20" s="206">
        <f t="shared" si="32"/>
        <v>181791.77</v>
      </c>
      <c r="H20" s="76" t="s">
        <v>52</v>
      </c>
      <c r="I20" s="213">
        <v>16</v>
      </c>
      <c r="J20" s="18">
        <v>2000</v>
      </c>
      <c r="K20" s="9">
        <f t="shared" si="33"/>
        <v>125</v>
      </c>
      <c r="L20" s="213">
        <v>16</v>
      </c>
      <c r="M20" s="10">
        <f t="shared" si="34"/>
        <v>1852.3529411764705</v>
      </c>
      <c r="N20" s="9">
        <f t="shared" si="22"/>
        <v>115.77205882352941</v>
      </c>
      <c r="O20" s="11">
        <f t="shared" si="35"/>
        <v>0</v>
      </c>
      <c r="P20" s="12">
        <f t="shared" si="36"/>
        <v>-9.2279411764705941</v>
      </c>
      <c r="Q20" s="211">
        <f t="shared" si="29"/>
        <v>0.92617647058823527</v>
      </c>
      <c r="R20" s="533"/>
      <c r="S20" s="24">
        <v>0.24097222222222223</v>
      </c>
      <c r="T20" s="24">
        <v>0.31180555555555556</v>
      </c>
      <c r="U20" s="206">
        <f>IF(S20=TIME(17,0,0),"",(S20-T19)*24*60)</f>
        <v>4.9999999999999822</v>
      </c>
      <c r="V20" s="214">
        <f t="shared" ref="V20:V25" si="37">(T20-S20)*24*60</f>
        <v>102</v>
      </c>
      <c r="W20" s="14"/>
      <c r="X20" s="206"/>
      <c r="Y20" s="528"/>
      <c r="Z20" s="528"/>
      <c r="AA20" s="11">
        <f t="shared" si="2"/>
        <v>-147.64705882352951</v>
      </c>
      <c r="AB20" s="211">
        <f t="shared" si="19"/>
        <v>0.92617647058823527</v>
      </c>
      <c r="AC20" s="533"/>
    </row>
    <row r="21" spans="1:29" ht="15.75" customHeight="1">
      <c r="A21" s="555" t="s">
        <v>375</v>
      </c>
      <c r="B21" s="26" t="s">
        <v>13</v>
      </c>
      <c r="C21" s="552" t="s">
        <v>14</v>
      </c>
      <c r="D21" s="552"/>
      <c r="E21" s="26">
        <v>53.68</v>
      </c>
      <c r="F21" s="215">
        <v>2054</v>
      </c>
      <c r="G21" s="206">
        <f t="shared" si="32"/>
        <v>110258.72</v>
      </c>
      <c r="H21" s="76" t="s">
        <v>52</v>
      </c>
      <c r="I21" s="213">
        <v>17</v>
      </c>
      <c r="J21" s="18">
        <v>2000</v>
      </c>
      <c r="K21" s="9">
        <f t="shared" si="33"/>
        <v>117.64705882352941</v>
      </c>
      <c r="L21" s="213">
        <v>17</v>
      </c>
      <c r="M21" s="10">
        <f t="shared" si="34"/>
        <v>1867.2727272727273</v>
      </c>
      <c r="N21" s="9">
        <f t="shared" si="22"/>
        <v>109.83957219251337</v>
      </c>
      <c r="O21" s="11">
        <f t="shared" si="35"/>
        <v>0</v>
      </c>
      <c r="P21" s="12">
        <f t="shared" si="36"/>
        <v>-7.8074866310160331</v>
      </c>
      <c r="Q21" s="211">
        <f t="shared" si="29"/>
        <v>0.93363636363636371</v>
      </c>
      <c r="R21" s="533"/>
      <c r="S21" s="24">
        <v>0.31597222222222221</v>
      </c>
      <c r="T21" s="24">
        <v>0.36180555555555555</v>
      </c>
      <c r="U21" s="206">
        <f t="shared" ref="U21:U25" si="38">IF(S21=TIME(17,0,0),"",(S21-T20)*24*60)</f>
        <v>5.9999999999999787</v>
      </c>
      <c r="V21" s="214">
        <f t="shared" si="37"/>
        <v>66</v>
      </c>
      <c r="W21" s="14"/>
      <c r="X21" s="206"/>
      <c r="Y21" s="528"/>
      <c r="Z21" s="528"/>
      <c r="AA21" s="11">
        <f t="shared" si="2"/>
        <v>-132.72727272727275</v>
      </c>
      <c r="AB21" s="211">
        <f t="shared" si="19"/>
        <v>0.9336363636363636</v>
      </c>
      <c r="AC21" s="533"/>
    </row>
    <row r="22" spans="1:29" ht="15.75" customHeight="1">
      <c r="A22" s="555" t="s">
        <v>375</v>
      </c>
      <c r="B22" s="26" t="s">
        <v>13</v>
      </c>
      <c r="C22" s="552" t="s">
        <v>81</v>
      </c>
      <c r="D22" s="552"/>
      <c r="E22" s="26">
        <v>58.17</v>
      </c>
      <c r="F22" s="215">
        <v>2337</v>
      </c>
      <c r="G22" s="206">
        <f t="shared" si="32"/>
        <v>135943.29</v>
      </c>
      <c r="H22" s="76" t="s">
        <v>52</v>
      </c>
      <c r="I22" s="213">
        <v>18</v>
      </c>
      <c r="J22" s="18">
        <v>2000</v>
      </c>
      <c r="K22" s="9">
        <f t="shared" si="33"/>
        <v>111.11111111111111</v>
      </c>
      <c r="L22" s="213">
        <v>18</v>
      </c>
      <c r="M22" s="10">
        <f t="shared" si="34"/>
        <v>1845.0000000000007</v>
      </c>
      <c r="N22" s="9">
        <f t="shared" si="22"/>
        <v>102.50000000000004</v>
      </c>
      <c r="O22" s="11">
        <f t="shared" si="35"/>
        <v>0</v>
      </c>
      <c r="P22" s="12">
        <f t="shared" si="36"/>
        <v>-8.6111111111110716</v>
      </c>
      <c r="Q22" s="211">
        <f t="shared" si="29"/>
        <v>0.92250000000000032</v>
      </c>
      <c r="R22" s="533"/>
      <c r="S22" s="24">
        <v>0.36736111111111108</v>
      </c>
      <c r="T22" s="24">
        <v>0.42013888888888884</v>
      </c>
      <c r="U22" s="206">
        <f t="shared" si="38"/>
        <v>7.9999999999999716</v>
      </c>
      <c r="V22" s="214">
        <f t="shared" si="37"/>
        <v>75.999999999999972</v>
      </c>
      <c r="W22" s="14"/>
      <c r="X22" s="206"/>
      <c r="Y22" s="528"/>
      <c r="Z22" s="528"/>
      <c r="AA22" s="11">
        <f t="shared" si="2"/>
        <v>-154.99999999999932</v>
      </c>
      <c r="AB22" s="211">
        <f t="shared" si="19"/>
        <v>0.92250000000000032</v>
      </c>
      <c r="AC22" s="533"/>
    </row>
    <row r="23" spans="1:29" ht="15.75" customHeight="1">
      <c r="A23" s="555" t="s">
        <v>375</v>
      </c>
      <c r="B23" s="26" t="s">
        <v>13</v>
      </c>
      <c r="C23" s="552" t="s">
        <v>85</v>
      </c>
      <c r="D23" s="552"/>
      <c r="E23" s="26">
        <v>54.09</v>
      </c>
      <c r="F23" s="215">
        <v>3780</v>
      </c>
      <c r="G23" s="206">
        <f t="shared" si="32"/>
        <v>204460.2</v>
      </c>
      <c r="H23" s="76" t="s">
        <v>52</v>
      </c>
      <c r="I23" s="213">
        <v>20</v>
      </c>
      <c r="J23" s="18">
        <v>2000</v>
      </c>
      <c r="K23" s="9">
        <f t="shared" si="33"/>
        <v>100</v>
      </c>
      <c r="L23" s="213">
        <v>20</v>
      </c>
      <c r="M23" s="10">
        <f t="shared" si="34"/>
        <v>1843.9024390243894</v>
      </c>
      <c r="N23" s="9">
        <f t="shared" si="22"/>
        <v>92.195121951219477</v>
      </c>
      <c r="O23" s="11">
        <f t="shared" si="35"/>
        <v>0</v>
      </c>
      <c r="P23" s="12">
        <f t="shared" si="36"/>
        <v>-7.8048780487805232</v>
      </c>
      <c r="Q23" s="211">
        <f t="shared" si="29"/>
        <v>0.92195121951219472</v>
      </c>
      <c r="R23" s="533"/>
      <c r="S23" s="24">
        <v>0.70833333333333337</v>
      </c>
      <c r="T23" s="24">
        <v>0.79375000000000007</v>
      </c>
      <c r="U23" s="206" t="str">
        <f t="shared" si="38"/>
        <v/>
      </c>
      <c r="V23" s="214">
        <f t="shared" si="37"/>
        <v>123.00000000000004</v>
      </c>
      <c r="W23" s="14"/>
      <c r="X23" s="206"/>
      <c r="Y23" s="528"/>
      <c r="Z23" s="528"/>
      <c r="AA23" s="11">
        <f t="shared" si="2"/>
        <v>-156.09756097561058</v>
      </c>
      <c r="AB23" s="211">
        <f t="shared" si="19"/>
        <v>0.92195121951219472</v>
      </c>
      <c r="AC23" s="533"/>
    </row>
    <row r="24" spans="1:29" ht="15.75" customHeight="1">
      <c r="A24" s="555" t="s">
        <v>375</v>
      </c>
      <c r="B24" s="26" t="s">
        <v>13</v>
      </c>
      <c r="C24" s="552" t="s">
        <v>56</v>
      </c>
      <c r="D24" s="552"/>
      <c r="E24" s="26">
        <v>53.27</v>
      </c>
      <c r="F24" s="215">
        <v>478</v>
      </c>
      <c r="G24" s="206">
        <f t="shared" si="32"/>
        <v>25463.06</v>
      </c>
      <c r="H24" s="76" t="s">
        <v>52</v>
      </c>
      <c r="I24" s="213">
        <v>15</v>
      </c>
      <c r="J24" s="18">
        <v>2000</v>
      </c>
      <c r="K24" s="9">
        <f t="shared" si="33"/>
        <v>133.33333333333334</v>
      </c>
      <c r="L24" s="213">
        <v>15</v>
      </c>
      <c r="M24" s="10">
        <f t="shared" si="34"/>
        <v>1912.0000000000068</v>
      </c>
      <c r="N24" s="9">
        <f t="shared" si="22"/>
        <v>127.46666666666712</v>
      </c>
      <c r="O24" s="11">
        <f t="shared" si="35"/>
        <v>0</v>
      </c>
      <c r="P24" s="12">
        <f t="shared" si="36"/>
        <v>-5.8666666666662195</v>
      </c>
      <c r="Q24" s="211">
        <f t="shared" si="29"/>
        <v>0.9560000000000034</v>
      </c>
      <c r="R24" s="533"/>
      <c r="S24" s="24">
        <v>0.7993055555555556</v>
      </c>
      <c r="T24" s="24">
        <v>0.80972222222222223</v>
      </c>
      <c r="U24" s="206">
        <f t="shared" si="38"/>
        <v>7.9999999999999716</v>
      </c>
      <c r="V24" s="214">
        <f t="shared" si="37"/>
        <v>14.999999999999947</v>
      </c>
      <c r="W24" s="14"/>
      <c r="X24" s="15"/>
      <c r="Y24" s="528"/>
      <c r="Z24" s="528"/>
      <c r="AA24" s="11">
        <f t="shared" si="2"/>
        <v>-87.999999999993179</v>
      </c>
      <c r="AB24" s="211">
        <f t="shared" si="19"/>
        <v>0.9560000000000034</v>
      </c>
      <c r="AC24" s="533"/>
    </row>
    <row r="25" spans="1:29" ht="15.75" customHeight="1">
      <c r="A25" s="555" t="s">
        <v>375</v>
      </c>
      <c r="B25" s="26" t="s">
        <v>13</v>
      </c>
      <c r="C25" s="552" t="s">
        <v>83</v>
      </c>
      <c r="D25" s="552"/>
      <c r="E25" s="26">
        <v>49.91</v>
      </c>
      <c r="F25" s="215">
        <v>439</v>
      </c>
      <c r="G25" s="206">
        <f t="shared" si="32"/>
        <v>21910.489999999998</v>
      </c>
      <c r="H25" s="76" t="s">
        <v>52</v>
      </c>
      <c r="I25" s="213">
        <v>16</v>
      </c>
      <c r="J25" s="18">
        <v>2000</v>
      </c>
      <c r="K25" s="9">
        <f t="shared" si="33"/>
        <v>125</v>
      </c>
      <c r="L25" s="213">
        <v>16</v>
      </c>
      <c r="M25" s="10">
        <f t="shared" si="34"/>
        <v>1881.4285714285782</v>
      </c>
      <c r="N25" s="9">
        <f t="shared" si="22"/>
        <v>117.58928571428613</v>
      </c>
      <c r="O25" s="11">
        <f t="shared" si="35"/>
        <v>0</v>
      </c>
      <c r="P25" s="12">
        <f t="shared" si="36"/>
        <v>-7.4107142857138655</v>
      </c>
      <c r="Q25" s="211">
        <f t="shared" si="29"/>
        <v>0.94071428571428906</v>
      </c>
      <c r="R25" s="533"/>
      <c r="S25" s="24">
        <v>0.81388888888888888</v>
      </c>
      <c r="T25" s="24">
        <v>0.82361111111111107</v>
      </c>
      <c r="U25" s="206">
        <f t="shared" si="38"/>
        <v>5.9999999999999787</v>
      </c>
      <c r="V25" s="214">
        <f t="shared" si="37"/>
        <v>13.99999999999995</v>
      </c>
      <c r="W25" s="14"/>
      <c r="X25" s="15"/>
      <c r="Y25" s="536"/>
      <c r="Z25" s="537"/>
      <c r="AA25" s="11">
        <f t="shared" si="2"/>
        <v>-118.57142857142185</v>
      </c>
      <c r="AB25" s="211">
        <f t="shared" si="19"/>
        <v>0.94071428571428906</v>
      </c>
      <c r="AC25" s="533"/>
    </row>
    <row r="26" spans="1:29" ht="15.75" customHeight="1">
      <c r="A26" s="555" t="s">
        <v>754</v>
      </c>
      <c r="B26" s="26" t="s">
        <v>82</v>
      </c>
      <c r="C26" s="530"/>
      <c r="D26" s="530"/>
      <c r="E26" s="205"/>
      <c r="F26" s="215"/>
      <c r="G26" s="206"/>
      <c r="H26" s="215"/>
      <c r="I26" s="17">
        <v>17</v>
      </c>
      <c r="J26" s="18">
        <v>2000</v>
      </c>
      <c r="K26" s="9">
        <f t="shared" si="33"/>
        <v>117.64705882352941</v>
      </c>
      <c r="L26" s="17">
        <v>17</v>
      </c>
      <c r="M26" s="10">
        <f>AVERAGE(M19:M25)</f>
        <v>1864.9734031084736</v>
      </c>
      <c r="N26" s="9">
        <f>M26/L26</f>
        <v>109.70431782991021</v>
      </c>
      <c r="O26" s="11">
        <f>L26-I26</f>
        <v>0</v>
      </c>
      <c r="P26" s="12">
        <f>N26-K26</f>
        <v>-7.9427409936191964</v>
      </c>
      <c r="Q26" s="211">
        <f>N26/K26</f>
        <v>0.93248670155423685</v>
      </c>
      <c r="R26" s="533"/>
      <c r="S26" s="24"/>
      <c r="T26" s="24"/>
      <c r="U26" s="9"/>
      <c r="V26" s="214"/>
      <c r="W26" s="9"/>
      <c r="X26" s="9"/>
      <c r="Y26" s="528"/>
      <c r="Z26" s="528"/>
      <c r="AA26" s="11">
        <f t="shared" si="2"/>
        <v>-135.02659689152642</v>
      </c>
      <c r="AB26" s="211">
        <f t="shared" si="19"/>
        <v>0.93248670155423674</v>
      </c>
      <c r="AC26" s="533"/>
    </row>
    <row r="27" spans="1:29" ht="15.75" customHeight="1">
      <c r="A27" s="553" t="s">
        <v>377</v>
      </c>
      <c r="B27" s="26" t="s">
        <v>24</v>
      </c>
      <c r="C27" s="552" t="s">
        <v>26</v>
      </c>
      <c r="D27" s="552"/>
      <c r="E27" s="26">
        <v>26.2</v>
      </c>
      <c r="F27" s="215">
        <v>3641</v>
      </c>
      <c r="G27" s="206">
        <f t="shared" ref="G27:G32" si="39">E27*F27</f>
        <v>95394.2</v>
      </c>
      <c r="H27" s="76" t="s">
        <v>52</v>
      </c>
      <c r="I27" s="213">
        <v>20</v>
      </c>
      <c r="J27" s="18">
        <v>2400</v>
      </c>
      <c r="K27" s="9">
        <f>J27/I27</f>
        <v>120</v>
      </c>
      <c r="L27" s="213">
        <v>20</v>
      </c>
      <c r="M27" s="10">
        <f t="shared" ref="M27:M32" si="40">F27/V27*60</f>
        <v>2229.1836734693884</v>
      </c>
      <c r="N27" s="9">
        <f t="shared" ref="N27:N32" si="41">M27/L27</f>
        <v>111.45918367346943</v>
      </c>
      <c r="O27" s="11">
        <f t="shared" ref="O27:O32" si="42">L27-I27</f>
        <v>0</v>
      </c>
      <c r="P27" s="12">
        <f t="shared" ref="P27:P32" si="43">N27-K27</f>
        <v>-8.5408163265305745</v>
      </c>
      <c r="Q27" s="211">
        <f t="shared" ref="Q27:Q32" si="44">N27/K27</f>
        <v>0.92882653061224518</v>
      </c>
      <c r="R27" s="533">
        <f>Q33</f>
        <v>0.92477549368678502</v>
      </c>
      <c r="S27" s="24">
        <v>0.125</v>
      </c>
      <c r="T27" s="24">
        <v>0.19305555555555554</v>
      </c>
      <c r="U27" s="206"/>
      <c r="V27" s="214">
        <f t="shared" ref="V27:V32" si="45">(T27-S27)*24*60</f>
        <v>97.999999999999972</v>
      </c>
      <c r="W27" s="14">
        <f>T27</f>
        <v>0.19305555555555554</v>
      </c>
      <c r="X27" s="14">
        <f>S28</f>
        <v>0.21180555555555552</v>
      </c>
      <c r="Y27" s="528"/>
      <c r="Z27" s="528"/>
      <c r="AA27" s="11">
        <f t="shared" si="2"/>
        <v>-170.8163265306116</v>
      </c>
      <c r="AB27" s="211">
        <f>M27/J27</f>
        <v>0.92882653061224518</v>
      </c>
      <c r="AC27" s="533">
        <f>AB33</f>
        <v>0.92477549368678502</v>
      </c>
    </row>
    <row r="28" spans="1:29" ht="15.75" customHeight="1">
      <c r="A28" s="553" t="s">
        <v>377</v>
      </c>
      <c r="B28" s="26" t="s">
        <v>24</v>
      </c>
      <c r="C28" s="552" t="s">
        <v>79</v>
      </c>
      <c r="D28" s="552"/>
      <c r="E28" s="26">
        <v>31.29</v>
      </c>
      <c r="F28" s="215">
        <v>4500</v>
      </c>
      <c r="G28" s="206">
        <f t="shared" si="39"/>
        <v>140805</v>
      </c>
      <c r="H28" s="76">
        <v>2</v>
      </c>
      <c r="I28" s="213">
        <v>16</v>
      </c>
      <c r="J28" s="18">
        <v>2400</v>
      </c>
      <c r="K28" s="9">
        <f t="shared" ref="K28:K33" si="46">J28/I28</f>
        <v>150</v>
      </c>
      <c r="L28" s="213">
        <v>16</v>
      </c>
      <c r="M28" s="10">
        <f t="shared" si="40"/>
        <v>2213.1147540983611</v>
      </c>
      <c r="N28" s="9">
        <f t="shared" si="41"/>
        <v>138.31967213114757</v>
      </c>
      <c r="O28" s="11">
        <f t="shared" si="42"/>
        <v>0</v>
      </c>
      <c r="P28" s="12">
        <f t="shared" si="43"/>
        <v>-11.68032786885243</v>
      </c>
      <c r="Q28" s="211">
        <f t="shared" si="44"/>
        <v>0.9221311475409838</v>
      </c>
      <c r="R28" s="533"/>
      <c r="S28" s="24">
        <v>0.21180555555555552</v>
      </c>
      <c r="T28" s="24">
        <v>0.29652777777777772</v>
      </c>
      <c r="U28" s="206">
        <f>(S28-T27)*24*60</f>
        <v>26.999999999999986</v>
      </c>
      <c r="V28" s="214">
        <f t="shared" si="45"/>
        <v>121.99999999999997</v>
      </c>
      <c r="W28" s="14"/>
      <c r="X28" s="14"/>
      <c r="Y28" s="528"/>
      <c r="Z28" s="528"/>
      <c r="AA28" s="11">
        <f t="shared" si="2"/>
        <v>-186.88524590163888</v>
      </c>
      <c r="AB28" s="211">
        <f t="shared" ref="AB28:AB32" si="47">M28/J28</f>
        <v>0.9221311475409838</v>
      </c>
      <c r="AC28" s="533"/>
    </row>
    <row r="29" spans="1:29" ht="15.75" customHeight="1">
      <c r="A29" s="553" t="s">
        <v>377</v>
      </c>
      <c r="B29" s="26" t="s">
        <v>24</v>
      </c>
      <c r="C29" s="552" t="s">
        <v>68</v>
      </c>
      <c r="D29" s="552"/>
      <c r="E29" s="26">
        <v>24.25</v>
      </c>
      <c r="F29" s="215">
        <v>4676</v>
      </c>
      <c r="G29" s="206">
        <f t="shared" si="39"/>
        <v>113393</v>
      </c>
      <c r="H29" s="76" t="s">
        <v>52</v>
      </c>
      <c r="I29" s="213">
        <v>18</v>
      </c>
      <c r="J29" s="18">
        <v>2400</v>
      </c>
      <c r="K29" s="9">
        <f t="shared" si="46"/>
        <v>133.33333333333334</v>
      </c>
      <c r="L29" s="213">
        <v>18</v>
      </c>
      <c r="M29" s="10">
        <f t="shared" si="40"/>
        <v>2226.6666666666661</v>
      </c>
      <c r="N29" s="9">
        <f t="shared" si="41"/>
        <v>123.70370370370367</v>
      </c>
      <c r="O29" s="11">
        <f t="shared" si="42"/>
        <v>0</v>
      </c>
      <c r="P29" s="12">
        <f t="shared" si="43"/>
        <v>-9.6296296296296759</v>
      </c>
      <c r="Q29" s="211">
        <f t="shared" si="44"/>
        <v>0.92777777777777748</v>
      </c>
      <c r="R29" s="533"/>
      <c r="S29" s="24">
        <v>0.30069444444444438</v>
      </c>
      <c r="T29" s="24">
        <v>0.3881944444444444</v>
      </c>
      <c r="U29" s="206">
        <f t="shared" ref="U29:U32" si="48">(S29-T28)*24*60</f>
        <v>5.9999999999999787</v>
      </c>
      <c r="V29" s="214">
        <f t="shared" si="45"/>
        <v>126.00000000000003</v>
      </c>
      <c r="W29" s="14"/>
      <c r="X29" s="14"/>
      <c r="Y29" s="528"/>
      <c r="Z29" s="528"/>
      <c r="AA29" s="11">
        <f t="shared" si="2"/>
        <v>-173.33333333333394</v>
      </c>
      <c r="AB29" s="211">
        <f t="shared" si="47"/>
        <v>0.92777777777777748</v>
      </c>
      <c r="AC29" s="533"/>
    </row>
    <row r="30" spans="1:29" ht="15.75" customHeight="1">
      <c r="A30" s="553" t="s">
        <v>377</v>
      </c>
      <c r="B30" s="26" t="s">
        <v>24</v>
      </c>
      <c r="C30" s="552" t="s">
        <v>328</v>
      </c>
      <c r="D30" s="552"/>
      <c r="E30" s="26">
        <v>25.98</v>
      </c>
      <c r="F30" s="215">
        <v>5029</v>
      </c>
      <c r="G30" s="206">
        <f t="shared" si="39"/>
        <v>130653.42</v>
      </c>
      <c r="H30" s="76" t="s">
        <v>52</v>
      </c>
      <c r="I30" s="213">
        <v>17</v>
      </c>
      <c r="J30" s="18">
        <v>2400</v>
      </c>
      <c r="K30" s="9">
        <f t="shared" si="46"/>
        <v>141.1764705882353</v>
      </c>
      <c r="L30" s="213">
        <v>17</v>
      </c>
      <c r="M30" s="10">
        <f t="shared" si="40"/>
        <v>2218.6764705882351</v>
      </c>
      <c r="N30" s="9">
        <f t="shared" si="41"/>
        <v>130.51038062283737</v>
      </c>
      <c r="O30" s="11">
        <f t="shared" si="42"/>
        <v>0</v>
      </c>
      <c r="P30" s="12">
        <f t="shared" si="43"/>
        <v>-10.66608996539793</v>
      </c>
      <c r="Q30" s="211">
        <f t="shared" si="44"/>
        <v>0.9244485294117647</v>
      </c>
      <c r="R30" s="533"/>
      <c r="S30" s="24">
        <v>0.39236111111111105</v>
      </c>
      <c r="T30" s="24">
        <v>0.48680555555555549</v>
      </c>
      <c r="U30" s="206">
        <f t="shared" si="48"/>
        <v>5.9999999999999787</v>
      </c>
      <c r="V30" s="214">
        <f t="shared" si="45"/>
        <v>136</v>
      </c>
      <c r="W30" s="14"/>
      <c r="X30" s="14"/>
      <c r="Y30" s="528"/>
      <c r="Z30" s="528"/>
      <c r="AA30" s="11">
        <f t="shared" si="2"/>
        <v>-181.32352941176487</v>
      </c>
      <c r="AB30" s="211">
        <f t="shared" si="47"/>
        <v>0.92444852941176459</v>
      </c>
      <c r="AC30" s="533"/>
    </row>
    <row r="31" spans="1:29" ht="15.75" customHeight="1">
      <c r="A31" s="553" t="s">
        <v>377</v>
      </c>
      <c r="B31" s="26" t="s">
        <v>24</v>
      </c>
      <c r="C31" s="552" t="s">
        <v>62</v>
      </c>
      <c r="D31" s="552"/>
      <c r="E31" s="26">
        <v>22.35</v>
      </c>
      <c r="F31" s="215">
        <v>1957</v>
      </c>
      <c r="G31" s="206">
        <f t="shared" si="39"/>
        <v>43738.950000000004</v>
      </c>
      <c r="H31" s="76" t="s">
        <v>52</v>
      </c>
      <c r="I31" s="213">
        <v>16</v>
      </c>
      <c r="J31" s="18">
        <v>2400</v>
      </c>
      <c r="K31" s="9">
        <f t="shared" si="46"/>
        <v>150</v>
      </c>
      <c r="L31" s="213">
        <v>16</v>
      </c>
      <c r="M31" s="10">
        <f t="shared" si="40"/>
        <v>2215.4716981132087</v>
      </c>
      <c r="N31" s="9">
        <f t="shared" si="41"/>
        <v>138.46698113207555</v>
      </c>
      <c r="O31" s="11">
        <f t="shared" si="42"/>
        <v>0</v>
      </c>
      <c r="P31" s="12">
        <f t="shared" si="43"/>
        <v>-11.533018867924454</v>
      </c>
      <c r="Q31" s="211">
        <f t="shared" si="44"/>
        <v>0.9231132075471703</v>
      </c>
      <c r="R31" s="533"/>
      <c r="S31" s="24">
        <v>0.49097222222222214</v>
      </c>
      <c r="T31" s="24">
        <v>0.52777777777777768</v>
      </c>
      <c r="U31" s="206">
        <f t="shared" si="48"/>
        <v>5.9999999999999787</v>
      </c>
      <c r="V31" s="214">
        <f t="shared" si="45"/>
        <v>52.999999999999972</v>
      </c>
      <c r="W31" s="14">
        <f>T31</f>
        <v>0.52777777777777768</v>
      </c>
      <c r="X31" s="14">
        <f>S32</f>
        <v>0.56666666666666654</v>
      </c>
      <c r="Y31" s="528"/>
      <c r="Z31" s="528"/>
      <c r="AA31" s="11">
        <f t="shared" si="2"/>
        <v>-184.52830188679127</v>
      </c>
      <c r="AB31" s="211">
        <f t="shared" si="47"/>
        <v>0.9231132075471703</v>
      </c>
      <c r="AC31" s="533"/>
    </row>
    <row r="32" spans="1:29" ht="15.75" customHeight="1">
      <c r="A32" s="553" t="s">
        <v>377</v>
      </c>
      <c r="B32" s="26" t="s">
        <v>24</v>
      </c>
      <c r="C32" s="552" t="s">
        <v>79</v>
      </c>
      <c r="D32" s="552"/>
      <c r="E32" s="26">
        <v>31.29</v>
      </c>
      <c r="F32" s="215">
        <v>3837</v>
      </c>
      <c r="G32" s="206">
        <f t="shared" si="39"/>
        <v>120059.73</v>
      </c>
      <c r="H32" s="76" t="s">
        <v>52</v>
      </c>
      <c r="I32" s="213">
        <v>16</v>
      </c>
      <c r="J32" s="18">
        <v>2400</v>
      </c>
      <c r="K32" s="9">
        <f t="shared" si="46"/>
        <v>150</v>
      </c>
      <c r="L32" s="213">
        <v>16</v>
      </c>
      <c r="M32" s="10">
        <f t="shared" si="40"/>
        <v>2213.6538461538471</v>
      </c>
      <c r="N32" s="9">
        <f t="shared" si="41"/>
        <v>138.35336538461544</v>
      </c>
      <c r="O32" s="11">
        <f t="shared" si="42"/>
        <v>0</v>
      </c>
      <c r="P32" s="12">
        <f t="shared" si="43"/>
        <v>-11.646634615384556</v>
      </c>
      <c r="Q32" s="211">
        <f t="shared" si="44"/>
        <v>0.92235576923076967</v>
      </c>
      <c r="R32" s="533"/>
      <c r="S32" s="24">
        <v>0.56666666666666654</v>
      </c>
      <c r="T32" s="24">
        <v>0.63888888888888873</v>
      </c>
      <c r="U32" s="206">
        <f t="shared" si="48"/>
        <v>55.999999999999957</v>
      </c>
      <c r="V32" s="214">
        <f t="shared" si="45"/>
        <v>103.99999999999994</v>
      </c>
      <c r="W32" s="14"/>
      <c r="X32" s="14"/>
      <c r="Y32" s="528"/>
      <c r="Z32" s="528"/>
      <c r="AA32" s="11">
        <f t="shared" si="2"/>
        <v>-186.3461538461529</v>
      </c>
      <c r="AB32" s="211">
        <f t="shared" si="47"/>
        <v>0.92235576923076967</v>
      </c>
      <c r="AC32" s="533"/>
    </row>
    <row r="33" spans="1:29" ht="15.75" customHeight="1">
      <c r="A33" s="553" t="s">
        <v>377</v>
      </c>
      <c r="B33" s="26" t="s">
        <v>82</v>
      </c>
      <c r="C33" s="530"/>
      <c r="D33" s="530"/>
      <c r="E33" s="205"/>
      <c r="F33" s="215"/>
      <c r="G33" s="206"/>
      <c r="H33" s="215"/>
      <c r="I33" s="17">
        <v>17.166666666666668</v>
      </c>
      <c r="J33" s="18">
        <v>2400</v>
      </c>
      <c r="K33" s="9">
        <f t="shared" si="46"/>
        <v>139.80582524271844</v>
      </c>
      <c r="L33" s="17">
        <v>17.166666666666668</v>
      </c>
      <c r="M33" s="10">
        <f>AVERAGE(M27:M32)</f>
        <v>2219.4611848482841</v>
      </c>
      <c r="N33" s="9">
        <f>M33/L33</f>
        <v>129.28900105912334</v>
      </c>
      <c r="O33" s="11">
        <f>L33-I33</f>
        <v>0</v>
      </c>
      <c r="P33" s="12">
        <f>N33-K33</f>
        <v>-10.516824183595105</v>
      </c>
      <c r="Q33" s="211">
        <f>N33/K33</f>
        <v>0.92477549368678502</v>
      </c>
      <c r="R33" s="533"/>
      <c r="S33" s="24"/>
      <c r="T33" s="24"/>
      <c r="U33" s="206"/>
      <c r="V33" s="214"/>
      <c r="W33" s="206"/>
      <c r="X33" s="206"/>
      <c r="Y33" s="528"/>
      <c r="Z33" s="528"/>
      <c r="AA33" s="11">
        <f t="shared" si="2"/>
        <v>-180.53881515171588</v>
      </c>
      <c r="AB33" s="211">
        <f>M33/J33</f>
        <v>0.92477549368678502</v>
      </c>
      <c r="AC33" s="533"/>
    </row>
    <row r="34" spans="1:29" ht="15.75" customHeight="1">
      <c r="A34" s="550" t="s">
        <v>379</v>
      </c>
      <c r="B34" s="26" t="s">
        <v>24</v>
      </c>
      <c r="C34" s="529" t="s">
        <v>28</v>
      </c>
      <c r="D34" s="529"/>
      <c r="E34" s="26">
        <v>26.2</v>
      </c>
      <c r="F34" s="215">
        <v>2700</v>
      </c>
      <c r="G34" s="206">
        <f t="shared" ref="G34:G40" si="49">E34*F34</f>
        <v>70740</v>
      </c>
      <c r="H34" s="76">
        <v>2</v>
      </c>
      <c r="I34" s="213">
        <v>18</v>
      </c>
      <c r="J34" s="18">
        <v>2400</v>
      </c>
      <c r="K34" s="9">
        <f>J34/I34</f>
        <v>133.33333333333334</v>
      </c>
      <c r="L34" s="213">
        <v>18</v>
      </c>
      <c r="M34" s="10">
        <f>F34/V34*60</f>
        <v>2219.1780821917814</v>
      </c>
      <c r="N34" s="9">
        <f>M34/L34</f>
        <v>123.28767123287675</v>
      </c>
      <c r="O34" s="11">
        <f t="shared" ref="O34:O40" si="50">L34-I34</f>
        <v>0</v>
      </c>
      <c r="P34" s="12">
        <f t="shared" ref="P34:P49" si="51">N34-K34</f>
        <v>-10.045662100456596</v>
      </c>
      <c r="Q34" s="211">
        <f t="shared" ref="Q34:Q45" si="52">N34/K34</f>
        <v>0.92465753424657549</v>
      </c>
      <c r="R34" s="533">
        <f>Q41</f>
        <v>0.92521787011604795</v>
      </c>
      <c r="S34" s="24">
        <v>0.125</v>
      </c>
      <c r="T34" s="24">
        <v>0.17569444444444443</v>
      </c>
      <c r="U34" s="206"/>
      <c r="V34" s="214">
        <f t="shared" ref="V34:V40" si="53">(T34-S34)*24*60</f>
        <v>72.999999999999986</v>
      </c>
      <c r="W34" s="15">
        <f>T34</f>
        <v>0.17569444444444443</v>
      </c>
      <c r="X34" s="15">
        <f>S35</f>
        <v>0.19374999999999998</v>
      </c>
      <c r="Y34" s="528"/>
      <c r="Z34" s="528"/>
      <c r="AA34" s="11">
        <f t="shared" si="2"/>
        <v>-180.82191780821859</v>
      </c>
      <c r="AB34" s="211">
        <f>M34/J34</f>
        <v>0.9246575342465756</v>
      </c>
      <c r="AC34" s="533">
        <f>AB41</f>
        <v>0.92521787011604795</v>
      </c>
    </row>
    <row r="35" spans="1:29" ht="15.75" customHeight="1">
      <c r="A35" s="550" t="s">
        <v>379</v>
      </c>
      <c r="B35" s="26" t="s">
        <v>24</v>
      </c>
      <c r="C35" s="529" t="s">
        <v>30</v>
      </c>
      <c r="D35" s="529"/>
      <c r="E35" s="26">
        <v>24.45</v>
      </c>
      <c r="F35" s="215">
        <v>2138</v>
      </c>
      <c r="G35" s="206">
        <f t="shared" si="49"/>
        <v>52274.1</v>
      </c>
      <c r="H35" s="76" t="s">
        <v>52</v>
      </c>
      <c r="I35" s="213">
        <v>20</v>
      </c>
      <c r="J35" s="18">
        <v>2400</v>
      </c>
      <c r="K35" s="9">
        <f t="shared" ref="K35:K48" si="54">J35/I35</f>
        <v>120</v>
      </c>
      <c r="L35" s="213">
        <v>20</v>
      </c>
      <c r="M35" s="10">
        <f t="shared" ref="M35:M40" si="55">F35/V35*60</f>
        <v>2211.7241379310349</v>
      </c>
      <c r="N35" s="9">
        <f t="shared" ref="N35:N40" si="56">M35/L35</f>
        <v>110.58620689655174</v>
      </c>
      <c r="O35" s="11">
        <f t="shared" si="50"/>
        <v>0</v>
      </c>
      <c r="P35" s="12">
        <f t="shared" si="51"/>
        <v>-9.4137931034482563</v>
      </c>
      <c r="Q35" s="211">
        <f t="shared" si="52"/>
        <v>0.92155172413793118</v>
      </c>
      <c r="R35" s="533"/>
      <c r="S35" s="24">
        <v>0.19374999999999998</v>
      </c>
      <c r="T35" s="24">
        <v>0.23402777777777775</v>
      </c>
      <c r="U35" s="206">
        <f>(S35-T34)*24*60</f>
        <v>25.999999999999986</v>
      </c>
      <c r="V35" s="214">
        <f t="shared" si="53"/>
        <v>57.999999999999993</v>
      </c>
      <c r="W35" s="206"/>
      <c r="X35" s="206"/>
      <c r="Y35" s="528"/>
      <c r="Z35" s="528"/>
      <c r="AA35" s="11">
        <f t="shared" si="2"/>
        <v>-188.27586206896513</v>
      </c>
      <c r="AB35" s="211">
        <f t="shared" ref="AB35:AB62" si="57">M35/J35</f>
        <v>0.92155172413793118</v>
      </c>
      <c r="AC35" s="533"/>
    </row>
    <row r="36" spans="1:29">
      <c r="A36" s="551" t="s">
        <v>379</v>
      </c>
      <c r="B36" s="26" t="s">
        <v>24</v>
      </c>
      <c r="C36" s="529" t="s">
        <v>31</v>
      </c>
      <c r="D36" s="529"/>
      <c r="E36" s="26">
        <v>26.2</v>
      </c>
      <c r="F36" s="215">
        <v>2934</v>
      </c>
      <c r="G36" s="206">
        <f t="shared" si="49"/>
        <v>76870.8</v>
      </c>
      <c r="H36" s="76" t="s">
        <v>52</v>
      </c>
      <c r="I36" s="213">
        <v>20</v>
      </c>
      <c r="J36" s="18">
        <v>2400</v>
      </c>
      <c r="K36" s="9">
        <f t="shared" si="54"/>
        <v>120</v>
      </c>
      <c r="L36" s="213">
        <v>20</v>
      </c>
      <c r="M36" s="10">
        <f t="shared" si="55"/>
        <v>2228.3544303797471</v>
      </c>
      <c r="N36" s="9">
        <f t="shared" si="56"/>
        <v>111.41772151898735</v>
      </c>
      <c r="O36" s="11">
        <f t="shared" si="50"/>
        <v>0</v>
      </c>
      <c r="P36" s="12">
        <f t="shared" si="51"/>
        <v>-8.5822784810126507</v>
      </c>
      <c r="Q36" s="211">
        <f t="shared" si="52"/>
        <v>0.92848101265822791</v>
      </c>
      <c r="R36" s="533"/>
      <c r="S36" s="24">
        <v>0.23749999999999996</v>
      </c>
      <c r="T36" s="24">
        <v>0.29236111111111107</v>
      </c>
      <c r="U36" s="206">
        <f t="shared" ref="U36:U40" si="58">(S36-T35)*24*60</f>
        <v>4.9999999999999822</v>
      </c>
      <c r="V36" s="214">
        <f t="shared" si="53"/>
        <v>79</v>
      </c>
      <c r="W36" s="206"/>
      <c r="X36" s="206"/>
      <c r="Y36" s="528"/>
      <c r="Z36" s="528"/>
      <c r="AA36" s="11">
        <f t="shared" si="2"/>
        <v>-171.6455696202529</v>
      </c>
      <c r="AB36" s="211">
        <f t="shared" si="57"/>
        <v>0.92848101265822791</v>
      </c>
      <c r="AC36" s="533"/>
    </row>
    <row r="37" spans="1:29">
      <c r="A37" s="551" t="s">
        <v>379</v>
      </c>
      <c r="B37" s="26" t="s">
        <v>24</v>
      </c>
      <c r="C37" s="529" t="s">
        <v>29</v>
      </c>
      <c r="D37" s="529"/>
      <c r="E37" s="26">
        <v>26.39</v>
      </c>
      <c r="F37" s="215">
        <v>4811</v>
      </c>
      <c r="G37" s="206">
        <f t="shared" si="49"/>
        <v>126962.29000000001</v>
      </c>
      <c r="H37" s="76" t="s">
        <v>52</v>
      </c>
      <c r="I37" s="213">
        <v>19</v>
      </c>
      <c r="J37" s="18">
        <v>2400</v>
      </c>
      <c r="K37" s="9">
        <f t="shared" si="54"/>
        <v>126.31578947368421</v>
      </c>
      <c r="L37" s="213">
        <v>19</v>
      </c>
      <c r="M37" s="10">
        <f t="shared" si="55"/>
        <v>2220.4615384615381</v>
      </c>
      <c r="N37" s="9">
        <f t="shared" si="56"/>
        <v>116.86639676113359</v>
      </c>
      <c r="O37" s="11">
        <f t="shared" si="50"/>
        <v>0</v>
      </c>
      <c r="P37" s="12">
        <f t="shared" si="51"/>
        <v>-9.449392712550619</v>
      </c>
      <c r="Q37" s="211">
        <f t="shared" si="52"/>
        <v>0.92519230769230765</v>
      </c>
      <c r="R37" s="533"/>
      <c r="S37" s="24">
        <v>0.29722222222222217</v>
      </c>
      <c r="T37" s="24">
        <v>0.38749999999999996</v>
      </c>
      <c r="U37" s="206">
        <f t="shared" si="58"/>
        <v>6.9999999999999751</v>
      </c>
      <c r="V37" s="214">
        <f t="shared" si="53"/>
        <v>130.00000000000003</v>
      </c>
      <c r="W37" s="14"/>
      <c r="X37" s="14"/>
      <c r="Y37" s="528"/>
      <c r="Z37" s="528"/>
      <c r="AA37" s="11">
        <f t="shared" si="2"/>
        <v>-179.53846153846189</v>
      </c>
      <c r="AB37" s="211">
        <f t="shared" si="57"/>
        <v>0.92519230769230754</v>
      </c>
      <c r="AC37" s="533"/>
    </row>
    <row r="38" spans="1:29">
      <c r="A38" s="551" t="s">
        <v>379</v>
      </c>
      <c r="B38" s="26" t="s">
        <v>24</v>
      </c>
      <c r="C38" s="529" t="s">
        <v>27</v>
      </c>
      <c r="D38" s="529"/>
      <c r="E38" s="26">
        <v>20.52</v>
      </c>
      <c r="F38" s="215">
        <v>3001</v>
      </c>
      <c r="G38" s="206">
        <f t="shared" si="49"/>
        <v>61580.52</v>
      </c>
      <c r="H38" s="76" t="s">
        <v>52</v>
      </c>
      <c r="I38" s="213">
        <v>18</v>
      </c>
      <c r="J38" s="18">
        <v>2400</v>
      </c>
      <c r="K38" s="9">
        <f t="shared" si="54"/>
        <v>133.33333333333334</v>
      </c>
      <c r="L38" s="213">
        <v>18</v>
      </c>
      <c r="M38" s="10">
        <f t="shared" si="55"/>
        <v>2222.9629629629621</v>
      </c>
      <c r="N38" s="9">
        <f t="shared" si="56"/>
        <v>123.49794238683123</v>
      </c>
      <c r="O38" s="11">
        <f t="shared" si="50"/>
        <v>0</v>
      </c>
      <c r="P38" s="12">
        <f t="shared" si="51"/>
        <v>-9.8353909465021161</v>
      </c>
      <c r="Q38" s="211">
        <f t="shared" si="52"/>
        <v>0.92623456790123415</v>
      </c>
      <c r="R38" s="533"/>
      <c r="S38" s="24">
        <v>0.39166666666666661</v>
      </c>
      <c r="T38" s="24">
        <v>0.44791666666666663</v>
      </c>
      <c r="U38" s="206">
        <f t="shared" si="58"/>
        <v>5.9999999999999787</v>
      </c>
      <c r="V38" s="214">
        <f t="shared" si="53"/>
        <v>81.000000000000028</v>
      </c>
      <c r="W38" s="14"/>
      <c r="X38" s="14"/>
      <c r="Y38" s="528"/>
      <c r="Z38" s="528"/>
      <c r="AA38" s="11">
        <f t="shared" si="2"/>
        <v>-177.03703703703786</v>
      </c>
      <c r="AB38" s="211">
        <f t="shared" si="57"/>
        <v>0.92623456790123426</v>
      </c>
      <c r="AC38" s="533"/>
    </row>
    <row r="39" spans="1:29">
      <c r="A39" s="551" t="s">
        <v>379</v>
      </c>
      <c r="B39" s="26" t="s">
        <v>24</v>
      </c>
      <c r="C39" s="529" t="s">
        <v>50</v>
      </c>
      <c r="D39" s="529"/>
      <c r="E39" s="26">
        <v>26.2</v>
      </c>
      <c r="F39" s="215">
        <v>4237</v>
      </c>
      <c r="G39" s="206">
        <f t="shared" si="49"/>
        <v>111009.4</v>
      </c>
      <c r="H39" s="76" t="s">
        <v>52</v>
      </c>
      <c r="I39" s="213">
        <v>19</v>
      </c>
      <c r="J39" s="18">
        <v>2400</v>
      </c>
      <c r="K39" s="9">
        <f t="shared" si="54"/>
        <v>126.31578947368421</v>
      </c>
      <c r="L39" s="213">
        <v>19</v>
      </c>
      <c r="M39" s="10">
        <f t="shared" si="55"/>
        <v>2210.6086956521726</v>
      </c>
      <c r="N39" s="9">
        <f t="shared" si="56"/>
        <v>116.34782608695646</v>
      </c>
      <c r="O39" s="11">
        <f t="shared" si="50"/>
        <v>0</v>
      </c>
      <c r="P39" s="12">
        <f t="shared" si="51"/>
        <v>-9.967963386727746</v>
      </c>
      <c r="Q39" s="211">
        <f t="shared" si="52"/>
        <v>0.92108695652173866</v>
      </c>
      <c r="R39" s="533"/>
      <c r="S39" s="24">
        <v>0.45347222222222217</v>
      </c>
      <c r="T39" s="24">
        <v>0.53333333333333333</v>
      </c>
      <c r="U39" s="206">
        <f t="shared" si="58"/>
        <v>7.9999999999999716</v>
      </c>
      <c r="V39" s="214">
        <f t="shared" si="53"/>
        <v>115.00000000000007</v>
      </c>
      <c r="W39" s="14">
        <f>T39</f>
        <v>0.53333333333333333</v>
      </c>
      <c r="X39" s="14">
        <f>S40</f>
        <v>0.57430555555555551</v>
      </c>
      <c r="Y39" s="528"/>
      <c r="Z39" s="528"/>
      <c r="AA39" s="11">
        <f t="shared" si="2"/>
        <v>-189.39130434782737</v>
      </c>
      <c r="AB39" s="211">
        <f t="shared" si="57"/>
        <v>0.92108695652173855</v>
      </c>
      <c r="AC39" s="533"/>
    </row>
    <row r="40" spans="1:29">
      <c r="A40" s="551" t="s">
        <v>379</v>
      </c>
      <c r="B40" s="26" t="s">
        <v>24</v>
      </c>
      <c r="C40" s="529" t="s">
        <v>28</v>
      </c>
      <c r="D40" s="529"/>
      <c r="E40" s="26">
        <v>26.2</v>
      </c>
      <c r="F40" s="215">
        <v>3011</v>
      </c>
      <c r="G40" s="206">
        <f t="shared" si="49"/>
        <v>78888.2</v>
      </c>
      <c r="H40" s="76" t="s">
        <v>52</v>
      </c>
      <c r="I40" s="213">
        <v>18</v>
      </c>
      <c r="J40" s="18">
        <v>2400</v>
      </c>
      <c r="K40" s="9">
        <f t="shared" si="54"/>
        <v>133.33333333333334</v>
      </c>
      <c r="L40" s="213">
        <v>18</v>
      </c>
      <c r="M40" s="10">
        <f t="shared" si="55"/>
        <v>2230.3703703703695</v>
      </c>
      <c r="N40" s="9">
        <f t="shared" si="56"/>
        <v>123.90946502057608</v>
      </c>
      <c r="O40" s="11">
        <f t="shared" si="50"/>
        <v>0</v>
      </c>
      <c r="P40" s="12">
        <f t="shared" si="51"/>
        <v>-9.4238683127572642</v>
      </c>
      <c r="Q40" s="211">
        <f t="shared" si="52"/>
        <v>0.92932098765432047</v>
      </c>
      <c r="R40" s="533"/>
      <c r="S40" s="24">
        <v>0.57430555555555551</v>
      </c>
      <c r="T40" s="24">
        <v>0.63055555555555554</v>
      </c>
      <c r="U40" s="206">
        <f t="shared" si="58"/>
        <v>58.99999999999995</v>
      </c>
      <c r="V40" s="214">
        <f t="shared" si="53"/>
        <v>81.000000000000028</v>
      </c>
      <c r="W40" s="14"/>
      <c r="X40" s="14"/>
      <c r="Y40" s="536"/>
      <c r="Z40" s="537"/>
      <c r="AA40" s="11">
        <f t="shared" si="2"/>
        <v>-169.62962962963047</v>
      </c>
      <c r="AB40" s="211">
        <f t="shared" si="57"/>
        <v>0.92932098765432058</v>
      </c>
      <c r="AC40" s="533"/>
    </row>
    <row r="41" spans="1:29">
      <c r="A41" s="551" t="s">
        <v>379</v>
      </c>
      <c r="B41" s="16" t="s">
        <v>82</v>
      </c>
      <c r="C41" s="530"/>
      <c r="D41" s="530"/>
      <c r="E41" s="205"/>
      <c r="F41" s="16"/>
      <c r="G41" s="9"/>
      <c r="H41" s="215"/>
      <c r="I41" s="17">
        <v>18.857142857142858</v>
      </c>
      <c r="J41" s="18">
        <v>2400</v>
      </c>
      <c r="K41" s="9">
        <f t="shared" si="54"/>
        <v>127.27272727272727</v>
      </c>
      <c r="L41" s="17">
        <v>18.857142857142858</v>
      </c>
      <c r="M41" s="10">
        <f>AVERAGE(M34:M40)</f>
        <v>2220.522888278515</v>
      </c>
      <c r="N41" s="9">
        <f>M41/L41</f>
        <v>117.75500165113337</v>
      </c>
      <c r="O41" s="11">
        <f>L41-I41</f>
        <v>0</v>
      </c>
      <c r="P41" s="12">
        <f t="shared" si="51"/>
        <v>-9.5177256215938968</v>
      </c>
      <c r="Q41" s="211">
        <f t="shared" si="52"/>
        <v>0.92521787011604795</v>
      </c>
      <c r="R41" s="533"/>
      <c r="S41" s="24"/>
      <c r="T41" s="24"/>
      <c r="U41" s="9"/>
      <c r="V41" s="214"/>
      <c r="W41" s="9"/>
      <c r="X41" s="9"/>
      <c r="Y41" s="528"/>
      <c r="Z41" s="528"/>
      <c r="AA41" s="11">
        <f t="shared" si="2"/>
        <v>-179.47711172148502</v>
      </c>
      <c r="AB41" s="211">
        <f t="shared" si="57"/>
        <v>0.92521787011604795</v>
      </c>
      <c r="AC41" s="533"/>
    </row>
    <row r="42" spans="1:29" ht="15.75" customHeight="1">
      <c r="A42" s="544" t="s">
        <v>381</v>
      </c>
      <c r="B42" s="26" t="s">
        <v>32</v>
      </c>
      <c r="C42" s="534" t="s">
        <v>33</v>
      </c>
      <c r="D42" s="535"/>
      <c r="E42" s="26">
        <v>27.17</v>
      </c>
      <c r="F42" s="215">
        <v>2800</v>
      </c>
      <c r="G42" s="206">
        <f t="shared" ref="G42:G48" si="59">E42*F42</f>
        <v>76076</v>
      </c>
      <c r="H42" s="76">
        <v>2</v>
      </c>
      <c r="I42" s="213">
        <v>10</v>
      </c>
      <c r="J42" s="18">
        <v>3000</v>
      </c>
      <c r="K42" s="9">
        <f t="shared" si="54"/>
        <v>300</v>
      </c>
      <c r="L42" s="213">
        <v>10</v>
      </c>
      <c r="M42" s="10">
        <f t="shared" ref="M42:M43" si="60">F42/V42*60</f>
        <v>2800.0000000000009</v>
      </c>
      <c r="N42" s="10">
        <f t="shared" ref="N42:N49" si="61">M42/L42</f>
        <v>280.00000000000011</v>
      </c>
      <c r="O42" s="11">
        <f t="shared" ref="O42:O49" si="62">L42-I42</f>
        <v>0</v>
      </c>
      <c r="P42" s="12">
        <f t="shared" si="51"/>
        <v>-19.999999999999886</v>
      </c>
      <c r="Q42" s="211">
        <f t="shared" si="52"/>
        <v>0.93333333333333368</v>
      </c>
      <c r="R42" s="547">
        <f>Q49</f>
        <v>0.93042225172038628</v>
      </c>
      <c r="S42" s="24">
        <v>0.20833333333333334</v>
      </c>
      <c r="T42" s="24">
        <v>0.25</v>
      </c>
      <c r="U42" s="15"/>
      <c r="V42" s="214">
        <f t="shared" ref="V42:V48" si="63">(T42-S42)*24*60</f>
        <v>59.999999999999986</v>
      </c>
      <c r="W42" s="206"/>
      <c r="X42" s="206"/>
      <c r="Y42" s="536"/>
      <c r="Z42" s="537"/>
      <c r="AA42" s="11">
        <f t="shared" si="2"/>
        <v>-199.99999999999909</v>
      </c>
      <c r="AB42" s="211">
        <f t="shared" si="57"/>
        <v>0.93333333333333368</v>
      </c>
      <c r="AC42" s="547">
        <f>AB49</f>
        <v>0.93042225172038628</v>
      </c>
    </row>
    <row r="43" spans="1:29" ht="15.75" customHeight="1">
      <c r="A43" s="545" t="s">
        <v>381</v>
      </c>
      <c r="B43" s="26" t="s">
        <v>32</v>
      </c>
      <c r="C43" s="534" t="s">
        <v>34</v>
      </c>
      <c r="D43" s="535"/>
      <c r="E43" s="26">
        <v>21.13</v>
      </c>
      <c r="F43" s="215">
        <v>4810</v>
      </c>
      <c r="G43" s="206">
        <f t="shared" si="59"/>
        <v>101635.29999999999</v>
      </c>
      <c r="H43" s="76" t="s">
        <v>52</v>
      </c>
      <c r="I43" s="213">
        <v>10</v>
      </c>
      <c r="J43" s="18">
        <v>3000</v>
      </c>
      <c r="K43" s="9">
        <f t="shared" si="54"/>
        <v>300</v>
      </c>
      <c r="L43" s="213">
        <v>10</v>
      </c>
      <c r="M43" s="10">
        <f t="shared" si="60"/>
        <v>2774.9999999999991</v>
      </c>
      <c r="N43" s="10">
        <f t="shared" si="61"/>
        <v>277.49999999999989</v>
      </c>
      <c r="O43" s="11">
        <f t="shared" si="62"/>
        <v>0</v>
      </c>
      <c r="P43" s="12">
        <f t="shared" si="51"/>
        <v>-22.500000000000114</v>
      </c>
      <c r="Q43" s="211">
        <f t="shared" si="52"/>
        <v>0.9249999999999996</v>
      </c>
      <c r="R43" s="548"/>
      <c r="S43" s="24">
        <v>0.25347222222222221</v>
      </c>
      <c r="T43" s="24">
        <v>0.32569444444444445</v>
      </c>
      <c r="U43" s="206">
        <f>(S43-T42)*24*60</f>
        <v>4.9999999999999822</v>
      </c>
      <c r="V43" s="214">
        <f t="shared" si="63"/>
        <v>104.00000000000003</v>
      </c>
      <c r="W43" s="14"/>
      <c r="X43" s="14"/>
      <c r="Y43" s="536"/>
      <c r="Z43" s="537"/>
      <c r="AA43" s="11">
        <f t="shared" si="2"/>
        <v>-225.00000000000091</v>
      </c>
      <c r="AB43" s="211">
        <f t="shared" si="57"/>
        <v>0.92499999999999971</v>
      </c>
      <c r="AC43" s="548"/>
    </row>
    <row r="44" spans="1:29" ht="15.75" customHeight="1">
      <c r="A44" s="545" t="s">
        <v>381</v>
      </c>
      <c r="B44" s="26" t="s">
        <v>32</v>
      </c>
      <c r="C44" s="534" t="s">
        <v>40</v>
      </c>
      <c r="D44" s="535"/>
      <c r="E44" s="26">
        <v>35.119999999999997</v>
      </c>
      <c r="F44" s="215">
        <v>4782</v>
      </c>
      <c r="G44" s="206">
        <f t="shared" si="59"/>
        <v>167943.84</v>
      </c>
      <c r="H44" s="76" t="s">
        <v>52</v>
      </c>
      <c r="I44" s="213">
        <v>10</v>
      </c>
      <c r="J44" s="18">
        <v>3000</v>
      </c>
      <c r="K44" s="9">
        <f t="shared" si="54"/>
        <v>300</v>
      </c>
      <c r="L44" s="213">
        <v>10</v>
      </c>
      <c r="M44" s="10">
        <f>F44/V44*60</f>
        <v>2785.6310679611643</v>
      </c>
      <c r="N44" s="10">
        <f t="shared" si="61"/>
        <v>278.56310679611641</v>
      </c>
      <c r="O44" s="11">
        <f t="shared" si="62"/>
        <v>0</v>
      </c>
      <c r="P44" s="12">
        <f t="shared" si="51"/>
        <v>-21.436893203883585</v>
      </c>
      <c r="Q44" s="211">
        <f t="shared" si="52"/>
        <v>0.928543689320388</v>
      </c>
      <c r="R44" s="548"/>
      <c r="S44" s="24">
        <v>0.3298611111111111</v>
      </c>
      <c r="T44" s="24">
        <v>0.40138888888888891</v>
      </c>
      <c r="U44" s="206">
        <f t="shared" ref="U44:U48" si="64">(S44-T43)*24*60</f>
        <v>5.9999999999999787</v>
      </c>
      <c r="V44" s="214">
        <f t="shared" si="63"/>
        <v>103.00000000000003</v>
      </c>
      <c r="W44" s="14"/>
      <c r="X44" s="14"/>
      <c r="Y44" s="536"/>
      <c r="Z44" s="537"/>
      <c r="AA44" s="11">
        <f t="shared" si="2"/>
        <v>-214.36893203883574</v>
      </c>
      <c r="AB44" s="211">
        <f t="shared" si="57"/>
        <v>0.92854368932038811</v>
      </c>
      <c r="AC44" s="548"/>
    </row>
    <row r="45" spans="1:29" ht="15.75" customHeight="1">
      <c r="A45" s="545" t="s">
        <v>381</v>
      </c>
      <c r="B45" s="26" t="s">
        <v>32</v>
      </c>
      <c r="C45" s="534" t="s">
        <v>61</v>
      </c>
      <c r="D45" s="535"/>
      <c r="E45" s="26">
        <v>40.18</v>
      </c>
      <c r="F45" s="215">
        <v>2062</v>
      </c>
      <c r="G45" s="206">
        <f t="shared" si="59"/>
        <v>82851.16</v>
      </c>
      <c r="H45" s="76" t="s">
        <v>52</v>
      </c>
      <c r="I45" s="213">
        <v>10</v>
      </c>
      <c r="J45" s="18">
        <v>3000</v>
      </c>
      <c r="K45" s="9">
        <f t="shared" si="54"/>
        <v>300</v>
      </c>
      <c r="L45" s="213">
        <v>10</v>
      </c>
      <c r="M45" s="10">
        <f t="shared" ref="M45:M48" si="65">F45/V45*60</f>
        <v>2811.818181818182</v>
      </c>
      <c r="N45" s="10">
        <f t="shared" si="61"/>
        <v>281.18181818181819</v>
      </c>
      <c r="O45" s="11">
        <f t="shared" si="62"/>
        <v>0</v>
      </c>
      <c r="P45" s="12">
        <f t="shared" si="51"/>
        <v>-18.818181818181813</v>
      </c>
      <c r="Q45" s="211">
        <f t="shared" si="52"/>
        <v>0.93727272727272726</v>
      </c>
      <c r="R45" s="548"/>
      <c r="S45" s="24">
        <v>0.40694444444444444</v>
      </c>
      <c r="T45" s="24">
        <v>0.4375</v>
      </c>
      <c r="U45" s="206">
        <f t="shared" si="64"/>
        <v>7.9999999999999716</v>
      </c>
      <c r="V45" s="214">
        <f t="shared" si="63"/>
        <v>44</v>
      </c>
      <c r="W45" s="14"/>
      <c r="X45" s="14"/>
      <c r="Y45" s="536"/>
      <c r="Z45" s="537"/>
      <c r="AA45" s="11">
        <f t="shared" si="2"/>
        <v>-188.18181818181802</v>
      </c>
      <c r="AB45" s="211">
        <f t="shared" si="57"/>
        <v>0.93727272727272737</v>
      </c>
      <c r="AC45" s="548"/>
    </row>
    <row r="46" spans="1:29" ht="15.75" customHeight="1">
      <c r="A46" s="545" t="s">
        <v>381</v>
      </c>
      <c r="B46" s="26" t="s">
        <v>32</v>
      </c>
      <c r="C46" s="534" t="s">
        <v>64</v>
      </c>
      <c r="D46" s="535"/>
      <c r="E46" s="26">
        <v>28.5</v>
      </c>
      <c r="F46" s="215">
        <v>1361</v>
      </c>
      <c r="G46" s="206">
        <f t="shared" si="59"/>
        <v>38788.5</v>
      </c>
      <c r="H46" s="76" t="s">
        <v>52</v>
      </c>
      <c r="I46" s="213">
        <v>10</v>
      </c>
      <c r="J46" s="18">
        <v>3000</v>
      </c>
      <c r="K46" s="9">
        <f t="shared" si="54"/>
        <v>300</v>
      </c>
      <c r="L46" s="213">
        <v>10</v>
      </c>
      <c r="M46" s="10">
        <f t="shared" si="65"/>
        <v>2815.8620689655195</v>
      </c>
      <c r="N46" s="10">
        <f t="shared" si="61"/>
        <v>281.58620689655197</v>
      </c>
      <c r="O46" s="11">
        <f t="shared" si="62"/>
        <v>0</v>
      </c>
      <c r="P46" s="12">
        <f t="shared" si="51"/>
        <v>-18.413793103448029</v>
      </c>
      <c r="Q46" s="211">
        <f>N46/K46</f>
        <v>0.9386206896551732</v>
      </c>
      <c r="R46" s="548"/>
      <c r="S46" s="24">
        <v>0.44236111111111109</v>
      </c>
      <c r="T46" s="24">
        <v>0.46249999999999997</v>
      </c>
      <c r="U46" s="206">
        <f t="shared" si="64"/>
        <v>6.9999999999999751</v>
      </c>
      <c r="V46" s="214">
        <f t="shared" si="63"/>
        <v>28.999999999999979</v>
      </c>
      <c r="W46" s="14"/>
      <c r="X46" s="14"/>
      <c r="Y46" s="536"/>
      <c r="Z46" s="537"/>
      <c r="AA46" s="11">
        <f t="shared" si="2"/>
        <v>-184.13793103448052</v>
      </c>
      <c r="AB46" s="211">
        <f t="shared" si="57"/>
        <v>0.9386206896551732</v>
      </c>
      <c r="AC46" s="548"/>
    </row>
    <row r="47" spans="1:29" ht="15.75" customHeight="1">
      <c r="A47" s="545" t="s">
        <v>381</v>
      </c>
      <c r="B47" s="26" t="s">
        <v>32</v>
      </c>
      <c r="C47" s="534" t="s">
        <v>78</v>
      </c>
      <c r="D47" s="535"/>
      <c r="E47" s="26">
        <v>35.869999999999997</v>
      </c>
      <c r="F47" s="215">
        <v>3524</v>
      </c>
      <c r="G47" s="206">
        <f t="shared" si="59"/>
        <v>126405.87999999999</v>
      </c>
      <c r="H47" s="76" t="s">
        <v>52</v>
      </c>
      <c r="I47" s="213">
        <v>10</v>
      </c>
      <c r="J47" s="18">
        <v>3000</v>
      </c>
      <c r="K47" s="9">
        <f t="shared" si="54"/>
        <v>300</v>
      </c>
      <c r="L47" s="213">
        <v>10</v>
      </c>
      <c r="M47" s="10">
        <f t="shared" si="65"/>
        <v>2782.1052631578959</v>
      </c>
      <c r="N47" s="10">
        <f t="shared" si="61"/>
        <v>278.21052631578959</v>
      </c>
      <c r="O47" s="11">
        <f t="shared" si="62"/>
        <v>0</v>
      </c>
      <c r="P47" s="12">
        <f t="shared" si="51"/>
        <v>-21.789473684210407</v>
      </c>
      <c r="Q47" s="211">
        <f t="shared" ref="Q47:Q49" si="66">N47/K47</f>
        <v>0.92736842105263195</v>
      </c>
      <c r="R47" s="548"/>
      <c r="S47" s="24">
        <v>0.46736111111111106</v>
      </c>
      <c r="T47" s="24">
        <v>0.52013888888888882</v>
      </c>
      <c r="U47" s="206">
        <f t="shared" si="64"/>
        <v>6.9999999999999751</v>
      </c>
      <c r="V47" s="214">
        <f t="shared" si="63"/>
        <v>75.999999999999972</v>
      </c>
      <c r="W47" s="14">
        <f>T47</f>
        <v>0.52013888888888882</v>
      </c>
      <c r="X47" s="14">
        <f>S48</f>
        <v>0.55902777777777768</v>
      </c>
      <c r="Y47" s="536"/>
      <c r="Z47" s="537"/>
      <c r="AA47" s="11">
        <f t="shared" si="2"/>
        <v>-217.89473684210407</v>
      </c>
      <c r="AB47" s="211">
        <f t="shared" si="57"/>
        <v>0.92736842105263195</v>
      </c>
      <c r="AC47" s="548"/>
    </row>
    <row r="48" spans="1:29" ht="15.75" customHeight="1">
      <c r="A48" s="545" t="s">
        <v>381</v>
      </c>
      <c r="B48" s="26" t="s">
        <v>32</v>
      </c>
      <c r="C48" s="534" t="s">
        <v>33</v>
      </c>
      <c r="D48" s="535"/>
      <c r="E48" s="26">
        <v>27.17</v>
      </c>
      <c r="F48" s="215">
        <v>3276</v>
      </c>
      <c r="G48" s="206">
        <f t="shared" si="59"/>
        <v>89008.920000000013</v>
      </c>
      <c r="H48" s="76" t="s">
        <v>52</v>
      </c>
      <c r="I48" s="213">
        <v>10</v>
      </c>
      <c r="J48" s="18">
        <v>3000</v>
      </c>
      <c r="K48" s="9">
        <f t="shared" si="54"/>
        <v>300</v>
      </c>
      <c r="L48" s="213">
        <v>10</v>
      </c>
      <c r="M48" s="10">
        <f t="shared" si="65"/>
        <v>2768.450704225349</v>
      </c>
      <c r="N48" s="10">
        <f t="shared" si="61"/>
        <v>276.84507042253489</v>
      </c>
      <c r="O48" s="11">
        <f t="shared" si="62"/>
        <v>0</v>
      </c>
      <c r="P48" s="12">
        <f t="shared" si="51"/>
        <v>-23.154929577465111</v>
      </c>
      <c r="Q48" s="211">
        <f t="shared" si="66"/>
        <v>0.92281690140844963</v>
      </c>
      <c r="R48" s="548"/>
      <c r="S48" s="24">
        <v>0.55902777777777768</v>
      </c>
      <c r="T48" s="24">
        <v>0.60833333333333328</v>
      </c>
      <c r="U48" s="206">
        <f t="shared" si="64"/>
        <v>55.999999999999957</v>
      </c>
      <c r="V48" s="214">
        <f t="shared" si="63"/>
        <v>71.000000000000071</v>
      </c>
      <c r="W48" s="14"/>
      <c r="X48" s="14"/>
      <c r="Y48" s="536"/>
      <c r="Z48" s="537"/>
      <c r="AA48" s="11">
        <f t="shared" si="2"/>
        <v>-231.549295774651</v>
      </c>
      <c r="AB48" s="211">
        <f t="shared" si="57"/>
        <v>0.92281690140844963</v>
      </c>
      <c r="AC48" s="548"/>
    </row>
    <row r="49" spans="1:29" ht="15.75" customHeight="1">
      <c r="A49" s="546" t="s">
        <v>381</v>
      </c>
      <c r="B49" s="26" t="s">
        <v>753</v>
      </c>
      <c r="C49" s="540"/>
      <c r="D49" s="541"/>
      <c r="E49" s="212"/>
      <c r="F49" s="215"/>
      <c r="G49" s="206"/>
      <c r="H49" s="215"/>
      <c r="I49" s="17">
        <v>10</v>
      </c>
      <c r="J49" s="18">
        <v>3000</v>
      </c>
      <c r="K49" s="9">
        <f>J49/I49</f>
        <v>300</v>
      </c>
      <c r="L49" s="17">
        <v>10</v>
      </c>
      <c r="M49" s="10">
        <f>AVERAGE(M42:M48)</f>
        <v>2791.2667551611589</v>
      </c>
      <c r="N49" s="9">
        <f t="shared" si="61"/>
        <v>279.12667551611588</v>
      </c>
      <c r="O49" s="11">
        <f t="shared" si="62"/>
        <v>0</v>
      </c>
      <c r="P49" s="12">
        <f t="shared" si="51"/>
        <v>-20.873324483884119</v>
      </c>
      <c r="Q49" s="211">
        <f t="shared" si="66"/>
        <v>0.93042225172038628</v>
      </c>
      <c r="R49" s="549"/>
      <c r="S49" s="24"/>
      <c r="T49" s="24"/>
      <c r="U49" s="206"/>
      <c r="V49" s="214"/>
      <c r="W49" s="14"/>
      <c r="X49" s="14"/>
      <c r="Y49" s="536"/>
      <c r="Z49" s="537"/>
      <c r="AA49" s="11">
        <f t="shared" si="2"/>
        <v>-208.73324483884107</v>
      </c>
      <c r="AB49" s="211">
        <f t="shared" si="57"/>
        <v>0.93042225172038628</v>
      </c>
      <c r="AC49" s="549"/>
    </row>
    <row r="50" spans="1:29" ht="15.75" customHeight="1">
      <c r="A50" s="542" t="s">
        <v>489</v>
      </c>
      <c r="B50" s="26" t="s">
        <v>15</v>
      </c>
      <c r="C50" s="529" t="s">
        <v>20</v>
      </c>
      <c r="D50" s="529"/>
      <c r="E50" s="26">
        <v>46</v>
      </c>
      <c r="F50" s="27">
        <v>3223</v>
      </c>
      <c r="G50" s="206">
        <f t="shared" ref="G50:G54" si="67">E50*F50</f>
        <v>148258</v>
      </c>
      <c r="H50" s="76" t="s">
        <v>52</v>
      </c>
      <c r="I50" s="213">
        <v>17</v>
      </c>
      <c r="J50" s="18">
        <v>2000</v>
      </c>
      <c r="K50" s="9">
        <f t="shared" ref="K50:K54" si="68">J50/I50</f>
        <v>117.64705882352941</v>
      </c>
      <c r="L50" s="213">
        <v>17</v>
      </c>
      <c r="M50" s="10">
        <f t="shared" ref="M50:M54" si="69">F50/V50*60</f>
        <v>1859.4230769230765</v>
      </c>
      <c r="N50" s="10">
        <f>M50/L50</f>
        <v>109.37782805429862</v>
      </c>
      <c r="O50" s="11">
        <f>L50-I50</f>
        <v>0</v>
      </c>
      <c r="P50" s="12">
        <f>N50-K50</f>
        <v>-8.2692307692307878</v>
      </c>
      <c r="Q50" s="211">
        <f>N50/K50</f>
        <v>0.92971153846153831</v>
      </c>
      <c r="R50" s="533">
        <f>Q55</f>
        <v>0.92779921800032417</v>
      </c>
      <c r="S50" s="24">
        <v>0.29166666666666669</v>
      </c>
      <c r="T50" s="24">
        <v>0.36388888888888893</v>
      </c>
      <c r="U50" s="15"/>
      <c r="V50" s="214">
        <f t="shared" ref="V50:V54" si="70">(T50-S50)*24*60</f>
        <v>104.00000000000003</v>
      </c>
      <c r="W50" s="15"/>
      <c r="X50" s="15"/>
      <c r="Y50" s="528"/>
      <c r="Z50" s="528"/>
      <c r="AA50" s="11">
        <f t="shared" si="2"/>
        <v>-140.57692307692355</v>
      </c>
      <c r="AB50" s="211">
        <f t="shared" si="57"/>
        <v>0.9297115384615382</v>
      </c>
      <c r="AC50" s="533">
        <f>AB55</f>
        <v>0.92779921800032428</v>
      </c>
    </row>
    <row r="51" spans="1:29" ht="15.75" customHeight="1">
      <c r="A51" s="542" t="s">
        <v>755</v>
      </c>
      <c r="B51" s="26" t="s">
        <v>15</v>
      </c>
      <c r="C51" s="529" t="s">
        <v>65</v>
      </c>
      <c r="D51" s="529"/>
      <c r="E51" s="26">
        <v>46</v>
      </c>
      <c r="F51" s="27">
        <v>3478</v>
      </c>
      <c r="G51" s="206">
        <f t="shared" si="67"/>
        <v>159988</v>
      </c>
      <c r="H51" s="76" t="s">
        <v>52</v>
      </c>
      <c r="I51" s="213">
        <v>18</v>
      </c>
      <c r="J51" s="18">
        <v>2000</v>
      </c>
      <c r="K51" s="9">
        <f t="shared" si="68"/>
        <v>111.11111111111111</v>
      </c>
      <c r="L51" s="213">
        <v>18</v>
      </c>
      <c r="M51" s="10">
        <f t="shared" si="69"/>
        <v>1846.7256637168141</v>
      </c>
      <c r="N51" s="10">
        <f t="shared" ref="N51:N54" si="71">M51/L51</f>
        <v>102.59587020648968</v>
      </c>
      <c r="O51" s="11">
        <f t="shared" ref="O51:O54" si="72">L51-I51</f>
        <v>0</v>
      </c>
      <c r="P51" s="12">
        <f t="shared" ref="P51:P54" si="73">N51-K51</f>
        <v>-8.5152409046214359</v>
      </c>
      <c r="Q51" s="211">
        <f t="shared" ref="Q51:Q54" si="74">N51/K51</f>
        <v>0.92336283185840706</v>
      </c>
      <c r="R51" s="533"/>
      <c r="S51" s="24">
        <v>0.36944444444444446</v>
      </c>
      <c r="T51" s="24">
        <v>0.44791666666666669</v>
      </c>
      <c r="U51" s="206">
        <f>IF(S51=TIME(17,0,0),"",(S51-T50)*24*60)</f>
        <v>7.9999999999999716</v>
      </c>
      <c r="V51" s="214">
        <f t="shared" si="70"/>
        <v>113</v>
      </c>
      <c r="W51" s="14"/>
      <c r="X51" s="14"/>
      <c r="Y51" s="528"/>
      <c r="Z51" s="528"/>
      <c r="AA51" s="11">
        <f t="shared" si="2"/>
        <v>-153.2743362831859</v>
      </c>
      <c r="AB51" s="211">
        <f t="shared" si="57"/>
        <v>0.92336283185840706</v>
      </c>
      <c r="AC51" s="533"/>
    </row>
    <row r="52" spans="1:29" ht="15.75" customHeight="1">
      <c r="A52" s="542" t="s">
        <v>489</v>
      </c>
      <c r="B52" s="26" t="s">
        <v>13</v>
      </c>
      <c r="C52" s="534" t="s">
        <v>59</v>
      </c>
      <c r="D52" s="535"/>
      <c r="E52" s="26">
        <v>55.56</v>
      </c>
      <c r="F52" s="27">
        <v>2047</v>
      </c>
      <c r="G52" s="206">
        <f t="shared" si="67"/>
        <v>113731.32</v>
      </c>
      <c r="H52" s="76" t="s">
        <v>52</v>
      </c>
      <c r="I52" s="213">
        <v>17</v>
      </c>
      <c r="J52" s="18">
        <v>2000</v>
      </c>
      <c r="K52" s="9">
        <f t="shared" si="68"/>
        <v>117.64705882352941</v>
      </c>
      <c r="L52" s="213">
        <v>17</v>
      </c>
      <c r="M52" s="10">
        <f t="shared" si="69"/>
        <v>1860.9090909090928</v>
      </c>
      <c r="N52" s="10">
        <f t="shared" si="71"/>
        <v>109.46524064171135</v>
      </c>
      <c r="O52" s="11">
        <f t="shared" si="72"/>
        <v>0</v>
      </c>
      <c r="P52" s="12">
        <f t="shared" si="73"/>
        <v>-8.1818181818180591</v>
      </c>
      <c r="Q52" s="211">
        <f t="shared" si="74"/>
        <v>0.93045454545454653</v>
      </c>
      <c r="R52" s="533"/>
      <c r="S52" s="24">
        <v>0.70833333333333337</v>
      </c>
      <c r="T52" s="24">
        <v>0.75416666666666665</v>
      </c>
      <c r="U52" s="206" t="str">
        <f t="shared" ref="U52:U54" si="75">IF(S52=TIME(17,0,0),"",(S52-T51)*24*60)</f>
        <v/>
      </c>
      <c r="V52" s="214">
        <f t="shared" si="70"/>
        <v>65.999999999999929</v>
      </c>
      <c r="W52" s="14"/>
      <c r="X52" s="14"/>
      <c r="Y52" s="209"/>
      <c r="Z52" s="210"/>
      <c r="AA52" s="11">
        <f t="shared" si="2"/>
        <v>-139.09090909090719</v>
      </c>
      <c r="AB52" s="211">
        <f t="shared" si="57"/>
        <v>0.93045454545454642</v>
      </c>
      <c r="AC52" s="533"/>
    </row>
    <row r="53" spans="1:29" ht="15.75" customHeight="1">
      <c r="A53" s="542" t="s">
        <v>755</v>
      </c>
      <c r="B53" s="26" t="s">
        <v>13</v>
      </c>
      <c r="C53" s="207" t="s">
        <v>58</v>
      </c>
      <c r="D53" s="208"/>
      <c r="E53" s="26">
        <v>55.32</v>
      </c>
      <c r="F53" s="27">
        <v>1603</v>
      </c>
      <c r="G53" s="206">
        <f t="shared" si="67"/>
        <v>88677.96</v>
      </c>
      <c r="H53" s="76" t="s">
        <v>52</v>
      </c>
      <c r="I53" s="213">
        <v>15</v>
      </c>
      <c r="J53" s="18">
        <v>2000</v>
      </c>
      <c r="K53" s="9">
        <f t="shared" si="68"/>
        <v>133.33333333333334</v>
      </c>
      <c r="L53" s="213">
        <v>15</v>
      </c>
      <c r="M53" s="10">
        <f t="shared" si="69"/>
        <v>1849.6153846153857</v>
      </c>
      <c r="N53" s="10">
        <f t="shared" si="71"/>
        <v>123.30769230769238</v>
      </c>
      <c r="O53" s="11">
        <f t="shared" si="72"/>
        <v>0</v>
      </c>
      <c r="P53" s="12">
        <f t="shared" si="73"/>
        <v>-10.025641025640965</v>
      </c>
      <c r="Q53" s="211">
        <f t="shared" si="74"/>
        <v>0.92480769230769277</v>
      </c>
      <c r="R53" s="533"/>
      <c r="S53" s="24">
        <v>0.75763888888888886</v>
      </c>
      <c r="T53" s="24">
        <v>0.79374999999999996</v>
      </c>
      <c r="U53" s="206">
        <f t="shared" si="75"/>
        <v>4.9999999999999822</v>
      </c>
      <c r="V53" s="214">
        <f t="shared" si="70"/>
        <v>51.999999999999972</v>
      </c>
      <c r="W53" s="14"/>
      <c r="X53" s="14"/>
      <c r="Y53" s="209"/>
      <c r="Z53" s="210"/>
      <c r="AA53" s="11">
        <f t="shared" si="2"/>
        <v>-150.38461538461434</v>
      </c>
      <c r="AB53" s="211">
        <f t="shared" si="57"/>
        <v>0.92480769230769289</v>
      </c>
      <c r="AC53" s="533"/>
    </row>
    <row r="54" spans="1:29" ht="15.75" customHeight="1">
      <c r="A54" s="542" t="s">
        <v>489</v>
      </c>
      <c r="B54" s="26" t="s">
        <v>13</v>
      </c>
      <c r="C54" s="207" t="s">
        <v>60</v>
      </c>
      <c r="D54" s="208"/>
      <c r="E54" s="26">
        <v>57.73</v>
      </c>
      <c r="F54" s="27">
        <v>1444</v>
      </c>
      <c r="G54" s="206">
        <f t="shared" si="67"/>
        <v>83362.12</v>
      </c>
      <c r="H54" s="76" t="s">
        <v>52</v>
      </c>
      <c r="I54" s="213">
        <v>16</v>
      </c>
      <c r="J54" s="18">
        <v>1500</v>
      </c>
      <c r="K54" s="9">
        <f t="shared" si="68"/>
        <v>93.75</v>
      </c>
      <c r="L54" s="213">
        <v>16</v>
      </c>
      <c r="M54" s="10">
        <f t="shared" si="69"/>
        <v>1397.4193548387109</v>
      </c>
      <c r="N54" s="10">
        <f t="shared" si="71"/>
        <v>87.33870967741943</v>
      </c>
      <c r="O54" s="11">
        <f t="shared" si="72"/>
        <v>0</v>
      </c>
      <c r="P54" s="12">
        <f t="shared" si="73"/>
        <v>-6.4112903225805695</v>
      </c>
      <c r="Q54" s="211">
        <f t="shared" si="74"/>
        <v>0.93161290322580725</v>
      </c>
      <c r="R54" s="533"/>
      <c r="S54" s="24">
        <v>0.79861111111111105</v>
      </c>
      <c r="T54" s="24">
        <v>0.84166666666666656</v>
      </c>
      <c r="U54" s="206">
        <f t="shared" si="75"/>
        <v>6.9999999999999751</v>
      </c>
      <c r="V54" s="214">
        <f t="shared" si="70"/>
        <v>61.999999999999943</v>
      </c>
      <c r="W54" s="14"/>
      <c r="X54" s="14"/>
      <c r="Y54" s="209"/>
      <c r="Z54" s="210"/>
      <c r="AA54" s="11">
        <f t="shared" si="2"/>
        <v>-102.58064516128911</v>
      </c>
      <c r="AB54" s="211">
        <f t="shared" si="57"/>
        <v>0.93161290322580725</v>
      </c>
      <c r="AC54" s="533"/>
    </row>
    <row r="55" spans="1:29">
      <c r="A55" s="543" t="s">
        <v>489</v>
      </c>
      <c r="B55" s="26" t="s">
        <v>82</v>
      </c>
      <c r="C55" s="530"/>
      <c r="D55" s="530"/>
      <c r="E55" s="205"/>
      <c r="F55" s="16"/>
      <c r="G55" s="9"/>
      <c r="H55" s="215"/>
      <c r="I55" s="17">
        <v>16.600000000000001</v>
      </c>
      <c r="J55" s="18">
        <v>1900</v>
      </c>
      <c r="K55" s="9">
        <f>J55/I55</f>
        <v>114.4578313253012</v>
      </c>
      <c r="L55" s="17">
        <v>16.600000000000001</v>
      </c>
      <c r="M55" s="10">
        <f>AVERAGE(M50:M54)</f>
        <v>1762.8185142006162</v>
      </c>
      <c r="N55" s="9">
        <f>M55/L55</f>
        <v>106.19388639762747</v>
      </c>
      <c r="O55" s="11">
        <f>L55-I55</f>
        <v>0</v>
      </c>
      <c r="P55" s="12">
        <f>N55-K55</f>
        <v>-8.2639449276737338</v>
      </c>
      <c r="Q55" s="211">
        <f>N55/K55</f>
        <v>0.92779921800032417</v>
      </c>
      <c r="R55" s="533"/>
      <c r="S55" s="25"/>
      <c r="T55" s="24"/>
      <c r="U55" s="9"/>
      <c r="V55" s="214"/>
      <c r="W55" s="9"/>
      <c r="X55" s="9"/>
      <c r="Y55" s="528"/>
      <c r="Z55" s="528"/>
      <c r="AA55" s="11">
        <f t="shared" si="2"/>
        <v>-137.18148579938384</v>
      </c>
      <c r="AB55" s="211">
        <f t="shared" si="57"/>
        <v>0.92779921800032428</v>
      </c>
      <c r="AC55" s="533"/>
    </row>
    <row r="56" spans="1:29" ht="15.75" customHeight="1">
      <c r="A56" s="538" t="s">
        <v>385</v>
      </c>
      <c r="B56" s="215" t="s">
        <v>32</v>
      </c>
      <c r="C56" s="529" t="s">
        <v>35</v>
      </c>
      <c r="D56" s="529"/>
      <c r="E56" s="26">
        <v>26.78</v>
      </c>
      <c r="F56" s="27">
        <v>2675</v>
      </c>
      <c r="G56" s="206">
        <f t="shared" ref="G56:G61" si="76">E56*F56</f>
        <v>71636.5</v>
      </c>
      <c r="H56" s="76" t="s">
        <v>52</v>
      </c>
      <c r="I56" s="213">
        <v>10</v>
      </c>
      <c r="J56" s="18">
        <v>3000</v>
      </c>
      <c r="K56" s="9">
        <f t="shared" ref="K56:K61" si="77">J56/I56</f>
        <v>300</v>
      </c>
      <c r="L56" s="17">
        <v>10</v>
      </c>
      <c r="M56" s="10">
        <f t="shared" ref="M56:M61" si="78">F56/V56*60</f>
        <v>2767.2413793103451</v>
      </c>
      <c r="N56" s="9">
        <f>M56/L56</f>
        <v>276.72413793103453</v>
      </c>
      <c r="O56" s="11">
        <f t="shared" ref="O56:O61" si="79">L56-I56</f>
        <v>0</v>
      </c>
      <c r="P56" s="12">
        <f t="shared" ref="P56:P61" si="80">N56-K56</f>
        <v>-23.275862068965466</v>
      </c>
      <c r="Q56" s="211">
        <f>N56/K56</f>
        <v>0.9224137931034484</v>
      </c>
      <c r="R56" s="533">
        <f>Q62</f>
        <v>0.93369014920971605</v>
      </c>
      <c r="S56" s="24">
        <v>0.20833333333333334</v>
      </c>
      <c r="T56" s="24">
        <v>0.24861111111111112</v>
      </c>
      <c r="U56" s="206"/>
      <c r="V56" s="214">
        <f t="shared" ref="V56:V61" si="81">(T56-S56)*24*60</f>
        <v>57.999999999999993</v>
      </c>
      <c r="W56" s="15"/>
      <c r="X56" s="15"/>
      <c r="Y56" s="528"/>
      <c r="Z56" s="528"/>
      <c r="AA56" s="11">
        <f t="shared" si="2"/>
        <v>-232.75862068965489</v>
      </c>
      <c r="AB56" s="211">
        <f t="shared" si="57"/>
        <v>0.9224137931034484</v>
      </c>
      <c r="AC56" s="533">
        <f>AB62</f>
        <v>0.93369014920971605</v>
      </c>
    </row>
    <row r="57" spans="1:29" ht="15.75" customHeight="1">
      <c r="A57" s="538" t="s">
        <v>756</v>
      </c>
      <c r="B57" s="215" t="s">
        <v>32</v>
      </c>
      <c r="C57" s="529" t="s">
        <v>39</v>
      </c>
      <c r="D57" s="529"/>
      <c r="E57" s="26">
        <v>35.369999999999997</v>
      </c>
      <c r="F57" s="27">
        <v>1737</v>
      </c>
      <c r="G57" s="206">
        <f t="shared" si="76"/>
        <v>61437.689999999995</v>
      </c>
      <c r="H57" s="76" t="s">
        <v>52</v>
      </c>
      <c r="I57" s="213">
        <v>10</v>
      </c>
      <c r="J57" s="18">
        <v>3000</v>
      </c>
      <c r="K57" s="9">
        <f t="shared" si="77"/>
        <v>300</v>
      </c>
      <c r="L57" s="17">
        <v>10</v>
      </c>
      <c r="M57" s="10">
        <f t="shared" si="78"/>
        <v>2816.7567567567544</v>
      </c>
      <c r="N57" s="9">
        <f t="shared" ref="N57:N61" si="82">M57/L57</f>
        <v>281.67567567567545</v>
      </c>
      <c r="O57" s="11">
        <f t="shared" si="79"/>
        <v>0</v>
      </c>
      <c r="P57" s="12">
        <f t="shared" si="80"/>
        <v>-18.32432432432455</v>
      </c>
      <c r="Q57" s="211">
        <f t="shared" ref="Q57:Q61" si="83">N57/K57</f>
        <v>0.93891891891891821</v>
      </c>
      <c r="R57" s="533"/>
      <c r="S57" s="24">
        <v>0.25277777777777777</v>
      </c>
      <c r="T57" s="24">
        <v>0.27847222222222223</v>
      </c>
      <c r="U57" s="206">
        <f>(S57-T56)*24*60</f>
        <v>5.9999999999999787</v>
      </c>
      <c r="V57" s="214">
        <f t="shared" si="81"/>
        <v>37.000000000000028</v>
      </c>
      <c r="W57" s="206"/>
      <c r="X57" s="206"/>
      <c r="Y57" s="528"/>
      <c r="Z57" s="528"/>
      <c r="AA57" s="11">
        <f t="shared" si="2"/>
        <v>-183.24324324324562</v>
      </c>
      <c r="AB57" s="211">
        <f t="shared" si="57"/>
        <v>0.9389189189189181</v>
      </c>
      <c r="AC57" s="533"/>
    </row>
    <row r="58" spans="1:29" ht="15.75" customHeight="1">
      <c r="A58" s="538" t="s">
        <v>756</v>
      </c>
      <c r="B58" s="215" t="s">
        <v>32</v>
      </c>
      <c r="C58" s="529" t="s">
        <v>38</v>
      </c>
      <c r="D58" s="529"/>
      <c r="E58" s="26">
        <v>34.35</v>
      </c>
      <c r="F58" s="27">
        <v>1519</v>
      </c>
      <c r="G58" s="206">
        <f t="shared" si="76"/>
        <v>52177.65</v>
      </c>
      <c r="H58" s="76" t="s">
        <v>52</v>
      </c>
      <c r="I58" s="213">
        <v>10</v>
      </c>
      <c r="J58" s="18">
        <v>3000</v>
      </c>
      <c r="K58" s="9">
        <f t="shared" si="77"/>
        <v>300</v>
      </c>
      <c r="L58" s="17">
        <v>10</v>
      </c>
      <c r="M58" s="10">
        <f t="shared" si="78"/>
        <v>2848.1250000000032</v>
      </c>
      <c r="N58" s="9">
        <f t="shared" si="82"/>
        <v>284.81250000000034</v>
      </c>
      <c r="O58" s="11">
        <f t="shared" si="79"/>
        <v>0</v>
      </c>
      <c r="P58" s="12">
        <f t="shared" si="80"/>
        <v>-15.187499999999659</v>
      </c>
      <c r="Q58" s="211">
        <f t="shared" si="83"/>
        <v>0.94937500000000119</v>
      </c>
      <c r="R58" s="533"/>
      <c r="S58" s="24">
        <v>0.28194444444444444</v>
      </c>
      <c r="T58" s="24">
        <v>0.30416666666666664</v>
      </c>
      <c r="U58" s="206">
        <f t="shared" ref="U58:U61" si="84">(S58-T57)*24*60</f>
        <v>4.9999999999999822</v>
      </c>
      <c r="V58" s="214">
        <f t="shared" si="81"/>
        <v>31.999999999999964</v>
      </c>
      <c r="W58" s="206"/>
      <c r="X58" s="206"/>
      <c r="Y58" s="528"/>
      <c r="Z58" s="528"/>
      <c r="AA58" s="11">
        <f t="shared" si="2"/>
        <v>-151.87499999999682</v>
      </c>
      <c r="AB58" s="211">
        <f t="shared" si="57"/>
        <v>0.94937500000000108</v>
      </c>
      <c r="AC58" s="533"/>
    </row>
    <row r="59" spans="1:29" ht="15.75" customHeight="1">
      <c r="A59" s="538" t="s">
        <v>385</v>
      </c>
      <c r="B59" s="215" t="s">
        <v>15</v>
      </c>
      <c r="C59" s="529" t="s">
        <v>36</v>
      </c>
      <c r="D59" s="529"/>
      <c r="E59" s="26">
        <v>26.97</v>
      </c>
      <c r="F59" s="27">
        <v>3213</v>
      </c>
      <c r="G59" s="206">
        <f t="shared" si="76"/>
        <v>86654.61</v>
      </c>
      <c r="H59" s="76" t="s">
        <v>52</v>
      </c>
      <c r="I59" s="213">
        <v>8</v>
      </c>
      <c r="J59" s="18">
        <v>1500</v>
      </c>
      <c r="K59" s="9">
        <f t="shared" si="77"/>
        <v>187.5</v>
      </c>
      <c r="L59" s="17">
        <v>8</v>
      </c>
      <c r="M59" s="10">
        <f t="shared" si="78"/>
        <v>1386.9064748201438</v>
      </c>
      <c r="N59" s="9">
        <f t="shared" si="82"/>
        <v>173.36330935251797</v>
      </c>
      <c r="O59" s="11">
        <f t="shared" si="79"/>
        <v>0</v>
      </c>
      <c r="P59" s="12">
        <f t="shared" si="80"/>
        <v>-14.136690647482027</v>
      </c>
      <c r="Q59" s="211">
        <f t="shared" si="83"/>
        <v>0.92460431654676256</v>
      </c>
      <c r="R59" s="533"/>
      <c r="S59" s="24">
        <v>0.30972222222222218</v>
      </c>
      <c r="T59" s="24">
        <v>0.40624999999999994</v>
      </c>
      <c r="U59" s="206">
        <f t="shared" si="84"/>
        <v>7.9999999999999716</v>
      </c>
      <c r="V59" s="214">
        <f t="shared" si="81"/>
        <v>139</v>
      </c>
      <c r="W59" s="206"/>
      <c r="X59" s="206"/>
      <c r="Y59" s="528"/>
      <c r="Z59" s="528"/>
      <c r="AA59" s="11">
        <f t="shared" si="2"/>
        <v>-113.09352517985621</v>
      </c>
      <c r="AB59" s="211">
        <f t="shared" si="57"/>
        <v>0.92460431654676256</v>
      </c>
      <c r="AC59" s="533"/>
    </row>
    <row r="60" spans="1:29">
      <c r="A60" s="539" t="s">
        <v>385</v>
      </c>
      <c r="B60" s="215" t="s">
        <v>32</v>
      </c>
      <c r="C60" s="529" t="s">
        <v>37</v>
      </c>
      <c r="D60" s="529"/>
      <c r="E60" s="26">
        <v>35.119999999999997</v>
      </c>
      <c r="F60" s="27">
        <v>1310</v>
      </c>
      <c r="G60" s="206">
        <f t="shared" si="76"/>
        <v>46007.199999999997</v>
      </c>
      <c r="H60" s="76" t="s">
        <v>52</v>
      </c>
      <c r="I60" s="213">
        <v>13</v>
      </c>
      <c r="J60" s="18">
        <v>2000</v>
      </c>
      <c r="K60" s="9">
        <f t="shared" si="77"/>
        <v>153.84615384615384</v>
      </c>
      <c r="L60" s="17">
        <v>13</v>
      </c>
      <c r="M60" s="10">
        <f t="shared" si="78"/>
        <v>1871.4285714285706</v>
      </c>
      <c r="N60" s="9">
        <f t="shared" si="82"/>
        <v>143.95604395604389</v>
      </c>
      <c r="O60" s="11">
        <f t="shared" si="79"/>
        <v>0</v>
      </c>
      <c r="P60" s="12">
        <f t="shared" si="80"/>
        <v>-9.8901098901099544</v>
      </c>
      <c r="Q60" s="211">
        <f t="shared" si="83"/>
        <v>0.93571428571428528</v>
      </c>
      <c r="R60" s="533"/>
      <c r="S60" s="24">
        <v>0.4104166666666666</v>
      </c>
      <c r="T60" s="24">
        <v>0.43958333333333327</v>
      </c>
      <c r="U60" s="206">
        <f t="shared" si="84"/>
        <v>5.9999999999999787</v>
      </c>
      <c r="V60" s="214">
        <f t="shared" si="81"/>
        <v>42.000000000000014</v>
      </c>
      <c r="W60" s="14"/>
      <c r="X60" s="14"/>
      <c r="Y60" s="528"/>
      <c r="Z60" s="528"/>
      <c r="AA60" s="11">
        <f t="shared" si="2"/>
        <v>-128.57142857142935</v>
      </c>
      <c r="AB60" s="211">
        <f t="shared" si="57"/>
        <v>0.93571428571428528</v>
      </c>
      <c r="AC60" s="533"/>
    </row>
    <row r="61" spans="1:29" ht="15" customHeight="1">
      <c r="A61" s="539" t="s">
        <v>385</v>
      </c>
      <c r="B61" s="215" t="s">
        <v>32</v>
      </c>
      <c r="C61" s="534" t="s">
        <v>84</v>
      </c>
      <c r="D61" s="535"/>
      <c r="E61" s="26">
        <v>35.869999999999997</v>
      </c>
      <c r="F61" s="27">
        <v>3199</v>
      </c>
      <c r="G61" s="206">
        <f t="shared" si="76"/>
        <v>114748.12999999999</v>
      </c>
      <c r="H61" s="76" t="s">
        <v>52</v>
      </c>
      <c r="I61" s="213">
        <v>10</v>
      </c>
      <c r="J61" s="18">
        <v>3000</v>
      </c>
      <c r="K61" s="9">
        <f t="shared" si="77"/>
        <v>300</v>
      </c>
      <c r="L61" s="17">
        <v>10</v>
      </c>
      <c r="M61" s="10">
        <f t="shared" si="78"/>
        <v>2781.7391304347825</v>
      </c>
      <c r="N61" s="9">
        <f t="shared" si="82"/>
        <v>278.17391304347825</v>
      </c>
      <c r="O61" s="11">
        <f t="shared" si="79"/>
        <v>0</v>
      </c>
      <c r="P61" s="12">
        <f t="shared" si="80"/>
        <v>-21.826086956521749</v>
      </c>
      <c r="Q61" s="211">
        <f t="shared" si="83"/>
        <v>0.92724637681159416</v>
      </c>
      <c r="R61" s="533"/>
      <c r="S61" s="24">
        <v>0.44305555555555548</v>
      </c>
      <c r="T61" s="24">
        <v>0.49097222222222214</v>
      </c>
      <c r="U61" s="206">
        <f t="shared" si="84"/>
        <v>4.9999999999999822</v>
      </c>
      <c r="V61" s="214">
        <f t="shared" si="81"/>
        <v>69</v>
      </c>
      <c r="W61" s="206"/>
      <c r="X61" s="206"/>
      <c r="Y61" s="536"/>
      <c r="Z61" s="537"/>
      <c r="AA61" s="11">
        <f t="shared" si="2"/>
        <v>-218.26086956521749</v>
      </c>
      <c r="AB61" s="211">
        <f t="shared" si="57"/>
        <v>0.92724637681159416</v>
      </c>
      <c r="AC61" s="533"/>
    </row>
    <row r="62" spans="1:29">
      <c r="A62" s="539" t="s">
        <v>385</v>
      </c>
      <c r="B62" s="26" t="s">
        <v>82</v>
      </c>
      <c r="C62" s="530"/>
      <c r="D62" s="530"/>
      <c r="E62" s="205"/>
      <c r="F62" s="16"/>
      <c r="G62" s="9"/>
      <c r="H62" s="215"/>
      <c r="I62" s="17">
        <v>10.166666666666666</v>
      </c>
      <c r="J62" s="18">
        <v>2583.3333333333335</v>
      </c>
      <c r="K62" s="9">
        <f>J62/I62</f>
        <v>254.09836065573774</v>
      </c>
      <c r="L62" s="17">
        <v>10.166666666666666</v>
      </c>
      <c r="M62" s="10">
        <f>AVERAGE(M56:M61)</f>
        <v>2412.0328854584332</v>
      </c>
      <c r="N62" s="9">
        <f>M62/L62</f>
        <v>237.2491362746</v>
      </c>
      <c r="O62" s="11">
        <f>L62-I62</f>
        <v>0</v>
      </c>
      <c r="P62" s="12">
        <f>N62-K62</f>
        <v>-16.849224381137731</v>
      </c>
      <c r="Q62" s="211">
        <f>N62/K62</f>
        <v>0.93369014920971605</v>
      </c>
      <c r="R62" s="533"/>
      <c r="S62" s="24"/>
      <c r="T62" s="24"/>
      <c r="U62" s="9"/>
      <c r="V62" s="214"/>
      <c r="W62" s="9"/>
      <c r="X62" s="9"/>
      <c r="Y62" s="528"/>
      <c r="Z62" s="528"/>
      <c r="AA62" s="11">
        <f t="shared" si="2"/>
        <v>-171.30044787490033</v>
      </c>
      <c r="AB62" s="211">
        <f t="shared" si="57"/>
        <v>0.93369014920971605</v>
      </c>
      <c r="AC62" s="533"/>
    </row>
    <row r="63" spans="1:29" ht="15.75" customHeight="1">
      <c r="A63" s="531" t="s">
        <v>757</v>
      </c>
      <c r="B63" s="215" t="s">
        <v>24</v>
      </c>
      <c r="C63" s="529" t="s">
        <v>67</v>
      </c>
      <c r="D63" s="529"/>
      <c r="E63" s="26">
        <v>32.03</v>
      </c>
      <c r="F63" s="215">
        <v>1053</v>
      </c>
      <c r="G63" s="206">
        <f t="shared" ref="G63:G69" si="85">E63*F63</f>
        <v>33727.590000000004</v>
      </c>
      <c r="H63" s="76" t="s">
        <v>52</v>
      </c>
      <c r="I63" s="213">
        <v>19</v>
      </c>
      <c r="J63" s="18">
        <v>2400</v>
      </c>
      <c r="K63" s="9">
        <f t="shared" ref="K63:K65" si="86">J63/I63</f>
        <v>126.31578947368421</v>
      </c>
      <c r="L63" s="17">
        <v>19</v>
      </c>
      <c r="M63" s="10">
        <f>F63/V63*60</f>
        <v>2256.4285714285729</v>
      </c>
      <c r="N63" s="9">
        <f t="shared" ref="N63:N69" si="87">M63/L63</f>
        <v>118.75939849624068</v>
      </c>
      <c r="O63" s="11">
        <f t="shared" ref="O63:O69" si="88">L63-I63</f>
        <v>0</v>
      </c>
      <c r="P63" s="12">
        <f t="shared" ref="P63:P69" si="89">N63-K63</f>
        <v>-7.5563909774435274</v>
      </c>
      <c r="Q63" s="211">
        <f>N63/K63</f>
        <v>0.94017857142857209</v>
      </c>
      <c r="R63" s="533">
        <f>Q70</f>
        <v>0.92775752606228046</v>
      </c>
      <c r="S63" s="24">
        <v>0.125</v>
      </c>
      <c r="T63" s="24">
        <v>0.14444444444444443</v>
      </c>
      <c r="U63" s="15"/>
      <c r="V63" s="214">
        <f t="shared" ref="V63:V69" si="90">(T63-S63)*24*60</f>
        <v>27.999999999999979</v>
      </c>
      <c r="W63" s="14">
        <f>T63</f>
        <v>0.14444444444444443</v>
      </c>
      <c r="X63" s="14">
        <f>S64</f>
        <v>0.16388888888888889</v>
      </c>
      <c r="Y63" s="528"/>
      <c r="Z63" s="528"/>
      <c r="AA63" s="11">
        <f t="shared" si="2"/>
        <v>-143.57142857142708</v>
      </c>
      <c r="AB63" s="211">
        <f>M63/J63</f>
        <v>0.94017857142857209</v>
      </c>
      <c r="AC63" s="533">
        <f>AB70</f>
        <v>0.92775752606228046</v>
      </c>
    </row>
    <row r="64" spans="1:29" ht="15.75" customHeight="1">
      <c r="A64" s="531" t="s">
        <v>387</v>
      </c>
      <c r="B64" s="215" t="s">
        <v>24</v>
      </c>
      <c r="C64" s="529" t="s">
        <v>51</v>
      </c>
      <c r="D64" s="529"/>
      <c r="E64" s="26">
        <v>20.2</v>
      </c>
      <c r="F64" s="215">
        <v>2549</v>
      </c>
      <c r="G64" s="206">
        <f t="shared" si="85"/>
        <v>51489.799999999996</v>
      </c>
      <c r="H64" s="76" t="s">
        <v>52</v>
      </c>
      <c r="I64" s="213">
        <v>19</v>
      </c>
      <c r="J64" s="18">
        <v>2400</v>
      </c>
      <c r="K64" s="9">
        <f t="shared" si="86"/>
        <v>126.31578947368421</v>
      </c>
      <c r="L64" s="17">
        <v>19</v>
      </c>
      <c r="M64" s="10">
        <f t="shared" ref="M64:M69" si="91">F64/V64*60</f>
        <v>2216.521739130435</v>
      </c>
      <c r="N64" s="9">
        <f t="shared" si="87"/>
        <v>116.65903890160185</v>
      </c>
      <c r="O64" s="11">
        <f t="shared" si="88"/>
        <v>0</v>
      </c>
      <c r="P64" s="12">
        <f t="shared" si="89"/>
        <v>-9.656750572082359</v>
      </c>
      <c r="Q64" s="211">
        <f t="shared" ref="Q64:Q70" si="92">N64/K64</f>
        <v>0.92355072463768129</v>
      </c>
      <c r="R64" s="533"/>
      <c r="S64" s="24">
        <v>0.16388888888888889</v>
      </c>
      <c r="T64" s="24">
        <v>0.21180555555555555</v>
      </c>
      <c r="U64" s="206">
        <f>(S64-T63)*24*60</f>
        <v>28.000000000000021</v>
      </c>
      <c r="V64" s="214">
        <f t="shared" si="90"/>
        <v>69</v>
      </c>
      <c r="W64" s="14"/>
      <c r="X64" s="14"/>
      <c r="Y64" s="528"/>
      <c r="Z64" s="528"/>
      <c r="AA64" s="11">
        <f t="shared" si="2"/>
        <v>-183.47826086956502</v>
      </c>
      <c r="AB64" s="211">
        <f t="shared" ref="AB64:AB70" si="93">M64/J64</f>
        <v>0.92355072463768129</v>
      </c>
      <c r="AC64" s="533"/>
    </row>
    <row r="65" spans="1:29" ht="15.75" customHeight="1">
      <c r="A65" s="531" t="s">
        <v>387</v>
      </c>
      <c r="B65" s="215" t="s">
        <v>24</v>
      </c>
      <c r="C65" s="529" t="s">
        <v>41</v>
      </c>
      <c r="D65" s="529"/>
      <c r="E65" s="26">
        <v>19.02</v>
      </c>
      <c r="F65" s="215">
        <v>4500</v>
      </c>
      <c r="G65" s="206">
        <f t="shared" si="85"/>
        <v>85590</v>
      </c>
      <c r="H65" s="76">
        <v>2</v>
      </c>
      <c r="I65" s="213">
        <v>15</v>
      </c>
      <c r="J65" s="18">
        <v>2400</v>
      </c>
      <c r="K65" s="9">
        <f t="shared" si="86"/>
        <v>160</v>
      </c>
      <c r="L65" s="17">
        <v>15</v>
      </c>
      <c r="M65" s="10">
        <f t="shared" si="91"/>
        <v>2213.1147540983607</v>
      </c>
      <c r="N65" s="9">
        <f t="shared" si="87"/>
        <v>147.54098360655738</v>
      </c>
      <c r="O65" s="11">
        <f t="shared" si="88"/>
        <v>0</v>
      </c>
      <c r="P65" s="12">
        <f t="shared" si="89"/>
        <v>-12.459016393442624</v>
      </c>
      <c r="Q65" s="211">
        <f t="shared" si="92"/>
        <v>0.92213114754098358</v>
      </c>
      <c r="R65" s="533"/>
      <c r="S65" s="24">
        <v>0.21527777777777776</v>
      </c>
      <c r="T65" s="24">
        <v>0.3</v>
      </c>
      <c r="U65" s="206">
        <f t="shared" ref="U65:U69" si="94">(S65-T64)*24*60</f>
        <v>4.9999999999999822</v>
      </c>
      <c r="V65" s="214">
        <f t="shared" si="90"/>
        <v>122</v>
      </c>
      <c r="W65" s="14"/>
      <c r="X65" s="14"/>
      <c r="Y65" s="528"/>
      <c r="Z65" s="528"/>
      <c r="AA65" s="11">
        <f t="shared" si="2"/>
        <v>-186.88524590163934</v>
      </c>
      <c r="AB65" s="211">
        <f t="shared" si="93"/>
        <v>0.92213114754098358</v>
      </c>
      <c r="AC65" s="533"/>
    </row>
    <row r="66" spans="1:29" ht="15.75" customHeight="1">
      <c r="A66" s="531" t="s">
        <v>387</v>
      </c>
      <c r="B66" s="215" t="s">
        <v>24</v>
      </c>
      <c r="C66" s="529" t="s">
        <v>42</v>
      </c>
      <c r="D66" s="529"/>
      <c r="E66" s="26">
        <v>25</v>
      </c>
      <c r="F66" s="215">
        <v>3951</v>
      </c>
      <c r="G66" s="206">
        <f t="shared" si="85"/>
        <v>98775</v>
      </c>
      <c r="H66" s="76" t="s">
        <v>52</v>
      </c>
      <c r="I66" s="213">
        <v>15</v>
      </c>
      <c r="J66" s="18">
        <v>2400</v>
      </c>
      <c r="K66" s="9">
        <f>J66/I66</f>
        <v>160</v>
      </c>
      <c r="L66" s="17">
        <v>15</v>
      </c>
      <c r="M66" s="10">
        <f t="shared" si="91"/>
        <v>2215.5140186915887</v>
      </c>
      <c r="N66" s="9">
        <f t="shared" si="87"/>
        <v>147.70093457943923</v>
      </c>
      <c r="O66" s="11">
        <f t="shared" si="88"/>
        <v>0</v>
      </c>
      <c r="P66" s="12">
        <f t="shared" si="89"/>
        <v>-12.299065420560765</v>
      </c>
      <c r="Q66" s="211">
        <f t="shared" si="92"/>
        <v>0.92313084112149524</v>
      </c>
      <c r="R66" s="533"/>
      <c r="S66" s="24">
        <v>0.30416666666666664</v>
      </c>
      <c r="T66" s="24">
        <v>0.37847222222222221</v>
      </c>
      <c r="U66" s="206">
        <f t="shared" si="94"/>
        <v>5.9999999999999787</v>
      </c>
      <c r="V66" s="214">
        <f t="shared" si="90"/>
        <v>107.00000000000001</v>
      </c>
      <c r="W66" s="14"/>
      <c r="X66" s="14"/>
      <c r="Y66" s="528"/>
      <c r="Z66" s="528"/>
      <c r="AA66" s="11">
        <f t="shared" si="2"/>
        <v>-184.48598130841128</v>
      </c>
      <c r="AB66" s="211">
        <f t="shared" si="93"/>
        <v>0.92313084112149535</v>
      </c>
      <c r="AC66" s="533"/>
    </row>
    <row r="67" spans="1:29" ht="15.75" customHeight="1">
      <c r="A67" s="531" t="s">
        <v>387</v>
      </c>
      <c r="B67" s="215" t="s">
        <v>24</v>
      </c>
      <c r="C67" s="529" t="s">
        <v>77</v>
      </c>
      <c r="D67" s="529"/>
      <c r="E67" s="26">
        <v>28.51</v>
      </c>
      <c r="F67" s="215">
        <v>4161</v>
      </c>
      <c r="G67" s="206">
        <f t="shared" si="85"/>
        <v>118630.11</v>
      </c>
      <c r="H67" s="76" t="s">
        <v>52</v>
      </c>
      <c r="I67" s="213">
        <v>19</v>
      </c>
      <c r="J67" s="18">
        <v>2400</v>
      </c>
      <c r="K67" s="9">
        <f t="shared" ref="K67:K70" si="95">J67/I67</f>
        <v>126.31578947368421</v>
      </c>
      <c r="L67" s="17">
        <v>19</v>
      </c>
      <c r="M67" s="10">
        <f t="shared" si="91"/>
        <v>2229.1071428571431</v>
      </c>
      <c r="N67" s="9">
        <f t="shared" si="87"/>
        <v>117.32142857142858</v>
      </c>
      <c r="O67" s="11">
        <f t="shared" si="88"/>
        <v>0</v>
      </c>
      <c r="P67" s="12">
        <f t="shared" si="89"/>
        <v>-8.9943609022556217</v>
      </c>
      <c r="Q67" s="211">
        <f t="shared" si="92"/>
        <v>0.92879464285714297</v>
      </c>
      <c r="R67" s="533"/>
      <c r="S67" s="24">
        <v>0.38194444444444442</v>
      </c>
      <c r="T67" s="24">
        <v>0.4597222222222222</v>
      </c>
      <c r="U67" s="206">
        <f t="shared" si="94"/>
        <v>4.9999999999999822</v>
      </c>
      <c r="V67" s="214">
        <f t="shared" si="90"/>
        <v>112</v>
      </c>
      <c r="W67" s="14"/>
      <c r="X67" s="14"/>
      <c r="Y67" s="528"/>
      <c r="Z67" s="528"/>
      <c r="AA67" s="11">
        <f t="shared" si="2"/>
        <v>-170.89285714285688</v>
      </c>
      <c r="AB67" s="211">
        <f t="shared" si="93"/>
        <v>0.92879464285714297</v>
      </c>
      <c r="AC67" s="533"/>
    </row>
    <row r="68" spans="1:29" ht="15.75" customHeight="1">
      <c r="A68" s="531" t="s">
        <v>387</v>
      </c>
      <c r="B68" s="215" t="s">
        <v>24</v>
      </c>
      <c r="C68" s="529" t="s">
        <v>25</v>
      </c>
      <c r="D68" s="529"/>
      <c r="E68" s="26">
        <v>20.52</v>
      </c>
      <c r="F68" s="215">
        <v>3902</v>
      </c>
      <c r="G68" s="206">
        <f t="shared" si="85"/>
        <v>80069.039999999994</v>
      </c>
      <c r="H68" s="76" t="s">
        <v>52</v>
      </c>
      <c r="I68" s="213">
        <v>18</v>
      </c>
      <c r="J68" s="18">
        <v>2400</v>
      </c>
      <c r="K68" s="9">
        <f t="shared" si="95"/>
        <v>133.33333333333334</v>
      </c>
      <c r="L68" s="17">
        <v>18</v>
      </c>
      <c r="M68" s="10">
        <f t="shared" si="91"/>
        <v>2229.7142857142849</v>
      </c>
      <c r="N68" s="9">
        <f t="shared" si="87"/>
        <v>123.87301587301583</v>
      </c>
      <c r="O68" s="11">
        <f t="shared" si="88"/>
        <v>0</v>
      </c>
      <c r="P68" s="12">
        <f t="shared" si="89"/>
        <v>-9.460317460317512</v>
      </c>
      <c r="Q68" s="211">
        <f t="shared" si="92"/>
        <v>0.92904761904761868</v>
      </c>
      <c r="R68" s="533"/>
      <c r="S68" s="24">
        <v>0.46388888888888885</v>
      </c>
      <c r="T68" s="24">
        <v>0.53680555555555554</v>
      </c>
      <c r="U68" s="206">
        <f t="shared" si="94"/>
        <v>5.9999999999999787</v>
      </c>
      <c r="V68" s="214">
        <f t="shared" si="90"/>
        <v>105.00000000000003</v>
      </c>
      <c r="W68" s="14">
        <f>T68</f>
        <v>0.53680555555555554</v>
      </c>
      <c r="X68" s="14">
        <f>S69</f>
        <v>0.57708333333333328</v>
      </c>
      <c r="Y68" s="528"/>
      <c r="Z68" s="528"/>
      <c r="AA68" s="11">
        <f t="shared" si="2"/>
        <v>-170.28571428571513</v>
      </c>
      <c r="AB68" s="211">
        <f t="shared" si="93"/>
        <v>0.92904761904761868</v>
      </c>
      <c r="AC68" s="533"/>
    </row>
    <row r="69" spans="1:29" ht="15.75" customHeight="1">
      <c r="A69" s="531" t="s">
        <v>387</v>
      </c>
      <c r="B69" s="215" t="s">
        <v>24</v>
      </c>
      <c r="C69" s="534" t="s">
        <v>41</v>
      </c>
      <c r="D69" s="535"/>
      <c r="E69" s="26">
        <v>19.02</v>
      </c>
      <c r="F69" s="215">
        <v>6010</v>
      </c>
      <c r="G69" s="206">
        <f t="shared" si="85"/>
        <v>114310.2</v>
      </c>
      <c r="H69" s="76" t="s">
        <v>52</v>
      </c>
      <c r="I69" s="213">
        <v>15</v>
      </c>
      <c r="J69" s="18">
        <v>2400</v>
      </c>
      <c r="K69" s="9">
        <f t="shared" si="95"/>
        <v>160</v>
      </c>
      <c r="L69" s="17">
        <v>15</v>
      </c>
      <c r="M69" s="10">
        <f t="shared" si="91"/>
        <v>2225.9259259259252</v>
      </c>
      <c r="N69" s="9">
        <f t="shared" si="87"/>
        <v>148.39506172839501</v>
      </c>
      <c r="O69" s="11">
        <f t="shared" si="88"/>
        <v>0</v>
      </c>
      <c r="P69" s="12">
        <f t="shared" si="89"/>
        <v>-11.604938271604993</v>
      </c>
      <c r="Q69" s="211">
        <f t="shared" si="92"/>
        <v>0.92746913580246881</v>
      </c>
      <c r="R69" s="533"/>
      <c r="S69" s="24">
        <v>0.57708333333333328</v>
      </c>
      <c r="T69" s="24">
        <v>0.68958333333333333</v>
      </c>
      <c r="U69" s="206">
        <f t="shared" si="94"/>
        <v>57.999999999999957</v>
      </c>
      <c r="V69" s="214">
        <f t="shared" si="90"/>
        <v>162.00000000000006</v>
      </c>
      <c r="W69" s="14"/>
      <c r="X69" s="14"/>
      <c r="Y69" s="536"/>
      <c r="Z69" s="537"/>
      <c r="AA69" s="11">
        <f t="shared" ref="AA69:AA70" si="96">M69-J69</f>
        <v>-174.07407407407482</v>
      </c>
      <c r="AB69" s="211">
        <f t="shared" si="93"/>
        <v>0.92746913580246881</v>
      </c>
      <c r="AC69" s="533"/>
    </row>
    <row r="70" spans="1:29" ht="16.5" customHeight="1">
      <c r="A70" s="532" t="s">
        <v>387</v>
      </c>
      <c r="B70" s="26" t="s">
        <v>82</v>
      </c>
      <c r="C70" s="530"/>
      <c r="D70" s="530"/>
      <c r="E70" s="205"/>
      <c r="F70" s="16"/>
      <c r="G70" s="9"/>
      <c r="H70" s="215"/>
      <c r="I70" s="17">
        <v>17.142857142857142</v>
      </c>
      <c r="J70" s="18">
        <v>2400</v>
      </c>
      <c r="K70" s="9">
        <f t="shared" si="95"/>
        <v>140</v>
      </c>
      <c r="L70" s="17">
        <v>17.142857142857142</v>
      </c>
      <c r="M70" s="10">
        <f>AVERAGE(M63:M69)</f>
        <v>2226.6180625494731</v>
      </c>
      <c r="N70" s="9">
        <f>M70/L70</f>
        <v>129.88605364871927</v>
      </c>
      <c r="O70" s="11">
        <f>L70-I70</f>
        <v>0</v>
      </c>
      <c r="P70" s="12">
        <f>N70-K70</f>
        <v>-10.113946351280731</v>
      </c>
      <c r="Q70" s="211">
        <f t="shared" si="92"/>
        <v>0.92775752606228046</v>
      </c>
      <c r="R70" s="533"/>
      <c r="S70" s="24"/>
      <c r="T70" s="24"/>
      <c r="U70" s="9"/>
      <c r="V70" s="214"/>
      <c r="W70" s="9"/>
      <c r="X70" s="9"/>
      <c r="Y70" s="528"/>
      <c r="Z70" s="528"/>
      <c r="AA70" s="11">
        <f t="shared" si="96"/>
        <v>-173.38193745052695</v>
      </c>
      <c r="AB70" s="211">
        <f t="shared" si="93"/>
        <v>0.92775752606228046</v>
      </c>
      <c r="AC70" s="533"/>
    </row>
    <row r="71" spans="1:29">
      <c r="D71" s="19"/>
      <c r="E71" s="19"/>
    </row>
  </sheetData>
  <mergeCells count="188">
    <mergeCell ref="AC63:AC70"/>
    <mergeCell ref="C64:D64"/>
    <mergeCell ref="Y64:Z64"/>
    <mergeCell ref="C65:D65"/>
    <mergeCell ref="Y65:Z65"/>
    <mergeCell ref="C66:D66"/>
    <mergeCell ref="Y66:Z66"/>
    <mergeCell ref="C67:D67"/>
    <mergeCell ref="Y67:Z67"/>
    <mergeCell ref="C68:D68"/>
    <mergeCell ref="A63:A70"/>
    <mergeCell ref="C63:D63"/>
    <mergeCell ref="R63:R70"/>
    <mergeCell ref="Y63:Z63"/>
    <mergeCell ref="Y68:Z68"/>
    <mergeCell ref="C69:D69"/>
    <mergeCell ref="Y69:Z69"/>
    <mergeCell ref="C70:D70"/>
    <mergeCell ref="Y70:Z70"/>
    <mergeCell ref="C59:D59"/>
    <mergeCell ref="Y59:Z59"/>
    <mergeCell ref="C60:D60"/>
    <mergeCell ref="Y60:Z60"/>
    <mergeCell ref="C61:D61"/>
    <mergeCell ref="Y61:Z61"/>
    <mergeCell ref="Y55:Z55"/>
    <mergeCell ref="A56:A62"/>
    <mergeCell ref="C56:D56"/>
    <mergeCell ref="R56:R62"/>
    <mergeCell ref="Y56:Z56"/>
    <mergeCell ref="C62:D62"/>
    <mergeCell ref="Y62:Z62"/>
    <mergeCell ref="AC56:AC62"/>
    <mergeCell ref="C57:D57"/>
    <mergeCell ref="Y57:Z57"/>
    <mergeCell ref="C58:D58"/>
    <mergeCell ref="Y58:Z58"/>
    <mergeCell ref="Y49:Z49"/>
    <mergeCell ref="A50:A55"/>
    <mergeCell ref="C50:D50"/>
    <mergeCell ref="R50:R55"/>
    <mergeCell ref="Y50:Z50"/>
    <mergeCell ref="AC50:AC55"/>
    <mergeCell ref="C51:D51"/>
    <mergeCell ref="Y51:Z51"/>
    <mergeCell ref="C52:D52"/>
    <mergeCell ref="C55:D55"/>
    <mergeCell ref="AC42:AC49"/>
    <mergeCell ref="C43:D43"/>
    <mergeCell ref="Y43:Z43"/>
    <mergeCell ref="C44:D44"/>
    <mergeCell ref="Y44:Z44"/>
    <mergeCell ref="C45:D45"/>
    <mergeCell ref="Y45:Z45"/>
    <mergeCell ref="C46:D46"/>
    <mergeCell ref="Y46:Z46"/>
    <mergeCell ref="C47:D47"/>
    <mergeCell ref="C41:D41"/>
    <mergeCell ref="Y41:Z41"/>
    <mergeCell ref="A42:A49"/>
    <mergeCell ref="C42:D42"/>
    <mergeCell ref="R42:R49"/>
    <mergeCell ref="Y42:Z42"/>
    <mergeCell ref="Y47:Z47"/>
    <mergeCell ref="C48:D48"/>
    <mergeCell ref="Y48:Z48"/>
    <mergeCell ref="C49:D49"/>
    <mergeCell ref="C38:D38"/>
    <mergeCell ref="Y38:Z38"/>
    <mergeCell ref="C39:D39"/>
    <mergeCell ref="Y39:Z39"/>
    <mergeCell ref="C40:D40"/>
    <mergeCell ref="Y40:Z40"/>
    <mergeCell ref="A34:A41"/>
    <mergeCell ref="C34:D34"/>
    <mergeCell ref="R34:R41"/>
    <mergeCell ref="Y34:Z34"/>
    <mergeCell ref="A27:A33"/>
    <mergeCell ref="C27:D27"/>
    <mergeCell ref="R27:R33"/>
    <mergeCell ref="Y27:Z27"/>
    <mergeCell ref="Y32:Z32"/>
    <mergeCell ref="C33:D33"/>
    <mergeCell ref="Y33:Z33"/>
    <mergeCell ref="AC34:AC41"/>
    <mergeCell ref="C35:D35"/>
    <mergeCell ref="Y35:Z35"/>
    <mergeCell ref="C36:D36"/>
    <mergeCell ref="Y36:Z36"/>
    <mergeCell ref="C37:D37"/>
    <mergeCell ref="AC27:AC33"/>
    <mergeCell ref="C28:D28"/>
    <mergeCell ref="Y28:Z28"/>
    <mergeCell ref="C29:D29"/>
    <mergeCell ref="Y29:Z29"/>
    <mergeCell ref="C30:D30"/>
    <mergeCell ref="Y30:Z30"/>
    <mergeCell ref="C31:D31"/>
    <mergeCell ref="Y31:Z31"/>
    <mergeCell ref="C32:D32"/>
    <mergeCell ref="Y37:Z37"/>
    <mergeCell ref="AC19:AC26"/>
    <mergeCell ref="C20:D20"/>
    <mergeCell ref="Y20:Z20"/>
    <mergeCell ref="C21:D21"/>
    <mergeCell ref="Y21:Z21"/>
    <mergeCell ref="C22:D22"/>
    <mergeCell ref="Y22:Z22"/>
    <mergeCell ref="C23:D23"/>
    <mergeCell ref="Y23:Z23"/>
    <mergeCell ref="C24:D24"/>
    <mergeCell ref="C26:D26"/>
    <mergeCell ref="Y26:Z26"/>
    <mergeCell ref="A19:A26"/>
    <mergeCell ref="C19:D19"/>
    <mergeCell ref="R19:R26"/>
    <mergeCell ref="Y19:Z19"/>
    <mergeCell ref="Y24:Z24"/>
    <mergeCell ref="C25:D25"/>
    <mergeCell ref="Y25:Z25"/>
    <mergeCell ref="A14:A18"/>
    <mergeCell ref="C14:D14"/>
    <mergeCell ref="R14:R18"/>
    <mergeCell ref="Y14:Z14"/>
    <mergeCell ref="AC14:AC18"/>
    <mergeCell ref="C15:D15"/>
    <mergeCell ref="Y15:Z15"/>
    <mergeCell ref="C16:D16"/>
    <mergeCell ref="Y16:Z16"/>
    <mergeCell ref="C17:D17"/>
    <mergeCell ref="AC9:AC13"/>
    <mergeCell ref="C10:D10"/>
    <mergeCell ref="Y10:Z10"/>
    <mergeCell ref="C11:D11"/>
    <mergeCell ref="Y11:Z11"/>
    <mergeCell ref="C12:D12"/>
    <mergeCell ref="Y12:Z12"/>
    <mergeCell ref="C13:D13"/>
    <mergeCell ref="Y13:Z13"/>
    <mergeCell ref="Y17:Z17"/>
    <mergeCell ref="C18:D18"/>
    <mergeCell ref="Y18:Z18"/>
    <mergeCell ref="C8:D8"/>
    <mergeCell ref="Y8:Z8"/>
    <mergeCell ref="A9:A13"/>
    <mergeCell ref="C9:D9"/>
    <mergeCell ref="R9:R13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59:O68 O70 O5:O9 O13:O15 O49:O56 O18:O47">
    <cfRule type="cellIs" dxfId="773" priority="44" operator="greaterThan">
      <formula>0</formula>
    </cfRule>
  </conditionalFormatting>
  <conditionalFormatting sqref="P5:P7 P59:P61 AA59:AA61 P63:P68 P27:P32 P56 P9 P13:P15 P19:P25 P50:P54 P34:P47 AA5:AA56 AA63:AA70">
    <cfRule type="cellIs" dxfId="772" priority="48" operator="lessThan">
      <formula>0</formula>
    </cfRule>
  </conditionalFormatting>
  <conditionalFormatting sqref="AB59:AB61 Q59:Q68 Q70 Q5:Q9 Q13:Q15 Q49:Q56 Q18:Q47 AB5:AB56 AB63:AB70">
    <cfRule type="cellIs" dxfId="771" priority="45" operator="greaterThan">
      <formula>1</formula>
    </cfRule>
    <cfRule type="cellIs" dxfId="770" priority="46" operator="lessThan">
      <formula>0.8</formula>
    </cfRule>
  </conditionalFormatting>
  <conditionalFormatting sqref="AC14:AC15 R14:R15 AC59 R59:R68 R18:R24 AC18:AC24 R70 AC5:AC9 R5:R9 R26:R47 AC26:AC47 AC49:AC56 R49:R56">
    <cfRule type="cellIs" dxfId="769" priority="50" operator="lessThan">
      <formula>0.8</formula>
    </cfRule>
  </conditionalFormatting>
  <conditionalFormatting sqref="AC42">
    <cfRule type="cellIs" dxfId="768" priority="52" operator="lessThan">
      <formula>0.8</formula>
    </cfRule>
  </conditionalFormatting>
  <conditionalFormatting sqref="AC19:AC24">
    <cfRule type="cellIs" dxfId="767" priority="49" operator="lessThan">
      <formula>0.8</formula>
    </cfRule>
  </conditionalFormatting>
  <conditionalFormatting sqref="AC27">
    <cfRule type="cellIs" dxfId="766" priority="51" operator="lessThan">
      <formula>0.8</formula>
    </cfRule>
  </conditionalFormatting>
  <conditionalFormatting sqref="AC34:AC40">
    <cfRule type="cellIs" dxfId="765" priority="47" operator="lessThan">
      <formula>0.8</formula>
    </cfRule>
  </conditionalFormatting>
  <conditionalFormatting sqref="AA62">
    <cfRule type="cellIs" dxfId="764" priority="43" operator="lessThan">
      <formula>0</formula>
    </cfRule>
  </conditionalFormatting>
  <conditionalFormatting sqref="AB62">
    <cfRule type="cellIs" dxfId="763" priority="41" operator="greaterThan">
      <formula>1</formula>
    </cfRule>
    <cfRule type="cellIs" dxfId="762" priority="42" operator="lessThan">
      <formula>0.8</formula>
    </cfRule>
  </conditionalFormatting>
  <conditionalFormatting sqref="O16:O17">
    <cfRule type="cellIs" dxfId="761" priority="36" operator="greaterThan">
      <formula>0</formula>
    </cfRule>
  </conditionalFormatting>
  <conditionalFormatting sqref="P16:P17">
    <cfRule type="cellIs" dxfId="760" priority="39" operator="lessThan">
      <formula>0</formula>
    </cfRule>
  </conditionalFormatting>
  <conditionalFormatting sqref="Q16:Q17">
    <cfRule type="cellIs" dxfId="759" priority="37" operator="greaterThan">
      <formula>1</formula>
    </cfRule>
    <cfRule type="cellIs" dxfId="758" priority="38" operator="lessThan">
      <formula>0.8</formula>
    </cfRule>
  </conditionalFormatting>
  <conditionalFormatting sqref="R16:R17 AC16:AC17">
    <cfRule type="cellIs" dxfId="757" priority="40" operator="lessThan">
      <formula>0.8</formula>
    </cfRule>
  </conditionalFormatting>
  <conditionalFormatting sqref="O10:O12">
    <cfRule type="cellIs" dxfId="756" priority="32" operator="greaterThan">
      <formula>0</formula>
    </cfRule>
  </conditionalFormatting>
  <conditionalFormatting sqref="P10:P12">
    <cfRule type="cellIs" dxfId="755" priority="35" operator="lessThan">
      <formula>0</formula>
    </cfRule>
  </conditionalFormatting>
  <conditionalFormatting sqref="Q10:Q12">
    <cfRule type="cellIs" dxfId="754" priority="33" operator="greaterThan">
      <formula>1</formula>
    </cfRule>
    <cfRule type="cellIs" dxfId="753" priority="34" operator="lessThan">
      <formula>0.8</formula>
    </cfRule>
  </conditionalFormatting>
  <conditionalFormatting sqref="O58">
    <cfRule type="cellIs" dxfId="752" priority="27" operator="greaterThan">
      <formula>0</formula>
    </cfRule>
  </conditionalFormatting>
  <conditionalFormatting sqref="P58 AA58">
    <cfRule type="cellIs" dxfId="751" priority="30" operator="lessThan">
      <formula>0</formula>
    </cfRule>
  </conditionalFormatting>
  <conditionalFormatting sqref="Q58 AB58">
    <cfRule type="cellIs" dxfId="750" priority="28" operator="greaterThan">
      <formula>1</formula>
    </cfRule>
    <cfRule type="cellIs" dxfId="749" priority="29" operator="lessThan">
      <formula>0.8</formula>
    </cfRule>
  </conditionalFormatting>
  <conditionalFormatting sqref="R58 AC58">
    <cfRule type="cellIs" dxfId="748" priority="31" operator="lessThan">
      <formula>0.8</formula>
    </cfRule>
  </conditionalFormatting>
  <conditionalFormatting sqref="O69">
    <cfRule type="cellIs" dxfId="747" priority="22" operator="greaterThan">
      <formula>0</formula>
    </cfRule>
  </conditionalFormatting>
  <conditionalFormatting sqref="P69">
    <cfRule type="cellIs" dxfId="746" priority="25" operator="lessThan">
      <formula>0</formula>
    </cfRule>
  </conditionalFormatting>
  <conditionalFormatting sqref="Q69">
    <cfRule type="cellIs" dxfId="745" priority="23" operator="greaterThan">
      <formula>1</formula>
    </cfRule>
    <cfRule type="cellIs" dxfId="744" priority="24" operator="lessThan">
      <formula>0.8</formula>
    </cfRule>
  </conditionalFormatting>
  <conditionalFormatting sqref="R69">
    <cfRule type="cellIs" dxfId="743" priority="26" operator="lessThan">
      <formula>0.8</formula>
    </cfRule>
  </conditionalFormatting>
  <conditionalFormatting sqref="O48">
    <cfRule type="cellIs" dxfId="742" priority="16" operator="greaterThan">
      <formula>0</formula>
    </cfRule>
  </conditionalFormatting>
  <conditionalFormatting sqref="P48">
    <cfRule type="cellIs" dxfId="741" priority="20" operator="lessThan">
      <formula>0</formula>
    </cfRule>
  </conditionalFormatting>
  <conditionalFormatting sqref="Q48">
    <cfRule type="cellIs" dxfId="740" priority="17" operator="greaterThan">
      <formula>1</formula>
    </cfRule>
    <cfRule type="cellIs" dxfId="739" priority="18" operator="lessThan">
      <formula>0.8</formula>
    </cfRule>
  </conditionalFormatting>
  <conditionalFormatting sqref="R48 AC48">
    <cfRule type="cellIs" dxfId="738" priority="21" operator="lessThan">
      <formula>0.8</formula>
    </cfRule>
  </conditionalFormatting>
  <conditionalFormatting sqref="AC48">
    <cfRule type="cellIs" dxfId="737" priority="19" operator="lessThan">
      <formula>0.8</formula>
    </cfRule>
  </conditionalFormatting>
  <conditionalFormatting sqref="R25 AC25">
    <cfRule type="cellIs" dxfId="736" priority="15" operator="lessThan">
      <formula>0.8</formula>
    </cfRule>
  </conditionalFormatting>
  <conditionalFormatting sqref="AC25">
    <cfRule type="cellIs" dxfId="735" priority="14" operator="lessThan">
      <formula>0.8</formula>
    </cfRule>
  </conditionalFormatting>
  <conditionalFormatting sqref="O57">
    <cfRule type="cellIs" dxfId="734" priority="9" operator="greaterThan">
      <formula>0</formula>
    </cfRule>
  </conditionalFormatting>
  <conditionalFormatting sqref="P57 AA57">
    <cfRule type="cellIs" dxfId="733" priority="12" operator="lessThan">
      <formula>0</formula>
    </cfRule>
  </conditionalFormatting>
  <conditionalFormatting sqref="Q57 AB57">
    <cfRule type="cellIs" dxfId="732" priority="10" operator="greaterThan">
      <formula>1</formula>
    </cfRule>
    <cfRule type="cellIs" dxfId="731" priority="11" operator="lessThan">
      <formula>0.8</formula>
    </cfRule>
  </conditionalFormatting>
  <conditionalFormatting sqref="R57 AC57">
    <cfRule type="cellIs" dxfId="730" priority="13" operator="lessThan">
      <formula>0.8</formula>
    </cfRule>
  </conditionalFormatting>
  <conditionalFormatting sqref="P8">
    <cfRule type="cellIs" dxfId="729" priority="8" operator="lessThan">
      <formula>0</formula>
    </cfRule>
  </conditionalFormatting>
  <conditionalFormatting sqref="P18">
    <cfRule type="cellIs" dxfId="728" priority="7" operator="lessThan">
      <formula>0</formula>
    </cfRule>
  </conditionalFormatting>
  <conditionalFormatting sqref="P26">
    <cfRule type="cellIs" dxfId="727" priority="6" operator="lessThan">
      <formula>0</formula>
    </cfRule>
  </conditionalFormatting>
  <conditionalFormatting sqref="P33">
    <cfRule type="cellIs" dxfId="726" priority="5" operator="lessThan">
      <formula>0</formula>
    </cfRule>
  </conditionalFormatting>
  <conditionalFormatting sqref="P49">
    <cfRule type="cellIs" dxfId="725" priority="4" operator="lessThan">
      <formula>0</formula>
    </cfRule>
  </conditionalFormatting>
  <conditionalFormatting sqref="P55">
    <cfRule type="cellIs" dxfId="724" priority="3" operator="lessThan">
      <formula>0</formula>
    </cfRule>
  </conditionalFormatting>
  <conditionalFormatting sqref="P62">
    <cfRule type="cellIs" dxfId="723" priority="2" operator="lessThan">
      <formula>0</formula>
    </cfRule>
  </conditionalFormatting>
  <conditionalFormatting sqref="P70">
    <cfRule type="cellIs" dxfId="722" priority="1" operator="lessThan">
      <formula>0</formula>
    </cfRule>
  </conditionalFormatting>
  <dataValidations count="1">
    <dataValidation type="list" allowBlank="1" showInputMessage="1" showErrorMessage="1" sqref="Z8 Z60:Z61 Y5:Z7 Y8:Y61 Z10:Z56 Y62:Z70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B1:Q28"/>
  <sheetViews>
    <sheetView zoomScale="70" zoomScaleNormal="70" workbookViewId="0">
      <selection activeCell="C3" sqref="C3:D3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521" t="s">
        <v>121</v>
      </c>
      <c r="C1" s="521"/>
      <c r="D1" s="521"/>
      <c r="E1" s="521"/>
      <c r="F1" s="521"/>
      <c r="G1" s="521"/>
      <c r="H1" s="521"/>
      <c r="I1" s="521"/>
      <c r="J1" s="521"/>
      <c r="K1" s="28"/>
      <c r="L1" s="28"/>
      <c r="M1" s="28"/>
      <c r="N1" s="28"/>
      <c r="O1" s="28"/>
      <c r="P1" s="28"/>
    </row>
    <row r="2" spans="2:17" ht="27.75" customHeight="1">
      <c r="B2" s="522"/>
      <c r="C2" s="522"/>
      <c r="D2" s="522"/>
      <c r="E2" s="522"/>
      <c r="F2" s="522"/>
      <c r="G2" s="522"/>
      <c r="H2" s="522"/>
      <c r="I2" s="522"/>
      <c r="J2" s="522"/>
      <c r="K2" s="30"/>
      <c r="L2" s="30"/>
      <c r="M2" s="30"/>
      <c r="N2" s="28"/>
      <c r="O2" s="28"/>
      <c r="P2" s="28"/>
    </row>
    <row r="3" spans="2:17" ht="46.5" customHeight="1">
      <c r="B3" s="189" t="s">
        <v>122</v>
      </c>
      <c r="C3" s="523" t="str">
        <f>TEXT('0812 4度C'!A2,"yyyy.mm.ddaaaa")</f>
        <v>2025.08.12星期二</v>
      </c>
      <c r="D3" s="523"/>
      <c r="E3" s="189" t="s">
        <v>123</v>
      </c>
      <c r="F3" s="524">
        <f>'0812 4度C'!D1</f>
        <v>163807</v>
      </c>
      <c r="G3" s="524"/>
      <c r="H3" s="189" t="s">
        <v>685</v>
      </c>
      <c r="I3" s="581">
        <f>'0812 4度C'!F1</f>
        <v>5571059.96</v>
      </c>
      <c r="J3" s="581"/>
      <c r="K3" s="31"/>
      <c r="L3" s="32"/>
      <c r="M3" s="33"/>
      <c r="N3" s="33"/>
    </row>
    <row r="4" spans="2:17" ht="28.5" customHeight="1">
      <c r="B4" s="516" t="s">
        <v>124</v>
      </c>
      <c r="C4" s="516" t="s">
        <v>105</v>
      </c>
      <c r="D4" s="516"/>
      <c r="E4" s="526" t="s">
        <v>106</v>
      </c>
      <c r="F4" s="526"/>
      <c r="G4" s="526" t="s">
        <v>107</v>
      </c>
      <c r="H4" s="526"/>
      <c r="I4" s="526" t="s">
        <v>686</v>
      </c>
      <c r="J4" s="526"/>
      <c r="L4" s="33"/>
      <c r="M4" s="33"/>
      <c r="N4" s="33"/>
    </row>
    <row r="5" spans="2:17" ht="28.5" customHeight="1">
      <c r="B5" s="516"/>
      <c r="C5" s="516" t="s">
        <v>109</v>
      </c>
      <c r="D5" s="516"/>
      <c r="E5" s="516" t="s">
        <v>125</v>
      </c>
      <c r="F5" s="516"/>
      <c r="G5" s="517" t="s">
        <v>110</v>
      </c>
      <c r="H5" s="517"/>
      <c r="I5" s="582" t="s">
        <v>687</v>
      </c>
      <c r="J5" s="582"/>
      <c r="K5" s="33"/>
      <c r="L5" s="33"/>
      <c r="M5" s="33"/>
      <c r="N5" s="33"/>
    </row>
    <row r="6" spans="2:17" ht="28.5" customHeight="1">
      <c r="B6" s="516"/>
      <c r="C6" s="516" t="s">
        <v>43</v>
      </c>
      <c r="D6" s="516"/>
      <c r="E6" s="519">
        <f>AVERAGE(D13:M13)</f>
        <v>148.84669885051991</v>
      </c>
      <c r="F6" s="516">
        <f>AVERAGE(D27:O27,D13:J13)</f>
        <v>154.48406228425051</v>
      </c>
      <c r="G6" s="520">
        <f>AVERAGE(D13:J13)</f>
        <v>154.48406228425051</v>
      </c>
      <c r="H6" s="520"/>
      <c r="I6" s="520">
        <f>AVERAGE(K13:M13)</f>
        <v>135.69285083848192</v>
      </c>
      <c r="J6" s="520"/>
      <c r="K6" s="33"/>
      <c r="L6" s="33"/>
      <c r="M6" s="33"/>
      <c r="N6" s="33"/>
    </row>
    <row r="7" spans="2:17" ht="28.5" customHeight="1">
      <c r="B7" s="516"/>
      <c r="C7" s="510" t="s">
        <v>44</v>
      </c>
      <c r="D7" s="510"/>
      <c r="E7" s="511">
        <f>AVERAGE(D14:M14)</f>
        <v>138.20513814768179</v>
      </c>
      <c r="F7" s="512">
        <f>AVERAGE(D28:O28,D14:J14)</f>
        <v>143.58387881213704</v>
      </c>
      <c r="G7" s="513">
        <f>AVERAGE(D14:J14)</f>
        <v>143.58387881213704</v>
      </c>
      <c r="H7" s="513"/>
      <c r="I7" s="513">
        <f>AVERAGE(K14:M14)</f>
        <v>125.65474326395285</v>
      </c>
      <c r="J7" s="513"/>
      <c r="K7" s="33"/>
      <c r="L7" s="33"/>
      <c r="M7" s="33"/>
      <c r="N7" s="33"/>
    </row>
    <row r="8" spans="2:17" ht="28.5" customHeight="1">
      <c r="B8" s="516"/>
      <c r="C8" s="510" t="s">
        <v>45</v>
      </c>
      <c r="D8" s="510"/>
      <c r="E8" s="514">
        <f>AVERAGE(D15:M15)</f>
        <v>0.92797471469893311</v>
      </c>
      <c r="F8" s="510">
        <f>AVERAGE(D15:J15,D29:O29)</f>
        <v>0.92881718097417709</v>
      </c>
      <c r="G8" s="515">
        <f>AVERAGE(D15:J15)</f>
        <v>0.92881718097417709</v>
      </c>
      <c r="H8" s="515"/>
      <c r="I8" s="515">
        <f>AVERAGE(K15:M15)</f>
        <v>0.92600896005669753</v>
      </c>
      <c r="J8" s="515"/>
      <c r="K8" s="34" t="s">
        <v>688</v>
      </c>
      <c r="L8" s="33"/>
      <c r="M8" s="33"/>
      <c r="N8" s="33"/>
    </row>
    <row r="9" spans="2:17" ht="28.5" customHeight="1" thickBot="1">
      <c r="H9" s="36"/>
      <c r="N9" s="33"/>
      <c r="O9" s="33"/>
      <c r="P9" s="33"/>
      <c r="Q9" s="33"/>
    </row>
    <row r="10" spans="2:17" ht="30" customHeight="1">
      <c r="B10" s="501" t="s">
        <v>689</v>
      </c>
      <c r="C10" s="502"/>
      <c r="D10" s="503" t="s">
        <v>128</v>
      </c>
      <c r="E10" s="504"/>
      <c r="F10" s="504"/>
      <c r="G10" s="504"/>
      <c r="H10" s="504"/>
      <c r="I10" s="504"/>
      <c r="J10" s="505"/>
      <c r="K10" s="506" t="s">
        <v>129</v>
      </c>
      <c r="L10" s="583"/>
      <c r="M10" s="507"/>
      <c r="P10" s="37"/>
      <c r="Q10" s="37"/>
    </row>
    <row r="11" spans="2:17" ht="17.25" customHeight="1">
      <c r="B11" s="493" t="s">
        <v>130</v>
      </c>
      <c r="C11" s="494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39">
        <v>6</v>
      </c>
      <c r="J11" s="40">
        <v>7</v>
      </c>
      <c r="K11" s="38">
        <v>1</v>
      </c>
      <c r="L11" s="39">
        <v>2</v>
      </c>
      <c r="M11" s="40">
        <v>3</v>
      </c>
      <c r="P11" s="37"/>
      <c r="Q11" s="37"/>
    </row>
    <row r="12" spans="2:17" ht="34.15" customHeight="1">
      <c r="B12" s="493"/>
      <c r="C12" s="494"/>
      <c r="D12" s="41" t="s">
        <v>345</v>
      </c>
      <c r="E12" s="42" t="s">
        <v>346</v>
      </c>
      <c r="F12" s="42" t="s">
        <v>347</v>
      </c>
      <c r="G12" s="42" t="s">
        <v>348</v>
      </c>
      <c r="H12" s="42" t="s">
        <v>349</v>
      </c>
      <c r="I12" s="42" t="s">
        <v>350</v>
      </c>
      <c r="J12" s="43" t="s">
        <v>351</v>
      </c>
      <c r="K12" s="41" t="s">
        <v>352</v>
      </c>
      <c r="L12" s="42" t="s">
        <v>353</v>
      </c>
      <c r="M12" s="43" t="s">
        <v>354</v>
      </c>
    </row>
    <row r="13" spans="2:17" ht="40.15" customHeight="1">
      <c r="B13" s="508" t="s">
        <v>116</v>
      </c>
      <c r="C13" s="44" t="s">
        <v>141</v>
      </c>
      <c r="D13" s="45">
        <f>SUMIFS('0812 4度C'!$K:$K,'0812 4度C'!$A:$A,"新豐6線",'0812 4度C'!$B:$B,"平均")</f>
        <v>117.64705882352941</v>
      </c>
      <c r="E13" s="46">
        <f>SUMIFS('0812 4度C'!$K:$K,'0812 4度C'!$A:$A,"新豐2線",'0812 4度C'!$B:$B,"平均")</f>
        <v>83.333333333333329</v>
      </c>
      <c r="F13" s="47">
        <f>SUMIFS('0812 4度C'!$K:$K,'0812 4度C'!$A:$A,"新豐5線",'0812 4度C'!$B:$B,"平均")</f>
        <v>93.333333333333329</v>
      </c>
      <c r="G13" s="47">
        <f>SUMIFS('0812 4度C'!$K:$K,'0812 4度C'!$A:$A,"新豐7線",'0812 4度C'!$B:$B,"平均")</f>
        <v>118.51851851851852</v>
      </c>
      <c r="H13" s="47">
        <f>SUMIFS('0812 4度C'!$K:$K,'0812 4度C'!$A:$A,"新豐3線",'0812 4度C'!$B:$B,"平均")</f>
        <v>300</v>
      </c>
      <c r="I13" s="47">
        <f>SUMIFS('0812 4度C'!$K:$K,'0812 4度C'!$A:$A,"新豐1線",'0812 4度C'!$B:$B,"平均")</f>
        <v>114.4578313253012</v>
      </c>
      <c r="J13" s="48">
        <f>SUMIFS('0812 4度C'!$K:$K,'0812 4度C'!$A:$A,"新豐10線",'0812 4度C'!$B:$B,"平均")</f>
        <v>254.09836065573774</v>
      </c>
      <c r="K13" s="49">
        <f>SUMIFS('0812 4度C'!$K:$K,'0812 4度C'!$A:$A,"新豐8線",'0812 4度C'!$B:$B,"平均")</f>
        <v>139.80582524271844</v>
      </c>
      <c r="L13" s="50">
        <f>SUMIFS('0812 4度C'!$K:$K,'0812 4度C'!$A:$A,"新豐9線",'0812 4度C'!$B:$B,"平均")</f>
        <v>127.27272727272727</v>
      </c>
      <c r="M13" s="48">
        <f>SUMIFS('0812 4度C'!$K:$K,'0812 4度C'!$A:$A,"新豐4線",'0812 4度C'!$B:$B,"平均")</f>
        <v>140</v>
      </c>
    </row>
    <row r="14" spans="2:17" ht="39.6" customHeight="1">
      <c r="B14" s="508"/>
      <c r="C14" s="51" t="s">
        <v>690</v>
      </c>
      <c r="D14" s="52">
        <f>SUMIFS('0812 4度C'!$N:$N,'0812 4度C'!$A:$A,"新豐6線",'0812 4度C'!$B:$B,"平均")</f>
        <v>110.17349308539002</v>
      </c>
      <c r="E14" s="53">
        <f>SUMIFS('0812 4度C'!$N:$N,'0812 4度C'!$A:$A,"新豐2線",'0812 4度C'!$B:$B,"平均")</f>
        <v>76.996679196125967</v>
      </c>
      <c r="F14" s="53">
        <f>SUMIFS('0812 4度C'!$N:$N,'0812 4度C'!$A:$A,"新豐5線",'0812 4度C'!$B:$B,"平均")</f>
        <v>86.594022420972792</v>
      </c>
      <c r="G14" s="53">
        <f>SUMIFS('0812 4度C'!$N:$N,'0812 4度C'!$A:$A,"新豐7線",'0812 4度C'!$B:$B,"平均")</f>
        <v>109.75342348048125</v>
      </c>
      <c r="H14" s="53">
        <f>SUMIFS('0812 4度C'!$N:$N,'0812 4度C'!$A:$A,"新豐3線",'0812 4度C'!$B:$B,"平均")</f>
        <v>279.17310540704153</v>
      </c>
      <c r="I14" s="53">
        <f>SUMIFS('0812 4度C'!$N:$N,'0812 4度C'!$A:$A,"新豐1線",'0812 4度C'!$B:$B,"平均")</f>
        <v>106.08980920217267</v>
      </c>
      <c r="J14" s="54">
        <f>SUMIFS('0812 4度C'!$N:$N,'0812 4度C'!$A:$A,"新豐10線",'0812 4度C'!$B:$B,"平均")</f>
        <v>236.30661889277494</v>
      </c>
      <c r="K14" s="55">
        <f>SUMIFS('0812 4度C'!$N:$N,'0812 4度C'!$A:$A,"新豐8線",'0812 4度C'!$B:$B,"平均")</f>
        <v>129.08921824634064</v>
      </c>
      <c r="L14" s="56">
        <f>SUMIFS('0812 4度C'!$N:$N,'0812 4度C'!$A:$A,"新豐9線",'0812 4度C'!$B:$B,"平均")</f>
        <v>117.80242851056659</v>
      </c>
      <c r="M14" s="54">
        <f>SUMIFS('0812 4度C'!$N:$N,'0812 4度C'!$A:$A,"新豐4線",'0812 4度C'!$B:$B,"平均")</f>
        <v>130.07258303495135</v>
      </c>
    </row>
    <row r="15" spans="2:17" ht="40.15" customHeight="1">
      <c r="B15" s="508"/>
      <c r="C15" s="57" t="s">
        <v>142</v>
      </c>
      <c r="D15" s="58">
        <f>D14/D13</f>
        <v>0.93647469122581517</v>
      </c>
      <c r="E15" s="59">
        <f t="shared" ref="E15:M15" si="0">E14/E13</f>
        <v>0.92396015035351164</v>
      </c>
      <c r="F15" s="59">
        <f t="shared" si="0"/>
        <v>0.92779309736756566</v>
      </c>
      <c r="G15" s="59">
        <f t="shared" si="0"/>
        <v>0.92604451061656046</v>
      </c>
      <c r="H15" s="59">
        <f>H14/H13</f>
        <v>0.93057701802347181</v>
      </c>
      <c r="I15" s="59">
        <f>I14/I13</f>
        <v>0.92688991197687709</v>
      </c>
      <c r="J15" s="60">
        <f>J14/J13</f>
        <v>0.92998088725543671</v>
      </c>
      <c r="K15" s="58">
        <f>K14/K13</f>
        <v>0.92334649162313098</v>
      </c>
      <c r="L15" s="59">
        <f>L14/L13</f>
        <v>0.92559050972588031</v>
      </c>
      <c r="M15" s="60">
        <f t="shared" si="0"/>
        <v>0.92908987882108107</v>
      </c>
    </row>
    <row r="16" spans="2:17" ht="17.25" customHeight="1">
      <c r="B16" s="509" t="s">
        <v>691</v>
      </c>
      <c r="C16" s="190" t="s">
        <v>692</v>
      </c>
      <c r="D16" s="61">
        <f>VLOOKUP("新豐6線",'0812 4度C'!$A:$T,19,0)</f>
        <v>0.70833333333333337</v>
      </c>
      <c r="E16" s="24">
        <f>VLOOKUP("新豐2線",'0812 4度C'!$A:$T,19,0)</f>
        <v>0.125</v>
      </c>
      <c r="F16" s="24">
        <f>VLOOKUP("新豐5線",'0812 4度C'!$A:$T,19,0)</f>
        <v>0.25</v>
      </c>
      <c r="G16" s="24">
        <f>VLOOKUP("新豐7線",'0812 4度C'!$A:$T,19,0)</f>
        <v>0.20833333333333334</v>
      </c>
      <c r="H16" s="24">
        <f>VLOOKUP("新豐3線",'0812 4度C'!$A:$T,19,0)</f>
        <v>0.20833333333333334</v>
      </c>
      <c r="I16" s="24">
        <f>VLOOKUP("新豐1線",'0812 4度C'!$A:$T,19,0)</f>
        <v>0.29166666666666669</v>
      </c>
      <c r="J16" s="62">
        <f>VLOOKUP("新豐10線",'0812 4度C'!$A:$T,19,0)</f>
        <v>0.20833333333333334</v>
      </c>
      <c r="K16" s="63">
        <f>VLOOKUP("新豐8線",'0812 4度C'!$A:$T,19,0)</f>
        <v>8.3333333333333329E-2</v>
      </c>
      <c r="L16" s="64">
        <f>VLOOKUP("新豐9線",'0812 4度C'!$A:$T,19,0)</f>
        <v>8.3333333333333329E-2</v>
      </c>
      <c r="M16" s="65">
        <f>VLOOKUP("新豐4線",'0812 4度C'!$A:$T,19,0)</f>
        <v>8.3333333333333329E-2</v>
      </c>
    </row>
    <row r="17" spans="2:13" ht="17.25" customHeight="1">
      <c r="B17" s="493"/>
      <c r="C17" s="190" t="s">
        <v>144</v>
      </c>
      <c r="D17" s="63">
        <f>LOOKUP(2,1/(('0812 4度C'!$A:$A="新豐6線")*('0812 4度C'!$T:$T&lt;&gt;"")),'0812 4度C'!$T:$T)</f>
        <v>0.8354166666666667</v>
      </c>
      <c r="E17" s="24">
        <f>LOOKUP(2,1/(('0812 4度C'!$A:$A="新豐2線")*('0812 4度C'!$T:$T&lt;&gt;"")),'0812 4度C'!$T:$T)</f>
        <v>0.62083333333333313</v>
      </c>
      <c r="F17" s="24">
        <f>LOOKUP(2,1/(('0812 4度C'!$A:$A="新豐5線")*('0812 4度C'!$T:$T&lt;&gt;"")),'0812 4度C'!$T:$T)</f>
        <v>0.84791666666666665</v>
      </c>
      <c r="G17" s="24">
        <f>LOOKUP(2,1/(('0812 4度C'!$A:$A="新豐7線")*('0812 4度C'!$T:$T&lt;&gt;"")),'0812 4度C'!$T:$T)</f>
        <v>0.8159722222222221</v>
      </c>
      <c r="H17" s="24">
        <f>LOOKUP(2,1/(('0812 4度C'!$A:$A="新豐3線")*('0812 4度C'!$T:$T&lt;&gt;"")),'0812 4度C'!$T:$T)</f>
        <v>0.60138888888888875</v>
      </c>
      <c r="I17" s="24">
        <f>LOOKUP(2,1/(('0812 4度C'!$A:$A="新豐1線")*('0812 4度C'!$T:$T&lt;&gt;"")),'0812 4度C'!$T:$T)</f>
        <v>0.84791666666666665</v>
      </c>
      <c r="J17" s="62">
        <f>LOOKUP(2,1/(('0812 4度C'!$A:$A="新豐10線")*('0812 4度C'!$T:$T&lt;&gt;"")),'0812 4度C'!$T:$T)</f>
        <v>0.48819444444444438</v>
      </c>
      <c r="K17" s="61">
        <f>LOOKUP(2,1/(('0812 4度C'!$A:$A="新豐8線")*('0812 4度C'!$T:$T&lt;&gt;"")),'0812 4度C'!$T:$T)</f>
        <v>0.58680555555555547</v>
      </c>
      <c r="L17" s="24">
        <f>LOOKUP(2,1/(('0812 4度C'!$A:$A="新豐9線")*('0812 4度C'!$T:$T&lt;&gt;"")),'0812 4度C'!$T:$T)</f>
        <v>0.60138888888888886</v>
      </c>
      <c r="M17" s="62">
        <f>LOOKUP(2,1/(('0812 4度C'!$A:$A="新豐4線")*('0812 4度C'!$T:$T&lt;&gt;"")),'0812 4度C'!$T:$T)</f>
        <v>0.64583333333333326</v>
      </c>
    </row>
    <row r="18" spans="2:13" ht="17.25" customHeight="1">
      <c r="B18" s="493" t="s">
        <v>693</v>
      </c>
      <c r="C18" s="494"/>
      <c r="D18" s="66">
        <f>SUMIFS('0812 4度C'!$I:$I,'0812 4度C'!$A:$A,"新豐6線",'0812 4度C'!$B:$B,"平均")</f>
        <v>17</v>
      </c>
      <c r="E18" s="67">
        <f>SUMIFS('0812 4度C'!$I:$I,'0812 4度C'!$A:$A,"新豐2線",'0812 4度C'!$B:$B,"平均")</f>
        <v>18</v>
      </c>
      <c r="F18" s="67">
        <f>SUMIFS('0812 4度C'!$I:$I,'0812 4度C'!$A:$A,"新豐5線",'0812 4度C'!$B:$B,"平均")</f>
        <v>18.75</v>
      </c>
      <c r="G18" s="67">
        <f>SUMIFS('0812 4度C'!$I:$I,'0812 4度C'!$A:$A,"新豐7線",'0812 4度C'!$B:$B,"平均")</f>
        <v>16.875</v>
      </c>
      <c r="H18" s="67">
        <f>SUMIFS('0812 4度C'!$I:$I,'0812 4度C'!$A:$A,"新豐3線",'0812 4度C'!$B:$B,"平均")</f>
        <v>10</v>
      </c>
      <c r="I18" s="67">
        <f>SUMIFS('0812 4度C'!$I:$I,'0812 4度C'!$A:$A,"新豐1線",'0812 4度C'!$B:$B,"平均")</f>
        <v>16.600000000000001</v>
      </c>
      <c r="J18" s="68">
        <f>SUMIFS('0812 4度C'!$I:$I,'0812 4度C'!$A:$A,"新豐10線",'0812 4度C'!$B:$B,"平均")</f>
        <v>10.166666666666666</v>
      </c>
      <c r="K18" s="66">
        <f>SUMIFS('0812 4度C'!$I:$I,'0812 4度C'!$A:$A,"新豐8線",'0812 4度C'!$B:$B,"平均")</f>
        <v>17.166666666666668</v>
      </c>
      <c r="L18" s="67">
        <f>SUMIFS('0812 4度C'!$I:$I,'0812 4度C'!$A:$A,"新豐9線",'0812 4度C'!$B:$B,"平均")</f>
        <v>18.857142857142858</v>
      </c>
      <c r="M18" s="68">
        <f>SUMIFS('0812 4度C'!$I:$I,'0812 4度C'!$A:$A,"新豐4線",'0812 4度C'!$B:$B,"平均")</f>
        <v>17.142857142857142</v>
      </c>
    </row>
    <row r="19" spans="2:13" ht="17.25" customHeight="1">
      <c r="B19" s="495" t="s">
        <v>694</v>
      </c>
      <c r="C19" s="496"/>
      <c r="D19" s="69" t="s">
        <v>46</v>
      </c>
      <c r="E19" s="70" t="s">
        <v>47</v>
      </c>
      <c r="F19" s="70" t="s">
        <v>93</v>
      </c>
      <c r="G19" s="70" t="s">
        <v>695</v>
      </c>
      <c r="H19" s="70" t="s">
        <v>48</v>
      </c>
      <c r="I19" s="70" t="s">
        <v>46</v>
      </c>
      <c r="J19" s="71" t="s">
        <v>48</v>
      </c>
      <c r="K19" s="69" t="s">
        <v>72</v>
      </c>
      <c r="L19" s="70" t="s">
        <v>696</v>
      </c>
      <c r="M19" s="71" t="s">
        <v>696</v>
      </c>
    </row>
    <row r="20" spans="2:13" ht="17.25" customHeight="1">
      <c r="B20" s="495" t="s">
        <v>697</v>
      </c>
      <c r="C20" s="496"/>
      <c r="D20" s="69"/>
      <c r="E20" s="70"/>
      <c r="F20" s="70" t="s">
        <v>698</v>
      </c>
      <c r="G20" s="70" t="s">
        <v>46</v>
      </c>
      <c r="H20" s="70"/>
      <c r="I20" s="70"/>
      <c r="J20" s="71"/>
      <c r="K20" s="69"/>
      <c r="L20" s="70"/>
      <c r="M20" s="71"/>
    </row>
    <row r="21" spans="2:13" ht="17.25" customHeight="1" thickBot="1">
      <c r="B21" s="497" t="s">
        <v>94</v>
      </c>
      <c r="C21" s="498"/>
      <c r="D21" s="72"/>
      <c r="E21" s="73" t="s">
        <v>699</v>
      </c>
      <c r="F21" s="499" t="s">
        <v>700</v>
      </c>
      <c r="G21" s="500"/>
      <c r="H21" s="73" t="s">
        <v>73</v>
      </c>
      <c r="I21" s="73" t="s">
        <v>701</v>
      </c>
      <c r="J21" s="74" t="s">
        <v>702</v>
      </c>
      <c r="K21" s="75"/>
      <c r="L21" s="73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72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>
    <pageSetUpPr fitToPage="1"/>
  </sheetPr>
  <dimension ref="A1:AC72"/>
  <sheetViews>
    <sheetView zoomScale="80" zoomScaleNormal="80" workbookViewId="0">
      <pane ySplit="4" topLeftCell="A5" activePane="bottomLeft" state="frozen"/>
      <selection activeCell="C3" sqref="C3:D3"/>
      <selection pane="bottomLeft" activeCell="C3" sqref="C3:D3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703</v>
      </c>
      <c r="B1" s="1"/>
      <c r="C1" s="2" t="s">
        <v>704</v>
      </c>
      <c r="D1" s="3">
        <f>SUM(F5:F71)</f>
        <v>163807</v>
      </c>
      <c r="E1" s="192" t="s">
        <v>705</v>
      </c>
      <c r="F1" s="1">
        <f>SUM(G5:G71)</f>
        <v>5571059.96</v>
      </c>
      <c r="G1" s="1" t="s">
        <v>153</v>
      </c>
      <c r="H1" s="4">
        <f>L8+L13+L50+L56+L18+L63+L34+L42+L27+L71</f>
        <v>160.55833333333334</v>
      </c>
      <c r="I1" s="572" t="s">
        <v>706</v>
      </c>
      <c r="J1" s="572"/>
      <c r="K1" s="572"/>
      <c r="L1" s="572" t="s">
        <v>707</v>
      </c>
      <c r="M1" s="572"/>
      <c r="N1" s="572"/>
      <c r="O1" s="572" t="s">
        <v>708</v>
      </c>
      <c r="P1" s="572"/>
      <c r="Q1" s="572"/>
      <c r="R1" s="572"/>
      <c r="S1" s="572" t="s">
        <v>709</v>
      </c>
      <c r="T1" s="572"/>
      <c r="U1" s="572"/>
      <c r="V1" s="572"/>
      <c r="W1" s="572"/>
      <c r="X1" s="572"/>
      <c r="Y1" s="572" t="s">
        <v>710</v>
      </c>
      <c r="Z1" s="572"/>
      <c r="AA1" s="572" t="s">
        <v>711</v>
      </c>
      <c r="AB1" s="573"/>
      <c r="AC1" s="573"/>
    </row>
    <row r="2" spans="1:29" ht="26.25" customHeight="1">
      <c r="A2" s="22">
        <v>45881</v>
      </c>
      <c r="B2" s="23" t="s">
        <v>322</v>
      </c>
      <c r="C2" s="2" t="s">
        <v>712</v>
      </c>
      <c r="D2" s="6">
        <f>AVERAGE(N8,N13,N50,N56,N18,N63,N27,N34,N42,N71)</f>
        <v>138.20513814768179</v>
      </c>
      <c r="E2" s="7" t="s">
        <v>0</v>
      </c>
      <c r="F2" s="8">
        <f>F1/D1</f>
        <v>34.009901652554532</v>
      </c>
      <c r="G2" s="1" t="s">
        <v>713</v>
      </c>
      <c r="H2" s="191">
        <f>COUNT(H5:H71)</f>
        <v>5</v>
      </c>
      <c r="I2" s="572"/>
      <c r="J2" s="572"/>
      <c r="K2" s="572"/>
      <c r="L2" s="572"/>
      <c r="M2" s="572"/>
      <c r="N2" s="572"/>
      <c r="O2" s="572"/>
      <c r="P2" s="572"/>
      <c r="Q2" s="572"/>
      <c r="R2" s="572"/>
      <c r="S2" s="572"/>
      <c r="T2" s="572"/>
      <c r="U2" s="572"/>
      <c r="V2" s="572"/>
      <c r="W2" s="572"/>
      <c r="X2" s="572"/>
      <c r="Y2" s="572"/>
      <c r="Z2" s="572"/>
      <c r="AA2" s="573"/>
      <c r="AB2" s="573"/>
      <c r="AC2" s="573"/>
    </row>
    <row r="3" spans="1:29" ht="23.25" customHeight="1">
      <c r="A3" s="528" t="s">
        <v>156</v>
      </c>
      <c r="B3" s="528" t="s">
        <v>714</v>
      </c>
      <c r="C3" s="528" t="s">
        <v>715</v>
      </c>
      <c r="D3" s="528"/>
      <c r="E3" s="570" t="s">
        <v>716</v>
      </c>
      <c r="F3" s="528" t="s">
        <v>717</v>
      </c>
      <c r="G3" s="570" t="s">
        <v>718</v>
      </c>
      <c r="H3" s="563" t="s">
        <v>719</v>
      </c>
      <c r="I3" s="561" t="s">
        <v>720</v>
      </c>
      <c r="J3" s="566" t="s">
        <v>721</v>
      </c>
      <c r="K3" s="568" t="s">
        <v>722</v>
      </c>
      <c r="L3" s="561" t="s">
        <v>720</v>
      </c>
      <c r="M3" s="566" t="s">
        <v>100</v>
      </c>
      <c r="N3" s="568" t="s">
        <v>723</v>
      </c>
      <c r="O3" s="561" t="s">
        <v>720</v>
      </c>
      <c r="P3" s="568" t="s">
        <v>723</v>
      </c>
      <c r="Q3" s="567" t="s">
        <v>724</v>
      </c>
      <c r="R3" s="542" t="s">
        <v>725</v>
      </c>
      <c r="S3" s="569" t="s">
        <v>1</v>
      </c>
      <c r="T3" s="569"/>
      <c r="U3" s="563" t="s">
        <v>2</v>
      </c>
      <c r="V3" s="563" t="s">
        <v>726</v>
      </c>
      <c r="W3" s="528" t="s">
        <v>727</v>
      </c>
      <c r="X3" s="528"/>
      <c r="Y3" s="564" t="s">
        <v>728</v>
      </c>
      <c r="Z3" s="565"/>
      <c r="AA3" s="566" t="s">
        <v>721</v>
      </c>
      <c r="AB3" s="567" t="s">
        <v>724</v>
      </c>
      <c r="AC3" s="542" t="s">
        <v>725</v>
      </c>
    </row>
    <row r="4" spans="1:29">
      <c r="A4" s="528"/>
      <c r="B4" s="528"/>
      <c r="C4" s="528"/>
      <c r="D4" s="528"/>
      <c r="E4" s="571"/>
      <c r="F4" s="528"/>
      <c r="G4" s="571"/>
      <c r="H4" s="563"/>
      <c r="I4" s="561"/>
      <c r="J4" s="566"/>
      <c r="K4" s="568"/>
      <c r="L4" s="561"/>
      <c r="M4" s="566"/>
      <c r="N4" s="568"/>
      <c r="O4" s="561"/>
      <c r="P4" s="568"/>
      <c r="Q4" s="567"/>
      <c r="R4" s="542"/>
      <c r="S4" s="193" t="s">
        <v>3</v>
      </c>
      <c r="T4" s="193" t="s">
        <v>4</v>
      </c>
      <c r="U4" s="563"/>
      <c r="V4" s="563"/>
      <c r="W4" s="192" t="s">
        <v>729</v>
      </c>
      <c r="X4" s="192" t="s">
        <v>730</v>
      </c>
      <c r="Y4" s="565"/>
      <c r="Z4" s="565"/>
      <c r="AA4" s="566"/>
      <c r="AB4" s="567"/>
      <c r="AC4" s="542"/>
    </row>
    <row r="5" spans="1:29">
      <c r="A5" s="560" t="s">
        <v>731</v>
      </c>
      <c r="B5" s="26" t="s">
        <v>13</v>
      </c>
      <c r="C5" s="562" t="s">
        <v>53</v>
      </c>
      <c r="D5" s="562"/>
      <c r="E5" s="26">
        <v>46.93</v>
      </c>
      <c r="F5" s="193">
        <v>914</v>
      </c>
      <c r="G5" s="192">
        <f>E5*F5</f>
        <v>42894.02</v>
      </c>
      <c r="H5" s="76" t="s">
        <v>52</v>
      </c>
      <c r="I5" s="195">
        <v>17</v>
      </c>
      <c r="J5" s="18">
        <v>2000</v>
      </c>
      <c r="K5" s="9">
        <f>J5/I5</f>
        <v>117.64705882352941</v>
      </c>
      <c r="L5" s="195">
        <v>17</v>
      </c>
      <c r="M5" s="10">
        <f>F5/V5*60</f>
        <v>1891.0344827586171</v>
      </c>
      <c r="N5" s="9">
        <f>M5/L5</f>
        <v>111.23732251521277</v>
      </c>
      <c r="O5" s="11">
        <f t="shared" ref="O5:O7" si="0">L5-I5</f>
        <v>0</v>
      </c>
      <c r="P5" s="12">
        <f t="shared" ref="P5:P7" si="1">N5-K5</f>
        <v>-6.4097363083166385</v>
      </c>
      <c r="Q5" s="197">
        <f>N5/K5</f>
        <v>0.94551724137930859</v>
      </c>
      <c r="R5" s="533">
        <f>Q8</f>
        <v>0.93647469122581517</v>
      </c>
      <c r="S5" s="24">
        <v>0.70833333333333337</v>
      </c>
      <c r="T5" s="24">
        <v>0.7284722222222223</v>
      </c>
      <c r="U5" s="192"/>
      <c r="V5" s="194">
        <f>(T5-S5)*24*60</f>
        <v>29.000000000000057</v>
      </c>
      <c r="W5" s="14"/>
      <c r="X5" s="13"/>
      <c r="Y5" s="528"/>
      <c r="Z5" s="528"/>
      <c r="AA5" s="11">
        <f t="shared" ref="AA5:AA68" si="2">M5-J5</f>
        <v>-108.96551724138294</v>
      </c>
      <c r="AB5" s="197">
        <f t="shared" ref="AB5:AB7" si="3">M5/J5</f>
        <v>0.94551724137930848</v>
      </c>
      <c r="AC5" s="533">
        <f>AB8</f>
        <v>0.93647469122581517</v>
      </c>
    </row>
    <row r="6" spans="1:29">
      <c r="A6" s="561" t="s">
        <v>731</v>
      </c>
      <c r="B6" s="26" t="s">
        <v>13</v>
      </c>
      <c r="C6" s="562" t="s">
        <v>55</v>
      </c>
      <c r="D6" s="562"/>
      <c r="E6" s="26">
        <v>50.49</v>
      </c>
      <c r="F6" s="193">
        <v>2147</v>
      </c>
      <c r="G6" s="192">
        <f t="shared" ref="G6:G7" si="4">E6*F6</f>
        <v>108402.03</v>
      </c>
      <c r="H6" s="76" t="s">
        <v>52</v>
      </c>
      <c r="I6" s="195">
        <v>16</v>
      </c>
      <c r="J6" s="18">
        <v>2000</v>
      </c>
      <c r="K6" s="9">
        <f t="shared" ref="K6:K7" si="5">J6/I6</f>
        <v>125</v>
      </c>
      <c r="L6" s="195">
        <v>16</v>
      </c>
      <c r="M6" s="10">
        <f>F6/V6*60</f>
        <v>1866.9565217391328</v>
      </c>
      <c r="N6" s="9">
        <f t="shared" ref="N6:N7" si="6">M6/L6</f>
        <v>116.6847826086958</v>
      </c>
      <c r="O6" s="11">
        <f t="shared" si="0"/>
        <v>0</v>
      </c>
      <c r="P6" s="12">
        <f t="shared" si="1"/>
        <v>-8.315217391304202</v>
      </c>
      <c r="Q6" s="197">
        <f t="shared" ref="Q6:Q7" si="7">N6/K6</f>
        <v>0.93347826086956642</v>
      </c>
      <c r="R6" s="533"/>
      <c r="S6" s="24">
        <v>0.73333333333333339</v>
      </c>
      <c r="T6" s="24">
        <v>0.78125</v>
      </c>
      <c r="U6" s="192">
        <f>(S6-T5)*24*60</f>
        <v>6.9999999999999751</v>
      </c>
      <c r="V6" s="194">
        <f>(T6-S6)*24*60</f>
        <v>68.999999999999915</v>
      </c>
      <c r="W6" s="14"/>
      <c r="X6" s="14"/>
      <c r="Y6" s="528"/>
      <c r="Z6" s="528"/>
      <c r="AA6" s="11">
        <f t="shared" si="2"/>
        <v>-133.04347826086723</v>
      </c>
      <c r="AB6" s="197">
        <f t="shared" si="3"/>
        <v>0.93347826086956642</v>
      </c>
      <c r="AC6" s="533"/>
    </row>
    <row r="7" spans="1:29">
      <c r="A7" s="561" t="s">
        <v>366</v>
      </c>
      <c r="B7" s="26" t="s">
        <v>13</v>
      </c>
      <c r="C7" s="558" t="s">
        <v>76</v>
      </c>
      <c r="D7" s="559"/>
      <c r="E7" s="26">
        <v>50.67</v>
      </c>
      <c r="F7" s="193">
        <v>2171</v>
      </c>
      <c r="G7" s="192">
        <f t="shared" si="4"/>
        <v>110004.57</v>
      </c>
      <c r="H7" s="76" t="s">
        <v>52</v>
      </c>
      <c r="I7" s="195">
        <v>18</v>
      </c>
      <c r="J7" s="18">
        <v>2000</v>
      </c>
      <c r="K7" s="9">
        <f t="shared" si="5"/>
        <v>111.11111111111111</v>
      </c>
      <c r="L7" s="195">
        <v>18</v>
      </c>
      <c r="M7" s="10">
        <f t="shared" ref="M7" si="8">F7/V7*60</f>
        <v>1860.8571428571411</v>
      </c>
      <c r="N7" s="9">
        <f t="shared" si="6"/>
        <v>103.38095238095228</v>
      </c>
      <c r="O7" s="11">
        <f t="shared" si="0"/>
        <v>0</v>
      </c>
      <c r="P7" s="12">
        <f t="shared" si="1"/>
        <v>-7.7301587301588341</v>
      </c>
      <c r="Q7" s="197">
        <f t="shared" si="7"/>
        <v>0.93042857142857049</v>
      </c>
      <c r="R7" s="533"/>
      <c r="S7" s="24">
        <v>0.78680555555555554</v>
      </c>
      <c r="T7" s="24">
        <v>0.8354166666666667</v>
      </c>
      <c r="U7" s="192">
        <f t="shared" ref="U7" si="9">(S7-T6)*24*60</f>
        <v>7.9999999999999716</v>
      </c>
      <c r="V7" s="194">
        <f t="shared" ref="V7" si="10">(T7-S7)*24*60</f>
        <v>70.000000000000071</v>
      </c>
      <c r="W7" s="14"/>
      <c r="X7" s="14"/>
      <c r="Y7" s="536"/>
      <c r="Z7" s="537"/>
      <c r="AA7" s="11">
        <f t="shared" si="2"/>
        <v>-139.14285714285893</v>
      </c>
      <c r="AB7" s="197">
        <f t="shared" si="3"/>
        <v>0.93042857142857049</v>
      </c>
      <c r="AC7" s="533"/>
    </row>
    <row r="8" spans="1:29">
      <c r="A8" s="561" t="s">
        <v>731</v>
      </c>
      <c r="B8" s="26" t="s">
        <v>732</v>
      </c>
      <c r="C8" s="530"/>
      <c r="D8" s="530"/>
      <c r="E8" s="196"/>
      <c r="F8" s="16"/>
      <c r="G8" s="9"/>
      <c r="H8" s="193"/>
      <c r="I8" s="17">
        <v>17</v>
      </c>
      <c r="J8" s="18">
        <v>2000</v>
      </c>
      <c r="K8" s="9">
        <f>J8/I8</f>
        <v>117.64705882352941</v>
      </c>
      <c r="L8" s="17">
        <v>17</v>
      </c>
      <c r="M8" s="10">
        <f>AVERAGE(M5:M7)</f>
        <v>1872.9493824516303</v>
      </c>
      <c r="N8" s="9">
        <f>M8/L8</f>
        <v>110.17349308539002</v>
      </c>
      <c r="O8" s="11">
        <f>L8-I8</f>
        <v>0</v>
      </c>
      <c r="P8" s="12">
        <f>N8-K8</f>
        <v>-7.473565738139385</v>
      </c>
      <c r="Q8" s="197">
        <f>N8/K8</f>
        <v>0.93647469122581517</v>
      </c>
      <c r="R8" s="533"/>
      <c r="S8" s="24"/>
      <c r="T8" s="24"/>
      <c r="U8" s="192"/>
      <c r="V8" s="194"/>
      <c r="W8" s="9"/>
      <c r="X8" s="9"/>
      <c r="Y8" s="528"/>
      <c r="Z8" s="528"/>
      <c r="AA8" s="11">
        <f t="shared" si="2"/>
        <v>-127.0506175483697</v>
      </c>
      <c r="AB8" s="197">
        <f>M8/J8</f>
        <v>0.93647469122581517</v>
      </c>
      <c r="AC8" s="533"/>
    </row>
    <row r="9" spans="1:29" ht="15.75" customHeight="1">
      <c r="A9" s="531" t="s">
        <v>733</v>
      </c>
      <c r="B9" s="26" t="s">
        <v>15</v>
      </c>
      <c r="C9" s="558" t="s">
        <v>16</v>
      </c>
      <c r="D9" s="559"/>
      <c r="E9" s="26">
        <v>39.619999999999997</v>
      </c>
      <c r="F9" s="193">
        <v>4487</v>
      </c>
      <c r="G9" s="192">
        <f t="shared" ref="G9:G12" si="11">E9*F9</f>
        <v>177774.94</v>
      </c>
      <c r="H9" s="76" t="s">
        <v>52</v>
      </c>
      <c r="I9" s="195">
        <v>19</v>
      </c>
      <c r="J9" s="18">
        <v>1500</v>
      </c>
      <c r="K9" s="9">
        <f t="shared" ref="K9:K12" si="12">J9/I9</f>
        <v>78.94736842105263</v>
      </c>
      <c r="L9" s="195">
        <v>19</v>
      </c>
      <c r="M9" s="10">
        <f t="shared" ref="M9:M12" si="13">F9/V9*60</f>
        <v>1387.7319587628872</v>
      </c>
      <c r="N9" s="9">
        <f t="shared" ref="N9:N12" si="14">M9/L9</f>
        <v>73.03852414541511</v>
      </c>
      <c r="O9" s="11">
        <f t="shared" ref="O9:O12" si="15">L9-I9</f>
        <v>0</v>
      </c>
      <c r="P9" s="12">
        <f>N9-K9</f>
        <v>-5.9088442756375201</v>
      </c>
      <c r="Q9" s="197">
        <f>N9/K9</f>
        <v>0.92515463917525809</v>
      </c>
      <c r="R9" s="533">
        <f>Q13</f>
        <v>0.92396015035351164</v>
      </c>
      <c r="S9" s="24">
        <v>0.125</v>
      </c>
      <c r="T9" s="24">
        <v>0.25972222222222219</v>
      </c>
      <c r="U9" s="192"/>
      <c r="V9" s="194">
        <f t="shared" ref="V9:V12" si="16">(T9-S9)*24*60</f>
        <v>193.99999999999994</v>
      </c>
      <c r="W9" s="14">
        <f>T9</f>
        <v>0.25972222222222219</v>
      </c>
      <c r="X9" s="14">
        <f>S10</f>
        <v>0.27777777777777773</v>
      </c>
      <c r="Y9" s="528"/>
      <c r="Z9" s="528"/>
      <c r="AA9" s="11">
        <f t="shared" si="2"/>
        <v>-112.26804123711281</v>
      </c>
      <c r="AB9" s="197">
        <f>M9/J9</f>
        <v>0.92515463917525809</v>
      </c>
      <c r="AC9" s="533">
        <f>AB13</f>
        <v>0.92396015035351164</v>
      </c>
    </row>
    <row r="10" spans="1:29" ht="15.75" customHeight="1">
      <c r="A10" s="531" t="s">
        <v>733</v>
      </c>
      <c r="B10" s="26" t="s">
        <v>15</v>
      </c>
      <c r="C10" s="558" t="s">
        <v>17</v>
      </c>
      <c r="D10" s="559"/>
      <c r="E10" s="26">
        <v>39.799999999999997</v>
      </c>
      <c r="F10" s="193">
        <v>2600</v>
      </c>
      <c r="G10" s="192">
        <f t="shared" si="11"/>
        <v>103479.99999999999</v>
      </c>
      <c r="H10" s="76">
        <v>2</v>
      </c>
      <c r="I10" s="195">
        <v>17</v>
      </c>
      <c r="J10" s="18">
        <v>1500</v>
      </c>
      <c r="K10" s="9">
        <f t="shared" si="12"/>
        <v>88.235294117647058</v>
      </c>
      <c r="L10" s="195">
        <v>17</v>
      </c>
      <c r="M10" s="10">
        <f t="shared" si="13"/>
        <v>1380.5309734513273</v>
      </c>
      <c r="N10" s="9">
        <f t="shared" si="14"/>
        <v>81.207704320666309</v>
      </c>
      <c r="O10" s="11">
        <f t="shared" si="15"/>
        <v>0</v>
      </c>
      <c r="P10" s="12">
        <f t="shared" ref="P10:P12" si="17">N10-K10</f>
        <v>-7.0275897969807488</v>
      </c>
      <c r="Q10" s="197">
        <f t="shared" ref="Q10:Q12" si="18">N10/K10</f>
        <v>0.92035398230088483</v>
      </c>
      <c r="R10" s="533"/>
      <c r="S10" s="24">
        <v>0.27777777777777773</v>
      </c>
      <c r="T10" s="24">
        <v>0.35624999999999996</v>
      </c>
      <c r="U10" s="192">
        <f>(S10-T9)*24*60</f>
        <v>25.999999999999986</v>
      </c>
      <c r="V10" s="194">
        <f t="shared" si="16"/>
        <v>113</v>
      </c>
      <c r="W10" s="14"/>
      <c r="X10" s="14"/>
      <c r="Y10" s="528"/>
      <c r="Z10" s="528"/>
      <c r="AA10" s="11">
        <f t="shared" si="2"/>
        <v>-119.46902654867267</v>
      </c>
      <c r="AB10" s="197">
        <f t="shared" ref="AB10:AB27" si="19">M10/J10</f>
        <v>0.92035398230088483</v>
      </c>
      <c r="AC10" s="533"/>
    </row>
    <row r="11" spans="1:29" ht="15.75" customHeight="1">
      <c r="A11" s="531" t="s">
        <v>733</v>
      </c>
      <c r="B11" s="26" t="s">
        <v>15</v>
      </c>
      <c r="C11" s="558" t="s">
        <v>80</v>
      </c>
      <c r="D11" s="559"/>
      <c r="E11" s="26">
        <v>39.29</v>
      </c>
      <c r="F11" s="193">
        <v>3687</v>
      </c>
      <c r="G11" s="192">
        <f t="shared" si="11"/>
        <v>144862.23000000001</v>
      </c>
      <c r="H11" s="76" t="s">
        <v>52</v>
      </c>
      <c r="I11" s="195">
        <v>19</v>
      </c>
      <c r="J11" s="18">
        <v>1500</v>
      </c>
      <c r="K11" s="9">
        <f t="shared" si="12"/>
        <v>78.94736842105263</v>
      </c>
      <c r="L11" s="195">
        <v>19</v>
      </c>
      <c r="M11" s="10">
        <f t="shared" si="13"/>
        <v>1391.3207547169811</v>
      </c>
      <c r="N11" s="9">
        <f t="shared" si="14"/>
        <v>73.22740814299901</v>
      </c>
      <c r="O11" s="11">
        <f t="shared" si="15"/>
        <v>0</v>
      </c>
      <c r="P11" s="12">
        <f t="shared" si="17"/>
        <v>-5.7199602780536196</v>
      </c>
      <c r="Q11" s="197">
        <f t="shared" si="18"/>
        <v>0.92754716981132079</v>
      </c>
      <c r="R11" s="533"/>
      <c r="S11" s="24">
        <v>0.36111111111111105</v>
      </c>
      <c r="T11" s="24">
        <v>0.47152777777777771</v>
      </c>
      <c r="U11" s="192">
        <f t="shared" ref="U11:U12" si="20">(S11-T10)*24*60</f>
        <v>6.9999999999999751</v>
      </c>
      <c r="V11" s="194">
        <f t="shared" si="16"/>
        <v>159</v>
      </c>
      <c r="W11" s="14">
        <f>T11</f>
        <v>0.47152777777777771</v>
      </c>
      <c r="X11" s="14">
        <f>S12</f>
        <v>0.51111111111111096</v>
      </c>
      <c r="Y11" s="528"/>
      <c r="Z11" s="528"/>
      <c r="AA11" s="11">
        <f t="shared" si="2"/>
        <v>-108.67924528301887</v>
      </c>
      <c r="AB11" s="197">
        <f t="shared" si="19"/>
        <v>0.92754716981132079</v>
      </c>
      <c r="AC11" s="533"/>
    </row>
    <row r="12" spans="1:29" ht="15.75" customHeight="1">
      <c r="A12" s="531" t="s">
        <v>733</v>
      </c>
      <c r="B12" s="26" t="s">
        <v>15</v>
      </c>
      <c r="C12" s="558" t="s">
        <v>17</v>
      </c>
      <c r="D12" s="559"/>
      <c r="E12" s="26">
        <v>39.799999999999997</v>
      </c>
      <c r="F12" s="193">
        <v>3645</v>
      </c>
      <c r="G12" s="192">
        <f t="shared" si="11"/>
        <v>145071</v>
      </c>
      <c r="H12" s="76" t="s">
        <v>52</v>
      </c>
      <c r="I12" s="195">
        <v>17</v>
      </c>
      <c r="J12" s="18">
        <v>1500</v>
      </c>
      <c r="K12" s="9">
        <f t="shared" si="12"/>
        <v>88.235294117647058</v>
      </c>
      <c r="L12" s="195">
        <v>17</v>
      </c>
      <c r="M12" s="10">
        <f t="shared" si="13"/>
        <v>1384.1772151898742</v>
      </c>
      <c r="N12" s="9">
        <f t="shared" si="14"/>
        <v>81.422189128816129</v>
      </c>
      <c r="O12" s="11">
        <f t="shared" si="15"/>
        <v>0</v>
      </c>
      <c r="P12" s="12">
        <f t="shared" si="17"/>
        <v>-6.8131049888309292</v>
      </c>
      <c r="Q12" s="197">
        <f t="shared" si="18"/>
        <v>0.92278481012658276</v>
      </c>
      <c r="R12" s="533"/>
      <c r="S12" s="24">
        <v>0.51111111111111096</v>
      </c>
      <c r="T12" s="24">
        <v>0.62083333333333313</v>
      </c>
      <c r="U12" s="192">
        <f t="shared" si="20"/>
        <v>56.999999999999879</v>
      </c>
      <c r="V12" s="194">
        <f t="shared" si="16"/>
        <v>157.99999999999991</v>
      </c>
      <c r="W12" s="14"/>
      <c r="X12" s="14"/>
      <c r="Y12" s="528"/>
      <c r="Z12" s="528"/>
      <c r="AA12" s="11">
        <f t="shared" si="2"/>
        <v>-115.82278481012577</v>
      </c>
      <c r="AB12" s="197">
        <f t="shared" si="19"/>
        <v>0.92278481012658287</v>
      </c>
      <c r="AC12" s="533"/>
    </row>
    <row r="13" spans="1:29" ht="16.5" customHeight="1">
      <c r="A13" s="531" t="s">
        <v>733</v>
      </c>
      <c r="B13" s="26" t="s">
        <v>734</v>
      </c>
      <c r="C13" s="530"/>
      <c r="D13" s="530"/>
      <c r="E13" s="196"/>
      <c r="F13" s="18"/>
      <c r="G13" s="10"/>
      <c r="H13" s="193"/>
      <c r="I13" s="17">
        <v>18</v>
      </c>
      <c r="J13" s="18">
        <v>1500</v>
      </c>
      <c r="K13" s="9">
        <f>J13/I13</f>
        <v>83.333333333333329</v>
      </c>
      <c r="L13" s="17">
        <v>18</v>
      </c>
      <c r="M13" s="10">
        <f>AVERAGE(M9:M12)</f>
        <v>1385.9402255302675</v>
      </c>
      <c r="N13" s="9">
        <f>M13/L13</f>
        <v>76.996679196125967</v>
      </c>
      <c r="O13" s="11">
        <f>L13-I13</f>
        <v>0</v>
      </c>
      <c r="P13" s="12">
        <f>N13-K13</f>
        <v>-6.3366541372073613</v>
      </c>
      <c r="Q13" s="197">
        <f>N13/K13</f>
        <v>0.92396015035351164</v>
      </c>
      <c r="R13" s="533"/>
      <c r="S13" s="24"/>
      <c r="T13" s="24"/>
      <c r="U13" s="9"/>
      <c r="V13" s="194"/>
      <c r="W13" s="9"/>
      <c r="X13" s="9"/>
      <c r="Y13" s="528"/>
      <c r="Z13" s="528"/>
      <c r="AA13" s="11">
        <f t="shared" si="2"/>
        <v>-114.05977446973247</v>
      </c>
      <c r="AB13" s="197">
        <f t="shared" si="19"/>
        <v>0.92396015035351164</v>
      </c>
      <c r="AC13" s="533"/>
    </row>
    <row r="14" spans="1:29" ht="16.5" customHeight="1">
      <c r="A14" s="556" t="s">
        <v>735</v>
      </c>
      <c r="B14" s="193" t="s">
        <v>21</v>
      </c>
      <c r="C14" s="552" t="s">
        <v>19</v>
      </c>
      <c r="D14" s="552"/>
      <c r="E14" s="26">
        <v>41</v>
      </c>
      <c r="F14" s="193">
        <v>1882</v>
      </c>
      <c r="G14" s="192">
        <f t="shared" ref="G14:G17" si="21">E14*F14</f>
        <v>77162</v>
      </c>
      <c r="H14" s="76" t="s">
        <v>52</v>
      </c>
      <c r="I14" s="195">
        <v>26</v>
      </c>
      <c r="J14" s="18">
        <v>1500</v>
      </c>
      <c r="K14" s="9">
        <f>J14/I14</f>
        <v>57.692307692307693</v>
      </c>
      <c r="L14" s="195">
        <v>26</v>
      </c>
      <c r="M14" s="10">
        <f>F14/V14*60</f>
        <v>1394.0740740740735</v>
      </c>
      <c r="N14" s="9">
        <f t="shared" ref="N14:N26" si="22">M14/L14</f>
        <v>53.618233618233596</v>
      </c>
      <c r="O14" s="11">
        <f t="shared" ref="O14" si="23">L14-I14</f>
        <v>0</v>
      </c>
      <c r="P14" s="12">
        <f t="shared" ref="P14" si="24">N14-K14</f>
        <v>-4.0740740740740975</v>
      </c>
      <c r="Q14" s="197">
        <f>N14/K14</f>
        <v>0.92938271604938227</v>
      </c>
      <c r="R14" s="533">
        <f>Q18</f>
        <v>0.92779309736756566</v>
      </c>
      <c r="S14" s="24">
        <v>0.25</v>
      </c>
      <c r="T14" s="24">
        <v>0.30625000000000002</v>
      </c>
      <c r="U14" s="192"/>
      <c r="V14" s="194">
        <f>(T14-S14)*24*60</f>
        <v>81.000000000000028</v>
      </c>
      <c r="W14" s="15"/>
      <c r="X14" s="15"/>
      <c r="Y14" s="528"/>
      <c r="Z14" s="528"/>
      <c r="AA14" s="11">
        <f t="shared" si="2"/>
        <v>-105.92592592592655</v>
      </c>
      <c r="AB14" s="197">
        <f t="shared" si="19"/>
        <v>0.92938271604938227</v>
      </c>
      <c r="AC14" s="533">
        <f>AB18</f>
        <v>0.92779309736756554</v>
      </c>
    </row>
    <row r="15" spans="1:29" ht="16.5" customHeight="1">
      <c r="A15" s="557" t="s">
        <v>735</v>
      </c>
      <c r="B15" s="193" t="s">
        <v>15</v>
      </c>
      <c r="C15" s="552" t="s">
        <v>49</v>
      </c>
      <c r="D15" s="552"/>
      <c r="E15" s="26">
        <v>39.29</v>
      </c>
      <c r="F15" s="193">
        <v>3316</v>
      </c>
      <c r="G15" s="192">
        <f t="shared" si="21"/>
        <v>130285.64</v>
      </c>
      <c r="H15" s="76" t="s">
        <v>52</v>
      </c>
      <c r="I15" s="195">
        <v>16</v>
      </c>
      <c r="J15" s="18">
        <v>1500</v>
      </c>
      <c r="K15" s="9">
        <f>J15/I15</f>
        <v>93.75</v>
      </c>
      <c r="L15" s="195">
        <v>16</v>
      </c>
      <c r="M15" s="10">
        <f>F15/V15*60</f>
        <v>1391.3286713286716</v>
      </c>
      <c r="N15" s="9">
        <f t="shared" si="22"/>
        <v>86.958041958041974</v>
      </c>
      <c r="O15" s="11">
        <f>L15-I15</f>
        <v>0</v>
      </c>
      <c r="P15" s="12">
        <f>N15-K15</f>
        <v>-6.7919580419580257</v>
      </c>
      <c r="Q15" s="197">
        <f>N15/K15</f>
        <v>0.9275524475524477</v>
      </c>
      <c r="R15" s="533"/>
      <c r="S15" s="24">
        <v>0.31041666666666667</v>
      </c>
      <c r="T15" s="24">
        <v>0.40972222222222221</v>
      </c>
      <c r="U15" s="192">
        <f>IF(S15=TIME(17,0,0),"",(S15-T14)*24*60)</f>
        <v>5.9999999999999787</v>
      </c>
      <c r="V15" s="194">
        <f>(T15-S15)*24*60</f>
        <v>142.99999999999997</v>
      </c>
      <c r="W15" s="14"/>
      <c r="X15" s="14"/>
      <c r="Y15" s="528"/>
      <c r="Z15" s="528"/>
      <c r="AA15" s="11">
        <f t="shared" si="2"/>
        <v>-108.67132867132841</v>
      </c>
      <c r="AB15" s="197">
        <f t="shared" si="19"/>
        <v>0.9275524475524477</v>
      </c>
      <c r="AC15" s="533"/>
    </row>
    <row r="16" spans="1:29" ht="16.5" customHeight="1">
      <c r="A16" s="557" t="s">
        <v>735</v>
      </c>
      <c r="B16" s="193" t="s">
        <v>13</v>
      </c>
      <c r="C16" s="552" t="s">
        <v>57</v>
      </c>
      <c r="D16" s="552"/>
      <c r="E16" s="26">
        <v>50.98</v>
      </c>
      <c r="F16" s="193">
        <v>2897</v>
      </c>
      <c r="G16" s="192">
        <f t="shared" si="21"/>
        <v>147689.06</v>
      </c>
      <c r="H16" s="76" t="s">
        <v>52</v>
      </c>
      <c r="I16" s="195">
        <v>17</v>
      </c>
      <c r="J16" s="18">
        <v>2000</v>
      </c>
      <c r="K16" s="9">
        <f t="shared" ref="K16:K17" si="25">J16/I16</f>
        <v>117.64705882352941</v>
      </c>
      <c r="L16" s="195">
        <v>17</v>
      </c>
      <c r="M16" s="10">
        <f t="shared" ref="M16:M17" si="26">F16/V16*60</f>
        <v>1849.1489361702131</v>
      </c>
      <c r="N16" s="9">
        <f t="shared" si="22"/>
        <v>108.77346683354195</v>
      </c>
      <c r="O16" s="11">
        <f t="shared" ref="O16:O17" si="27">L16-I16</f>
        <v>0</v>
      </c>
      <c r="P16" s="12">
        <f t="shared" ref="P16:P17" si="28">N16-K16</f>
        <v>-8.8735919899874602</v>
      </c>
      <c r="Q16" s="197">
        <f t="shared" ref="Q16:Q26" si="29">N16/K16</f>
        <v>0.92457446808510657</v>
      </c>
      <c r="R16" s="533"/>
      <c r="S16" s="24">
        <v>0.70833333333333337</v>
      </c>
      <c r="T16" s="24">
        <v>0.77361111111111114</v>
      </c>
      <c r="U16" s="192" t="str">
        <f t="shared" ref="U16:U17" si="30">IF(S16=TIME(17,0,0),"",(S16-T15)*24*60)</f>
        <v/>
      </c>
      <c r="V16" s="194">
        <f t="shared" ref="V16:V17" si="31">(T16-S16)*24*60</f>
        <v>93.999999999999986</v>
      </c>
      <c r="W16" s="14"/>
      <c r="X16" s="14"/>
      <c r="Y16" s="528"/>
      <c r="Z16" s="528"/>
      <c r="AA16" s="11">
        <f t="shared" si="2"/>
        <v>-150.85106382978688</v>
      </c>
      <c r="AB16" s="197">
        <f t="shared" si="19"/>
        <v>0.92457446808510657</v>
      </c>
      <c r="AC16" s="533"/>
    </row>
    <row r="17" spans="1:29" ht="16.5" customHeight="1">
      <c r="A17" s="557" t="s">
        <v>735</v>
      </c>
      <c r="B17" s="193" t="s">
        <v>13</v>
      </c>
      <c r="C17" s="552" t="s">
        <v>54</v>
      </c>
      <c r="D17" s="552"/>
      <c r="E17" s="26">
        <v>50.92</v>
      </c>
      <c r="F17" s="193">
        <v>3131</v>
      </c>
      <c r="G17" s="192">
        <f t="shared" si="21"/>
        <v>159430.52000000002</v>
      </c>
      <c r="H17" s="76" t="s">
        <v>52</v>
      </c>
      <c r="I17" s="195">
        <v>16</v>
      </c>
      <c r="J17" s="18">
        <v>2000</v>
      </c>
      <c r="K17" s="9">
        <f t="shared" si="25"/>
        <v>125</v>
      </c>
      <c r="L17" s="195">
        <v>16</v>
      </c>
      <c r="M17" s="10">
        <f t="shared" si="26"/>
        <v>1860.0000000000009</v>
      </c>
      <c r="N17" s="9">
        <f t="shared" si="22"/>
        <v>116.25000000000006</v>
      </c>
      <c r="O17" s="11">
        <f t="shared" si="27"/>
        <v>0</v>
      </c>
      <c r="P17" s="12">
        <f t="shared" si="28"/>
        <v>-8.7499999999999432</v>
      </c>
      <c r="Q17" s="197">
        <f t="shared" si="29"/>
        <v>0.93000000000000049</v>
      </c>
      <c r="R17" s="533"/>
      <c r="S17" s="24">
        <v>0.77777777777777779</v>
      </c>
      <c r="T17" s="24">
        <v>0.84791666666666665</v>
      </c>
      <c r="U17" s="192">
        <f t="shared" si="30"/>
        <v>5.9999999999999787</v>
      </c>
      <c r="V17" s="194">
        <f t="shared" si="31"/>
        <v>100.99999999999996</v>
      </c>
      <c r="W17" s="14"/>
      <c r="X17" s="14"/>
      <c r="Y17" s="528"/>
      <c r="Z17" s="528"/>
      <c r="AA17" s="11">
        <f t="shared" si="2"/>
        <v>-139.99999999999909</v>
      </c>
      <c r="AB17" s="197">
        <f t="shared" si="19"/>
        <v>0.93000000000000049</v>
      </c>
      <c r="AC17" s="533"/>
    </row>
    <row r="18" spans="1:29" ht="16.5" customHeight="1">
      <c r="A18" s="557" t="s">
        <v>735</v>
      </c>
      <c r="B18" s="26" t="s">
        <v>734</v>
      </c>
      <c r="C18" s="530"/>
      <c r="D18" s="530"/>
      <c r="E18" s="196"/>
      <c r="F18" s="16"/>
      <c r="G18" s="9"/>
      <c r="H18" s="193"/>
      <c r="I18" s="17">
        <v>18.75</v>
      </c>
      <c r="J18" s="18">
        <v>1750</v>
      </c>
      <c r="K18" s="9">
        <f>J18/I18</f>
        <v>93.333333333333329</v>
      </c>
      <c r="L18" s="17">
        <v>18.75</v>
      </c>
      <c r="M18" s="10">
        <f>AVERAGE(M14:M17)</f>
        <v>1623.6379203932397</v>
      </c>
      <c r="N18" s="9">
        <f t="shared" si="22"/>
        <v>86.594022420972792</v>
      </c>
      <c r="O18" s="11">
        <f>L18-I18</f>
        <v>0</v>
      </c>
      <c r="P18" s="12">
        <f>N18-K18</f>
        <v>-6.739310912360537</v>
      </c>
      <c r="Q18" s="197">
        <f t="shared" si="29"/>
        <v>0.92779309736756566</v>
      </c>
      <c r="R18" s="533"/>
      <c r="S18" s="24"/>
      <c r="T18" s="24"/>
      <c r="U18" s="192"/>
      <c r="V18" s="194"/>
      <c r="W18" s="9"/>
      <c r="X18" s="9"/>
      <c r="Y18" s="528"/>
      <c r="Z18" s="528"/>
      <c r="AA18" s="11">
        <f t="shared" si="2"/>
        <v>-126.36207960676029</v>
      </c>
      <c r="AB18" s="197">
        <f t="shared" si="19"/>
        <v>0.92779309736756554</v>
      </c>
      <c r="AC18" s="533"/>
    </row>
    <row r="19" spans="1:29" ht="15.75" customHeight="1">
      <c r="A19" s="554" t="s">
        <v>375</v>
      </c>
      <c r="B19" s="26" t="s">
        <v>21</v>
      </c>
      <c r="C19" s="552" t="s">
        <v>22</v>
      </c>
      <c r="D19" s="552"/>
      <c r="E19" s="26">
        <v>43.14</v>
      </c>
      <c r="F19" s="193">
        <v>1186</v>
      </c>
      <c r="G19" s="192">
        <f t="shared" ref="G19:G26" si="32">E19*F19</f>
        <v>51164.04</v>
      </c>
      <c r="H19" s="76" t="s">
        <v>52</v>
      </c>
      <c r="I19" s="195">
        <v>17</v>
      </c>
      <c r="J19" s="18">
        <v>2000</v>
      </c>
      <c r="K19" s="9">
        <f t="shared" ref="K19:K27" si="33">J19/I19</f>
        <v>117.64705882352941</v>
      </c>
      <c r="L19" s="195">
        <v>17</v>
      </c>
      <c r="M19" s="10">
        <f t="shared" ref="M19:M26" si="34">F19/V19*60</f>
        <v>1872.6315789473692</v>
      </c>
      <c r="N19" s="9">
        <f t="shared" si="22"/>
        <v>110.15479876160995</v>
      </c>
      <c r="O19" s="11">
        <f t="shared" ref="O19:O26" si="35">L19-I19</f>
        <v>0</v>
      </c>
      <c r="P19" s="12">
        <f t="shared" ref="P19:P26" si="36">N19-K19</f>
        <v>-7.4922600619194526</v>
      </c>
      <c r="Q19" s="197">
        <f t="shared" si="29"/>
        <v>0.93631578947368466</v>
      </c>
      <c r="R19" s="533">
        <f>Q27</f>
        <v>0.92604451061656046</v>
      </c>
      <c r="S19" s="24">
        <v>0.20833333333333334</v>
      </c>
      <c r="T19" s="24">
        <v>0.23472222222222222</v>
      </c>
      <c r="U19" s="192"/>
      <c r="V19" s="194">
        <f>(T19-S19)*24*60</f>
        <v>37.999999999999986</v>
      </c>
      <c r="W19" s="15"/>
      <c r="X19" s="15"/>
      <c r="Y19" s="528"/>
      <c r="Z19" s="528"/>
      <c r="AA19" s="11">
        <f t="shared" si="2"/>
        <v>-127.36842105263077</v>
      </c>
      <c r="AB19" s="197">
        <f t="shared" si="19"/>
        <v>0.93631578947368466</v>
      </c>
      <c r="AC19" s="533">
        <f>AB27</f>
        <v>0.92604451061656046</v>
      </c>
    </row>
    <row r="20" spans="1:29" ht="15.75" customHeight="1">
      <c r="A20" s="555" t="s">
        <v>736</v>
      </c>
      <c r="B20" s="26" t="s">
        <v>13</v>
      </c>
      <c r="C20" s="552" t="s">
        <v>23</v>
      </c>
      <c r="D20" s="552"/>
      <c r="E20" s="26">
        <v>57.73</v>
      </c>
      <c r="F20" s="193">
        <v>2985</v>
      </c>
      <c r="G20" s="192">
        <f t="shared" si="32"/>
        <v>172324.05</v>
      </c>
      <c r="H20" s="76" t="s">
        <v>52</v>
      </c>
      <c r="I20" s="195">
        <v>16</v>
      </c>
      <c r="J20" s="18">
        <v>2000</v>
      </c>
      <c r="K20" s="9">
        <f t="shared" si="33"/>
        <v>125</v>
      </c>
      <c r="L20" s="195">
        <v>16</v>
      </c>
      <c r="M20" s="10">
        <f t="shared" si="34"/>
        <v>1846.3917525773195</v>
      </c>
      <c r="N20" s="9">
        <f t="shared" si="22"/>
        <v>115.39948453608247</v>
      </c>
      <c r="O20" s="11">
        <f t="shared" si="35"/>
        <v>0</v>
      </c>
      <c r="P20" s="12">
        <f t="shared" si="36"/>
        <v>-9.6005154639175316</v>
      </c>
      <c r="Q20" s="197">
        <f t="shared" si="29"/>
        <v>0.92319587628865973</v>
      </c>
      <c r="R20" s="533"/>
      <c r="S20" s="24">
        <v>0.24027777777777778</v>
      </c>
      <c r="T20" s="24">
        <v>0.30763888888888891</v>
      </c>
      <c r="U20" s="192">
        <f>IF(S20=TIME(17,0,0),"",(S20-T19)*24*60)</f>
        <v>8.0000000000000107</v>
      </c>
      <c r="V20" s="194">
        <f t="shared" ref="V20:V26" si="37">(T20-S20)*24*60</f>
        <v>97.000000000000014</v>
      </c>
      <c r="W20" s="14"/>
      <c r="X20" s="192"/>
      <c r="Y20" s="528"/>
      <c r="Z20" s="528"/>
      <c r="AA20" s="11">
        <f t="shared" si="2"/>
        <v>-153.60824742268051</v>
      </c>
      <c r="AB20" s="197">
        <f t="shared" si="19"/>
        <v>0.92319587628865973</v>
      </c>
      <c r="AC20" s="533"/>
    </row>
    <row r="21" spans="1:29" ht="15.75" customHeight="1">
      <c r="A21" s="555" t="s">
        <v>737</v>
      </c>
      <c r="B21" s="26" t="s">
        <v>13</v>
      </c>
      <c r="C21" s="552" t="s">
        <v>14</v>
      </c>
      <c r="D21" s="552"/>
      <c r="E21" s="26">
        <v>53.68</v>
      </c>
      <c r="F21" s="193">
        <v>1877</v>
      </c>
      <c r="G21" s="192">
        <f t="shared" si="32"/>
        <v>100757.36</v>
      </c>
      <c r="H21" s="76" t="s">
        <v>52</v>
      </c>
      <c r="I21" s="195">
        <v>17</v>
      </c>
      <c r="J21" s="18">
        <v>2000</v>
      </c>
      <c r="K21" s="9">
        <f t="shared" si="33"/>
        <v>117.64705882352941</v>
      </c>
      <c r="L21" s="195">
        <v>17</v>
      </c>
      <c r="M21" s="10">
        <f t="shared" si="34"/>
        <v>1846.2295081967206</v>
      </c>
      <c r="N21" s="9">
        <f t="shared" si="22"/>
        <v>108.60173577627768</v>
      </c>
      <c r="O21" s="11">
        <f t="shared" si="35"/>
        <v>0</v>
      </c>
      <c r="P21" s="12">
        <f t="shared" si="36"/>
        <v>-9.0453230472517276</v>
      </c>
      <c r="Q21" s="197">
        <f t="shared" si="29"/>
        <v>0.9231147540983603</v>
      </c>
      <c r="R21" s="533"/>
      <c r="S21" s="24">
        <v>0.3125</v>
      </c>
      <c r="T21" s="24">
        <v>0.35486111111111113</v>
      </c>
      <c r="U21" s="192">
        <f t="shared" ref="U21:U26" si="38">IF(S21=TIME(17,0,0),"",(S21-T20)*24*60)</f>
        <v>6.9999999999999751</v>
      </c>
      <c r="V21" s="194">
        <f t="shared" si="37"/>
        <v>61.000000000000021</v>
      </c>
      <c r="W21" s="14"/>
      <c r="X21" s="192"/>
      <c r="Y21" s="528"/>
      <c r="Z21" s="528"/>
      <c r="AA21" s="11">
        <f t="shared" si="2"/>
        <v>-153.77049180327936</v>
      </c>
      <c r="AB21" s="197">
        <f t="shared" si="19"/>
        <v>0.9231147540983603</v>
      </c>
      <c r="AC21" s="533"/>
    </row>
    <row r="22" spans="1:29" ht="15.75" customHeight="1">
      <c r="A22" s="555" t="s">
        <v>736</v>
      </c>
      <c r="B22" s="26" t="s">
        <v>13</v>
      </c>
      <c r="C22" s="552" t="s">
        <v>63</v>
      </c>
      <c r="D22" s="552"/>
      <c r="E22" s="26">
        <v>50.67</v>
      </c>
      <c r="F22" s="193">
        <v>1016</v>
      </c>
      <c r="G22" s="192">
        <f t="shared" si="32"/>
        <v>51480.72</v>
      </c>
      <c r="H22" s="76" t="s">
        <v>52</v>
      </c>
      <c r="I22" s="195">
        <v>16</v>
      </c>
      <c r="J22" s="18">
        <v>2000</v>
      </c>
      <c r="K22" s="9">
        <f t="shared" si="33"/>
        <v>125</v>
      </c>
      <c r="L22" s="195">
        <v>16</v>
      </c>
      <c r="M22" s="10">
        <f t="shared" si="34"/>
        <v>1847.2727272727293</v>
      </c>
      <c r="N22" s="9">
        <f t="shared" si="22"/>
        <v>115.45454545454558</v>
      </c>
      <c r="O22" s="11">
        <f t="shared" si="35"/>
        <v>0</v>
      </c>
      <c r="P22" s="12">
        <f t="shared" si="36"/>
        <v>-9.5454545454544188</v>
      </c>
      <c r="Q22" s="197">
        <f t="shared" si="29"/>
        <v>0.9236363636363647</v>
      </c>
      <c r="R22" s="533"/>
      <c r="S22" s="24">
        <v>0.35902777777777778</v>
      </c>
      <c r="T22" s="24">
        <v>0.38194444444444442</v>
      </c>
      <c r="U22" s="192">
        <f t="shared" si="38"/>
        <v>5.9999999999999787</v>
      </c>
      <c r="V22" s="194">
        <f t="shared" si="37"/>
        <v>32.999999999999964</v>
      </c>
      <c r="W22" s="14"/>
      <c r="X22" s="192"/>
      <c r="Y22" s="528"/>
      <c r="Z22" s="528"/>
      <c r="AA22" s="11">
        <f t="shared" si="2"/>
        <v>-152.7272727272707</v>
      </c>
      <c r="AB22" s="197">
        <f t="shared" si="19"/>
        <v>0.9236363636363647</v>
      </c>
      <c r="AC22" s="533"/>
    </row>
    <row r="23" spans="1:29" ht="15.75" customHeight="1">
      <c r="A23" s="555" t="s">
        <v>736</v>
      </c>
      <c r="B23" s="26" t="s">
        <v>13</v>
      </c>
      <c r="C23" s="552" t="s">
        <v>81</v>
      </c>
      <c r="D23" s="552"/>
      <c r="E23" s="26">
        <v>58.17</v>
      </c>
      <c r="F23" s="193">
        <v>2340</v>
      </c>
      <c r="G23" s="192">
        <f t="shared" si="32"/>
        <v>136117.80000000002</v>
      </c>
      <c r="H23" s="76" t="s">
        <v>52</v>
      </c>
      <c r="I23" s="195">
        <v>18</v>
      </c>
      <c r="J23" s="18">
        <v>2000</v>
      </c>
      <c r="K23" s="9">
        <f t="shared" si="33"/>
        <v>111.11111111111111</v>
      </c>
      <c r="L23" s="195">
        <v>18</v>
      </c>
      <c r="M23" s="10">
        <f t="shared" si="34"/>
        <v>1847.3684210526324</v>
      </c>
      <c r="N23" s="9">
        <f t="shared" si="22"/>
        <v>102.63157894736847</v>
      </c>
      <c r="O23" s="11">
        <f t="shared" si="35"/>
        <v>0</v>
      </c>
      <c r="P23" s="12">
        <f t="shared" si="36"/>
        <v>-8.4795321637426468</v>
      </c>
      <c r="Q23" s="197">
        <f t="shared" si="29"/>
        <v>0.92368421052631622</v>
      </c>
      <c r="R23" s="533"/>
      <c r="S23" s="24">
        <v>0.38541666666666663</v>
      </c>
      <c r="T23" s="24">
        <v>0.43819444444444439</v>
      </c>
      <c r="U23" s="192">
        <f t="shared" si="38"/>
        <v>4.9999999999999822</v>
      </c>
      <c r="V23" s="194">
        <f t="shared" si="37"/>
        <v>75.999999999999972</v>
      </c>
      <c r="W23" s="14"/>
      <c r="X23" s="192"/>
      <c r="Y23" s="528"/>
      <c r="Z23" s="528"/>
      <c r="AA23" s="11">
        <f t="shared" si="2"/>
        <v>-152.63157894736764</v>
      </c>
      <c r="AB23" s="197">
        <f t="shared" si="19"/>
        <v>0.92368421052631622</v>
      </c>
      <c r="AC23" s="533"/>
    </row>
    <row r="24" spans="1:29" ht="15.75" customHeight="1">
      <c r="A24" s="555" t="s">
        <v>736</v>
      </c>
      <c r="B24" s="26" t="s">
        <v>13</v>
      </c>
      <c r="C24" s="552" t="s">
        <v>85</v>
      </c>
      <c r="D24" s="552"/>
      <c r="E24" s="26">
        <v>54.09</v>
      </c>
      <c r="F24" s="193">
        <v>3395</v>
      </c>
      <c r="G24" s="192">
        <f t="shared" si="32"/>
        <v>183635.55000000002</v>
      </c>
      <c r="H24" s="76" t="s">
        <v>52</v>
      </c>
      <c r="I24" s="195">
        <v>20</v>
      </c>
      <c r="J24" s="18">
        <v>2000</v>
      </c>
      <c r="K24" s="9">
        <f t="shared" si="33"/>
        <v>100</v>
      </c>
      <c r="L24" s="195">
        <v>20</v>
      </c>
      <c r="M24" s="10">
        <f t="shared" si="34"/>
        <v>1851.8181818181831</v>
      </c>
      <c r="N24" s="9">
        <f t="shared" si="22"/>
        <v>92.59090909090915</v>
      </c>
      <c r="O24" s="11">
        <f t="shared" si="35"/>
        <v>0</v>
      </c>
      <c r="P24" s="12">
        <f t="shared" si="36"/>
        <v>-7.4090909090908497</v>
      </c>
      <c r="Q24" s="197">
        <f t="shared" si="29"/>
        <v>0.92590909090909146</v>
      </c>
      <c r="R24" s="533"/>
      <c r="S24" s="24">
        <v>0.70833333333333337</v>
      </c>
      <c r="T24" s="24">
        <v>0.78472222222222221</v>
      </c>
      <c r="U24" s="192" t="str">
        <f t="shared" si="38"/>
        <v/>
      </c>
      <c r="V24" s="194">
        <f t="shared" si="37"/>
        <v>109.99999999999993</v>
      </c>
      <c r="W24" s="14"/>
      <c r="X24" s="15"/>
      <c r="Y24" s="528"/>
      <c r="Z24" s="528"/>
      <c r="AA24" s="11">
        <f t="shared" si="2"/>
        <v>-148.18181818181688</v>
      </c>
      <c r="AB24" s="197">
        <f t="shared" si="19"/>
        <v>0.92590909090909157</v>
      </c>
      <c r="AC24" s="533"/>
    </row>
    <row r="25" spans="1:29" ht="15.75" customHeight="1">
      <c r="A25" s="555" t="s">
        <v>736</v>
      </c>
      <c r="B25" s="26" t="s">
        <v>13</v>
      </c>
      <c r="C25" s="552" t="s">
        <v>56</v>
      </c>
      <c r="D25" s="552"/>
      <c r="E25" s="26">
        <v>53.27</v>
      </c>
      <c r="F25" s="193">
        <v>492</v>
      </c>
      <c r="G25" s="192">
        <f t="shared" si="32"/>
        <v>26208.84</v>
      </c>
      <c r="H25" s="76" t="s">
        <v>52</v>
      </c>
      <c r="I25" s="195">
        <v>15</v>
      </c>
      <c r="J25" s="18">
        <v>2000</v>
      </c>
      <c r="K25" s="9">
        <f t="shared" si="33"/>
        <v>133.33333333333334</v>
      </c>
      <c r="L25" s="195">
        <v>15</v>
      </c>
      <c r="M25" s="10">
        <f t="shared" si="34"/>
        <v>1845.0000000000066</v>
      </c>
      <c r="N25" s="9">
        <f t="shared" si="22"/>
        <v>123.00000000000044</v>
      </c>
      <c r="O25" s="11">
        <f t="shared" si="35"/>
        <v>0</v>
      </c>
      <c r="P25" s="12">
        <f t="shared" si="36"/>
        <v>-10.333333333332902</v>
      </c>
      <c r="Q25" s="197">
        <f t="shared" si="29"/>
        <v>0.92250000000000321</v>
      </c>
      <c r="R25" s="533"/>
      <c r="S25" s="24">
        <v>0.78819444444444442</v>
      </c>
      <c r="T25" s="24">
        <v>0.79930555555555549</v>
      </c>
      <c r="U25" s="192">
        <f t="shared" si="38"/>
        <v>4.9999999999999822</v>
      </c>
      <c r="V25" s="194">
        <f t="shared" si="37"/>
        <v>15.999999999999943</v>
      </c>
      <c r="W25" s="14"/>
      <c r="X25" s="15"/>
      <c r="Y25" s="536"/>
      <c r="Z25" s="537"/>
      <c r="AA25" s="11">
        <f t="shared" si="2"/>
        <v>-154.99999999999341</v>
      </c>
      <c r="AB25" s="197">
        <f t="shared" si="19"/>
        <v>0.92250000000000332</v>
      </c>
      <c r="AC25" s="533"/>
    </row>
    <row r="26" spans="1:29" ht="15.75" customHeight="1">
      <c r="A26" s="555" t="s">
        <v>736</v>
      </c>
      <c r="B26" s="26" t="s">
        <v>13</v>
      </c>
      <c r="C26" s="584" t="s">
        <v>83</v>
      </c>
      <c r="D26" s="585"/>
      <c r="E26" s="26">
        <v>49.91</v>
      </c>
      <c r="F26" s="193">
        <v>496</v>
      </c>
      <c r="G26" s="192">
        <f t="shared" si="32"/>
        <v>24755.359999999997</v>
      </c>
      <c r="H26" s="76" t="s">
        <v>52</v>
      </c>
      <c r="I26" s="195">
        <v>16</v>
      </c>
      <c r="J26" s="18">
        <v>2000</v>
      </c>
      <c r="K26" s="9">
        <f t="shared" si="33"/>
        <v>125</v>
      </c>
      <c r="L26" s="195">
        <v>16</v>
      </c>
      <c r="M26" s="10">
        <f t="shared" si="34"/>
        <v>1860.0000000000066</v>
      </c>
      <c r="N26" s="9">
        <f t="shared" si="22"/>
        <v>116.25000000000041</v>
      </c>
      <c r="O26" s="11">
        <f t="shared" si="35"/>
        <v>0</v>
      </c>
      <c r="P26" s="12">
        <f t="shared" si="36"/>
        <v>-8.7499999999995879</v>
      </c>
      <c r="Q26" s="197">
        <f t="shared" si="29"/>
        <v>0.93000000000000327</v>
      </c>
      <c r="R26" s="533"/>
      <c r="S26" s="24">
        <v>0.80486111111111103</v>
      </c>
      <c r="T26" s="24">
        <v>0.8159722222222221</v>
      </c>
      <c r="U26" s="192">
        <f t="shared" si="38"/>
        <v>7.9999999999999716</v>
      </c>
      <c r="V26" s="194">
        <f t="shared" si="37"/>
        <v>15.999999999999943</v>
      </c>
      <c r="W26" s="14"/>
      <c r="X26" s="14"/>
      <c r="Y26" s="536"/>
      <c r="Z26" s="537"/>
      <c r="AA26" s="11">
        <f t="shared" si="2"/>
        <v>-139.99999999999341</v>
      </c>
      <c r="AB26" s="197">
        <f t="shared" si="19"/>
        <v>0.93000000000000327</v>
      </c>
      <c r="AC26" s="533"/>
    </row>
    <row r="27" spans="1:29" ht="15.75" customHeight="1">
      <c r="A27" s="555" t="s">
        <v>736</v>
      </c>
      <c r="B27" s="26" t="s">
        <v>734</v>
      </c>
      <c r="C27" s="530"/>
      <c r="D27" s="530"/>
      <c r="E27" s="196"/>
      <c r="F27" s="193"/>
      <c r="G27" s="192"/>
      <c r="H27" s="193"/>
      <c r="I27" s="17">
        <v>16.875</v>
      </c>
      <c r="J27" s="18">
        <v>2000</v>
      </c>
      <c r="K27" s="9">
        <f t="shared" si="33"/>
        <v>118.51851851851852</v>
      </c>
      <c r="L27" s="17">
        <v>16.875</v>
      </c>
      <c r="M27" s="10">
        <f>AVERAGE(M19:M26)</f>
        <v>1852.089021233121</v>
      </c>
      <c r="N27" s="9">
        <f>M27/L27</f>
        <v>109.75342348048125</v>
      </c>
      <c r="O27" s="11">
        <f>L27-I27</f>
        <v>0</v>
      </c>
      <c r="P27" s="12">
        <f>N27-K27</f>
        <v>-8.7650950380372734</v>
      </c>
      <c r="Q27" s="197">
        <f>N27/K27</f>
        <v>0.92604451061656046</v>
      </c>
      <c r="R27" s="533"/>
      <c r="S27" s="24"/>
      <c r="T27" s="24"/>
      <c r="U27" s="9"/>
      <c r="V27" s="194"/>
      <c r="W27" s="9"/>
      <c r="X27" s="9"/>
      <c r="Y27" s="528"/>
      <c r="Z27" s="528"/>
      <c r="AA27" s="11">
        <f t="shared" si="2"/>
        <v>-147.910978766879</v>
      </c>
      <c r="AB27" s="197">
        <f t="shared" si="19"/>
        <v>0.92604451061656046</v>
      </c>
      <c r="AC27" s="533"/>
    </row>
    <row r="28" spans="1:29" ht="15.75" customHeight="1">
      <c r="A28" s="553" t="s">
        <v>738</v>
      </c>
      <c r="B28" s="26" t="s">
        <v>24</v>
      </c>
      <c r="C28" s="552" t="s">
        <v>26</v>
      </c>
      <c r="D28" s="552"/>
      <c r="E28" s="26">
        <v>26.2</v>
      </c>
      <c r="F28" s="193">
        <v>3703</v>
      </c>
      <c r="G28" s="192">
        <f t="shared" ref="G28:G33" si="39">E28*F28</f>
        <v>97018.599999999991</v>
      </c>
      <c r="H28" s="76" t="s">
        <v>52</v>
      </c>
      <c r="I28" s="195">
        <v>20</v>
      </c>
      <c r="J28" s="18">
        <v>2400</v>
      </c>
      <c r="K28" s="9">
        <f>J28/I28</f>
        <v>120</v>
      </c>
      <c r="L28" s="195">
        <v>20</v>
      </c>
      <c r="M28" s="10">
        <f t="shared" ref="M28:M33" si="40">F28/V28*60</f>
        <v>2221.7999999999997</v>
      </c>
      <c r="N28" s="9">
        <f t="shared" ref="N28:N33" si="41">M28/L28</f>
        <v>111.08999999999999</v>
      </c>
      <c r="O28" s="11">
        <f t="shared" ref="O28:O33" si="42">L28-I28</f>
        <v>0</v>
      </c>
      <c r="P28" s="12">
        <f t="shared" ref="P28:P33" si="43">N28-K28</f>
        <v>-8.9100000000000108</v>
      </c>
      <c r="Q28" s="197">
        <f t="shared" ref="Q28:Q33" si="44">N28/K28</f>
        <v>0.92574999999999996</v>
      </c>
      <c r="R28" s="533">
        <f>Q34</f>
        <v>0.92334649162313098</v>
      </c>
      <c r="S28" s="24">
        <v>8.3333333333333329E-2</v>
      </c>
      <c r="T28" s="24">
        <v>0.15277777777777779</v>
      </c>
      <c r="U28" s="192"/>
      <c r="V28" s="194">
        <f t="shared" ref="V28:V33" si="45">(T28-S28)*24*60</f>
        <v>100.00000000000001</v>
      </c>
      <c r="W28" s="14">
        <f>T28</f>
        <v>0.15277777777777779</v>
      </c>
      <c r="X28" s="14">
        <f>S29</f>
        <v>0.17152777777777778</v>
      </c>
      <c r="Y28" s="528"/>
      <c r="Z28" s="528"/>
      <c r="AA28" s="11">
        <f t="shared" si="2"/>
        <v>-178.20000000000027</v>
      </c>
      <c r="AB28" s="197">
        <f>M28/J28</f>
        <v>0.92574999999999985</v>
      </c>
      <c r="AC28" s="533">
        <f>AB34</f>
        <v>0.92334649162313098</v>
      </c>
    </row>
    <row r="29" spans="1:29" ht="15.75" customHeight="1">
      <c r="A29" s="553" t="s">
        <v>377</v>
      </c>
      <c r="B29" s="26" t="s">
        <v>24</v>
      </c>
      <c r="C29" s="552" t="s">
        <v>79</v>
      </c>
      <c r="D29" s="552"/>
      <c r="E29" s="26">
        <v>31.29</v>
      </c>
      <c r="F29" s="193">
        <v>4500</v>
      </c>
      <c r="G29" s="192">
        <f t="shared" si="39"/>
        <v>140805</v>
      </c>
      <c r="H29" s="76">
        <v>2</v>
      </c>
      <c r="I29" s="195">
        <v>16</v>
      </c>
      <c r="J29" s="18">
        <v>2400</v>
      </c>
      <c r="K29" s="9">
        <f t="shared" ref="K29:K34" si="46">J29/I29</f>
        <v>150</v>
      </c>
      <c r="L29" s="195">
        <v>16</v>
      </c>
      <c r="M29" s="10">
        <f t="shared" si="40"/>
        <v>2213.1147540983611</v>
      </c>
      <c r="N29" s="9">
        <f t="shared" si="41"/>
        <v>138.31967213114757</v>
      </c>
      <c r="O29" s="11">
        <f t="shared" si="42"/>
        <v>0</v>
      </c>
      <c r="P29" s="12">
        <f t="shared" si="43"/>
        <v>-11.68032786885243</v>
      </c>
      <c r="Q29" s="197">
        <f t="shared" si="44"/>
        <v>0.9221311475409838</v>
      </c>
      <c r="R29" s="533"/>
      <c r="S29" s="24">
        <v>0.17152777777777778</v>
      </c>
      <c r="T29" s="24">
        <v>0.25624999999999998</v>
      </c>
      <c r="U29" s="192">
        <f>(S29-T28)*24*60</f>
        <v>26.999999999999986</v>
      </c>
      <c r="V29" s="194">
        <f t="shared" si="45"/>
        <v>121.99999999999997</v>
      </c>
      <c r="W29" s="14"/>
      <c r="X29" s="14"/>
      <c r="Y29" s="528"/>
      <c r="Z29" s="528"/>
      <c r="AA29" s="11">
        <f t="shared" si="2"/>
        <v>-186.88524590163888</v>
      </c>
      <c r="AB29" s="197">
        <f t="shared" ref="AB29:AB33" si="47">M29/J29</f>
        <v>0.9221311475409838</v>
      </c>
      <c r="AC29" s="533"/>
    </row>
    <row r="30" spans="1:29" ht="15.75" customHeight="1">
      <c r="A30" s="553" t="s">
        <v>738</v>
      </c>
      <c r="B30" s="26" t="s">
        <v>24</v>
      </c>
      <c r="C30" s="552" t="s">
        <v>68</v>
      </c>
      <c r="D30" s="552"/>
      <c r="E30" s="26">
        <v>24.25</v>
      </c>
      <c r="F30" s="193">
        <v>4803</v>
      </c>
      <c r="G30" s="192">
        <f t="shared" si="39"/>
        <v>116472.75</v>
      </c>
      <c r="H30" s="76" t="s">
        <v>52</v>
      </c>
      <c r="I30" s="195">
        <v>18</v>
      </c>
      <c r="J30" s="18">
        <v>2400</v>
      </c>
      <c r="K30" s="9">
        <f t="shared" si="46"/>
        <v>133.33333333333334</v>
      </c>
      <c r="L30" s="195">
        <v>18</v>
      </c>
      <c r="M30" s="10">
        <f t="shared" si="40"/>
        <v>2216.7692307692305</v>
      </c>
      <c r="N30" s="9">
        <f t="shared" si="41"/>
        <v>123.15384615384613</v>
      </c>
      <c r="O30" s="11">
        <f t="shared" si="42"/>
        <v>0</v>
      </c>
      <c r="P30" s="12">
        <f t="shared" si="43"/>
        <v>-10.179487179487211</v>
      </c>
      <c r="Q30" s="197">
        <f t="shared" si="44"/>
        <v>0.92365384615384594</v>
      </c>
      <c r="R30" s="533"/>
      <c r="S30" s="24">
        <v>0.25972222222222219</v>
      </c>
      <c r="T30" s="24">
        <v>0.35</v>
      </c>
      <c r="U30" s="192">
        <f t="shared" ref="U30:U33" si="48">(S30-T29)*24*60</f>
        <v>4.9999999999999822</v>
      </c>
      <c r="V30" s="194">
        <f t="shared" si="45"/>
        <v>130.00000000000003</v>
      </c>
      <c r="W30" s="14"/>
      <c r="X30" s="14"/>
      <c r="Y30" s="528"/>
      <c r="Z30" s="528"/>
      <c r="AA30" s="11">
        <f t="shared" si="2"/>
        <v>-183.23076923076951</v>
      </c>
      <c r="AB30" s="197">
        <f t="shared" si="47"/>
        <v>0.92365384615384605</v>
      </c>
      <c r="AC30" s="533"/>
    </row>
    <row r="31" spans="1:29" ht="15.75" customHeight="1">
      <c r="A31" s="553" t="s">
        <v>738</v>
      </c>
      <c r="B31" s="26" t="s">
        <v>24</v>
      </c>
      <c r="C31" s="552" t="s">
        <v>328</v>
      </c>
      <c r="D31" s="552"/>
      <c r="E31" s="26">
        <v>25.98</v>
      </c>
      <c r="F31" s="193">
        <v>4142</v>
      </c>
      <c r="G31" s="192">
        <f t="shared" si="39"/>
        <v>107609.16</v>
      </c>
      <c r="H31" s="76" t="s">
        <v>52</v>
      </c>
      <c r="I31" s="195">
        <v>17</v>
      </c>
      <c r="J31" s="18">
        <v>2400</v>
      </c>
      <c r="K31" s="9">
        <f t="shared" si="46"/>
        <v>141.1764705882353</v>
      </c>
      <c r="L31" s="195">
        <v>17</v>
      </c>
      <c r="M31" s="10">
        <f t="shared" si="40"/>
        <v>2218.9285714285711</v>
      </c>
      <c r="N31" s="9">
        <f t="shared" si="41"/>
        <v>130.5252100840336</v>
      </c>
      <c r="O31" s="11">
        <f t="shared" si="42"/>
        <v>0</v>
      </c>
      <c r="P31" s="12">
        <f t="shared" si="43"/>
        <v>-10.651260504201701</v>
      </c>
      <c r="Q31" s="197">
        <f t="shared" si="44"/>
        <v>0.92455357142857131</v>
      </c>
      <c r="R31" s="533"/>
      <c r="S31" s="24">
        <v>0.35416666666666663</v>
      </c>
      <c r="T31" s="24">
        <v>0.43194444444444441</v>
      </c>
      <c r="U31" s="192">
        <f t="shared" si="48"/>
        <v>5.9999999999999787</v>
      </c>
      <c r="V31" s="194">
        <f t="shared" si="45"/>
        <v>112</v>
      </c>
      <c r="W31" s="14"/>
      <c r="X31" s="14"/>
      <c r="Y31" s="528"/>
      <c r="Z31" s="528"/>
      <c r="AA31" s="11">
        <f t="shared" si="2"/>
        <v>-181.0714285714289</v>
      </c>
      <c r="AB31" s="197">
        <f t="shared" si="47"/>
        <v>0.92455357142857131</v>
      </c>
      <c r="AC31" s="533"/>
    </row>
    <row r="32" spans="1:29" ht="15.75" customHeight="1">
      <c r="A32" s="553" t="s">
        <v>738</v>
      </c>
      <c r="B32" s="26" t="s">
        <v>24</v>
      </c>
      <c r="C32" s="552" t="s">
        <v>62</v>
      </c>
      <c r="D32" s="552"/>
      <c r="E32" s="26">
        <v>22.35</v>
      </c>
      <c r="F32" s="193">
        <v>1915</v>
      </c>
      <c r="G32" s="192">
        <f t="shared" si="39"/>
        <v>42800.25</v>
      </c>
      <c r="H32" s="76" t="s">
        <v>52</v>
      </c>
      <c r="I32" s="195">
        <v>16</v>
      </c>
      <c r="J32" s="18">
        <v>2400</v>
      </c>
      <c r="K32" s="9">
        <f t="shared" si="46"/>
        <v>150</v>
      </c>
      <c r="L32" s="195">
        <v>16</v>
      </c>
      <c r="M32" s="10">
        <f t="shared" si="40"/>
        <v>2209.6153846153857</v>
      </c>
      <c r="N32" s="9">
        <f t="shared" si="41"/>
        <v>138.1009615384616</v>
      </c>
      <c r="O32" s="11">
        <f t="shared" si="42"/>
        <v>0</v>
      </c>
      <c r="P32" s="12">
        <f t="shared" si="43"/>
        <v>-11.899038461538396</v>
      </c>
      <c r="Q32" s="197">
        <f t="shared" si="44"/>
        <v>0.92067307692307732</v>
      </c>
      <c r="R32" s="533"/>
      <c r="S32" s="24">
        <v>0.4368055555555555</v>
      </c>
      <c r="T32" s="24">
        <v>0.4729166666666666</v>
      </c>
      <c r="U32" s="192">
        <f t="shared" si="48"/>
        <v>6.9999999999999751</v>
      </c>
      <c r="V32" s="194">
        <f t="shared" si="45"/>
        <v>51.999999999999972</v>
      </c>
      <c r="W32" s="14">
        <f>T32</f>
        <v>0.4729166666666666</v>
      </c>
      <c r="X32" s="14">
        <f>S33</f>
        <v>0.51458333333333328</v>
      </c>
      <c r="Y32" s="528"/>
      <c r="Z32" s="528"/>
      <c r="AA32" s="11">
        <f t="shared" si="2"/>
        <v>-190.38461538461434</v>
      </c>
      <c r="AB32" s="197">
        <f t="shared" si="47"/>
        <v>0.92067307692307732</v>
      </c>
      <c r="AC32" s="533"/>
    </row>
    <row r="33" spans="1:29" ht="15.75" customHeight="1">
      <c r="A33" s="553" t="s">
        <v>738</v>
      </c>
      <c r="B33" s="26" t="s">
        <v>24</v>
      </c>
      <c r="C33" s="552" t="s">
        <v>79</v>
      </c>
      <c r="D33" s="552"/>
      <c r="E33" s="26">
        <v>31.29</v>
      </c>
      <c r="F33" s="193">
        <v>3841</v>
      </c>
      <c r="G33" s="192">
        <f t="shared" si="39"/>
        <v>120184.89</v>
      </c>
      <c r="H33" s="76" t="s">
        <v>52</v>
      </c>
      <c r="I33" s="195">
        <v>16</v>
      </c>
      <c r="J33" s="18">
        <v>2400</v>
      </c>
      <c r="K33" s="9">
        <f t="shared" si="46"/>
        <v>150</v>
      </c>
      <c r="L33" s="195">
        <v>16</v>
      </c>
      <c r="M33" s="10">
        <f t="shared" si="40"/>
        <v>2215.9615384615395</v>
      </c>
      <c r="N33" s="9">
        <f t="shared" si="41"/>
        <v>138.49759615384622</v>
      </c>
      <c r="O33" s="11">
        <f t="shared" si="42"/>
        <v>0</v>
      </c>
      <c r="P33" s="12">
        <f t="shared" si="43"/>
        <v>-11.502403846153783</v>
      </c>
      <c r="Q33" s="197">
        <f t="shared" si="44"/>
        <v>0.92331730769230813</v>
      </c>
      <c r="R33" s="533"/>
      <c r="S33" s="24">
        <v>0.51458333333333328</v>
      </c>
      <c r="T33" s="24">
        <v>0.58680555555555547</v>
      </c>
      <c r="U33" s="192">
        <f t="shared" si="48"/>
        <v>60.000000000000028</v>
      </c>
      <c r="V33" s="194">
        <f t="shared" si="45"/>
        <v>103.99999999999994</v>
      </c>
      <c r="W33" s="14"/>
      <c r="X33" s="14"/>
      <c r="Y33" s="528"/>
      <c r="Z33" s="528"/>
      <c r="AA33" s="11">
        <f t="shared" si="2"/>
        <v>-184.03846153846052</v>
      </c>
      <c r="AB33" s="197">
        <f t="shared" si="47"/>
        <v>0.92331730769230813</v>
      </c>
      <c r="AC33" s="533"/>
    </row>
    <row r="34" spans="1:29" ht="15.75" customHeight="1">
      <c r="A34" s="553" t="s">
        <v>738</v>
      </c>
      <c r="B34" s="26" t="s">
        <v>734</v>
      </c>
      <c r="C34" s="530"/>
      <c r="D34" s="530"/>
      <c r="E34" s="196"/>
      <c r="F34" s="193"/>
      <c r="G34" s="192"/>
      <c r="H34" s="193"/>
      <c r="I34" s="17">
        <v>17.166666666666668</v>
      </c>
      <c r="J34" s="18">
        <v>2400</v>
      </c>
      <c r="K34" s="9">
        <f t="shared" si="46"/>
        <v>139.80582524271844</v>
      </c>
      <c r="L34" s="17">
        <v>17.166666666666668</v>
      </c>
      <c r="M34" s="10">
        <f>AVERAGE(M28:M33)</f>
        <v>2216.0315798955144</v>
      </c>
      <c r="N34" s="9">
        <f>M34/L34</f>
        <v>129.08921824634064</v>
      </c>
      <c r="O34" s="11">
        <f>L34-I34</f>
        <v>0</v>
      </c>
      <c r="P34" s="12">
        <f>N34-K34</f>
        <v>-10.716606996377806</v>
      </c>
      <c r="Q34" s="197">
        <f>N34/K34</f>
        <v>0.92334649162313098</v>
      </c>
      <c r="R34" s="533"/>
      <c r="S34" s="24"/>
      <c r="T34" s="24"/>
      <c r="U34" s="192"/>
      <c r="V34" s="194"/>
      <c r="W34" s="192"/>
      <c r="X34" s="192"/>
      <c r="Y34" s="528"/>
      <c r="Z34" s="528"/>
      <c r="AA34" s="11">
        <f t="shared" si="2"/>
        <v>-183.96842010448563</v>
      </c>
      <c r="AB34" s="197">
        <f>M34/J34</f>
        <v>0.92334649162313098</v>
      </c>
      <c r="AC34" s="533"/>
    </row>
    <row r="35" spans="1:29" ht="15.75" customHeight="1">
      <c r="A35" s="550" t="s">
        <v>739</v>
      </c>
      <c r="B35" s="26" t="s">
        <v>24</v>
      </c>
      <c r="C35" s="529" t="s">
        <v>28</v>
      </c>
      <c r="D35" s="529"/>
      <c r="E35" s="26">
        <v>26.2</v>
      </c>
      <c r="F35" s="193">
        <v>2700</v>
      </c>
      <c r="G35" s="192">
        <f t="shared" ref="G35:G41" si="49">E35*F35</f>
        <v>70740</v>
      </c>
      <c r="H35" s="76">
        <v>2</v>
      </c>
      <c r="I35" s="195">
        <v>18</v>
      </c>
      <c r="J35" s="18">
        <v>2400</v>
      </c>
      <c r="K35" s="9">
        <f>J35/I35</f>
        <v>133.33333333333334</v>
      </c>
      <c r="L35" s="195">
        <v>18</v>
      </c>
      <c r="M35" s="10">
        <f>F35/V35*60</f>
        <v>2219.178082191781</v>
      </c>
      <c r="N35" s="9">
        <f>M35/L35</f>
        <v>123.28767123287672</v>
      </c>
      <c r="O35" s="11">
        <f t="shared" ref="O35:O41" si="50">L35-I35</f>
        <v>0</v>
      </c>
      <c r="P35" s="12">
        <f t="shared" ref="P35:P50" si="51">N35-K35</f>
        <v>-10.045662100456624</v>
      </c>
      <c r="Q35" s="197">
        <f t="shared" ref="Q35:Q46" si="52">N35/K35</f>
        <v>0.92465753424657537</v>
      </c>
      <c r="R35" s="533">
        <f>Q42</f>
        <v>0.92559050972588031</v>
      </c>
      <c r="S35" s="24">
        <v>8.3333333333333329E-2</v>
      </c>
      <c r="T35" s="24">
        <v>0.13402777777777777</v>
      </c>
      <c r="U35" s="192"/>
      <c r="V35" s="194">
        <f t="shared" ref="V35:V41" si="53">(T35-S35)*24*60</f>
        <v>73</v>
      </c>
      <c r="W35" s="15">
        <f>T35</f>
        <v>0.13402777777777777</v>
      </c>
      <c r="X35" s="15">
        <f>S36</f>
        <v>0.15486111111111112</v>
      </c>
      <c r="Y35" s="528"/>
      <c r="Z35" s="528"/>
      <c r="AA35" s="11">
        <f t="shared" si="2"/>
        <v>-180.82191780821904</v>
      </c>
      <c r="AB35" s="197">
        <f>M35/J35</f>
        <v>0.92465753424657537</v>
      </c>
      <c r="AC35" s="533">
        <f>AB42</f>
        <v>0.92559050972588031</v>
      </c>
    </row>
    <row r="36" spans="1:29" ht="15.75" customHeight="1">
      <c r="A36" s="550" t="s">
        <v>739</v>
      </c>
      <c r="B36" s="26" t="s">
        <v>24</v>
      </c>
      <c r="C36" s="529" t="s">
        <v>30</v>
      </c>
      <c r="D36" s="529"/>
      <c r="E36" s="26">
        <v>24.45</v>
      </c>
      <c r="F36" s="193">
        <v>2073</v>
      </c>
      <c r="G36" s="192">
        <f t="shared" si="49"/>
        <v>50684.85</v>
      </c>
      <c r="H36" s="76" t="s">
        <v>52</v>
      </c>
      <c r="I36" s="195">
        <v>20</v>
      </c>
      <c r="J36" s="18">
        <v>2400</v>
      </c>
      <c r="K36" s="9">
        <f t="shared" ref="K36:K49" si="54">J36/I36</f>
        <v>120</v>
      </c>
      <c r="L36" s="195">
        <v>20</v>
      </c>
      <c r="M36" s="10">
        <f t="shared" ref="M36:M41" si="55">F36/V36*60</f>
        <v>2221.0714285714289</v>
      </c>
      <c r="N36" s="9">
        <f t="shared" ref="N36:N41" si="56">M36/L36</f>
        <v>111.05357142857144</v>
      </c>
      <c r="O36" s="11">
        <f t="shared" si="50"/>
        <v>0</v>
      </c>
      <c r="P36" s="12">
        <f t="shared" si="51"/>
        <v>-8.9464285714285552</v>
      </c>
      <c r="Q36" s="197">
        <f t="shared" si="52"/>
        <v>0.92544642857142867</v>
      </c>
      <c r="R36" s="533"/>
      <c r="S36" s="24">
        <v>0.15486111111111112</v>
      </c>
      <c r="T36" s="24">
        <v>0.19375000000000001</v>
      </c>
      <c r="U36" s="192">
        <f>(S36-T35)*24*60</f>
        <v>30.000000000000014</v>
      </c>
      <c r="V36" s="194">
        <f t="shared" si="53"/>
        <v>56</v>
      </c>
      <c r="W36" s="192"/>
      <c r="X36" s="192"/>
      <c r="Y36" s="528"/>
      <c r="Z36" s="528"/>
      <c r="AA36" s="11">
        <f t="shared" si="2"/>
        <v>-178.9285714285711</v>
      </c>
      <c r="AB36" s="197">
        <f t="shared" ref="AB36:AB63" si="57">M36/J36</f>
        <v>0.92544642857142867</v>
      </c>
      <c r="AC36" s="533"/>
    </row>
    <row r="37" spans="1:29">
      <c r="A37" s="551" t="s">
        <v>739</v>
      </c>
      <c r="B37" s="26" t="s">
        <v>24</v>
      </c>
      <c r="C37" s="529" t="s">
        <v>31</v>
      </c>
      <c r="D37" s="529"/>
      <c r="E37" s="26">
        <v>26.2</v>
      </c>
      <c r="F37" s="193">
        <v>2960</v>
      </c>
      <c r="G37" s="192">
        <f t="shared" si="49"/>
        <v>77552</v>
      </c>
      <c r="H37" s="76" t="s">
        <v>52</v>
      </c>
      <c r="I37" s="195">
        <v>20</v>
      </c>
      <c r="J37" s="18">
        <v>2400</v>
      </c>
      <c r="K37" s="9">
        <f t="shared" si="54"/>
        <v>120</v>
      </c>
      <c r="L37" s="195">
        <v>20</v>
      </c>
      <c r="M37" s="10">
        <f t="shared" si="55"/>
        <v>2220.0000000000014</v>
      </c>
      <c r="N37" s="9">
        <f t="shared" si="56"/>
        <v>111.00000000000007</v>
      </c>
      <c r="O37" s="11">
        <f t="shared" si="50"/>
        <v>0</v>
      </c>
      <c r="P37" s="12">
        <f t="shared" si="51"/>
        <v>-8.9999999999999289</v>
      </c>
      <c r="Q37" s="197">
        <f t="shared" si="52"/>
        <v>0.9250000000000006</v>
      </c>
      <c r="R37" s="533"/>
      <c r="S37" s="24">
        <v>0.19930555555555557</v>
      </c>
      <c r="T37" s="24">
        <v>0.25486111111111109</v>
      </c>
      <c r="U37" s="192">
        <f t="shared" ref="U37:U41" si="58">(S37-T36)*24*60</f>
        <v>8.0000000000000107</v>
      </c>
      <c r="V37" s="194">
        <f t="shared" si="53"/>
        <v>79.999999999999957</v>
      </c>
      <c r="W37" s="192"/>
      <c r="X37" s="192"/>
      <c r="Y37" s="528"/>
      <c r="Z37" s="528"/>
      <c r="AA37" s="11">
        <f t="shared" si="2"/>
        <v>-179.99999999999864</v>
      </c>
      <c r="AB37" s="197">
        <f t="shared" si="57"/>
        <v>0.9250000000000006</v>
      </c>
      <c r="AC37" s="533"/>
    </row>
    <row r="38" spans="1:29">
      <c r="A38" s="551" t="s">
        <v>739</v>
      </c>
      <c r="B38" s="26" t="s">
        <v>24</v>
      </c>
      <c r="C38" s="529" t="s">
        <v>29</v>
      </c>
      <c r="D38" s="529"/>
      <c r="E38" s="26">
        <v>26.39</v>
      </c>
      <c r="F38" s="193">
        <v>4927</v>
      </c>
      <c r="G38" s="192">
        <f t="shared" si="49"/>
        <v>130023.53</v>
      </c>
      <c r="H38" s="76" t="s">
        <v>52</v>
      </c>
      <c r="I38" s="195">
        <v>19</v>
      </c>
      <c r="J38" s="18">
        <v>2400</v>
      </c>
      <c r="K38" s="9">
        <f t="shared" si="54"/>
        <v>126.31578947368421</v>
      </c>
      <c r="L38" s="195">
        <v>19</v>
      </c>
      <c r="M38" s="10">
        <f t="shared" si="55"/>
        <v>2222.706766917293</v>
      </c>
      <c r="N38" s="9">
        <f t="shared" si="56"/>
        <v>116.98456667985752</v>
      </c>
      <c r="O38" s="11">
        <f t="shared" si="50"/>
        <v>0</v>
      </c>
      <c r="P38" s="12">
        <f t="shared" si="51"/>
        <v>-9.331222793826683</v>
      </c>
      <c r="Q38" s="197">
        <f t="shared" si="52"/>
        <v>0.92612781954887213</v>
      </c>
      <c r="R38" s="533"/>
      <c r="S38" s="24">
        <v>0.25902777777777775</v>
      </c>
      <c r="T38" s="24">
        <v>0.35138888888888886</v>
      </c>
      <c r="U38" s="192">
        <f t="shared" si="58"/>
        <v>5.9999999999999787</v>
      </c>
      <c r="V38" s="194">
        <f t="shared" si="53"/>
        <v>133</v>
      </c>
      <c r="W38" s="14"/>
      <c r="X38" s="14"/>
      <c r="Y38" s="528"/>
      <c r="Z38" s="528"/>
      <c r="AA38" s="11">
        <f t="shared" si="2"/>
        <v>-177.29323308270705</v>
      </c>
      <c r="AB38" s="197">
        <f t="shared" si="57"/>
        <v>0.92612781954887202</v>
      </c>
      <c r="AC38" s="533"/>
    </row>
    <row r="39" spans="1:29">
      <c r="A39" s="551" t="s">
        <v>739</v>
      </c>
      <c r="B39" s="26" t="s">
        <v>24</v>
      </c>
      <c r="C39" s="529" t="s">
        <v>27</v>
      </c>
      <c r="D39" s="529"/>
      <c r="E39" s="26">
        <v>20.52</v>
      </c>
      <c r="F39" s="193">
        <v>3256</v>
      </c>
      <c r="G39" s="192">
        <f t="shared" si="49"/>
        <v>66813.119999999995</v>
      </c>
      <c r="H39" s="76" t="s">
        <v>52</v>
      </c>
      <c r="I39" s="195">
        <v>18</v>
      </c>
      <c r="J39" s="18">
        <v>2400</v>
      </c>
      <c r="K39" s="9">
        <f t="shared" si="54"/>
        <v>133.33333333333334</v>
      </c>
      <c r="L39" s="195">
        <v>18</v>
      </c>
      <c r="M39" s="10">
        <f t="shared" si="55"/>
        <v>2220</v>
      </c>
      <c r="N39" s="9">
        <f t="shared" si="56"/>
        <v>123.33333333333333</v>
      </c>
      <c r="O39" s="11">
        <f t="shared" si="50"/>
        <v>0</v>
      </c>
      <c r="P39" s="12">
        <f t="shared" si="51"/>
        <v>-10.000000000000014</v>
      </c>
      <c r="Q39" s="197">
        <f t="shared" si="52"/>
        <v>0.92499999999999993</v>
      </c>
      <c r="R39" s="533"/>
      <c r="S39" s="24">
        <v>0.3569444444444444</v>
      </c>
      <c r="T39" s="24">
        <v>0.41805555555555551</v>
      </c>
      <c r="U39" s="192">
        <f t="shared" si="58"/>
        <v>7.9999999999999716</v>
      </c>
      <c r="V39" s="194">
        <f t="shared" si="53"/>
        <v>88</v>
      </c>
      <c r="W39" s="14"/>
      <c r="X39" s="14"/>
      <c r="Y39" s="528"/>
      <c r="Z39" s="528"/>
      <c r="AA39" s="11">
        <f t="shared" si="2"/>
        <v>-180</v>
      </c>
      <c r="AB39" s="197">
        <f t="shared" si="57"/>
        <v>0.92500000000000004</v>
      </c>
      <c r="AC39" s="533"/>
    </row>
    <row r="40" spans="1:29">
      <c r="A40" s="551" t="s">
        <v>739</v>
      </c>
      <c r="B40" s="26" t="s">
        <v>24</v>
      </c>
      <c r="C40" s="529" t="s">
        <v>50</v>
      </c>
      <c r="D40" s="529"/>
      <c r="E40" s="26">
        <v>26.2</v>
      </c>
      <c r="F40" s="193">
        <v>4157</v>
      </c>
      <c r="G40" s="192">
        <f t="shared" si="49"/>
        <v>108913.4</v>
      </c>
      <c r="H40" s="76" t="s">
        <v>52</v>
      </c>
      <c r="I40" s="195">
        <v>19</v>
      </c>
      <c r="J40" s="18">
        <v>2400</v>
      </c>
      <c r="K40" s="9">
        <f t="shared" si="54"/>
        <v>126.31578947368421</v>
      </c>
      <c r="L40" s="195">
        <v>19</v>
      </c>
      <c r="M40" s="10">
        <f t="shared" si="55"/>
        <v>2226.964285714284</v>
      </c>
      <c r="N40" s="9">
        <f t="shared" si="56"/>
        <v>117.20864661654126</v>
      </c>
      <c r="O40" s="11">
        <f t="shared" si="50"/>
        <v>0</v>
      </c>
      <c r="P40" s="12">
        <f t="shared" si="51"/>
        <v>-9.1071428571429465</v>
      </c>
      <c r="Q40" s="197">
        <f t="shared" si="52"/>
        <v>0.92790178571428505</v>
      </c>
      <c r="R40" s="533"/>
      <c r="S40" s="24">
        <v>0.42361111111111105</v>
      </c>
      <c r="T40" s="24">
        <v>0.50138888888888888</v>
      </c>
      <c r="U40" s="192">
        <f t="shared" si="58"/>
        <v>7.9999999999999716</v>
      </c>
      <c r="V40" s="194">
        <f t="shared" si="53"/>
        <v>112.00000000000009</v>
      </c>
      <c r="W40" s="15">
        <f>T40</f>
        <v>0.50138888888888888</v>
      </c>
      <c r="X40" s="15">
        <f>S41</f>
        <v>0.54027777777777775</v>
      </c>
      <c r="Y40" s="528"/>
      <c r="Z40" s="528"/>
      <c r="AA40" s="11">
        <f t="shared" si="2"/>
        <v>-173.03571428571604</v>
      </c>
      <c r="AB40" s="197">
        <f t="shared" si="57"/>
        <v>0.92790178571428494</v>
      </c>
      <c r="AC40" s="533"/>
    </row>
    <row r="41" spans="1:29">
      <c r="A41" s="551" t="s">
        <v>739</v>
      </c>
      <c r="B41" s="26" t="s">
        <v>24</v>
      </c>
      <c r="C41" s="529" t="s">
        <v>28</v>
      </c>
      <c r="D41" s="529"/>
      <c r="E41" s="26">
        <v>26.2</v>
      </c>
      <c r="F41" s="193">
        <v>3256</v>
      </c>
      <c r="G41" s="192">
        <f t="shared" si="49"/>
        <v>85307.199999999997</v>
      </c>
      <c r="H41" s="76" t="s">
        <v>52</v>
      </c>
      <c r="I41" s="195">
        <v>18</v>
      </c>
      <c r="J41" s="18">
        <v>2400</v>
      </c>
      <c r="K41" s="9">
        <f t="shared" si="54"/>
        <v>133.33333333333334</v>
      </c>
      <c r="L41" s="195">
        <v>18</v>
      </c>
      <c r="M41" s="10">
        <f t="shared" si="55"/>
        <v>2220</v>
      </c>
      <c r="N41" s="9">
        <f t="shared" si="56"/>
        <v>123.33333333333333</v>
      </c>
      <c r="O41" s="11">
        <f t="shared" si="50"/>
        <v>0</v>
      </c>
      <c r="P41" s="12">
        <f t="shared" si="51"/>
        <v>-10.000000000000014</v>
      </c>
      <c r="Q41" s="197">
        <f t="shared" si="52"/>
        <v>0.92499999999999993</v>
      </c>
      <c r="R41" s="533"/>
      <c r="S41" s="24">
        <v>0.54027777777777775</v>
      </c>
      <c r="T41" s="24">
        <v>0.60138888888888886</v>
      </c>
      <c r="U41" s="192">
        <f t="shared" si="58"/>
        <v>55.999999999999957</v>
      </c>
      <c r="V41" s="194">
        <f t="shared" si="53"/>
        <v>88</v>
      </c>
      <c r="W41" s="14"/>
      <c r="X41" s="14"/>
      <c r="Y41" s="536"/>
      <c r="Z41" s="537"/>
      <c r="AA41" s="11">
        <f t="shared" si="2"/>
        <v>-180</v>
      </c>
      <c r="AB41" s="197">
        <f t="shared" si="57"/>
        <v>0.92500000000000004</v>
      </c>
      <c r="AC41" s="533"/>
    </row>
    <row r="42" spans="1:29">
      <c r="A42" s="551" t="s">
        <v>739</v>
      </c>
      <c r="B42" s="16" t="s">
        <v>734</v>
      </c>
      <c r="C42" s="530"/>
      <c r="D42" s="530"/>
      <c r="E42" s="196"/>
      <c r="F42" s="16"/>
      <c r="G42" s="9"/>
      <c r="H42" s="193"/>
      <c r="I42" s="17">
        <v>18.857142857142858</v>
      </c>
      <c r="J42" s="18">
        <v>2400</v>
      </c>
      <c r="K42" s="9">
        <f t="shared" si="54"/>
        <v>127.27272727272727</v>
      </c>
      <c r="L42" s="17">
        <v>18.857142857142858</v>
      </c>
      <c r="M42" s="10">
        <f>AVERAGE(M35:M41)</f>
        <v>2221.4172233421127</v>
      </c>
      <c r="N42" s="9">
        <f>M42/L42</f>
        <v>117.80242851056659</v>
      </c>
      <c r="O42" s="11">
        <f>L42-I42</f>
        <v>0</v>
      </c>
      <c r="P42" s="12">
        <f t="shared" si="51"/>
        <v>-9.4702987621606809</v>
      </c>
      <c r="Q42" s="197">
        <f t="shared" si="52"/>
        <v>0.92559050972588031</v>
      </c>
      <c r="R42" s="533"/>
      <c r="S42" s="24"/>
      <c r="T42" s="24"/>
      <c r="U42" s="9"/>
      <c r="V42" s="194"/>
      <c r="W42" s="9"/>
      <c r="X42" s="9"/>
      <c r="Y42" s="528"/>
      <c r="Z42" s="528"/>
      <c r="AA42" s="11">
        <f t="shared" si="2"/>
        <v>-178.58277665788728</v>
      </c>
      <c r="AB42" s="197">
        <f t="shared" si="57"/>
        <v>0.92559050972588031</v>
      </c>
      <c r="AC42" s="533"/>
    </row>
    <row r="43" spans="1:29" ht="15.75" customHeight="1">
      <c r="A43" s="544" t="s">
        <v>740</v>
      </c>
      <c r="B43" s="26" t="s">
        <v>32</v>
      </c>
      <c r="C43" s="534" t="s">
        <v>33</v>
      </c>
      <c r="D43" s="535"/>
      <c r="E43" s="26">
        <v>27.17</v>
      </c>
      <c r="F43" s="193">
        <v>2800</v>
      </c>
      <c r="G43" s="192">
        <f t="shared" ref="G43:G49" si="59">E43*F43</f>
        <v>76076</v>
      </c>
      <c r="H43" s="76">
        <v>2</v>
      </c>
      <c r="I43" s="195">
        <v>10</v>
      </c>
      <c r="J43" s="18">
        <v>3000</v>
      </c>
      <c r="K43" s="9">
        <f t="shared" si="54"/>
        <v>300</v>
      </c>
      <c r="L43" s="195">
        <v>10</v>
      </c>
      <c r="M43" s="10">
        <f t="shared" ref="M43:M44" si="60">F43/V43*60</f>
        <v>2800.0000000000009</v>
      </c>
      <c r="N43" s="10">
        <f t="shared" ref="N43:N50" si="61">M43/L43</f>
        <v>280.00000000000011</v>
      </c>
      <c r="O43" s="11">
        <f t="shared" ref="O43:O50" si="62">L43-I43</f>
        <v>0</v>
      </c>
      <c r="P43" s="12">
        <f t="shared" si="51"/>
        <v>-19.999999999999886</v>
      </c>
      <c r="Q43" s="197">
        <f t="shared" si="52"/>
        <v>0.93333333333333368</v>
      </c>
      <c r="R43" s="547">
        <f>Q50</f>
        <v>0.93057701802347181</v>
      </c>
      <c r="S43" s="24">
        <v>0.20833333333333334</v>
      </c>
      <c r="T43" s="24">
        <v>0.25</v>
      </c>
      <c r="U43" s="15"/>
      <c r="V43" s="194">
        <f t="shared" ref="V43:V49" si="63">(T43-S43)*24*60</f>
        <v>59.999999999999986</v>
      </c>
      <c r="W43" s="192"/>
      <c r="X43" s="192"/>
      <c r="Y43" s="536"/>
      <c r="Z43" s="537"/>
      <c r="AA43" s="11">
        <f t="shared" si="2"/>
        <v>-199.99999999999909</v>
      </c>
      <c r="AB43" s="197">
        <f t="shared" si="57"/>
        <v>0.93333333333333368</v>
      </c>
      <c r="AC43" s="547">
        <f>AB50</f>
        <v>0.9305770180234717</v>
      </c>
    </row>
    <row r="44" spans="1:29" ht="15.75" customHeight="1">
      <c r="A44" s="545" t="s">
        <v>740</v>
      </c>
      <c r="B44" s="26" t="s">
        <v>32</v>
      </c>
      <c r="C44" s="534" t="s">
        <v>34</v>
      </c>
      <c r="D44" s="535"/>
      <c r="E44" s="26">
        <v>21.13</v>
      </c>
      <c r="F44" s="193">
        <v>4545</v>
      </c>
      <c r="G44" s="192">
        <f t="shared" si="59"/>
        <v>96035.849999999991</v>
      </c>
      <c r="H44" s="76" t="s">
        <v>52</v>
      </c>
      <c r="I44" s="195">
        <v>10</v>
      </c>
      <c r="J44" s="18">
        <v>3000</v>
      </c>
      <c r="K44" s="9">
        <f t="shared" si="54"/>
        <v>300</v>
      </c>
      <c r="L44" s="195">
        <v>10</v>
      </c>
      <c r="M44" s="10">
        <f t="shared" si="60"/>
        <v>2782.6530612244906</v>
      </c>
      <c r="N44" s="10">
        <f t="shared" si="61"/>
        <v>278.26530612244903</v>
      </c>
      <c r="O44" s="11">
        <f t="shared" si="62"/>
        <v>0</v>
      </c>
      <c r="P44" s="12">
        <f t="shared" si="51"/>
        <v>-21.734693877550967</v>
      </c>
      <c r="Q44" s="197">
        <f t="shared" si="52"/>
        <v>0.9275510204081634</v>
      </c>
      <c r="R44" s="548"/>
      <c r="S44" s="24">
        <v>0.25555555555555554</v>
      </c>
      <c r="T44" s="24">
        <v>0.32361111111111107</v>
      </c>
      <c r="U44" s="192">
        <f>(S44-T43)*24*60</f>
        <v>7.9999999999999716</v>
      </c>
      <c r="V44" s="194">
        <f t="shared" si="63"/>
        <v>97.999999999999972</v>
      </c>
      <c r="W44" s="14"/>
      <c r="X44" s="14"/>
      <c r="Y44" s="536"/>
      <c r="Z44" s="537"/>
      <c r="AA44" s="11">
        <f t="shared" si="2"/>
        <v>-217.34693877550944</v>
      </c>
      <c r="AB44" s="197">
        <f t="shared" si="57"/>
        <v>0.92755102040816351</v>
      </c>
      <c r="AC44" s="548"/>
    </row>
    <row r="45" spans="1:29" ht="15.75" customHeight="1">
      <c r="A45" s="545" t="s">
        <v>740</v>
      </c>
      <c r="B45" s="26" t="s">
        <v>32</v>
      </c>
      <c r="C45" s="534" t="s">
        <v>40</v>
      </c>
      <c r="D45" s="535"/>
      <c r="E45" s="26">
        <v>35.119999999999997</v>
      </c>
      <c r="F45" s="193">
        <v>4740</v>
      </c>
      <c r="G45" s="192">
        <f t="shared" si="59"/>
        <v>166468.79999999999</v>
      </c>
      <c r="H45" s="76" t="s">
        <v>52</v>
      </c>
      <c r="I45" s="195">
        <v>10</v>
      </c>
      <c r="J45" s="18">
        <v>3000</v>
      </c>
      <c r="K45" s="9">
        <f t="shared" si="54"/>
        <v>300</v>
      </c>
      <c r="L45" s="195">
        <v>10</v>
      </c>
      <c r="M45" s="10">
        <f>F45/V45*60</f>
        <v>2788.2352941176482</v>
      </c>
      <c r="N45" s="10">
        <f t="shared" si="61"/>
        <v>278.82352941176481</v>
      </c>
      <c r="O45" s="11">
        <f t="shared" si="62"/>
        <v>0</v>
      </c>
      <c r="P45" s="12">
        <f t="shared" si="51"/>
        <v>-21.17647058823519</v>
      </c>
      <c r="Q45" s="197">
        <f t="shared" si="52"/>
        <v>0.92941176470588271</v>
      </c>
      <c r="R45" s="548"/>
      <c r="S45" s="24">
        <v>0.32777777777777772</v>
      </c>
      <c r="T45" s="24">
        <v>0.39861111111111103</v>
      </c>
      <c r="U45" s="192">
        <f t="shared" ref="U45:U49" si="64">(S45-T44)*24*60</f>
        <v>5.9999999999999787</v>
      </c>
      <c r="V45" s="194">
        <f t="shared" si="63"/>
        <v>101.99999999999996</v>
      </c>
      <c r="W45" s="14"/>
      <c r="X45" s="14"/>
      <c r="Y45" s="536"/>
      <c r="Z45" s="537"/>
      <c r="AA45" s="11">
        <f t="shared" si="2"/>
        <v>-211.76470588235179</v>
      </c>
      <c r="AB45" s="197">
        <f t="shared" si="57"/>
        <v>0.92941176470588271</v>
      </c>
      <c r="AC45" s="548"/>
    </row>
    <row r="46" spans="1:29" ht="15.75" customHeight="1">
      <c r="A46" s="545" t="s">
        <v>740</v>
      </c>
      <c r="B46" s="26" t="s">
        <v>32</v>
      </c>
      <c r="C46" s="534" t="s">
        <v>61</v>
      </c>
      <c r="D46" s="535"/>
      <c r="E46" s="26">
        <v>40.18</v>
      </c>
      <c r="F46" s="193">
        <v>2140</v>
      </c>
      <c r="G46" s="192">
        <f t="shared" si="59"/>
        <v>85985.2</v>
      </c>
      <c r="H46" s="76" t="s">
        <v>52</v>
      </c>
      <c r="I46" s="195">
        <v>10</v>
      </c>
      <c r="J46" s="18">
        <v>3000</v>
      </c>
      <c r="K46" s="9">
        <f t="shared" si="54"/>
        <v>300</v>
      </c>
      <c r="L46" s="195">
        <v>10</v>
      </c>
      <c r="M46" s="10">
        <f t="shared" ref="M46:M49" si="65">F46/V46*60</f>
        <v>2791.304347826087</v>
      </c>
      <c r="N46" s="10">
        <f t="shared" si="61"/>
        <v>279.13043478260869</v>
      </c>
      <c r="O46" s="11">
        <f t="shared" si="62"/>
        <v>0</v>
      </c>
      <c r="P46" s="12">
        <f t="shared" si="51"/>
        <v>-20.869565217391312</v>
      </c>
      <c r="Q46" s="197">
        <f t="shared" si="52"/>
        <v>0.93043478260869561</v>
      </c>
      <c r="R46" s="548"/>
      <c r="S46" s="24">
        <v>0.40208333333333324</v>
      </c>
      <c r="T46" s="24">
        <v>0.43402777777777768</v>
      </c>
      <c r="U46" s="192">
        <f t="shared" si="64"/>
        <v>4.9999999999999822</v>
      </c>
      <c r="V46" s="194">
        <f t="shared" si="63"/>
        <v>46</v>
      </c>
      <c r="W46" s="14"/>
      <c r="X46" s="14"/>
      <c r="Y46" s="536"/>
      <c r="Z46" s="537"/>
      <c r="AA46" s="11">
        <f t="shared" si="2"/>
        <v>-208.695652173913</v>
      </c>
      <c r="AB46" s="197">
        <f t="shared" si="57"/>
        <v>0.93043478260869572</v>
      </c>
      <c r="AC46" s="548"/>
    </row>
    <row r="47" spans="1:29" ht="15.75" customHeight="1">
      <c r="A47" s="545" t="s">
        <v>740</v>
      </c>
      <c r="B47" s="26" t="s">
        <v>32</v>
      </c>
      <c r="C47" s="534" t="s">
        <v>64</v>
      </c>
      <c r="D47" s="535"/>
      <c r="E47" s="26">
        <v>28.5</v>
      </c>
      <c r="F47" s="193">
        <v>1317</v>
      </c>
      <c r="G47" s="192">
        <f t="shared" si="59"/>
        <v>37534.5</v>
      </c>
      <c r="H47" s="76" t="s">
        <v>52</v>
      </c>
      <c r="I47" s="195">
        <v>10</v>
      </c>
      <c r="J47" s="18">
        <v>3000</v>
      </c>
      <c r="K47" s="9">
        <f t="shared" si="54"/>
        <v>300</v>
      </c>
      <c r="L47" s="195">
        <v>10</v>
      </c>
      <c r="M47" s="10">
        <f t="shared" si="65"/>
        <v>2822.1428571428592</v>
      </c>
      <c r="N47" s="10">
        <f t="shared" si="61"/>
        <v>282.21428571428589</v>
      </c>
      <c r="O47" s="11">
        <f t="shared" si="62"/>
        <v>0</v>
      </c>
      <c r="P47" s="12">
        <f t="shared" si="51"/>
        <v>-17.785714285714107</v>
      </c>
      <c r="Q47" s="197">
        <f>N47/K47</f>
        <v>0.94071428571428628</v>
      </c>
      <c r="R47" s="548"/>
      <c r="S47" s="24">
        <v>0.43819444444444433</v>
      </c>
      <c r="T47" s="24">
        <v>0.45763888888888876</v>
      </c>
      <c r="U47" s="192">
        <f t="shared" si="64"/>
        <v>5.9999999999999787</v>
      </c>
      <c r="V47" s="194">
        <f t="shared" si="63"/>
        <v>27.999999999999979</v>
      </c>
      <c r="W47" s="14"/>
      <c r="X47" s="14"/>
      <c r="Y47" s="536"/>
      <c r="Z47" s="537"/>
      <c r="AA47" s="11">
        <f t="shared" si="2"/>
        <v>-177.85714285714084</v>
      </c>
      <c r="AB47" s="197">
        <f t="shared" si="57"/>
        <v>0.94071428571428639</v>
      </c>
      <c r="AC47" s="548"/>
    </row>
    <row r="48" spans="1:29" ht="15.75" customHeight="1">
      <c r="A48" s="545" t="s">
        <v>740</v>
      </c>
      <c r="B48" s="26" t="s">
        <v>32</v>
      </c>
      <c r="C48" s="534" t="s">
        <v>78</v>
      </c>
      <c r="D48" s="535"/>
      <c r="E48" s="26">
        <v>35.869999999999997</v>
      </c>
      <c r="F48" s="193">
        <v>3462</v>
      </c>
      <c r="G48" s="192">
        <f t="shared" si="59"/>
        <v>124181.93999999999</v>
      </c>
      <c r="H48" s="76" t="s">
        <v>52</v>
      </c>
      <c r="I48" s="195">
        <v>10</v>
      </c>
      <c r="J48" s="18">
        <v>3000</v>
      </c>
      <c r="K48" s="9">
        <f t="shared" si="54"/>
        <v>300</v>
      </c>
      <c r="L48" s="195">
        <v>10</v>
      </c>
      <c r="M48" s="10">
        <f t="shared" si="65"/>
        <v>2769.6000000000013</v>
      </c>
      <c r="N48" s="10">
        <f t="shared" si="61"/>
        <v>276.96000000000015</v>
      </c>
      <c r="O48" s="11">
        <f t="shared" si="62"/>
        <v>0</v>
      </c>
      <c r="P48" s="12">
        <f t="shared" si="51"/>
        <v>-23.03999999999985</v>
      </c>
      <c r="Q48" s="197">
        <f t="shared" ref="Q48:Q50" si="66">N48/K48</f>
        <v>0.92320000000000046</v>
      </c>
      <c r="R48" s="548"/>
      <c r="S48" s="24">
        <v>0.4631944444444443</v>
      </c>
      <c r="T48" s="24">
        <v>0.51527777777777761</v>
      </c>
      <c r="U48" s="192">
        <f t="shared" si="64"/>
        <v>7.9999999999999716</v>
      </c>
      <c r="V48" s="194">
        <f t="shared" si="63"/>
        <v>74.999999999999972</v>
      </c>
      <c r="W48" s="14">
        <f>T48</f>
        <v>0.51527777777777761</v>
      </c>
      <c r="X48" s="14">
        <f>S49</f>
        <v>0.55555555555555536</v>
      </c>
      <c r="Y48" s="536"/>
      <c r="Z48" s="537"/>
      <c r="AA48" s="11">
        <f t="shared" si="2"/>
        <v>-230.39999999999873</v>
      </c>
      <c r="AB48" s="197">
        <f t="shared" si="57"/>
        <v>0.92320000000000046</v>
      </c>
      <c r="AC48" s="548"/>
    </row>
    <row r="49" spans="1:29" ht="15.75" customHeight="1">
      <c r="A49" s="545" t="s">
        <v>740</v>
      </c>
      <c r="B49" s="26" t="s">
        <v>32</v>
      </c>
      <c r="C49" s="534" t="s">
        <v>33</v>
      </c>
      <c r="D49" s="535"/>
      <c r="E49" s="26">
        <v>27.17</v>
      </c>
      <c r="F49" s="193">
        <v>3067</v>
      </c>
      <c r="G49" s="192">
        <f t="shared" si="59"/>
        <v>83330.39</v>
      </c>
      <c r="H49" s="76" t="s">
        <v>52</v>
      </c>
      <c r="I49" s="195">
        <v>10</v>
      </c>
      <c r="J49" s="18">
        <v>3000</v>
      </c>
      <c r="K49" s="9">
        <f t="shared" si="54"/>
        <v>300</v>
      </c>
      <c r="L49" s="195">
        <v>10</v>
      </c>
      <c r="M49" s="10">
        <f t="shared" si="65"/>
        <v>2788.1818181818148</v>
      </c>
      <c r="N49" s="10">
        <f t="shared" si="61"/>
        <v>278.81818181818147</v>
      </c>
      <c r="O49" s="11">
        <f t="shared" si="62"/>
        <v>0</v>
      </c>
      <c r="P49" s="12">
        <f t="shared" si="51"/>
        <v>-21.181818181818528</v>
      </c>
      <c r="Q49" s="197">
        <f t="shared" si="66"/>
        <v>0.92939393939393822</v>
      </c>
      <c r="R49" s="548"/>
      <c r="S49" s="24">
        <v>0.55555555555555536</v>
      </c>
      <c r="T49" s="24">
        <v>0.60138888888888875</v>
      </c>
      <c r="U49" s="192">
        <f t="shared" si="64"/>
        <v>57.999999999999957</v>
      </c>
      <c r="V49" s="194">
        <f t="shared" si="63"/>
        <v>66.000000000000085</v>
      </c>
      <c r="W49" s="14"/>
      <c r="X49" s="14"/>
      <c r="Y49" s="536"/>
      <c r="Z49" s="537"/>
      <c r="AA49" s="11">
        <f t="shared" si="2"/>
        <v>-211.81818181818517</v>
      </c>
      <c r="AB49" s="197">
        <f t="shared" si="57"/>
        <v>0.92939393939393833</v>
      </c>
      <c r="AC49" s="548"/>
    </row>
    <row r="50" spans="1:29" ht="15.75" customHeight="1">
      <c r="A50" s="546" t="s">
        <v>740</v>
      </c>
      <c r="B50" s="26" t="s">
        <v>734</v>
      </c>
      <c r="C50" s="540"/>
      <c r="D50" s="541"/>
      <c r="E50" s="202"/>
      <c r="F50" s="193"/>
      <c r="G50" s="192"/>
      <c r="H50" s="193"/>
      <c r="I50" s="17">
        <v>10</v>
      </c>
      <c r="J50" s="18">
        <v>3000</v>
      </c>
      <c r="K50" s="9">
        <f>J50/I50</f>
        <v>300</v>
      </c>
      <c r="L50" s="17">
        <v>10</v>
      </c>
      <c r="M50" s="10">
        <f>AVERAGE(M43:M49)</f>
        <v>2791.7310540704152</v>
      </c>
      <c r="N50" s="9">
        <f t="shared" si="61"/>
        <v>279.17310540704153</v>
      </c>
      <c r="O50" s="11">
        <f t="shared" si="62"/>
        <v>0</v>
      </c>
      <c r="P50" s="12">
        <f t="shared" si="51"/>
        <v>-20.826894592958467</v>
      </c>
      <c r="Q50" s="197">
        <f t="shared" si="66"/>
        <v>0.93057701802347181</v>
      </c>
      <c r="R50" s="549"/>
      <c r="S50" s="24"/>
      <c r="T50" s="24"/>
      <c r="U50" s="192"/>
      <c r="V50" s="194"/>
      <c r="W50" s="14"/>
      <c r="X50" s="14"/>
      <c r="Y50" s="536"/>
      <c r="Z50" s="537"/>
      <c r="AA50" s="11">
        <f t="shared" si="2"/>
        <v>-208.26894592958479</v>
      </c>
      <c r="AB50" s="197">
        <f t="shared" si="57"/>
        <v>0.9305770180234717</v>
      </c>
      <c r="AC50" s="549"/>
    </row>
    <row r="51" spans="1:29" ht="15.75" customHeight="1">
      <c r="A51" s="542" t="s">
        <v>741</v>
      </c>
      <c r="B51" s="26" t="s">
        <v>15</v>
      </c>
      <c r="C51" s="529" t="s">
        <v>20</v>
      </c>
      <c r="D51" s="529"/>
      <c r="E51" s="26">
        <v>46</v>
      </c>
      <c r="F51" s="27">
        <v>2924</v>
      </c>
      <c r="G51" s="192">
        <f t="shared" ref="G51:G55" si="67">E51*F51</f>
        <v>134504</v>
      </c>
      <c r="H51" s="76" t="s">
        <v>52</v>
      </c>
      <c r="I51" s="195">
        <v>17</v>
      </c>
      <c r="J51" s="18">
        <v>2000</v>
      </c>
      <c r="K51" s="9">
        <f t="shared" ref="K51:K55" si="68">J51/I51</f>
        <v>117.64705882352941</v>
      </c>
      <c r="L51" s="195">
        <v>17</v>
      </c>
      <c r="M51" s="10">
        <f t="shared" ref="M51:M55" si="69">F51/V51*60</f>
        <v>1846.7368421052633</v>
      </c>
      <c r="N51" s="10">
        <f>M51/L51</f>
        <v>108.63157894736844</v>
      </c>
      <c r="O51" s="11">
        <f>L51-I51</f>
        <v>0</v>
      </c>
      <c r="P51" s="12">
        <f>N51-K51</f>
        <v>-9.0154798761609669</v>
      </c>
      <c r="Q51" s="197">
        <f>N51/K51</f>
        <v>0.92336842105263173</v>
      </c>
      <c r="R51" s="533">
        <f>Q56</f>
        <v>0.92688991197687709</v>
      </c>
      <c r="S51" s="24">
        <v>0.29166666666666669</v>
      </c>
      <c r="T51" s="24">
        <v>0.3576388888888889</v>
      </c>
      <c r="U51" s="15"/>
      <c r="V51" s="194">
        <f t="shared" ref="V51:V55" si="70">(T51-S51)*24*60</f>
        <v>94.999999999999986</v>
      </c>
      <c r="W51" s="15"/>
      <c r="X51" s="15"/>
      <c r="Y51" s="528"/>
      <c r="Z51" s="528"/>
      <c r="AA51" s="11">
        <f t="shared" si="2"/>
        <v>-153.26315789473665</v>
      </c>
      <c r="AB51" s="197">
        <f t="shared" si="57"/>
        <v>0.92336842105263173</v>
      </c>
      <c r="AC51" s="533">
        <f>AB56</f>
        <v>0.92688991197687709</v>
      </c>
    </row>
    <row r="52" spans="1:29" ht="15.75" customHeight="1">
      <c r="A52" s="542" t="s">
        <v>741</v>
      </c>
      <c r="B52" s="26" t="s">
        <v>15</v>
      </c>
      <c r="C52" s="529" t="s">
        <v>65</v>
      </c>
      <c r="D52" s="529"/>
      <c r="E52" s="26">
        <v>46</v>
      </c>
      <c r="F52" s="27">
        <v>3415</v>
      </c>
      <c r="G52" s="192">
        <f t="shared" si="67"/>
        <v>157090</v>
      </c>
      <c r="H52" s="76" t="s">
        <v>52</v>
      </c>
      <c r="I52" s="195">
        <v>18</v>
      </c>
      <c r="J52" s="18">
        <v>2000</v>
      </c>
      <c r="K52" s="9">
        <f t="shared" si="68"/>
        <v>111.11111111111111</v>
      </c>
      <c r="L52" s="195">
        <v>18</v>
      </c>
      <c r="M52" s="10">
        <f t="shared" si="69"/>
        <v>1845.9459459459461</v>
      </c>
      <c r="N52" s="10">
        <f t="shared" ref="N52:N55" si="71">M52/L52</f>
        <v>102.55255255255256</v>
      </c>
      <c r="O52" s="11">
        <f t="shared" ref="O52:O55" si="72">L52-I52</f>
        <v>0</v>
      </c>
      <c r="P52" s="12">
        <f t="shared" ref="P52:P55" si="73">N52-K52</f>
        <v>-8.5585585585585591</v>
      </c>
      <c r="Q52" s="197">
        <f t="shared" ref="Q52:Q55" si="74">N52/K52</f>
        <v>0.92297297297297298</v>
      </c>
      <c r="R52" s="533"/>
      <c r="S52" s="24">
        <v>0.36249999999999999</v>
      </c>
      <c r="T52" s="24">
        <v>0.43958333333333333</v>
      </c>
      <c r="U52" s="192">
        <f>IF(S52=TIME(17,0,0),"",(S52-T51)*24*60)</f>
        <v>6.9999999999999751</v>
      </c>
      <c r="V52" s="194">
        <f t="shared" si="70"/>
        <v>111</v>
      </c>
      <c r="W52" s="14"/>
      <c r="X52" s="14"/>
      <c r="Y52" s="528"/>
      <c r="Z52" s="528"/>
      <c r="AA52" s="11">
        <f t="shared" si="2"/>
        <v>-154.05405405405395</v>
      </c>
      <c r="AB52" s="197">
        <f t="shared" si="57"/>
        <v>0.92297297297297298</v>
      </c>
      <c r="AC52" s="533"/>
    </row>
    <row r="53" spans="1:29" ht="15.75" customHeight="1">
      <c r="A53" s="542" t="s">
        <v>741</v>
      </c>
      <c r="B53" s="26" t="s">
        <v>13</v>
      </c>
      <c r="C53" s="534" t="s">
        <v>59</v>
      </c>
      <c r="D53" s="535"/>
      <c r="E53" s="26">
        <v>55.56</v>
      </c>
      <c r="F53" s="27">
        <v>2194</v>
      </c>
      <c r="G53" s="192">
        <f t="shared" si="67"/>
        <v>121898.64</v>
      </c>
      <c r="H53" s="76" t="s">
        <v>52</v>
      </c>
      <c r="I53" s="195">
        <v>17</v>
      </c>
      <c r="J53" s="18">
        <v>2000</v>
      </c>
      <c r="K53" s="9">
        <f t="shared" si="68"/>
        <v>117.64705882352941</v>
      </c>
      <c r="L53" s="195">
        <v>17</v>
      </c>
      <c r="M53" s="10">
        <f t="shared" si="69"/>
        <v>1854.0845070422517</v>
      </c>
      <c r="N53" s="10">
        <f t="shared" si="71"/>
        <v>109.06379453189716</v>
      </c>
      <c r="O53" s="11">
        <f t="shared" si="72"/>
        <v>0</v>
      </c>
      <c r="P53" s="12">
        <f t="shared" si="73"/>
        <v>-8.583264291632247</v>
      </c>
      <c r="Q53" s="197">
        <f t="shared" si="74"/>
        <v>0.9270422535211259</v>
      </c>
      <c r="R53" s="533"/>
      <c r="S53" s="24">
        <v>0.70833333333333337</v>
      </c>
      <c r="T53" s="24">
        <v>0.75763888888888897</v>
      </c>
      <c r="U53" s="192" t="str">
        <f t="shared" ref="U53:U55" si="75">IF(S53=TIME(17,0,0),"",(S53-T52)*24*60)</f>
        <v/>
      </c>
      <c r="V53" s="194">
        <f t="shared" si="70"/>
        <v>71.000000000000071</v>
      </c>
      <c r="W53" s="14"/>
      <c r="X53" s="14"/>
      <c r="Y53" s="198"/>
      <c r="Z53" s="199"/>
      <c r="AA53" s="11">
        <f t="shared" si="2"/>
        <v>-145.91549295774826</v>
      </c>
      <c r="AB53" s="197">
        <f t="shared" si="57"/>
        <v>0.9270422535211259</v>
      </c>
      <c r="AC53" s="533"/>
    </row>
    <row r="54" spans="1:29" ht="15.75" customHeight="1">
      <c r="A54" s="542" t="s">
        <v>741</v>
      </c>
      <c r="B54" s="26" t="s">
        <v>13</v>
      </c>
      <c r="C54" s="200" t="s">
        <v>58</v>
      </c>
      <c r="D54" s="201"/>
      <c r="E54" s="26">
        <v>55.32</v>
      </c>
      <c r="F54" s="27">
        <v>1672</v>
      </c>
      <c r="G54" s="192">
        <f t="shared" si="67"/>
        <v>92495.039999999994</v>
      </c>
      <c r="H54" s="76" t="s">
        <v>52</v>
      </c>
      <c r="I54" s="195">
        <v>15</v>
      </c>
      <c r="J54" s="18">
        <v>2000</v>
      </c>
      <c r="K54" s="9">
        <f t="shared" si="68"/>
        <v>133.33333333333334</v>
      </c>
      <c r="L54" s="195">
        <v>15</v>
      </c>
      <c r="M54" s="10">
        <f t="shared" si="69"/>
        <v>1857.7777777777787</v>
      </c>
      <c r="N54" s="10">
        <f t="shared" si="71"/>
        <v>123.85185185185192</v>
      </c>
      <c r="O54" s="11">
        <f t="shared" si="72"/>
        <v>0</v>
      </c>
      <c r="P54" s="12">
        <f t="shared" si="73"/>
        <v>-9.4814814814814241</v>
      </c>
      <c r="Q54" s="197">
        <f t="shared" si="74"/>
        <v>0.92888888888888932</v>
      </c>
      <c r="R54" s="533"/>
      <c r="S54" s="24">
        <v>0.76111111111111118</v>
      </c>
      <c r="T54" s="24">
        <v>0.79861111111111116</v>
      </c>
      <c r="U54" s="192">
        <f t="shared" si="75"/>
        <v>4.9999999999999822</v>
      </c>
      <c r="V54" s="194">
        <f t="shared" si="70"/>
        <v>53.999999999999972</v>
      </c>
      <c r="W54" s="14"/>
      <c r="X54" s="14"/>
      <c r="Y54" s="198"/>
      <c r="Z54" s="199"/>
      <c r="AA54" s="11">
        <f t="shared" si="2"/>
        <v>-142.22222222222126</v>
      </c>
      <c r="AB54" s="197">
        <f t="shared" si="57"/>
        <v>0.92888888888888932</v>
      </c>
      <c r="AC54" s="533"/>
    </row>
    <row r="55" spans="1:29" ht="15.75" customHeight="1">
      <c r="A55" s="542" t="s">
        <v>741</v>
      </c>
      <c r="B55" s="26" t="s">
        <v>13</v>
      </c>
      <c r="C55" s="200" t="s">
        <v>60</v>
      </c>
      <c r="D55" s="201"/>
      <c r="E55" s="26">
        <v>57.73</v>
      </c>
      <c r="F55" s="27">
        <v>1541</v>
      </c>
      <c r="G55" s="192">
        <f t="shared" si="67"/>
        <v>88961.93</v>
      </c>
      <c r="H55" s="76" t="s">
        <v>52</v>
      </c>
      <c r="I55" s="195">
        <v>16</v>
      </c>
      <c r="J55" s="18">
        <v>1500</v>
      </c>
      <c r="K55" s="9">
        <f t="shared" si="68"/>
        <v>93.75</v>
      </c>
      <c r="L55" s="195">
        <v>16</v>
      </c>
      <c r="M55" s="10">
        <f t="shared" si="69"/>
        <v>1400.9090909090924</v>
      </c>
      <c r="N55" s="10">
        <f t="shared" si="71"/>
        <v>87.556818181818272</v>
      </c>
      <c r="O55" s="11">
        <f t="shared" si="72"/>
        <v>0</v>
      </c>
      <c r="P55" s="12">
        <f t="shared" si="73"/>
        <v>-6.1931818181817277</v>
      </c>
      <c r="Q55" s="197">
        <f t="shared" si="74"/>
        <v>0.93393939393939496</v>
      </c>
      <c r="R55" s="533"/>
      <c r="S55" s="24">
        <v>0.80208333333333337</v>
      </c>
      <c r="T55" s="24">
        <v>0.84791666666666665</v>
      </c>
      <c r="U55" s="192">
        <f t="shared" si="75"/>
        <v>4.9999999999999822</v>
      </c>
      <c r="V55" s="194">
        <f t="shared" si="70"/>
        <v>65.999999999999929</v>
      </c>
      <c r="W55" s="14"/>
      <c r="X55" s="14"/>
      <c r="Y55" s="198"/>
      <c r="Z55" s="199"/>
      <c r="AA55" s="11">
        <f t="shared" si="2"/>
        <v>-99.090909090907644</v>
      </c>
      <c r="AB55" s="197">
        <f t="shared" si="57"/>
        <v>0.93393939393939496</v>
      </c>
      <c r="AC55" s="533"/>
    </row>
    <row r="56" spans="1:29">
      <c r="A56" s="543" t="s">
        <v>741</v>
      </c>
      <c r="B56" s="26" t="s">
        <v>734</v>
      </c>
      <c r="C56" s="530"/>
      <c r="D56" s="530"/>
      <c r="E56" s="196"/>
      <c r="F56" s="16"/>
      <c r="G56" s="9"/>
      <c r="H56" s="193"/>
      <c r="I56" s="17">
        <v>16.600000000000001</v>
      </c>
      <c r="J56" s="18">
        <v>1900</v>
      </c>
      <c r="K56" s="9">
        <f>J56/I56</f>
        <v>114.4578313253012</v>
      </c>
      <c r="L56" s="17">
        <v>16.600000000000001</v>
      </c>
      <c r="M56" s="10">
        <f>AVERAGE(M51:M55)</f>
        <v>1761.0908327560664</v>
      </c>
      <c r="N56" s="9">
        <f>M56/L56</f>
        <v>106.08980920217267</v>
      </c>
      <c r="O56" s="11">
        <f>L56-I56</f>
        <v>0</v>
      </c>
      <c r="P56" s="12">
        <f>N56-K56</f>
        <v>-8.3680221231285259</v>
      </c>
      <c r="Q56" s="197">
        <f>N56/K56</f>
        <v>0.92688991197687709</v>
      </c>
      <c r="R56" s="533"/>
      <c r="S56" s="25"/>
      <c r="T56" s="24"/>
      <c r="U56" s="9"/>
      <c r="V56" s="194"/>
      <c r="W56" s="9"/>
      <c r="X56" s="9"/>
      <c r="Y56" s="528"/>
      <c r="Z56" s="528"/>
      <c r="AA56" s="11">
        <f t="shared" si="2"/>
        <v>-138.90916724393355</v>
      </c>
      <c r="AB56" s="197">
        <f t="shared" si="57"/>
        <v>0.92688991197687709</v>
      </c>
      <c r="AC56" s="533"/>
    </row>
    <row r="57" spans="1:29" ht="15.75" customHeight="1">
      <c r="A57" s="538" t="s">
        <v>742</v>
      </c>
      <c r="B57" s="193" t="s">
        <v>32</v>
      </c>
      <c r="C57" s="529" t="s">
        <v>35</v>
      </c>
      <c r="D57" s="529"/>
      <c r="E57" s="26">
        <v>26.78</v>
      </c>
      <c r="F57" s="27">
        <v>2452</v>
      </c>
      <c r="G57" s="192">
        <f t="shared" ref="G57:G62" si="76">E57*F57</f>
        <v>65664.56</v>
      </c>
      <c r="H57" s="76" t="s">
        <v>52</v>
      </c>
      <c r="I57" s="195">
        <v>10</v>
      </c>
      <c r="J57" s="18">
        <v>3000</v>
      </c>
      <c r="K57" s="9">
        <f t="shared" ref="K57:K62" si="77">J57/I57</f>
        <v>300</v>
      </c>
      <c r="L57" s="17">
        <v>10</v>
      </c>
      <c r="M57" s="10">
        <f t="shared" ref="M57:M62" si="78">F57/V57*60</f>
        <v>2775.8490566037731</v>
      </c>
      <c r="N57" s="9">
        <f>M57/L57</f>
        <v>277.58490566037733</v>
      </c>
      <c r="O57" s="11">
        <f t="shared" ref="O57:O62" si="79">L57-I57</f>
        <v>0</v>
      </c>
      <c r="P57" s="12">
        <f t="shared" ref="P57:P62" si="80">N57-K57</f>
        <v>-22.415094339622669</v>
      </c>
      <c r="Q57" s="197">
        <f>N57/K57</f>
        <v>0.92528301886792441</v>
      </c>
      <c r="R57" s="533">
        <f>Q63</f>
        <v>0.92998088725543671</v>
      </c>
      <c r="S57" s="24">
        <v>0.20833333333333334</v>
      </c>
      <c r="T57" s="24">
        <v>0.24513888888888891</v>
      </c>
      <c r="U57" s="192"/>
      <c r="V57" s="194">
        <f t="shared" ref="V57:V62" si="81">(T57-S57)*24*60</f>
        <v>53.000000000000014</v>
      </c>
      <c r="W57" s="15"/>
      <c r="X57" s="15"/>
      <c r="Y57" s="528"/>
      <c r="Z57" s="528"/>
      <c r="AA57" s="11">
        <f t="shared" si="2"/>
        <v>-224.15094339622692</v>
      </c>
      <c r="AB57" s="197">
        <f t="shared" si="57"/>
        <v>0.92528301886792441</v>
      </c>
      <c r="AC57" s="533">
        <f>AB63</f>
        <v>0.92998088725543671</v>
      </c>
    </row>
    <row r="58" spans="1:29" ht="15.75" customHeight="1">
      <c r="A58" s="538" t="s">
        <v>742</v>
      </c>
      <c r="B58" s="193" t="s">
        <v>32</v>
      </c>
      <c r="C58" s="529" t="s">
        <v>39</v>
      </c>
      <c r="D58" s="529"/>
      <c r="E58" s="26">
        <v>35.369999999999997</v>
      </c>
      <c r="F58" s="27">
        <v>1624</v>
      </c>
      <c r="G58" s="192">
        <f t="shared" si="76"/>
        <v>57440.88</v>
      </c>
      <c r="H58" s="76" t="s">
        <v>52</v>
      </c>
      <c r="I58" s="195">
        <v>10</v>
      </c>
      <c r="J58" s="18">
        <v>3000</v>
      </c>
      <c r="K58" s="9">
        <f t="shared" si="77"/>
        <v>300</v>
      </c>
      <c r="L58" s="17">
        <v>10</v>
      </c>
      <c r="M58" s="10">
        <f t="shared" si="78"/>
        <v>2783.9999999999973</v>
      </c>
      <c r="N58" s="9">
        <f t="shared" ref="N58:N62" si="82">M58/L58</f>
        <v>278.39999999999975</v>
      </c>
      <c r="O58" s="11">
        <f t="shared" si="79"/>
        <v>0</v>
      </c>
      <c r="P58" s="12">
        <f t="shared" si="80"/>
        <v>-21.60000000000025</v>
      </c>
      <c r="Q58" s="197">
        <f t="shared" ref="Q58:Q62" si="83">N58/K58</f>
        <v>0.92799999999999916</v>
      </c>
      <c r="R58" s="533"/>
      <c r="S58" s="24">
        <v>0.25069444444444444</v>
      </c>
      <c r="T58" s="24">
        <v>0.27500000000000002</v>
      </c>
      <c r="U58" s="192">
        <f>(S58-T57)*24*60</f>
        <v>7.9999999999999716</v>
      </c>
      <c r="V58" s="194">
        <f t="shared" si="81"/>
        <v>35.000000000000036</v>
      </c>
      <c r="W58" s="192"/>
      <c r="X58" s="192"/>
      <c r="Y58" s="528"/>
      <c r="Z58" s="528"/>
      <c r="AA58" s="11">
        <f t="shared" si="2"/>
        <v>-216.00000000000273</v>
      </c>
      <c r="AB58" s="197">
        <f t="shared" si="57"/>
        <v>0.92799999999999905</v>
      </c>
      <c r="AC58" s="533"/>
    </row>
    <row r="59" spans="1:29" ht="15.75" customHeight="1">
      <c r="A59" s="538" t="s">
        <v>742</v>
      </c>
      <c r="B59" s="193" t="s">
        <v>32</v>
      </c>
      <c r="C59" s="529" t="s">
        <v>38</v>
      </c>
      <c r="D59" s="529"/>
      <c r="E59" s="26">
        <v>34.35</v>
      </c>
      <c r="F59" s="27">
        <v>1458</v>
      </c>
      <c r="G59" s="192">
        <f t="shared" si="76"/>
        <v>50082.3</v>
      </c>
      <c r="H59" s="76" t="s">
        <v>52</v>
      </c>
      <c r="I59" s="195">
        <v>10</v>
      </c>
      <c r="J59" s="18">
        <v>3000</v>
      </c>
      <c r="K59" s="9">
        <f t="shared" si="77"/>
        <v>300</v>
      </c>
      <c r="L59" s="17">
        <v>10</v>
      </c>
      <c r="M59" s="10">
        <f t="shared" si="78"/>
        <v>2821.9354838709701</v>
      </c>
      <c r="N59" s="9">
        <f t="shared" si="82"/>
        <v>282.193548387097</v>
      </c>
      <c r="O59" s="11">
        <f t="shared" si="79"/>
        <v>0</v>
      </c>
      <c r="P59" s="12">
        <f t="shared" si="80"/>
        <v>-17.806451612903004</v>
      </c>
      <c r="Q59" s="197">
        <f t="shared" si="83"/>
        <v>0.94064516129032327</v>
      </c>
      <c r="R59" s="533"/>
      <c r="S59" s="24">
        <v>0.27847222222222223</v>
      </c>
      <c r="T59" s="24">
        <v>0.3</v>
      </c>
      <c r="U59" s="192">
        <f t="shared" ref="U59:U62" si="84">(S59-T58)*24*60</f>
        <v>4.9999999999999822</v>
      </c>
      <c r="V59" s="194">
        <f t="shared" si="81"/>
        <v>30.999999999999972</v>
      </c>
      <c r="W59" s="192"/>
      <c r="X59" s="192"/>
      <c r="Y59" s="528"/>
      <c r="Z59" s="528"/>
      <c r="AA59" s="11">
        <f t="shared" si="2"/>
        <v>-178.06451612902993</v>
      </c>
      <c r="AB59" s="197">
        <f t="shared" si="57"/>
        <v>0.94064516129032338</v>
      </c>
      <c r="AC59" s="533"/>
    </row>
    <row r="60" spans="1:29" ht="15.75" customHeight="1">
      <c r="A60" s="538" t="s">
        <v>742</v>
      </c>
      <c r="B60" s="193" t="s">
        <v>15</v>
      </c>
      <c r="C60" s="529" t="s">
        <v>36</v>
      </c>
      <c r="D60" s="529"/>
      <c r="E60" s="26">
        <v>26.97</v>
      </c>
      <c r="F60" s="27">
        <v>3186</v>
      </c>
      <c r="G60" s="192">
        <f t="shared" si="76"/>
        <v>85926.42</v>
      </c>
      <c r="H60" s="76" t="s">
        <v>52</v>
      </c>
      <c r="I60" s="195">
        <v>8</v>
      </c>
      <c r="J60" s="18">
        <v>1500</v>
      </c>
      <c r="K60" s="9">
        <f t="shared" si="77"/>
        <v>187.5</v>
      </c>
      <c r="L60" s="17">
        <v>8</v>
      </c>
      <c r="M60" s="10">
        <f t="shared" si="78"/>
        <v>1385.2173913043478</v>
      </c>
      <c r="N60" s="9">
        <f t="shared" si="82"/>
        <v>173.15217391304347</v>
      </c>
      <c r="O60" s="11">
        <f t="shared" si="79"/>
        <v>0</v>
      </c>
      <c r="P60" s="12">
        <f t="shared" si="80"/>
        <v>-14.34782608695653</v>
      </c>
      <c r="Q60" s="197">
        <f t="shared" si="83"/>
        <v>0.92347826086956519</v>
      </c>
      <c r="R60" s="533"/>
      <c r="S60" s="24">
        <v>0.3034722222222222</v>
      </c>
      <c r="T60" s="24">
        <v>0.39930555555555552</v>
      </c>
      <c r="U60" s="192">
        <f t="shared" si="84"/>
        <v>4.9999999999999822</v>
      </c>
      <c r="V60" s="194">
        <f t="shared" si="81"/>
        <v>138</v>
      </c>
      <c r="W60" s="192"/>
      <c r="X60" s="192"/>
      <c r="Y60" s="528"/>
      <c r="Z60" s="528"/>
      <c r="AA60" s="11">
        <f t="shared" si="2"/>
        <v>-114.78260869565224</v>
      </c>
      <c r="AB60" s="197">
        <f t="shared" si="57"/>
        <v>0.92347826086956519</v>
      </c>
      <c r="AC60" s="533"/>
    </row>
    <row r="61" spans="1:29">
      <c r="A61" s="539" t="s">
        <v>742</v>
      </c>
      <c r="B61" s="193" t="s">
        <v>32</v>
      </c>
      <c r="C61" s="529" t="s">
        <v>37</v>
      </c>
      <c r="D61" s="529"/>
      <c r="E61" s="26">
        <v>35.119999999999997</v>
      </c>
      <c r="F61" s="27">
        <v>1283</v>
      </c>
      <c r="G61" s="192">
        <f t="shared" si="76"/>
        <v>45058.96</v>
      </c>
      <c r="H61" s="76" t="s">
        <v>52</v>
      </c>
      <c r="I61" s="195">
        <v>13</v>
      </c>
      <c r="J61" s="18">
        <v>2000</v>
      </c>
      <c r="K61" s="9">
        <f t="shared" si="77"/>
        <v>153.84615384615384</v>
      </c>
      <c r="L61" s="17">
        <v>13</v>
      </c>
      <c r="M61" s="10">
        <f t="shared" si="78"/>
        <v>1877.5609756097556</v>
      </c>
      <c r="N61" s="9">
        <f t="shared" si="82"/>
        <v>144.4277673545966</v>
      </c>
      <c r="O61" s="11">
        <f t="shared" si="79"/>
        <v>0</v>
      </c>
      <c r="P61" s="12">
        <f t="shared" si="80"/>
        <v>-9.4183864915572428</v>
      </c>
      <c r="Q61" s="197">
        <f t="shared" si="83"/>
        <v>0.93878048780487788</v>
      </c>
      <c r="R61" s="533"/>
      <c r="S61" s="24">
        <v>0.40486111111111106</v>
      </c>
      <c r="T61" s="24">
        <v>0.43333333333333329</v>
      </c>
      <c r="U61" s="192">
        <f t="shared" si="84"/>
        <v>7.9999999999999716</v>
      </c>
      <c r="V61" s="194">
        <f t="shared" si="81"/>
        <v>41.000000000000014</v>
      </c>
      <c r="W61" s="14"/>
      <c r="X61" s="14"/>
      <c r="Y61" s="528"/>
      <c r="Z61" s="528"/>
      <c r="AA61" s="11">
        <f t="shared" si="2"/>
        <v>-122.43902439024441</v>
      </c>
      <c r="AB61" s="197">
        <f t="shared" si="57"/>
        <v>0.93878048780487777</v>
      </c>
      <c r="AC61" s="533"/>
    </row>
    <row r="62" spans="1:29" ht="15" customHeight="1">
      <c r="A62" s="539" t="s">
        <v>742</v>
      </c>
      <c r="B62" s="193" t="s">
        <v>32</v>
      </c>
      <c r="C62" s="534" t="s">
        <v>84</v>
      </c>
      <c r="D62" s="535"/>
      <c r="E62" s="26">
        <v>35.869999999999997</v>
      </c>
      <c r="F62" s="27">
        <v>3278</v>
      </c>
      <c r="G62" s="192">
        <f t="shared" si="76"/>
        <v>117581.85999999999</v>
      </c>
      <c r="H62" s="76" t="s">
        <v>52</v>
      </c>
      <c r="I62" s="195">
        <v>10</v>
      </c>
      <c r="J62" s="18">
        <v>3000</v>
      </c>
      <c r="K62" s="9">
        <f t="shared" si="77"/>
        <v>300</v>
      </c>
      <c r="L62" s="17">
        <v>10</v>
      </c>
      <c r="M62" s="10">
        <f t="shared" si="78"/>
        <v>2770.1408450704234</v>
      </c>
      <c r="N62" s="9">
        <f t="shared" si="82"/>
        <v>277.01408450704236</v>
      </c>
      <c r="O62" s="11">
        <f t="shared" si="79"/>
        <v>0</v>
      </c>
      <c r="P62" s="12">
        <f t="shared" si="80"/>
        <v>-22.985915492957645</v>
      </c>
      <c r="Q62" s="197">
        <f t="shared" si="83"/>
        <v>0.92338028169014119</v>
      </c>
      <c r="R62" s="533"/>
      <c r="S62" s="24">
        <v>0.43888888888888883</v>
      </c>
      <c r="T62" s="24">
        <v>0.48819444444444438</v>
      </c>
      <c r="U62" s="192">
        <f t="shared" si="84"/>
        <v>7.9999999999999716</v>
      </c>
      <c r="V62" s="194">
        <f t="shared" si="81"/>
        <v>70.999999999999986</v>
      </c>
      <c r="W62" s="192"/>
      <c r="X62" s="192"/>
      <c r="Y62" s="536"/>
      <c r="Z62" s="537"/>
      <c r="AA62" s="11">
        <f t="shared" si="2"/>
        <v>-229.85915492957656</v>
      </c>
      <c r="AB62" s="197">
        <f t="shared" si="57"/>
        <v>0.92338028169014119</v>
      </c>
      <c r="AC62" s="533"/>
    </row>
    <row r="63" spans="1:29">
      <c r="A63" s="539" t="s">
        <v>742</v>
      </c>
      <c r="B63" s="26" t="s">
        <v>734</v>
      </c>
      <c r="C63" s="530"/>
      <c r="D63" s="530"/>
      <c r="E63" s="196"/>
      <c r="F63" s="16"/>
      <c r="G63" s="9"/>
      <c r="H63" s="193"/>
      <c r="I63" s="17">
        <v>10.166666666666666</v>
      </c>
      <c r="J63" s="18">
        <v>2583.3333333333335</v>
      </c>
      <c r="K63" s="9">
        <f>J63/I63</f>
        <v>254.09836065573774</v>
      </c>
      <c r="L63" s="17">
        <v>10.166666666666666</v>
      </c>
      <c r="M63" s="10">
        <f>AVERAGE(M57:M62)</f>
        <v>2402.4506254098783</v>
      </c>
      <c r="N63" s="9">
        <f>M63/L63</f>
        <v>236.30661889277494</v>
      </c>
      <c r="O63" s="11">
        <f>L63-I63</f>
        <v>0</v>
      </c>
      <c r="P63" s="12">
        <f>N63-K63</f>
        <v>-17.791741762962801</v>
      </c>
      <c r="Q63" s="197">
        <f>N63/K63</f>
        <v>0.92998088725543671</v>
      </c>
      <c r="R63" s="533"/>
      <c r="S63" s="24"/>
      <c r="T63" s="24"/>
      <c r="U63" s="9"/>
      <c r="V63" s="194"/>
      <c r="W63" s="9"/>
      <c r="X63" s="9"/>
      <c r="Y63" s="528"/>
      <c r="Z63" s="528"/>
      <c r="AA63" s="11">
        <f t="shared" si="2"/>
        <v>-180.8827079234552</v>
      </c>
      <c r="AB63" s="197">
        <f t="shared" si="57"/>
        <v>0.92998088725543671</v>
      </c>
      <c r="AC63" s="533"/>
    </row>
    <row r="64" spans="1:29" ht="15.75" customHeight="1">
      <c r="A64" s="531" t="s">
        <v>743</v>
      </c>
      <c r="B64" s="193" t="s">
        <v>24</v>
      </c>
      <c r="C64" s="529" t="s">
        <v>67</v>
      </c>
      <c r="D64" s="529"/>
      <c r="E64" s="26">
        <v>32.03</v>
      </c>
      <c r="F64" s="193">
        <v>1017</v>
      </c>
      <c r="G64" s="192">
        <f t="shared" ref="G64:G70" si="85">E64*F64</f>
        <v>32574.510000000002</v>
      </c>
      <c r="H64" s="76" t="s">
        <v>52</v>
      </c>
      <c r="I64" s="195">
        <v>19</v>
      </c>
      <c r="J64" s="18">
        <v>2400</v>
      </c>
      <c r="K64" s="9">
        <f t="shared" ref="K64:K66" si="86">J64/I64</f>
        <v>126.31578947368421</v>
      </c>
      <c r="L64" s="17">
        <v>19</v>
      </c>
      <c r="M64" s="10">
        <f>F64/V64*60</f>
        <v>2260</v>
      </c>
      <c r="N64" s="9">
        <f t="shared" ref="N64:N70" si="87">M64/L64</f>
        <v>118.94736842105263</v>
      </c>
      <c r="O64" s="11">
        <f t="shared" ref="O64:O70" si="88">L64-I64</f>
        <v>0</v>
      </c>
      <c r="P64" s="12">
        <f t="shared" ref="P64:P70" si="89">N64-K64</f>
        <v>-7.3684210526315752</v>
      </c>
      <c r="Q64" s="197">
        <f>N64/K64</f>
        <v>0.94166666666666665</v>
      </c>
      <c r="R64" s="533">
        <f>Q71</f>
        <v>0.92908987882108107</v>
      </c>
      <c r="S64" s="24">
        <v>8.3333333333333329E-2</v>
      </c>
      <c r="T64" s="24">
        <v>0.10208333333333333</v>
      </c>
      <c r="U64" s="15"/>
      <c r="V64" s="194">
        <f t="shared" ref="V64:V70" si="90">(T64-S64)*24*60</f>
        <v>27.000000000000004</v>
      </c>
      <c r="W64" s="14">
        <f>T64</f>
        <v>0.10208333333333333</v>
      </c>
      <c r="X64" s="14">
        <f>S65</f>
        <v>0.12152777777777778</v>
      </c>
      <c r="Y64" s="528"/>
      <c r="Z64" s="528"/>
      <c r="AA64" s="11">
        <f t="shared" si="2"/>
        <v>-140</v>
      </c>
      <c r="AB64" s="197">
        <f>M64/J64</f>
        <v>0.94166666666666665</v>
      </c>
      <c r="AC64" s="533">
        <f>AB71</f>
        <v>0.92908987882108096</v>
      </c>
    </row>
    <row r="65" spans="1:29" ht="15.75" customHeight="1">
      <c r="A65" s="531" t="s">
        <v>743</v>
      </c>
      <c r="B65" s="193" t="s">
        <v>24</v>
      </c>
      <c r="C65" s="529" t="s">
        <v>51</v>
      </c>
      <c r="D65" s="529"/>
      <c r="E65" s="26">
        <v>20.2</v>
      </c>
      <c r="F65" s="193">
        <v>2575</v>
      </c>
      <c r="G65" s="192">
        <f t="shared" si="85"/>
        <v>52015</v>
      </c>
      <c r="H65" s="76" t="s">
        <v>52</v>
      </c>
      <c r="I65" s="195">
        <v>19</v>
      </c>
      <c r="J65" s="18">
        <v>2400</v>
      </c>
      <c r="K65" s="9">
        <f t="shared" si="86"/>
        <v>126.31578947368421</v>
      </c>
      <c r="L65" s="17">
        <v>19</v>
      </c>
      <c r="M65" s="10">
        <f t="shared" ref="M65:M70" si="91">F65/V65*60</f>
        <v>2239.1304347826076</v>
      </c>
      <c r="N65" s="9">
        <f t="shared" si="87"/>
        <v>117.8489702517162</v>
      </c>
      <c r="O65" s="11">
        <f t="shared" si="88"/>
        <v>0</v>
      </c>
      <c r="P65" s="12">
        <f t="shared" si="89"/>
        <v>-8.4668192219680094</v>
      </c>
      <c r="Q65" s="197">
        <f t="shared" ref="Q65:Q71" si="92">N65/K65</f>
        <v>0.93297101449275321</v>
      </c>
      <c r="R65" s="533"/>
      <c r="S65" s="24">
        <v>0.12152777777777778</v>
      </c>
      <c r="T65" s="24">
        <v>0.16944444444444445</v>
      </c>
      <c r="U65" s="192">
        <f>(S65-T64)*24*60</f>
        <v>28</v>
      </c>
      <c r="V65" s="194">
        <f t="shared" si="90"/>
        <v>69.000000000000028</v>
      </c>
      <c r="W65" s="14"/>
      <c r="X65" s="14"/>
      <c r="Y65" s="528"/>
      <c r="Z65" s="528"/>
      <c r="AA65" s="11">
        <f t="shared" si="2"/>
        <v>-160.86956521739239</v>
      </c>
      <c r="AB65" s="197">
        <f t="shared" ref="AB65:AB71" si="93">M65/J65</f>
        <v>0.93297101449275321</v>
      </c>
      <c r="AC65" s="533"/>
    </row>
    <row r="66" spans="1:29" ht="15.75" customHeight="1">
      <c r="A66" s="531" t="s">
        <v>743</v>
      </c>
      <c r="B66" s="193" t="s">
        <v>24</v>
      </c>
      <c r="C66" s="529" t="s">
        <v>41</v>
      </c>
      <c r="D66" s="529"/>
      <c r="E66" s="26">
        <v>19.02</v>
      </c>
      <c r="F66" s="193">
        <v>4500</v>
      </c>
      <c r="G66" s="192">
        <f t="shared" si="85"/>
        <v>85590</v>
      </c>
      <c r="H66" s="76">
        <v>2</v>
      </c>
      <c r="I66" s="195">
        <v>15</v>
      </c>
      <c r="J66" s="18">
        <v>2400</v>
      </c>
      <c r="K66" s="9">
        <f t="shared" si="86"/>
        <v>160</v>
      </c>
      <c r="L66" s="17">
        <v>15</v>
      </c>
      <c r="M66" s="10">
        <f t="shared" si="91"/>
        <v>2213.1147540983607</v>
      </c>
      <c r="N66" s="9">
        <f t="shared" si="87"/>
        <v>147.54098360655738</v>
      </c>
      <c r="O66" s="11">
        <f t="shared" si="88"/>
        <v>0</v>
      </c>
      <c r="P66" s="12">
        <f t="shared" si="89"/>
        <v>-12.459016393442624</v>
      </c>
      <c r="Q66" s="197">
        <f t="shared" si="92"/>
        <v>0.92213114754098358</v>
      </c>
      <c r="R66" s="533"/>
      <c r="S66" s="24">
        <v>0.17500000000000002</v>
      </c>
      <c r="T66" s="24">
        <v>0.25972222222222224</v>
      </c>
      <c r="U66" s="192">
        <f t="shared" ref="U66:U70" si="94">(S66-T65)*24*60</f>
        <v>8.0000000000000107</v>
      </c>
      <c r="V66" s="194">
        <f t="shared" si="90"/>
        <v>122</v>
      </c>
      <c r="W66" s="14"/>
      <c r="X66" s="14"/>
      <c r="Y66" s="528"/>
      <c r="Z66" s="528"/>
      <c r="AA66" s="11">
        <f t="shared" si="2"/>
        <v>-186.88524590163934</v>
      </c>
      <c r="AB66" s="197">
        <f t="shared" si="93"/>
        <v>0.92213114754098358</v>
      </c>
      <c r="AC66" s="533"/>
    </row>
    <row r="67" spans="1:29" ht="15.75" customHeight="1">
      <c r="A67" s="531" t="s">
        <v>743</v>
      </c>
      <c r="B67" s="193" t="s">
        <v>24</v>
      </c>
      <c r="C67" s="529" t="s">
        <v>42</v>
      </c>
      <c r="D67" s="529"/>
      <c r="E67" s="26">
        <v>25</v>
      </c>
      <c r="F67" s="193">
        <v>3918</v>
      </c>
      <c r="G67" s="192">
        <f t="shared" si="85"/>
        <v>97950</v>
      </c>
      <c r="H67" s="76" t="s">
        <v>52</v>
      </c>
      <c r="I67" s="195">
        <v>15</v>
      </c>
      <c r="J67" s="18">
        <v>2400</v>
      </c>
      <c r="K67" s="9">
        <f>J67/I67</f>
        <v>160</v>
      </c>
      <c r="L67" s="17">
        <v>15</v>
      </c>
      <c r="M67" s="10">
        <f t="shared" si="91"/>
        <v>2217.735849056603</v>
      </c>
      <c r="N67" s="9">
        <f t="shared" si="87"/>
        <v>147.84905660377353</v>
      </c>
      <c r="O67" s="11">
        <f t="shared" si="88"/>
        <v>0</v>
      </c>
      <c r="P67" s="12">
        <f t="shared" si="89"/>
        <v>-12.150943396226467</v>
      </c>
      <c r="Q67" s="197">
        <f t="shared" si="92"/>
        <v>0.92405660377358456</v>
      </c>
      <c r="R67" s="533"/>
      <c r="S67" s="24">
        <v>0.26458333333333334</v>
      </c>
      <c r="T67" s="24">
        <v>0.33819444444444446</v>
      </c>
      <c r="U67" s="192">
        <f t="shared" si="94"/>
        <v>6.9999999999999751</v>
      </c>
      <c r="V67" s="194">
        <f t="shared" si="90"/>
        <v>106.00000000000003</v>
      </c>
      <c r="W67" s="14"/>
      <c r="X67" s="14"/>
      <c r="Y67" s="528"/>
      <c r="Z67" s="528"/>
      <c r="AA67" s="11">
        <f t="shared" si="2"/>
        <v>-182.264150943397</v>
      </c>
      <c r="AB67" s="197">
        <f t="shared" si="93"/>
        <v>0.92405660377358456</v>
      </c>
      <c r="AC67" s="533"/>
    </row>
    <row r="68" spans="1:29" ht="15.75" customHeight="1">
      <c r="A68" s="531" t="s">
        <v>743</v>
      </c>
      <c r="B68" s="193" t="s">
        <v>24</v>
      </c>
      <c r="C68" s="529" t="s">
        <v>77</v>
      </c>
      <c r="D68" s="529"/>
      <c r="E68" s="26">
        <v>28.51</v>
      </c>
      <c r="F68" s="193">
        <v>4184</v>
      </c>
      <c r="G68" s="192">
        <f t="shared" si="85"/>
        <v>119285.84000000001</v>
      </c>
      <c r="H68" s="76" t="s">
        <v>52</v>
      </c>
      <c r="I68" s="195">
        <v>19</v>
      </c>
      <c r="J68" s="18">
        <v>2400</v>
      </c>
      <c r="K68" s="9">
        <f t="shared" ref="K68:K71" si="95">J68/I68</f>
        <v>126.31578947368421</v>
      </c>
      <c r="L68" s="17">
        <v>19</v>
      </c>
      <c r="M68" s="10">
        <f t="shared" si="91"/>
        <v>2221.5929203539822</v>
      </c>
      <c r="N68" s="9">
        <f t="shared" si="87"/>
        <v>116.92594317652538</v>
      </c>
      <c r="O68" s="11">
        <f t="shared" si="88"/>
        <v>0</v>
      </c>
      <c r="P68" s="12">
        <f t="shared" si="89"/>
        <v>-9.3898462971588259</v>
      </c>
      <c r="Q68" s="197">
        <f t="shared" si="92"/>
        <v>0.92566371681415927</v>
      </c>
      <c r="R68" s="533"/>
      <c r="S68" s="24">
        <v>0.34236111111111112</v>
      </c>
      <c r="T68" s="24">
        <v>0.42083333333333334</v>
      </c>
      <c r="U68" s="192">
        <f t="shared" si="94"/>
        <v>5.9999999999999787</v>
      </c>
      <c r="V68" s="194">
        <f t="shared" si="90"/>
        <v>113</v>
      </c>
      <c r="W68" s="14"/>
      <c r="X68" s="14"/>
      <c r="Y68" s="528"/>
      <c r="Z68" s="528"/>
      <c r="AA68" s="11">
        <f t="shared" si="2"/>
        <v>-178.40707964601779</v>
      </c>
      <c r="AB68" s="197">
        <f t="shared" si="93"/>
        <v>0.92566371681415927</v>
      </c>
      <c r="AC68" s="533"/>
    </row>
    <row r="69" spans="1:29" ht="15.75" customHeight="1">
      <c r="A69" s="531" t="s">
        <v>743</v>
      </c>
      <c r="B69" s="193" t="s">
        <v>24</v>
      </c>
      <c r="C69" s="529" t="s">
        <v>25</v>
      </c>
      <c r="D69" s="529"/>
      <c r="E69" s="26">
        <v>20.52</v>
      </c>
      <c r="F69" s="193">
        <v>3979</v>
      </c>
      <c r="G69" s="192">
        <f t="shared" si="85"/>
        <v>81649.08</v>
      </c>
      <c r="H69" s="76" t="s">
        <v>52</v>
      </c>
      <c r="I69" s="195">
        <v>18</v>
      </c>
      <c r="J69" s="18">
        <v>2400</v>
      </c>
      <c r="K69" s="9">
        <f t="shared" si="95"/>
        <v>133.33333333333334</v>
      </c>
      <c r="L69" s="17">
        <v>18</v>
      </c>
      <c r="M69" s="10">
        <f t="shared" si="91"/>
        <v>2231.2149532710278</v>
      </c>
      <c r="N69" s="9">
        <f t="shared" si="87"/>
        <v>123.95638629283488</v>
      </c>
      <c r="O69" s="11">
        <f t="shared" si="88"/>
        <v>0</v>
      </c>
      <c r="P69" s="12">
        <f t="shared" si="89"/>
        <v>-9.3769470404984645</v>
      </c>
      <c r="Q69" s="197">
        <f t="shared" si="92"/>
        <v>0.92967289719626156</v>
      </c>
      <c r="R69" s="533"/>
      <c r="S69" s="24">
        <v>0.42430555555555555</v>
      </c>
      <c r="T69" s="24">
        <v>0.49861111111111112</v>
      </c>
      <c r="U69" s="192">
        <f t="shared" si="94"/>
        <v>4.9999999999999822</v>
      </c>
      <c r="V69" s="194">
        <f t="shared" si="90"/>
        <v>107.00000000000001</v>
      </c>
      <c r="W69" s="14">
        <f>T69</f>
        <v>0.49861111111111112</v>
      </c>
      <c r="X69" s="14">
        <f>S70</f>
        <v>0.54027777777777775</v>
      </c>
      <c r="Y69" s="528"/>
      <c r="Z69" s="528"/>
      <c r="AA69" s="11">
        <f t="shared" ref="AA69:AA71" si="96">M69-J69</f>
        <v>-168.78504672897225</v>
      </c>
      <c r="AB69" s="197">
        <f t="shared" si="93"/>
        <v>0.92967289719626156</v>
      </c>
      <c r="AC69" s="533"/>
    </row>
    <row r="70" spans="1:29" ht="15.75" customHeight="1">
      <c r="A70" s="531" t="s">
        <v>743</v>
      </c>
      <c r="B70" s="193" t="s">
        <v>24</v>
      </c>
      <c r="C70" s="534" t="s">
        <v>41</v>
      </c>
      <c r="D70" s="535"/>
      <c r="E70" s="26">
        <v>19.02</v>
      </c>
      <c r="F70" s="193">
        <v>5639</v>
      </c>
      <c r="G70" s="192">
        <f t="shared" si="85"/>
        <v>107253.78</v>
      </c>
      <c r="H70" s="76" t="s">
        <v>52</v>
      </c>
      <c r="I70" s="195">
        <v>15</v>
      </c>
      <c r="J70" s="18">
        <v>2400</v>
      </c>
      <c r="K70" s="9">
        <f t="shared" si="95"/>
        <v>160</v>
      </c>
      <c r="L70" s="17">
        <v>15</v>
      </c>
      <c r="M70" s="10">
        <f t="shared" si="91"/>
        <v>2225.9210526315796</v>
      </c>
      <c r="N70" s="9">
        <f t="shared" si="87"/>
        <v>148.39473684210532</v>
      </c>
      <c r="O70" s="11">
        <f t="shared" si="88"/>
        <v>0</v>
      </c>
      <c r="P70" s="12">
        <f t="shared" si="89"/>
        <v>-11.605263157894683</v>
      </c>
      <c r="Q70" s="197">
        <f t="shared" si="92"/>
        <v>0.92746710526315823</v>
      </c>
      <c r="R70" s="533"/>
      <c r="S70" s="24">
        <v>0.54027777777777775</v>
      </c>
      <c r="T70" s="24">
        <v>0.64583333333333326</v>
      </c>
      <c r="U70" s="192">
        <f t="shared" si="94"/>
        <v>59.999999999999943</v>
      </c>
      <c r="V70" s="194">
        <f t="shared" si="90"/>
        <v>151.99999999999994</v>
      </c>
      <c r="W70" s="14"/>
      <c r="X70" s="14"/>
      <c r="Y70" s="536"/>
      <c r="Z70" s="537"/>
      <c r="AA70" s="11">
        <f t="shared" si="96"/>
        <v>-174.07894736842036</v>
      </c>
      <c r="AB70" s="197">
        <f t="shared" si="93"/>
        <v>0.92746710526315823</v>
      </c>
      <c r="AC70" s="533"/>
    </row>
    <row r="71" spans="1:29" ht="16.5" customHeight="1">
      <c r="A71" s="532" t="s">
        <v>743</v>
      </c>
      <c r="B71" s="26" t="s">
        <v>734</v>
      </c>
      <c r="C71" s="530"/>
      <c r="D71" s="530"/>
      <c r="E71" s="196"/>
      <c r="F71" s="16"/>
      <c r="G71" s="9"/>
      <c r="H71" s="193"/>
      <c r="I71" s="17">
        <v>17.142857142857142</v>
      </c>
      <c r="J71" s="18">
        <v>2400</v>
      </c>
      <c r="K71" s="9">
        <f t="shared" si="95"/>
        <v>140</v>
      </c>
      <c r="L71" s="17">
        <v>17.142857142857142</v>
      </c>
      <c r="M71" s="10">
        <f>AVERAGE(M64:M70)</f>
        <v>2229.8157091705943</v>
      </c>
      <c r="N71" s="9">
        <f>M71/L71</f>
        <v>130.07258303495135</v>
      </c>
      <c r="O71" s="11">
        <f>L71-I71</f>
        <v>0</v>
      </c>
      <c r="P71" s="12">
        <f>N71-K71</f>
        <v>-9.9274169650486499</v>
      </c>
      <c r="Q71" s="197">
        <f t="shared" si="92"/>
        <v>0.92908987882108107</v>
      </c>
      <c r="R71" s="533"/>
      <c r="S71" s="24"/>
      <c r="T71" s="24"/>
      <c r="U71" s="9"/>
      <c r="V71" s="194"/>
      <c r="W71" s="9"/>
      <c r="X71" s="9"/>
      <c r="Y71" s="528"/>
      <c r="Z71" s="528"/>
      <c r="AA71" s="11">
        <f t="shared" si="96"/>
        <v>-170.18429082940565</v>
      </c>
      <c r="AB71" s="197">
        <f t="shared" si="93"/>
        <v>0.92908987882108096</v>
      </c>
      <c r="AC71" s="533"/>
    </row>
    <row r="72" spans="1:29">
      <c r="D72" s="19"/>
      <c r="E72" s="19"/>
    </row>
  </sheetData>
  <mergeCells count="190">
    <mergeCell ref="A64:A71"/>
    <mergeCell ref="C64:D64"/>
    <mergeCell ref="R64:R71"/>
    <mergeCell ref="Y64:Z64"/>
    <mergeCell ref="A57:A63"/>
    <mergeCell ref="C57:D57"/>
    <mergeCell ref="R57:R63"/>
    <mergeCell ref="Y57:Z57"/>
    <mergeCell ref="AC64:AC71"/>
    <mergeCell ref="C65:D65"/>
    <mergeCell ref="Y65:Z65"/>
    <mergeCell ref="C66:D66"/>
    <mergeCell ref="Y66:Z66"/>
    <mergeCell ref="C67:D67"/>
    <mergeCell ref="C71:D71"/>
    <mergeCell ref="Y71:Z71"/>
    <mergeCell ref="Y67:Z67"/>
    <mergeCell ref="C68:D68"/>
    <mergeCell ref="Y68:Z68"/>
    <mergeCell ref="C69:D69"/>
    <mergeCell ref="Y69:Z69"/>
    <mergeCell ref="C70:D70"/>
    <mergeCell ref="Y70:Z70"/>
    <mergeCell ref="AC51:AC56"/>
    <mergeCell ref="C52:D52"/>
    <mergeCell ref="Y52:Z52"/>
    <mergeCell ref="C53:D53"/>
    <mergeCell ref="C56:D56"/>
    <mergeCell ref="Y56:Z56"/>
    <mergeCell ref="Y60:Z60"/>
    <mergeCell ref="AC43:AC50"/>
    <mergeCell ref="A51:A56"/>
    <mergeCell ref="C51:D51"/>
    <mergeCell ref="R51:R56"/>
    <mergeCell ref="Y51:Z51"/>
    <mergeCell ref="C58:D58"/>
    <mergeCell ref="Y58:Z58"/>
    <mergeCell ref="AC57:AC63"/>
    <mergeCell ref="C61:D61"/>
    <mergeCell ref="Y61:Z61"/>
    <mergeCell ref="C62:D62"/>
    <mergeCell ref="Y62:Z62"/>
    <mergeCell ref="C63:D63"/>
    <mergeCell ref="Y63:Z63"/>
    <mergeCell ref="C59:D59"/>
    <mergeCell ref="Y59:Z59"/>
    <mergeCell ref="C60:D60"/>
    <mergeCell ref="A43:A50"/>
    <mergeCell ref="C43:D43"/>
    <mergeCell ref="R43:R50"/>
    <mergeCell ref="Y43:Z43"/>
    <mergeCell ref="Y48:Z48"/>
    <mergeCell ref="C49:D49"/>
    <mergeCell ref="Y49:Z49"/>
    <mergeCell ref="C50:D50"/>
    <mergeCell ref="Y50:Z50"/>
    <mergeCell ref="C44:D44"/>
    <mergeCell ref="Y44:Z44"/>
    <mergeCell ref="C45:D45"/>
    <mergeCell ref="Y45:Z45"/>
    <mergeCell ref="C46:D46"/>
    <mergeCell ref="Y46:Z46"/>
    <mergeCell ref="C47:D47"/>
    <mergeCell ref="Y47:Z47"/>
    <mergeCell ref="C48:D48"/>
    <mergeCell ref="A35:A42"/>
    <mergeCell ref="C35:D35"/>
    <mergeCell ref="R35:R42"/>
    <mergeCell ref="Y35:Z35"/>
    <mergeCell ref="C41:D41"/>
    <mergeCell ref="Y41:Z41"/>
    <mergeCell ref="C42:D42"/>
    <mergeCell ref="Y42:Z42"/>
    <mergeCell ref="A28:A34"/>
    <mergeCell ref="C28:D28"/>
    <mergeCell ref="R28:R34"/>
    <mergeCell ref="Y28:Z28"/>
    <mergeCell ref="Y33:Z33"/>
    <mergeCell ref="C34:D34"/>
    <mergeCell ref="AC35:AC42"/>
    <mergeCell ref="C36:D36"/>
    <mergeCell ref="Y36:Z36"/>
    <mergeCell ref="C37:D37"/>
    <mergeCell ref="Y37:Z37"/>
    <mergeCell ref="AC28:AC34"/>
    <mergeCell ref="C29:D29"/>
    <mergeCell ref="Y29:Z29"/>
    <mergeCell ref="C30:D30"/>
    <mergeCell ref="Y30:Z30"/>
    <mergeCell ref="C31:D31"/>
    <mergeCell ref="Y31:Z31"/>
    <mergeCell ref="C32:D32"/>
    <mergeCell ref="Y32:Z32"/>
    <mergeCell ref="C33:D33"/>
    <mergeCell ref="C38:D38"/>
    <mergeCell ref="Y38:Z38"/>
    <mergeCell ref="C39:D39"/>
    <mergeCell ref="Y39:Z39"/>
    <mergeCell ref="C40:D40"/>
    <mergeCell ref="Y40:Z40"/>
    <mergeCell ref="Y34:Z34"/>
    <mergeCell ref="AC19:AC27"/>
    <mergeCell ref="C20:D20"/>
    <mergeCell ref="Y20:Z20"/>
    <mergeCell ref="C21:D21"/>
    <mergeCell ref="Y21:Z21"/>
    <mergeCell ref="C22:D22"/>
    <mergeCell ref="Y22:Z22"/>
    <mergeCell ref="C23:D23"/>
    <mergeCell ref="Y23:Z23"/>
    <mergeCell ref="C24:D24"/>
    <mergeCell ref="C26:D26"/>
    <mergeCell ref="Y26:Z26"/>
    <mergeCell ref="C27:D27"/>
    <mergeCell ref="Y27:Z27"/>
    <mergeCell ref="A19:A27"/>
    <mergeCell ref="C19:D19"/>
    <mergeCell ref="R19:R27"/>
    <mergeCell ref="Y19:Z19"/>
    <mergeCell ref="Y24:Z24"/>
    <mergeCell ref="C25:D25"/>
    <mergeCell ref="Y25:Z25"/>
    <mergeCell ref="A14:A18"/>
    <mergeCell ref="C14:D14"/>
    <mergeCell ref="R14:R18"/>
    <mergeCell ref="Y14:Z14"/>
    <mergeCell ref="AC14:AC18"/>
    <mergeCell ref="C15:D15"/>
    <mergeCell ref="Y15:Z15"/>
    <mergeCell ref="C16:D16"/>
    <mergeCell ref="Y16:Z16"/>
    <mergeCell ref="C17:D17"/>
    <mergeCell ref="AC9:AC13"/>
    <mergeCell ref="C10:D10"/>
    <mergeCell ref="Y10:Z10"/>
    <mergeCell ref="C11:D11"/>
    <mergeCell ref="Y11:Z11"/>
    <mergeCell ref="C12:D12"/>
    <mergeCell ref="Y12:Z12"/>
    <mergeCell ref="C13:D13"/>
    <mergeCell ref="Y13:Z13"/>
    <mergeCell ref="Y17:Z17"/>
    <mergeCell ref="C18:D18"/>
    <mergeCell ref="Y18:Z18"/>
    <mergeCell ref="C8:D8"/>
    <mergeCell ref="Y8:Z8"/>
    <mergeCell ref="A9:A13"/>
    <mergeCell ref="C9:D9"/>
    <mergeCell ref="R9:R13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60:O69 O71 O5:O9 O13:O15 O50:O57 O18:O48">
    <cfRule type="cellIs" dxfId="720" priority="45" operator="greaterThan">
      <formula>0</formula>
    </cfRule>
  </conditionalFormatting>
  <conditionalFormatting sqref="P5:P7 P60:P62 AA60:AA62 P64:P69 P28:P33 P57 P9 P13:P15 P19:P26 P51:P55 P35:P48 AA5:AA57 AA64:AA71">
    <cfRule type="cellIs" dxfId="719" priority="49" operator="lessThan">
      <formula>0</formula>
    </cfRule>
  </conditionalFormatting>
  <conditionalFormatting sqref="AB60:AB62 Q60:Q69 Q71 Q5:Q9 Q13:Q15 Q50:Q57 Q18:Q48 AB5:AB57 AB64:AB71">
    <cfRule type="cellIs" dxfId="718" priority="46" operator="greaterThan">
      <formula>1</formula>
    </cfRule>
    <cfRule type="cellIs" dxfId="717" priority="47" operator="lessThan">
      <formula>0.8</formula>
    </cfRule>
  </conditionalFormatting>
  <conditionalFormatting sqref="AC14:AC15 R14:R15 AC60 R60:R69 R18:R24 AC18:AC24 R71 AC5:AC9 R5:R9 R27:R48 AC27:AC48 AC50:AC57 R50:R57">
    <cfRule type="cellIs" dxfId="716" priority="51" operator="lessThan">
      <formula>0.8</formula>
    </cfRule>
  </conditionalFormatting>
  <conditionalFormatting sqref="AC43">
    <cfRule type="cellIs" dxfId="715" priority="53" operator="lessThan">
      <formula>0.8</formula>
    </cfRule>
  </conditionalFormatting>
  <conditionalFormatting sqref="AC19:AC24">
    <cfRule type="cellIs" dxfId="714" priority="50" operator="lessThan">
      <formula>0.8</formula>
    </cfRule>
  </conditionalFormatting>
  <conditionalFormatting sqref="AC28">
    <cfRule type="cellIs" dxfId="713" priority="52" operator="lessThan">
      <formula>0.8</formula>
    </cfRule>
  </conditionalFormatting>
  <conditionalFormatting sqref="AC35:AC41">
    <cfRule type="cellIs" dxfId="712" priority="48" operator="lessThan">
      <formula>0.8</formula>
    </cfRule>
  </conditionalFormatting>
  <conditionalFormatting sqref="AA63">
    <cfRule type="cellIs" dxfId="711" priority="44" operator="lessThan">
      <formula>0</formula>
    </cfRule>
  </conditionalFormatting>
  <conditionalFormatting sqref="AB63">
    <cfRule type="cellIs" dxfId="710" priority="42" operator="greaterThan">
      <formula>1</formula>
    </cfRule>
    <cfRule type="cellIs" dxfId="709" priority="43" operator="lessThan">
      <formula>0.8</formula>
    </cfRule>
  </conditionalFormatting>
  <conditionalFormatting sqref="O16:O17">
    <cfRule type="cellIs" dxfId="708" priority="37" operator="greaterThan">
      <formula>0</formula>
    </cfRule>
  </conditionalFormatting>
  <conditionalFormatting sqref="P16:P17">
    <cfRule type="cellIs" dxfId="707" priority="40" operator="lessThan">
      <formula>0</formula>
    </cfRule>
  </conditionalFormatting>
  <conditionalFormatting sqref="Q16:Q17">
    <cfRule type="cellIs" dxfId="706" priority="38" operator="greaterThan">
      <formula>1</formula>
    </cfRule>
    <cfRule type="cellIs" dxfId="705" priority="39" operator="lessThan">
      <formula>0.8</formula>
    </cfRule>
  </conditionalFormatting>
  <conditionalFormatting sqref="R16:R17 AC16:AC17">
    <cfRule type="cellIs" dxfId="704" priority="41" operator="lessThan">
      <formula>0.8</formula>
    </cfRule>
  </conditionalFormatting>
  <conditionalFormatting sqref="O10:O12">
    <cfRule type="cellIs" dxfId="703" priority="33" operator="greaterThan">
      <formula>0</formula>
    </cfRule>
  </conditionalFormatting>
  <conditionalFormatting sqref="P10:P12">
    <cfRule type="cellIs" dxfId="702" priority="36" operator="lessThan">
      <formula>0</formula>
    </cfRule>
  </conditionalFormatting>
  <conditionalFormatting sqref="Q10:Q12">
    <cfRule type="cellIs" dxfId="701" priority="34" operator="greaterThan">
      <formula>1</formula>
    </cfRule>
    <cfRule type="cellIs" dxfId="700" priority="35" operator="lessThan">
      <formula>0.8</formula>
    </cfRule>
  </conditionalFormatting>
  <conditionalFormatting sqref="AC26 R26">
    <cfRule type="cellIs" dxfId="699" priority="32" operator="lessThan">
      <formula>0.8</formula>
    </cfRule>
  </conditionalFormatting>
  <conditionalFormatting sqref="O59">
    <cfRule type="cellIs" dxfId="698" priority="27" operator="greaterThan">
      <formula>0</formula>
    </cfRule>
  </conditionalFormatting>
  <conditionalFormatting sqref="P59 AA59">
    <cfRule type="cellIs" dxfId="697" priority="30" operator="lessThan">
      <formula>0</formula>
    </cfRule>
  </conditionalFormatting>
  <conditionalFormatting sqref="Q59 AB59">
    <cfRule type="cellIs" dxfId="696" priority="28" operator="greaterThan">
      <formula>1</formula>
    </cfRule>
    <cfRule type="cellIs" dxfId="695" priority="29" operator="lessThan">
      <formula>0.8</formula>
    </cfRule>
  </conditionalFormatting>
  <conditionalFormatting sqref="R59 AC59">
    <cfRule type="cellIs" dxfId="694" priority="31" operator="lessThan">
      <formula>0.8</formula>
    </cfRule>
  </conditionalFormatting>
  <conditionalFormatting sqref="O70">
    <cfRule type="cellIs" dxfId="693" priority="22" operator="greaterThan">
      <formula>0</formula>
    </cfRule>
  </conditionalFormatting>
  <conditionalFormatting sqref="P70">
    <cfRule type="cellIs" dxfId="692" priority="25" operator="lessThan">
      <formula>0</formula>
    </cfRule>
  </conditionalFormatting>
  <conditionalFormatting sqref="Q70">
    <cfRule type="cellIs" dxfId="691" priority="23" operator="greaterThan">
      <formula>1</formula>
    </cfRule>
    <cfRule type="cellIs" dxfId="690" priority="24" operator="lessThan">
      <formula>0.8</formula>
    </cfRule>
  </conditionalFormatting>
  <conditionalFormatting sqref="R70">
    <cfRule type="cellIs" dxfId="689" priority="26" operator="lessThan">
      <formula>0.8</formula>
    </cfRule>
  </conditionalFormatting>
  <conditionalFormatting sqref="O49">
    <cfRule type="cellIs" dxfId="688" priority="16" operator="greaterThan">
      <formula>0</formula>
    </cfRule>
  </conditionalFormatting>
  <conditionalFormatting sqref="P49">
    <cfRule type="cellIs" dxfId="687" priority="20" operator="lessThan">
      <formula>0</formula>
    </cfRule>
  </conditionalFormatting>
  <conditionalFormatting sqref="Q49">
    <cfRule type="cellIs" dxfId="686" priority="17" operator="greaterThan">
      <formula>1</formula>
    </cfRule>
    <cfRule type="cellIs" dxfId="685" priority="18" operator="lessThan">
      <formula>0.8</formula>
    </cfRule>
  </conditionalFormatting>
  <conditionalFormatting sqref="R49 AC49">
    <cfRule type="cellIs" dxfId="684" priority="21" operator="lessThan">
      <formula>0.8</formula>
    </cfRule>
  </conditionalFormatting>
  <conditionalFormatting sqref="AC49">
    <cfRule type="cellIs" dxfId="683" priority="19" operator="lessThan">
      <formula>0.8</formula>
    </cfRule>
  </conditionalFormatting>
  <conditionalFormatting sqref="R25 AC25">
    <cfRule type="cellIs" dxfId="682" priority="15" operator="lessThan">
      <formula>0.8</formula>
    </cfRule>
  </conditionalFormatting>
  <conditionalFormatting sqref="AC25">
    <cfRule type="cellIs" dxfId="681" priority="14" operator="lessThan">
      <formula>0.8</formula>
    </cfRule>
  </conditionalFormatting>
  <conditionalFormatting sqref="O58">
    <cfRule type="cellIs" dxfId="680" priority="9" operator="greaterThan">
      <formula>0</formula>
    </cfRule>
  </conditionalFormatting>
  <conditionalFormatting sqref="P58 AA58">
    <cfRule type="cellIs" dxfId="679" priority="12" operator="lessThan">
      <formula>0</formula>
    </cfRule>
  </conditionalFormatting>
  <conditionalFormatting sqref="Q58 AB58">
    <cfRule type="cellIs" dxfId="678" priority="10" operator="greaterThan">
      <formula>1</formula>
    </cfRule>
    <cfRule type="cellIs" dxfId="677" priority="11" operator="lessThan">
      <formula>0.8</formula>
    </cfRule>
  </conditionalFormatting>
  <conditionalFormatting sqref="R58 AC58">
    <cfRule type="cellIs" dxfId="676" priority="13" operator="lessThan">
      <formula>0.8</formula>
    </cfRule>
  </conditionalFormatting>
  <conditionalFormatting sqref="P8">
    <cfRule type="cellIs" dxfId="675" priority="8" operator="lessThan">
      <formula>0</formula>
    </cfRule>
  </conditionalFormatting>
  <conditionalFormatting sqref="P18">
    <cfRule type="cellIs" dxfId="674" priority="7" operator="lessThan">
      <formula>0</formula>
    </cfRule>
  </conditionalFormatting>
  <conditionalFormatting sqref="P27">
    <cfRule type="cellIs" dxfId="673" priority="6" operator="lessThan">
      <formula>0</formula>
    </cfRule>
  </conditionalFormatting>
  <conditionalFormatting sqref="P34">
    <cfRule type="cellIs" dxfId="672" priority="5" operator="lessThan">
      <formula>0</formula>
    </cfRule>
  </conditionalFormatting>
  <conditionalFormatting sqref="P50">
    <cfRule type="cellIs" dxfId="671" priority="4" operator="lessThan">
      <formula>0</formula>
    </cfRule>
  </conditionalFormatting>
  <conditionalFormatting sqref="P56">
    <cfRule type="cellIs" dxfId="670" priority="3" operator="lessThan">
      <formula>0</formula>
    </cfRule>
  </conditionalFormatting>
  <conditionalFormatting sqref="P63">
    <cfRule type="cellIs" dxfId="669" priority="2" operator="lessThan">
      <formula>0</formula>
    </cfRule>
  </conditionalFormatting>
  <conditionalFormatting sqref="P71">
    <cfRule type="cellIs" dxfId="668" priority="1" operator="lessThan">
      <formula>0</formula>
    </cfRule>
  </conditionalFormatting>
  <dataValidations count="1">
    <dataValidation type="list" allowBlank="1" showInputMessage="1" showErrorMessage="1" sqref="Z8 Z61:Z62 Y5:Z7 Y8:Y62 Z10:Z57 Y63:Z71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/>
  <dimension ref="B1:Q28"/>
  <sheetViews>
    <sheetView zoomScale="70" zoomScaleNormal="70" workbookViewId="0">
      <selection activeCell="C3" sqref="C3:D3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521" t="s">
        <v>663</v>
      </c>
      <c r="C1" s="521"/>
      <c r="D1" s="521"/>
      <c r="E1" s="521"/>
      <c r="F1" s="521"/>
      <c r="G1" s="521"/>
      <c r="H1" s="521"/>
      <c r="I1" s="521"/>
      <c r="J1" s="521"/>
      <c r="K1" s="28"/>
      <c r="L1" s="28"/>
      <c r="M1" s="28"/>
      <c r="N1" s="28"/>
      <c r="O1" s="28"/>
      <c r="P1" s="28"/>
    </row>
    <row r="2" spans="2:17" ht="27.75" customHeight="1">
      <c r="B2" s="522"/>
      <c r="C2" s="522"/>
      <c r="D2" s="522"/>
      <c r="E2" s="522"/>
      <c r="F2" s="522"/>
      <c r="G2" s="522"/>
      <c r="H2" s="522"/>
      <c r="I2" s="522"/>
      <c r="J2" s="522"/>
      <c r="K2" s="30"/>
      <c r="L2" s="30"/>
      <c r="M2" s="30"/>
      <c r="N2" s="28"/>
      <c r="O2" s="28"/>
      <c r="P2" s="28"/>
    </row>
    <row r="3" spans="2:17" ht="46.5" customHeight="1">
      <c r="B3" s="176" t="s">
        <v>338</v>
      </c>
      <c r="C3" s="523" t="str">
        <f>TEXT('0811 4度C'!A2,"yyyy.mm.ddaaaa")</f>
        <v>2025.08.11星期一</v>
      </c>
      <c r="D3" s="523"/>
      <c r="E3" s="176" t="s">
        <v>217</v>
      </c>
      <c r="F3" s="524">
        <f>'0811 4度C'!D1</f>
        <v>177251</v>
      </c>
      <c r="G3" s="524"/>
      <c r="H3" s="176" t="s">
        <v>90</v>
      </c>
      <c r="I3" s="581">
        <f>'0811 4度C'!F1</f>
        <v>5944516.0100000007</v>
      </c>
      <c r="J3" s="581"/>
      <c r="K3" s="31"/>
      <c r="L3" s="32"/>
      <c r="M3" s="33"/>
      <c r="N3" s="33"/>
    </row>
    <row r="4" spans="2:17" ht="28.5" customHeight="1">
      <c r="B4" s="516" t="s">
        <v>391</v>
      </c>
      <c r="C4" s="516" t="s">
        <v>105</v>
      </c>
      <c r="D4" s="516"/>
      <c r="E4" s="526" t="s">
        <v>260</v>
      </c>
      <c r="F4" s="526"/>
      <c r="G4" s="526" t="s">
        <v>261</v>
      </c>
      <c r="H4" s="526"/>
      <c r="I4" s="526" t="s">
        <v>108</v>
      </c>
      <c r="J4" s="526"/>
      <c r="L4" s="33"/>
      <c r="M4" s="33"/>
      <c r="N4" s="33"/>
    </row>
    <row r="5" spans="2:17" ht="28.5" customHeight="1">
      <c r="B5" s="516"/>
      <c r="C5" s="516" t="s">
        <v>109</v>
      </c>
      <c r="D5" s="516"/>
      <c r="E5" s="516" t="s">
        <v>330</v>
      </c>
      <c r="F5" s="516"/>
      <c r="G5" s="517" t="s">
        <v>263</v>
      </c>
      <c r="H5" s="517"/>
      <c r="I5" s="582" t="s">
        <v>111</v>
      </c>
      <c r="J5" s="582"/>
      <c r="K5" s="33"/>
      <c r="L5" s="33"/>
      <c r="M5" s="33"/>
      <c r="N5" s="33"/>
    </row>
    <row r="6" spans="2:17" ht="28.5" customHeight="1">
      <c r="B6" s="516"/>
      <c r="C6" s="516" t="s">
        <v>43</v>
      </c>
      <c r="D6" s="516"/>
      <c r="E6" s="519">
        <f>AVERAGE(D13:M13)</f>
        <v>148.74770138958755</v>
      </c>
      <c r="F6" s="516">
        <f>AVERAGE(D27:O27,D13:J13)</f>
        <v>154.48406228425051</v>
      </c>
      <c r="G6" s="520">
        <f>AVERAGE(D13:J13)</f>
        <v>154.48406228425051</v>
      </c>
      <c r="H6" s="520"/>
      <c r="I6" s="520">
        <f>AVERAGE(K13:M13)</f>
        <v>135.36285930204062</v>
      </c>
      <c r="J6" s="520"/>
      <c r="K6" s="33"/>
      <c r="L6" s="33"/>
      <c r="M6" s="33"/>
      <c r="N6" s="33"/>
    </row>
    <row r="7" spans="2:17" ht="28.5" customHeight="1">
      <c r="B7" s="516"/>
      <c r="C7" s="510" t="s">
        <v>44</v>
      </c>
      <c r="D7" s="510"/>
      <c r="E7" s="511">
        <f>AVERAGE(D14:M14)</f>
        <v>137.41466070904497</v>
      </c>
      <c r="F7" s="512">
        <f>AVERAGE(D28:O28,D14:J14)</f>
        <v>142.93514029355313</v>
      </c>
      <c r="G7" s="513">
        <f>AVERAGE(D14:J14)</f>
        <v>142.93514029355313</v>
      </c>
      <c r="H7" s="513"/>
      <c r="I7" s="513">
        <f>AVERAGE(K14:M14)</f>
        <v>124.53354167852592</v>
      </c>
      <c r="J7" s="513"/>
      <c r="K7" s="33"/>
      <c r="L7" s="33"/>
      <c r="M7" s="33"/>
      <c r="N7" s="33"/>
    </row>
    <row r="8" spans="2:17" ht="28.5" customHeight="1">
      <c r="B8" s="516"/>
      <c r="C8" s="510" t="s">
        <v>45</v>
      </c>
      <c r="D8" s="510"/>
      <c r="E8" s="514">
        <f>AVERAGE(D15:M15)</f>
        <v>0.92300416876503566</v>
      </c>
      <c r="F8" s="510">
        <f>AVERAGE(D15:J15,D29:O29)</f>
        <v>0.92427578897522955</v>
      </c>
      <c r="G8" s="515">
        <f>AVERAGE(D15:J15)</f>
        <v>0.92427578897522955</v>
      </c>
      <c r="H8" s="515"/>
      <c r="I8" s="515">
        <f>AVERAGE(K15:M15)</f>
        <v>0.92003705494124999</v>
      </c>
      <c r="J8" s="515"/>
      <c r="K8" s="34" t="s">
        <v>664</v>
      </c>
      <c r="L8" s="33"/>
      <c r="M8" s="33"/>
      <c r="N8" s="33"/>
    </row>
    <row r="9" spans="2:17" ht="28.5" customHeight="1" thickBot="1">
      <c r="H9" s="36"/>
      <c r="N9" s="33"/>
      <c r="O9" s="33"/>
      <c r="P9" s="33"/>
      <c r="Q9" s="33"/>
    </row>
    <row r="10" spans="2:17" ht="30" customHeight="1">
      <c r="B10" s="501" t="s">
        <v>226</v>
      </c>
      <c r="C10" s="502"/>
      <c r="D10" s="503" t="s">
        <v>665</v>
      </c>
      <c r="E10" s="504"/>
      <c r="F10" s="504"/>
      <c r="G10" s="504"/>
      <c r="H10" s="504"/>
      <c r="I10" s="504"/>
      <c r="J10" s="505"/>
      <c r="K10" s="506" t="s">
        <v>129</v>
      </c>
      <c r="L10" s="583"/>
      <c r="M10" s="507"/>
      <c r="P10" s="37"/>
      <c r="Q10" s="37"/>
    </row>
    <row r="11" spans="2:17" ht="17.25" customHeight="1">
      <c r="B11" s="493" t="s">
        <v>182</v>
      </c>
      <c r="C11" s="494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39">
        <v>6</v>
      </c>
      <c r="J11" s="40">
        <v>7</v>
      </c>
      <c r="K11" s="38">
        <v>1</v>
      </c>
      <c r="L11" s="39">
        <v>2</v>
      </c>
      <c r="M11" s="40">
        <v>3</v>
      </c>
      <c r="P11" s="37"/>
      <c r="Q11" s="37"/>
    </row>
    <row r="12" spans="2:17" ht="34.15" customHeight="1">
      <c r="B12" s="493"/>
      <c r="C12" s="494"/>
      <c r="D12" s="41" t="s">
        <v>345</v>
      </c>
      <c r="E12" s="42" t="s">
        <v>346</v>
      </c>
      <c r="F12" s="42" t="s">
        <v>347</v>
      </c>
      <c r="G12" s="42" t="s">
        <v>348</v>
      </c>
      <c r="H12" s="42" t="s">
        <v>349</v>
      </c>
      <c r="I12" s="42" t="s">
        <v>350</v>
      </c>
      <c r="J12" s="43" t="s">
        <v>351</v>
      </c>
      <c r="K12" s="41" t="s">
        <v>352</v>
      </c>
      <c r="L12" s="42" t="s">
        <v>353</v>
      </c>
      <c r="M12" s="43" t="s">
        <v>354</v>
      </c>
    </row>
    <row r="13" spans="2:17" ht="40.15" customHeight="1">
      <c r="B13" s="508" t="s">
        <v>116</v>
      </c>
      <c r="C13" s="44" t="s">
        <v>666</v>
      </c>
      <c r="D13" s="45">
        <f>SUMIFS('0811 4度C'!$K:$K,'0811 4度C'!$A:$A,"新豐6線",'0811 4度C'!$B:$B,"平均")</f>
        <v>117.64705882352941</v>
      </c>
      <c r="E13" s="46">
        <f>SUMIFS('0811 4度C'!$K:$K,'0811 4度C'!$A:$A,"新豐2線",'0811 4度C'!$B:$B,"平均")</f>
        <v>83.333333333333329</v>
      </c>
      <c r="F13" s="47">
        <f>SUMIFS('0811 4度C'!$K:$K,'0811 4度C'!$A:$A,"新豐5線",'0811 4度C'!$B:$B,"平均")</f>
        <v>93.333333333333329</v>
      </c>
      <c r="G13" s="47">
        <f>SUMIFS('0811 4度C'!$K:$K,'0811 4度C'!$A:$A,"新豐7線",'0811 4度C'!$B:$B,"平均")</f>
        <v>118.51851851851852</v>
      </c>
      <c r="H13" s="47">
        <f>SUMIFS('0811 4度C'!$K:$K,'0811 4度C'!$A:$A,"新豐3線",'0811 4度C'!$B:$B,"平均")</f>
        <v>300</v>
      </c>
      <c r="I13" s="47">
        <f>SUMIFS('0811 4度C'!$K:$K,'0811 4度C'!$A:$A,"新豐1線",'0811 4度C'!$B:$B,"平均")</f>
        <v>114.4578313253012</v>
      </c>
      <c r="J13" s="48">
        <f>SUMIFS('0811 4度C'!$K:$K,'0811 4度C'!$A:$A,"新豐10線",'0811 4度C'!$B:$B,"平均")</f>
        <v>254.09836065573774</v>
      </c>
      <c r="K13" s="49">
        <f>SUMIFS('0811 4度C'!$K:$K,'0811 4度C'!$A:$A,"新豐8線",'0811 4度C'!$B:$B,"平均")</f>
        <v>139.80582524271844</v>
      </c>
      <c r="L13" s="50">
        <f>SUMIFS('0811 4度C'!$K:$K,'0811 4度C'!$A:$A,"新豐9線",'0811 4度C'!$B:$B,"平均")</f>
        <v>127.1523178807947</v>
      </c>
      <c r="M13" s="48">
        <f>SUMIFS('0811 4度C'!$K:$K,'0811 4度C'!$A:$A,"新豐4線",'0811 4度C'!$B:$B,"平均")</f>
        <v>139.13043478260869</v>
      </c>
    </row>
    <row r="14" spans="2:17" ht="39.6" customHeight="1">
      <c r="B14" s="508"/>
      <c r="C14" s="51" t="s">
        <v>69</v>
      </c>
      <c r="D14" s="52">
        <f>SUMIFS('0811 4度C'!$N:$N,'0811 4度C'!$A:$A,"新豐6線",'0811 4度C'!$B:$B,"平均")</f>
        <v>108.71275112327621</v>
      </c>
      <c r="E14" s="53">
        <f>SUMIFS('0811 4度C'!$N:$N,'0811 4度C'!$A:$A,"新豐2線",'0811 4度C'!$B:$B,"平均")</f>
        <v>76.574360531773891</v>
      </c>
      <c r="F14" s="53">
        <f>SUMIFS('0811 4度C'!$N:$N,'0811 4度C'!$A:$A,"新豐5線",'0811 4度C'!$B:$B,"平均")</f>
        <v>86.005838481012901</v>
      </c>
      <c r="G14" s="53">
        <f>SUMIFS('0811 4度C'!$N:$N,'0811 4度C'!$A:$A,"新豐7線",'0811 4度C'!$B:$B,"平均")</f>
        <v>110.19496291309922</v>
      </c>
      <c r="H14" s="53">
        <f>SUMIFS('0811 4度C'!$N:$N,'0811 4度C'!$A:$A,"新豐3線",'0811 4度C'!$B:$B,"平均")</f>
        <v>278.08113942713368</v>
      </c>
      <c r="I14" s="53">
        <f>SUMIFS('0811 4度C'!$N:$N,'0811 4度C'!$A:$A,"新豐1線",'0811 4度C'!$B:$B,"平均")</f>
        <v>105.5685334960078</v>
      </c>
      <c r="J14" s="54">
        <f>SUMIFS('0811 4度C'!$N:$N,'0811 4度C'!$A:$A,"新豐10線",'0811 4度C'!$B:$B,"平均")</f>
        <v>235.40839608256829</v>
      </c>
      <c r="K14" s="55">
        <f>SUMIFS('0811 4度C'!$N:$N,'0811 4度C'!$A:$A,"新豐8線",'0811 4度C'!$B:$B,"平均")</f>
        <v>128.60908886691166</v>
      </c>
      <c r="L14" s="56">
        <f>SUMIFS('0811 4度C'!$N:$N,'0811 4度C'!$A:$A,"新豐9線",'0811 4度C'!$B:$B,"平均")</f>
        <v>117.15288479109316</v>
      </c>
      <c r="M14" s="54">
        <f>SUMIFS('0811 4度C'!$N:$N,'0811 4度C'!$A:$A,"新豐4線",'0811 4度C'!$B:$B,"平均")</f>
        <v>127.83865137757293</v>
      </c>
    </row>
    <row r="15" spans="2:17" ht="40.15" customHeight="1">
      <c r="B15" s="508"/>
      <c r="C15" s="57" t="s">
        <v>197</v>
      </c>
      <c r="D15" s="58">
        <f>D14/D13</f>
        <v>0.92405838454784783</v>
      </c>
      <c r="E15" s="59">
        <f t="shared" ref="E15:M15" si="0">E14/E13</f>
        <v>0.91889232638128671</v>
      </c>
      <c r="F15" s="59">
        <f t="shared" si="0"/>
        <v>0.92149112658228116</v>
      </c>
      <c r="G15" s="59">
        <f t="shared" si="0"/>
        <v>0.92976999957927464</v>
      </c>
      <c r="H15" s="59">
        <f>H14/H13</f>
        <v>0.92693713142377898</v>
      </c>
      <c r="I15" s="59">
        <f>I14/I13</f>
        <v>0.92233560843880502</v>
      </c>
      <c r="J15" s="60">
        <f>J14/J13</f>
        <v>0.92644594587333318</v>
      </c>
      <c r="K15" s="58">
        <f>K14/K13</f>
        <v>0.91991223286749313</v>
      </c>
      <c r="L15" s="59">
        <f>L14/L13</f>
        <v>0.92135862517995137</v>
      </c>
      <c r="M15" s="60">
        <f t="shared" si="0"/>
        <v>0.91884030677630546</v>
      </c>
    </row>
    <row r="16" spans="2:17" ht="17.25" customHeight="1">
      <c r="B16" s="509" t="s">
        <v>198</v>
      </c>
      <c r="C16" s="175" t="s">
        <v>667</v>
      </c>
      <c r="D16" s="61">
        <f>VLOOKUP("新豐6線",'0811 4度C'!$A:$T,19,0)</f>
        <v>0.70833333333333337</v>
      </c>
      <c r="E16" s="24">
        <f>VLOOKUP("新豐2線",'0811 4度C'!$A:$T,19,0)</f>
        <v>0.12986111111111112</v>
      </c>
      <c r="F16" s="24">
        <f>VLOOKUP("新豐5線",'0811 4度C'!$A:$T,19,0)</f>
        <v>0.25</v>
      </c>
      <c r="G16" s="24">
        <f>VLOOKUP("新豐7線",'0811 4度C'!$A:$T,19,0)</f>
        <v>0.20833333333333334</v>
      </c>
      <c r="H16" s="24">
        <f>VLOOKUP("新豐3線",'0811 4度C'!$A:$T,19,0)</f>
        <v>0.20833333333333334</v>
      </c>
      <c r="I16" s="24">
        <f>VLOOKUP("新豐1線",'0811 4度C'!$A:$T,19,0)</f>
        <v>0.29166666666666669</v>
      </c>
      <c r="J16" s="62">
        <f>VLOOKUP("新豐10線",'0811 4度C'!$A:$T,19,0)</f>
        <v>0.20833333333333334</v>
      </c>
      <c r="K16" s="63">
        <f>VLOOKUP("新豐8線",'0811 4度C'!$A:$T,19,0)</f>
        <v>8.3333333333333329E-2</v>
      </c>
      <c r="L16" s="64">
        <f>VLOOKUP("新豐9線",'0811 4度C'!$A:$T,19,0)</f>
        <v>8.3333333333333329E-2</v>
      </c>
      <c r="M16" s="65">
        <f>VLOOKUP("新豐4線",'0811 4度C'!$A:$T,19,0)</f>
        <v>8.3333333333333329E-2</v>
      </c>
    </row>
    <row r="17" spans="2:13" ht="17.25" customHeight="1">
      <c r="B17" s="493"/>
      <c r="C17" s="175" t="s">
        <v>199</v>
      </c>
      <c r="D17" s="63">
        <f>LOOKUP(2,1/(('0811 4度C'!$A:$A="新豐6線")*('0811 4度C'!$T:$T&lt;&gt;"")),'0811 4度C'!$T:$T)</f>
        <v>0.8319444444444446</v>
      </c>
      <c r="E17" s="24">
        <f>LOOKUP(2,1/(('0811 4度C'!$A:$A="新豐2線")*('0811 4度C'!$T:$T&lt;&gt;"")),'0811 4度C'!$T:$T)</f>
        <v>0.67222222222222217</v>
      </c>
      <c r="F17" s="24">
        <f>LOOKUP(2,1/(('0811 4度C'!$A:$A="新豐5線")*('0811 4度C'!$T:$T&lt;&gt;"")),'0811 4度C'!$T:$T)</f>
        <v>0.84305555555555556</v>
      </c>
      <c r="G17" s="24">
        <f>LOOKUP(2,1/(('0811 4度C'!$A:$A="新豐7線")*('0811 4度C'!$T:$T&lt;&gt;"")),'0811 4度C'!$T:$T)</f>
        <v>0.82361111111111107</v>
      </c>
      <c r="H17" s="24">
        <f>LOOKUP(2,1/(('0811 4度C'!$A:$A="新豐3線")*('0811 4度C'!$T:$T&lt;&gt;"")),'0811 4度C'!$T:$T)</f>
        <v>0.63611111111111096</v>
      </c>
      <c r="I17" s="24">
        <f>LOOKUP(2,1/(('0811 4度C'!$A:$A="新豐1線")*('0811 4度C'!$T:$T&lt;&gt;"")),'0811 4度C'!$T:$T)</f>
        <v>0.84791666666666665</v>
      </c>
      <c r="J17" s="62">
        <f>LOOKUP(2,1/(('0811 4度C'!$A:$A="新豐10線")*('0811 4度C'!$T:$T&lt;&gt;"")),'0811 4度C'!$T:$T)</f>
        <v>0.49652777777777773</v>
      </c>
      <c r="K17" s="61">
        <f>LOOKUP(2,1/(('0811 4度C'!$A:$A="新豐8線")*('0811 4度C'!$T:$T&lt;&gt;"")),'0811 4度C'!$T:$T)</f>
        <v>0.63680555555555551</v>
      </c>
      <c r="L17" s="24">
        <f>LOOKUP(2,1/(('0811 4度C'!$A:$A="新豐9線")*('0811 4度C'!$T:$T&lt;&gt;"")),'0811 4度C'!$T:$T)</f>
        <v>0.65486111111111101</v>
      </c>
      <c r="M17" s="62">
        <f>LOOKUP(2,1/(('0811 4度C'!$A:$A="新豐4線")*('0811 4度C'!$T:$T&lt;&gt;"")),'0811 4度C'!$T:$T)</f>
        <v>0.72847222222222208</v>
      </c>
    </row>
    <row r="18" spans="2:13" ht="17.25" customHeight="1">
      <c r="B18" s="493" t="s">
        <v>267</v>
      </c>
      <c r="C18" s="494"/>
      <c r="D18" s="66">
        <f>SUMIFS('0811 4度C'!$I:$I,'0811 4度C'!$A:$A,"新豐6線",'0811 4度C'!$B:$B,"平均")</f>
        <v>17</v>
      </c>
      <c r="E18" s="67">
        <f>SUMIFS('0811 4度C'!$I:$I,'0811 4度C'!$A:$A,"新豐2線",'0811 4度C'!$B:$B,"平均")</f>
        <v>18</v>
      </c>
      <c r="F18" s="67">
        <f>SUMIFS('0811 4度C'!$I:$I,'0811 4度C'!$A:$A,"新豐5線",'0811 4度C'!$B:$B,"平均")</f>
        <v>18.75</v>
      </c>
      <c r="G18" s="67">
        <f>SUMIFS('0811 4度C'!$I:$I,'0811 4度C'!$A:$A,"新豐7線",'0811 4度C'!$B:$B,"平均")</f>
        <v>16.875</v>
      </c>
      <c r="H18" s="67">
        <f>SUMIFS('0811 4度C'!$I:$I,'0811 4度C'!$A:$A,"新豐3線",'0811 4度C'!$B:$B,"平均")</f>
        <v>10</v>
      </c>
      <c r="I18" s="67">
        <f>SUMIFS('0811 4度C'!$I:$I,'0811 4度C'!$A:$A,"新豐1線",'0811 4度C'!$B:$B,"平均")</f>
        <v>16.600000000000001</v>
      </c>
      <c r="J18" s="68">
        <f>SUMIFS('0811 4度C'!$I:$I,'0811 4度C'!$A:$A,"新豐10線",'0811 4度C'!$B:$B,"平均")</f>
        <v>10.166666666666666</v>
      </c>
      <c r="K18" s="66">
        <f>SUMIFS('0811 4度C'!$I:$I,'0811 4度C'!$A:$A,"新豐8線",'0811 4度C'!$B:$B,"平均")</f>
        <v>17.166666666666668</v>
      </c>
      <c r="L18" s="67">
        <f>SUMIFS('0811 4度C'!$I:$I,'0811 4度C'!$A:$A,"新豐9線",'0811 4度C'!$B:$B,"平均")</f>
        <v>18.875</v>
      </c>
      <c r="M18" s="68">
        <f>SUMIFS('0811 4度C'!$I:$I,'0811 4度C'!$A:$A,"新豐4線",'0811 4度C'!$B:$B,"平均")</f>
        <v>17.25</v>
      </c>
    </row>
    <row r="19" spans="2:13" ht="17.25" customHeight="1">
      <c r="B19" s="495" t="s">
        <v>668</v>
      </c>
      <c r="C19" s="496"/>
      <c r="D19" s="69" t="s">
        <v>46</v>
      </c>
      <c r="E19" s="70" t="s">
        <v>47</v>
      </c>
      <c r="F19" s="70" t="s">
        <v>669</v>
      </c>
      <c r="G19" s="70" t="s">
        <v>93</v>
      </c>
      <c r="H19" s="70" t="s">
        <v>48</v>
      </c>
      <c r="I19" s="70" t="s">
        <v>46</v>
      </c>
      <c r="J19" s="71" t="s">
        <v>48</v>
      </c>
      <c r="K19" s="69" t="s">
        <v>72</v>
      </c>
      <c r="L19" s="70" t="s">
        <v>72</v>
      </c>
      <c r="M19" s="71" t="s">
        <v>72</v>
      </c>
    </row>
    <row r="20" spans="2:13" ht="17.25" customHeight="1">
      <c r="B20" s="495" t="s">
        <v>670</v>
      </c>
      <c r="C20" s="496"/>
      <c r="D20" s="69"/>
      <c r="E20" s="70"/>
      <c r="F20" s="70" t="s">
        <v>202</v>
      </c>
      <c r="G20" s="70" t="s">
        <v>46</v>
      </c>
      <c r="H20" s="70"/>
      <c r="I20" s="70"/>
      <c r="J20" s="71"/>
      <c r="K20" s="69"/>
      <c r="L20" s="70"/>
      <c r="M20" s="71"/>
    </row>
    <row r="21" spans="2:13" ht="17.25" customHeight="1" thickBot="1">
      <c r="B21" s="497" t="s">
        <v>203</v>
      </c>
      <c r="C21" s="498"/>
      <c r="D21" s="72"/>
      <c r="E21" s="73" t="s">
        <v>671</v>
      </c>
      <c r="F21" s="499" t="s">
        <v>672</v>
      </c>
      <c r="G21" s="500"/>
      <c r="H21" s="73" t="s">
        <v>73</v>
      </c>
      <c r="I21" s="73" t="s">
        <v>358</v>
      </c>
      <c r="J21" s="74" t="s">
        <v>73</v>
      </c>
      <c r="K21" s="75"/>
      <c r="L21" s="73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66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11">
    <pageSetUpPr fitToPage="1"/>
  </sheetPr>
  <dimension ref="A1:AC75"/>
  <sheetViews>
    <sheetView zoomScale="80" zoomScaleNormal="80" workbookViewId="0">
      <pane ySplit="4" topLeftCell="A5" activePane="bottomLeft" state="frozen"/>
      <selection activeCell="C3" sqref="C3:J3"/>
      <selection pane="bottomLeft" activeCell="C3" sqref="C3:J3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112</v>
      </c>
      <c r="B1" s="1"/>
      <c r="C1" s="2" t="s">
        <v>96</v>
      </c>
      <c r="D1" s="3">
        <f>SUM(F5:F74)</f>
        <v>177251</v>
      </c>
      <c r="E1" s="180" t="s">
        <v>113</v>
      </c>
      <c r="F1" s="1">
        <f>SUM(G5:G74)</f>
        <v>5944516.0100000007</v>
      </c>
      <c r="G1" s="1" t="s">
        <v>209</v>
      </c>
      <c r="H1" s="4">
        <f>L8+L13+L52+L58+L18+L65+L34+L43+L27+L74</f>
        <v>160.68333333333334</v>
      </c>
      <c r="I1" s="572" t="s">
        <v>114</v>
      </c>
      <c r="J1" s="572"/>
      <c r="K1" s="572"/>
      <c r="L1" s="572" t="s">
        <v>211</v>
      </c>
      <c r="M1" s="572"/>
      <c r="N1" s="572"/>
      <c r="O1" s="572" t="s">
        <v>97</v>
      </c>
      <c r="P1" s="572"/>
      <c r="Q1" s="572"/>
      <c r="R1" s="572"/>
      <c r="S1" s="572" t="s">
        <v>673</v>
      </c>
      <c r="T1" s="572"/>
      <c r="U1" s="572"/>
      <c r="V1" s="572"/>
      <c r="W1" s="572"/>
      <c r="X1" s="572"/>
      <c r="Y1" s="572" t="s">
        <v>674</v>
      </c>
      <c r="Z1" s="572"/>
      <c r="AA1" s="572" t="s">
        <v>675</v>
      </c>
      <c r="AB1" s="573"/>
      <c r="AC1" s="573"/>
    </row>
    <row r="2" spans="1:29" ht="26.25" customHeight="1">
      <c r="A2" s="22">
        <v>45880</v>
      </c>
      <c r="B2" s="23" t="s">
        <v>280</v>
      </c>
      <c r="C2" s="2" t="s">
        <v>676</v>
      </c>
      <c r="D2" s="6">
        <f>AVERAGE(N8,N13,N52,N58,N18,N65,N27,N34,N43,N74)</f>
        <v>137.41466070904497</v>
      </c>
      <c r="E2" s="7" t="s">
        <v>0</v>
      </c>
      <c r="F2" s="8">
        <f>F1/D1</f>
        <v>33.537277702241461</v>
      </c>
      <c r="G2" s="1" t="s">
        <v>282</v>
      </c>
      <c r="H2" s="187">
        <f>COUNT(H5:H74)</f>
        <v>8</v>
      </c>
      <c r="I2" s="572"/>
      <c r="J2" s="572"/>
      <c r="K2" s="572"/>
      <c r="L2" s="572"/>
      <c r="M2" s="572"/>
      <c r="N2" s="572"/>
      <c r="O2" s="572"/>
      <c r="P2" s="572"/>
      <c r="Q2" s="572"/>
      <c r="R2" s="572"/>
      <c r="S2" s="572"/>
      <c r="T2" s="572"/>
      <c r="U2" s="572"/>
      <c r="V2" s="572"/>
      <c r="W2" s="572"/>
      <c r="X2" s="572"/>
      <c r="Y2" s="572"/>
      <c r="Z2" s="572"/>
      <c r="AA2" s="573"/>
      <c r="AB2" s="573"/>
      <c r="AC2" s="573"/>
    </row>
    <row r="3" spans="1:29" ht="23.25" customHeight="1">
      <c r="A3" s="528" t="s">
        <v>283</v>
      </c>
      <c r="B3" s="528" t="s">
        <v>118</v>
      </c>
      <c r="C3" s="528" t="s">
        <v>119</v>
      </c>
      <c r="D3" s="528"/>
      <c r="E3" s="570" t="s">
        <v>286</v>
      </c>
      <c r="F3" s="528" t="s">
        <v>677</v>
      </c>
      <c r="G3" s="570" t="s">
        <v>446</v>
      </c>
      <c r="H3" s="563" t="s">
        <v>289</v>
      </c>
      <c r="I3" s="561" t="s">
        <v>101</v>
      </c>
      <c r="J3" s="566" t="s">
        <v>250</v>
      </c>
      <c r="K3" s="568" t="s">
        <v>116</v>
      </c>
      <c r="L3" s="561" t="s">
        <v>101</v>
      </c>
      <c r="M3" s="566" t="s">
        <v>250</v>
      </c>
      <c r="N3" s="568" t="s">
        <v>116</v>
      </c>
      <c r="O3" s="561" t="s">
        <v>101</v>
      </c>
      <c r="P3" s="568" t="s">
        <v>116</v>
      </c>
      <c r="Q3" s="567" t="s">
        <v>296</v>
      </c>
      <c r="R3" s="542" t="s">
        <v>678</v>
      </c>
      <c r="S3" s="569" t="s">
        <v>1</v>
      </c>
      <c r="T3" s="569"/>
      <c r="U3" s="563" t="s">
        <v>2</v>
      </c>
      <c r="V3" s="563" t="s">
        <v>66</v>
      </c>
      <c r="W3" s="528" t="s">
        <v>299</v>
      </c>
      <c r="X3" s="528"/>
      <c r="Y3" s="564" t="s">
        <v>252</v>
      </c>
      <c r="Z3" s="565"/>
      <c r="AA3" s="566" t="s">
        <v>250</v>
      </c>
      <c r="AB3" s="567" t="s">
        <v>296</v>
      </c>
      <c r="AC3" s="542" t="s">
        <v>86</v>
      </c>
    </row>
    <row r="4" spans="1:29">
      <c r="A4" s="528"/>
      <c r="B4" s="528"/>
      <c r="C4" s="528"/>
      <c r="D4" s="528"/>
      <c r="E4" s="571"/>
      <c r="F4" s="528"/>
      <c r="G4" s="571"/>
      <c r="H4" s="563"/>
      <c r="I4" s="561"/>
      <c r="J4" s="566"/>
      <c r="K4" s="568"/>
      <c r="L4" s="561"/>
      <c r="M4" s="566"/>
      <c r="N4" s="568"/>
      <c r="O4" s="561"/>
      <c r="P4" s="568"/>
      <c r="Q4" s="567"/>
      <c r="R4" s="542"/>
      <c r="S4" s="188" t="s">
        <v>3</v>
      </c>
      <c r="T4" s="188" t="s">
        <v>4</v>
      </c>
      <c r="U4" s="563"/>
      <c r="V4" s="563"/>
      <c r="W4" s="180" t="s">
        <v>303</v>
      </c>
      <c r="X4" s="180" t="s">
        <v>75</v>
      </c>
      <c r="Y4" s="565"/>
      <c r="Z4" s="565"/>
      <c r="AA4" s="566"/>
      <c r="AB4" s="567"/>
      <c r="AC4" s="542"/>
    </row>
    <row r="5" spans="1:29">
      <c r="A5" s="560" t="s">
        <v>367</v>
      </c>
      <c r="B5" s="26" t="s">
        <v>13</v>
      </c>
      <c r="C5" s="562" t="s">
        <v>53</v>
      </c>
      <c r="D5" s="562"/>
      <c r="E5" s="26">
        <v>46.93</v>
      </c>
      <c r="F5" s="188">
        <v>992</v>
      </c>
      <c r="G5" s="180">
        <f>E5*F5</f>
        <v>46554.559999999998</v>
      </c>
      <c r="H5" s="76" t="s">
        <v>52</v>
      </c>
      <c r="I5" s="185">
        <v>17</v>
      </c>
      <c r="J5" s="18">
        <v>2000</v>
      </c>
      <c r="K5" s="9">
        <f>J5/I5</f>
        <v>117.64705882352941</v>
      </c>
      <c r="L5" s="185">
        <v>17</v>
      </c>
      <c r="M5" s="10">
        <f>F5/V5*60</f>
        <v>1859.9999999999975</v>
      </c>
      <c r="N5" s="9">
        <f>M5/L5</f>
        <v>109.41176470588221</v>
      </c>
      <c r="O5" s="11">
        <f t="shared" ref="O5:O7" si="0">L5-I5</f>
        <v>0</v>
      </c>
      <c r="P5" s="12">
        <f t="shared" ref="P5:P7" si="1">N5-K5</f>
        <v>-8.2352941176472001</v>
      </c>
      <c r="Q5" s="179">
        <f>N5/K5</f>
        <v>0.92999999999999883</v>
      </c>
      <c r="R5" s="533">
        <f>Q8</f>
        <v>0.92405838454784783</v>
      </c>
      <c r="S5" s="24">
        <v>0.70833333333333337</v>
      </c>
      <c r="T5" s="24">
        <v>0.73055555555555562</v>
      </c>
      <c r="U5" s="180"/>
      <c r="V5" s="186">
        <f>(T5-S5)*24*60</f>
        <v>32.000000000000043</v>
      </c>
      <c r="W5" s="14"/>
      <c r="X5" s="13"/>
      <c r="Y5" s="528"/>
      <c r="Z5" s="528"/>
      <c r="AA5" s="11">
        <f t="shared" ref="AA5:AA68" si="2">M5-J5</f>
        <v>-140.0000000000025</v>
      </c>
      <c r="AB5" s="179">
        <f t="shared" ref="AB5:AB7" si="3">M5/J5</f>
        <v>0.92999999999999872</v>
      </c>
      <c r="AC5" s="533">
        <f>AB8</f>
        <v>0.92405838454784772</v>
      </c>
    </row>
    <row r="6" spans="1:29">
      <c r="A6" s="561" t="s">
        <v>367</v>
      </c>
      <c r="B6" s="26" t="s">
        <v>13</v>
      </c>
      <c r="C6" s="562" t="s">
        <v>55</v>
      </c>
      <c r="D6" s="562"/>
      <c r="E6" s="26">
        <v>50.49</v>
      </c>
      <c r="F6" s="188">
        <v>2050</v>
      </c>
      <c r="G6" s="180">
        <f t="shared" ref="G6:G7" si="4">E6*F6</f>
        <v>103504.5</v>
      </c>
      <c r="H6" s="76" t="s">
        <v>52</v>
      </c>
      <c r="I6" s="185">
        <v>16</v>
      </c>
      <c r="J6" s="18">
        <v>2000</v>
      </c>
      <c r="K6" s="9">
        <f t="shared" ref="K6:K7" si="5">J6/I6</f>
        <v>125</v>
      </c>
      <c r="L6" s="185">
        <v>16</v>
      </c>
      <c r="M6" s="10">
        <f>F6/V6*60</f>
        <v>1835.8208955223856</v>
      </c>
      <c r="N6" s="9">
        <f t="shared" ref="N6:N7" si="6">M6/L6</f>
        <v>114.7388059701491</v>
      </c>
      <c r="O6" s="11">
        <f t="shared" si="0"/>
        <v>0</v>
      </c>
      <c r="P6" s="12">
        <f t="shared" si="1"/>
        <v>-10.261194029850898</v>
      </c>
      <c r="Q6" s="179">
        <f t="shared" ref="Q6:Q7" si="7">N6/K6</f>
        <v>0.91791044776119279</v>
      </c>
      <c r="R6" s="533"/>
      <c r="S6" s="24">
        <v>0.73402777777777783</v>
      </c>
      <c r="T6" s="24">
        <v>0.78055555555555567</v>
      </c>
      <c r="U6" s="180">
        <f>(S6-T5)*24*60</f>
        <v>4.9999999999999822</v>
      </c>
      <c r="V6" s="186">
        <f>(T6-S6)*24*60</f>
        <v>67.000000000000085</v>
      </c>
      <c r="W6" s="14"/>
      <c r="X6" s="14"/>
      <c r="Y6" s="528"/>
      <c r="Z6" s="528"/>
      <c r="AA6" s="11">
        <f t="shared" si="2"/>
        <v>-164.17910447761437</v>
      </c>
      <c r="AB6" s="179">
        <f t="shared" si="3"/>
        <v>0.91791044776119279</v>
      </c>
      <c r="AC6" s="533"/>
    </row>
    <row r="7" spans="1:29">
      <c r="A7" s="561" t="s">
        <v>367</v>
      </c>
      <c r="B7" s="26" t="s">
        <v>13</v>
      </c>
      <c r="C7" s="558" t="s">
        <v>76</v>
      </c>
      <c r="D7" s="559"/>
      <c r="E7" s="26">
        <v>50.67</v>
      </c>
      <c r="F7" s="188">
        <v>2095</v>
      </c>
      <c r="G7" s="180">
        <f t="shared" si="4"/>
        <v>106153.65000000001</v>
      </c>
      <c r="H7" s="76" t="s">
        <v>52</v>
      </c>
      <c r="I7" s="185">
        <v>18</v>
      </c>
      <c r="J7" s="18">
        <v>2000</v>
      </c>
      <c r="K7" s="9">
        <f t="shared" si="5"/>
        <v>111.11111111111111</v>
      </c>
      <c r="L7" s="185">
        <v>18</v>
      </c>
      <c r="M7" s="10">
        <f t="shared" ref="M7" si="8">F7/V7*60</f>
        <v>1848.5294117647036</v>
      </c>
      <c r="N7" s="9">
        <f t="shared" si="6"/>
        <v>102.69607843137243</v>
      </c>
      <c r="O7" s="11">
        <f t="shared" si="0"/>
        <v>0</v>
      </c>
      <c r="P7" s="12">
        <f t="shared" si="1"/>
        <v>-8.4150326797386867</v>
      </c>
      <c r="Q7" s="179">
        <f t="shared" si="7"/>
        <v>0.92426470588235177</v>
      </c>
      <c r="R7" s="533"/>
      <c r="S7" s="24">
        <v>0.78472222222222232</v>
      </c>
      <c r="T7" s="24">
        <v>0.8319444444444446</v>
      </c>
      <c r="U7" s="180">
        <f t="shared" ref="U7" si="9">(S7-T6)*24*60</f>
        <v>5.9999999999999787</v>
      </c>
      <c r="V7" s="186">
        <f t="shared" ref="V7" si="10">(T7-S7)*24*60</f>
        <v>68.000000000000085</v>
      </c>
      <c r="W7" s="14"/>
      <c r="X7" s="14"/>
      <c r="Y7" s="536"/>
      <c r="Z7" s="537"/>
      <c r="AA7" s="11">
        <f t="shared" si="2"/>
        <v>-151.47058823529642</v>
      </c>
      <c r="AB7" s="179">
        <f t="shared" si="3"/>
        <v>0.92426470588235177</v>
      </c>
      <c r="AC7" s="533"/>
    </row>
    <row r="8" spans="1:29">
      <c r="A8" s="561" t="s">
        <v>367</v>
      </c>
      <c r="B8" s="26" t="s">
        <v>82</v>
      </c>
      <c r="C8" s="530"/>
      <c r="D8" s="530"/>
      <c r="E8" s="183"/>
      <c r="F8" s="16"/>
      <c r="G8" s="9"/>
      <c r="H8" s="188"/>
      <c r="I8" s="17">
        <v>17</v>
      </c>
      <c r="J8" s="18">
        <v>2000</v>
      </c>
      <c r="K8" s="9">
        <f>J8/I8</f>
        <v>117.64705882352941</v>
      </c>
      <c r="L8" s="17">
        <v>17</v>
      </c>
      <c r="M8" s="10">
        <f>AVERAGE(M5:M7)</f>
        <v>1848.1167690956954</v>
      </c>
      <c r="N8" s="9">
        <f>M8/L8</f>
        <v>108.71275112327621</v>
      </c>
      <c r="O8" s="11">
        <f>L8-I8</f>
        <v>0</v>
      </c>
      <c r="P8" s="12">
        <f>N8-K8</f>
        <v>-8.9343077002531999</v>
      </c>
      <c r="Q8" s="179">
        <f>N8/K8</f>
        <v>0.92405838454784783</v>
      </c>
      <c r="R8" s="533"/>
      <c r="S8" s="24"/>
      <c r="T8" s="24"/>
      <c r="U8" s="180"/>
      <c r="V8" s="186"/>
      <c r="W8" s="9"/>
      <c r="X8" s="9"/>
      <c r="Y8" s="528"/>
      <c r="Z8" s="528"/>
      <c r="AA8" s="11">
        <f t="shared" si="2"/>
        <v>-151.88323090430458</v>
      </c>
      <c r="AB8" s="179">
        <f>M8/J8</f>
        <v>0.92405838454784772</v>
      </c>
      <c r="AC8" s="533"/>
    </row>
    <row r="9" spans="1:29" ht="15.75" customHeight="1">
      <c r="A9" s="531" t="s">
        <v>369</v>
      </c>
      <c r="B9" s="26" t="s">
        <v>15</v>
      </c>
      <c r="C9" s="558" t="s">
        <v>16</v>
      </c>
      <c r="D9" s="559"/>
      <c r="E9" s="26">
        <v>39.619999999999997</v>
      </c>
      <c r="F9" s="188">
        <v>4824</v>
      </c>
      <c r="G9" s="180">
        <f t="shared" ref="G9:G12" si="11">E9*F9</f>
        <v>191126.87999999998</v>
      </c>
      <c r="H9" s="76" t="s">
        <v>52</v>
      </c>
      <c r="I9" s="185">
        <v>19</v>
      </c>
      <c r="J9" s="18">
        <v>1500</v>
      </c>
      <c r="K9" s="9">
        <f t="shared" ref="K9:K12" si="12">J9/I9</f>
        <v>78.94736842105263</v>
      </c>
      <c r="L9" s="185">
        <v>19</v>
      </c>
      <c r="M9" s="10">
        <f t="shared" ref="M9:M12" si="13">F9/V9*60</f>
        <v>1378.2857142857142</v>
      </c>
      <c r="N9" s="9">
        <f t="shared" ref="N9:N12" si="14">M9/L9</f>
        <v>72.541353383458642</v>
      </c>
      <c r="O9" s="11">
        <f t="shared" ref="O9:O12" si="15">L9-I9</f>
        <v>0</v>
      </c>
      <c r="P9" s="12">
        <f>N9-K9</f>
        <v>-6.4060150375939884</v>
      </c>
      <c r="Q9" s="179">
        <f>N9/K9</f>
        <v>0.91885714285714282</v>
      </c>
      <c r="R9" s="533">
        <f>Q13</f>
        <v>0.91889232638128671</v>
      </c>
      <c r="S9" s="24">
        <v>0.12986111111111112</v>
      </c>
      <c r="T9" s="24">
        <v>0.27569444444444446</v>
      </c>
      <c r="U9" s="180"/>
      <c r="V9" s="186">
        <f t="shared" ref="V9:V12" si="16">(T9-S9)*24*60</f>
        <v>210</v>
      </c>
      <c r="W9" s="14">
        <f>T9</f>
        <v>0.27569444444444446</v>
      </c>
      <c r="X9" s="14">
        <f>S10</f>
        <v>0.29930555555555555</v>
      </c>
      <c r="Y9" s="528"/>
      <c r="Z9" s="528"/>
      <c r="AA9" s="11">
        <f t="shared" si="2"/>
        <v>-121.71428571428578</v>
      </c>
      <c r="AB9" s="179">
        <f>M9/J9</f>
        <v>0.91885714285714282</v>
      </c>
      <c r="AC9" s="533">
        <f>AB13</f>
        <v>0.91889232638128671</v>
      </c>
    </row>
    <row r="10" spans="1:29" ht="15.75" customHeight="1">
      <c r="A10" s="531" t="s">
        <v>369</v>
      </c>
      <c r="B10" s="26" t="s">
        <v>15</v>
      </c>
      <c r="C10" s="558" t="s">
        <v>17</v>
      </c>
      <c r="D10" s="559"/>
      <c r="E10" s="26">
        <v>39.799999999999997</v>
      </c>
      <c r="F10" s="188">
        <v>2600</v>
      </c>
      <c r="G10" s="180">
        <f t="shared" si="11"/>
        <v>103479.99999999999</v>
      </c>
      <c r="H10" s="76">
        <v>2</v>
      </c>
      <c r="I10" s="185">
        <v>17</v>
      </c>
      <c r="J10" s="18">
        <v>1500</v>
      </c>
      <c r="K10" s="9">
        <f t="shared" si="12"/>
        <v>88.235294117647058</v>
      </c>
      <c r="L10" s="185">
        <v>17</v>
      </c>
      <c r="M10" s="10">
        <f t="shared" si="13"/>
        <v>1380.5309734513273</v>
      </c>
      <c r="N10" s="9">
        <f t="shared" si="14"/>
        <v>81.207704320666309</v>
      </c>
      <c r="O10" s="11">
        <f t="shared" si="15"/>
        <v>0</v>
      </c>
      <c r="P10" s="12">
        <f t="shared" ref="P10:P12" si="17">N10-K10</f>
        <v>-7.0275897969807488</v>
      </c>
      <c r="Q10" s="179">
        <f t="shared" ref="Q10:Q12" si="18">N10/K10</f>
        <v>0.92035398230088483</v>
      </c>
      <c r="R10" s="533"/>
      <c r="S10" s="24">
        <v>0.29930555555555555</v>
      </c>
      <c r="T10" s="24">
        <v>0.37777777777777777</v>
      </c>
      <c r="U10" s="180">
        <f>(S10-T9)*24*60</f>
        <v>33.999999999999957</v>
      </c>
      <c r="V10" s="186">
        <f t="shared" si="16"/>
        <v>113</v>
      </c>
      <c r="W10" s="14"/>
      <c r="X10" s="14"/>
      <c r="Y10" s="528"/>
      <c r="Z10" s="528"/>
      <c r="AA10" s="11">
        <f t="shared" si="2"/>
        <v>-119.46902654867267</v>
      </c>
      <c r="AB10" s="179">
        <f t="shared" ref="AB10:AB27" si="19">M10/J10</f>
        <v>0.92035398230088483</v>
      </c>
      <c r="AC10" s="533"/>
    </row>
    <row r="11" spans="1:29" ht="15.75" customHeight="1">
      <c r="A11" s="531" t="s">
        <v>369</v>
      </c>
      <c r="B11" s="26" t="s">
        <v>15</v>
      </c>
      <c r="C11" s="558" t="s">
        <v>80</v>
      </c>
      <c r="D11" s="559"/>
      <c r="E11" s="26">
        <v>39.29</v>
      </c>
      <c r="F11" s="188">
        <v>4012</v>
      </c>
      <c r="G11" s="180">
        <f t="shared" si="11"/>
        <v>157631.48000000001</v>
      </c>
      <c r="H11" s="76" t="s">
        <v>52</v>
      </c>
      <c r="I11" s="185">
        <v>19</v>
      </c>
      <c r="J11" s="18">
        <v>1500</v>
      </c>
      <c r="K11" s="9">
        <f t="shared" si="12"/>
        <v>78.94736842105263</v>
      </c>
      <c r="L11" s="185">
        <v>19</v>
      </c>
      <c r="M11" s="10">
        <f t="shared" si="13"/>
        <v>1375.542857142857</v>
      </c>
      <c r="N11" s="9">
        <f t="shared" si="14"/>
        <v>72.396992481203</v>
      </c>
      <c r="O11" s="11">
        <f t="shared" si="15"/>
        <v>0</v>
      </c>
      <c r="P11" s="12">
        <f t="shared" si="17"/>
        <v>-6.55037593984963</v>
      </c>
      <c r="Q11" s="179">
        <f t="shared" si="18"/>
        <v>0.9170285714285713</v>
      </c>
      <c r="R11" s="533"/>
      <c r="S11" s="24">
        <v>0.38680555555555551</v>
      </c>
      <c r="T11" s="24">
        <v>0.5083333333333333</v>
      </c>
      <c r="U11" s="180">
        <f t="shared" ref="U11:U12" si="20">(S11-T10)*24*60</f>
        <v>12.999999999999954</v>
      </c>
      <c r="V11" s="186">
        <f t="shared" si="16"/>
        <v>175.00000000000003</v>
      </c>
      <c r="W11" s="14">
        <f>T11</f>
        <v>0.5083333333333333</v>
      </c>
      <c r="X11" s="14">
        <f>S12</f>
        <v>0.54791666666666661</v>
      </c>
      <c r="Y11" s="528"/>
      <c r="Z11" s="528"/>
      <c r="AA11" s="11">
        <f t="shared" si="2"/>
        <v>-124.45714285714303</v>
      </c>
      <c r="AB11" s="179">
        <f t="shared" si="19"/>
        <v>0.9170285714285713</v>
      </c>
      <c r="AC11" s="533"/>
    </row>
    <row r="12" spans="1:29" ht="15.75" customHeight="1">
      <c r="A12" s="531" t="s">
        <v>369</v>
      </c>
      <c r="B12" s="26" t="s">
        <v>15</v>
      </c>
      <c r="C12" s="558" t="s">
        <v>17</v>
      </c>
      <c r="D12" s="559"/>
      <c r="E12" s="26">
        <v>39.799999999999997</v>
      </c>
      <c r="F12" s="188">
        <v>4114</v>
      </c>
      <c r="G12" s="180">
        <f t="shared" si="11"/>
        <v>163737.19999999998</v>
      </c>
      <c r="H12" s="76" t="s">
        <v>52</v>
      </c>
      <c r="I12" s="185">
        <v>17</v>
      </c>
      <c r="J12" s="18">
        <v>1500</v>
      </c>
      <c r="K12" s="9">
        <f t="shared" si="12"/>
        <v>88.235294117647058</v>
      </c>
      <c r="L12" s="185">
        <v>17</v>
      </c>
      <c r="M12" s="10">
        <f t="shared" si="13"/>
        <v>1378.9944134078214</v>
      </c>
      <c r="N12" s="9">
        <f t="shared" si="14"/>
        <v>81.1173184357542</v>
      </c>
      <c r="O12" s="11">
        <f t="shared" si="15"/>
        <v>0</v>
      </c>
      <c r="P12" s="12">
        <f t="shared" si="17"/>
        <v>-7.1179756818928581</v>
      </c>
      <c r="Q12" s="179">
        <f t="shared" si="18"/>
        <v>0.91932960893854765</v>
      </c>
      <c r="R12" s="533"/>
      <c r="S12" s="24">
        <v>0.54791666666666661</v>
      </c>
      <c r="T12" s="24">
        <v>0.67222222222222217</v>
      </c>
      <c r="U12" s="180">
        <f t="shared" si="20"/>
        <v>56.999999999999957</v>
      </c>
      <c r="V12" s="186">
        <f t="shared" si="16"/>
        <v>179</v>
      </c>
      <c r="W12" s="14"/>
      <c r="X12" s="14"/>
      <c r="Y12" s="528"/>
      <c r="Z12" s="528"/>
      <c r="AA12" s="11">
        <f t="shared" si="2"/>
        <v>-121.00558659217859</v>
      </c>
      <c r="AB12" s="179">
        <f t="shared" si="19"/>
        <v>0.91932960893854765</v>
      </c>
      <c r="AC12" s="533"/>
    </row>
    <row r="13" spans="1:29" ht="16.5" customHeight="1">
      <c r="A13" s="531" t="s">
        <v>679</v>
      </c>
      <c r="B13" s="26" t="s">
        <v>82</v>
      </c>
      <c r="C13" s="530"/>
      <c r="D13" s="530"/>
      <c r="E13" s="183"/>
      <c r="F13" s="18"/>
      <c r="G13" s="10"/>
      <c r="H13" s="188"/>
      <c r="I13" s="17">
        <v>18</v>
      </c>
      <c r="J13" s="18">
        <v>1500</v>
      </c>
      <c r="K13" s="9">
        <f>J13/I13</f>
        <v>83.333333333333329</v>
      </c>
      <c r="L13" s="17">
        <v>18</v>
      </c>
      <c r="M13" s="10">
        <f>AVERAGE(M9:M12)</f>
        <v>1378.33848957193</v>
      </c>
      <c r="N13" s="9">
        <f>M13/L13</f>
        <v>76.574360531773891</v>
      </c>
      <c r="O13" s="11">
        <f>L13-I13</f>
        <v>0</v>
      </c>
      <c r="P13" s="12">
        <f>N13-K13</f>
        <v>-6.7589728015594375</v>
      </c>
      <c r="Q13" s="179">
        <f>N13/K13</f>
        <v>0.91889232638128671</v>
      </c>
      <c r="R13" s="533"/>
      <c r="S13" s="24"/>
      <c r="T13" s="24"/>
      <c r="U13" s="9"/>
      <c r="V13" s="186"/>
      <c r="W13" s="9"/>
      <c r="X13" s="9"/>
      <c r="Y13" s="528"/>
      <c r="Z13" s="528"/>
      <c r="AA13" s="11">
        <f t="shared" si="2"/>
        <v>-121.66151042806996</v>
      </c>
      <c r="AB13" s="179">
        <f t="shared" si="19"/>
        <v>0.91889232638128671</v>
      </c>
      <c r="AC13" s="533"/>
    </row>
    <row r="14" spans="1:29" ht="16.5" customHeight="1">
      <c r="A14" s="556" t="s">
        <v>373</v>
      </c>
      <c r="B14" s="188" t="s">
        <v>21</v>
      </c>
      <c r="C14" s="552" t="s">
        <v>19</v>
      </c>
      <c r="D14" s="552"/>
      <c r="E14" s="26">
        <v>41</v>
      </c>
      <c r="F14" s="188">
        <v>1783</v>
      </c>
      <c r="G14" s="180">
        <f t="shared" ref="G14:G17" si="21">E14*F14</f>
        <v>73103</v>
      </c>
      <c r="H14" s="76" t="s">
        <v>52</v>
      </c>
      <c r="I14" s="185">
        <v>26</v>
      </c>
      <c r="J14" s="18">
        <v>1500</v>
      </c>
      <c r="K14" s="9">
        <f>J14/I14</f>
        <v>57.692307692307693</v>
      </c>
      <c r="L14" s="185">
        <v>26</v>
      </c>
      <c r="M14" s="10">
        <f>F14/V14*60</f>
        <v>1389.3506493506486</v>
      </c>
      <c r="N14" s="9">
        <f t="shared" ref="N14:N26" si="22">M14/L14</f>
        <v>53.436563436563411</v>
      </c>
      <c r="O14" s="11">
        <f t="shared" ref="O14" si="23">L14-I14</f>
        <v>0</v>
      </c>
      <c r="P14" s="12">
        <f t="shared" ref="P14" si="24">N14-K14</f>
        <v>-4.2557442557442826</v>
      </c>
      <c r="Q14" s="179">
        <f>N14/K14</f>
        <v>0.92623376623376574</v>
      </c>
      <c r="R14" s="533">
        <f>Q18</f>
        <v>0.92149112658228116</v>
      </c>
      <c r="S14" s="24">
        <v>0.25</v>
      </c>
      <c r="T14" s="24">
        <v>0.30347222222222225</v>
      </c>
      <c r="U14" s="180"/>
      <c r="V14" s="186">
        <f>(T14-S14)*24*60</f>
        <v>77.000000000000043</v>
      </c>
      <c r="W14" s="15"/>
      <c r="X14" s="15"/>
      <c r="Y14" s="528"/>
      <c r="Z14" s="528"/>
      <c r="AA14" s="11">
        <f t="shared" si="2"/>
        <v>-110.64935064935139</v>
      </c>
      <c r="AB14" s="179">
        <f t="shared" si="19"/>
        <v>0.92623376623376574</v>
      </c>
      <c r="AC14" s="533">
        <f>AB18</f>
        <v>0.92149112658228116</v>
      </c>
    </row>
    <row r="15" spans="1:29" ht="16.5" customHeight="1">
      <c r="A15" s="557" t="s">
        <v>373</v>
      </c>
      <c r="B15" s="188" t="s">
        <v>15</v>
      </c>
      <c r="C15" s="552" t="s">
        <v>49</v>
      </c>
      <c r="D15" s="552"/>
      <c r="E15" s="26">
        <v>39.29</v>
      </c>
      <c r="F15" s="188">
        <v>3603</v>
      </c>
      <c r="G15" s="180">
        <f t="shared" si="21"/>
        <v>141561.87</v>
      </c>
      <c r="H15" s="76" t="s">
        <v>52</v>
      </c>
      <c r="I15" s="185">
        <v>16</v>
      </c>
      <c r="J15" s="18">
        <v>1500</v>
      </c>
      <c r="K15" s="9">
        <f>J15/I15</f>
        <v>93.75</v>
      </c>
      <c r="L15" s="185">
        <v>16</v>
      </c>
      <c r="M15" s="10">
        <f>F15/V15*60</f>
        <v>1376.9426751592355</v>
      </c>
      <c r="N15" s="9">
        <f t="shared" si="22"/>
        <v>86.058917197452217</v>
      </c>
      <c r="O15" s="11">
        <f>L15-I15</f>
        <v>0</v>
      </c>
      <c r="P15" s="12">
        <f>N15-K15</f>
        <v>-7.6910828025477826</v>
      </c>
      <c r="Q15" s="179">
        <f>N15/K15</f>
        <v>0.91796178343949031</v>
      </c>
      <c r="R15" s="533"/>
      <c r="S15" s="24">
        <v>0.3125</v>
      </c>
      <c r="T15" s="24">
        <v>0.42152777777777778</v>
      </c>
      <c r="U15" s="180">
        <f>IF(S15=TIME(17,0,0),"",(S15-T14)*24*60)</f>
        <v>12.999999999999954</v>
      </c>
      <c r="V15" s="186">
        <f>(T15-S15)*24*60</f>
        <v>157</v>
      </c>
      <c r="W15" s="14"/>
      <c r="X15" s="14"/>
      <c r="Y15" s="528"/>
      <c r="Z15" s="528"/>
      <c r="AA15" s="11">
        <f t="shared" si="2"/>
        <v>-123.05732484076452</v>
      </c>
      <c r="AB15" s="179">
        <f t="shared" si="19"/>
        <v>0.91796178343949031</v>
      </c>
      <c r="AC15" s="533"/>
    </row>
    <row r="16" spans="1:29" ht="16.5" customHeight="1">
      <c r="A16" s="557" t="s">
        <v>373</v>
      </c>
      <c r="B16" s="188" t="s">
        <v>13</v>
      </c>
      <c r="C16" s="552" t="s">
        <v>57</v>
      </c>
      <c r="D16" s="552"/>
      <c r="E16" s="26">
        <v>50.98</v>
      </c>
      <c r="F16" s="188">
        <v>2726</v>
      </c>
      <c r="G16" s="180">
        <f t="shared" si="21"/>
        <v>138971.47999999998</v>
      </c>
      <c r="H16" s="76" t="s">
        <v>52</v>
      </c>
      <c r="I16" s="185">
        <v>17</v>
      </c>
      <c r="J16" s="18">
        <v>2000</v>
      </c>
      <c r="K16" s="9">
        <f t="shared" ref="K16:K17" si="25">J16/I16</f>
        <v>117.64705882352941</v>
      </c>
      <c r="L16" s="185">
        <v>17</v>
      </c>
      <c r="M16" s="10">
        <f t="shared" ref="M16:M17" si="26">F16/V16*60</f>
        <v>1837.7528089887639</v>
      </c>
      <c r="N16" s="9">
        <f t="shared" si="22"/>
        <v>108.10310641110377</v>
      </c>
      <c r="O16" s="11">
        <f t="shared" ref="O16:O17" si="27">L16-I16</f>
        <v>0</v>
      </c>
      <c r="P16" s="12">
        <f t="shared" ref="P16:P17" si="28">N16-K16</f>
        <v>-9.5439524124256394</v>
      </c>
      <c r="Q16" s="179">
        <f t="shared" ref="Q16:Q26" si="29">N16/K16</f>
        <v>0.91887640449438202</v>
      </c>
      <c r="R16" s="533"/>
      <c r="S16" s="24">
        <v>0.70833333333333337</v>
      </c>
      <c r="T16" s="24">
        <v>0.77013888888888893</v>
      </c>
      <c r="U16" s="180" t="str">
        <f t="shared" ref="U16:U17" si="30">IF(S16=TIME(17,0,0),"",(S16-T15)*24*60)</f>
        <v/>
      </c>
      <c r="V16" s="186">
        <f t="shared" ref="V16:V17" si="31">(T16-S16)*24*60</f>
        <v>89</v>
      </c>
      <c r="W16" s="14"/>
      <c r="X16" s="14"/>
      <c r="Y16" s="528"/>
      <c r="Z16" s="528"/>
      <c r="AA16" s="11">
        <f t="shared" si="2"/>
        <v>-162.24719101123605</v>
      </c>
      <c r="AB16" s="179">
        <f t="shared" si="19"/>
        <v>0.91887640449438202</v>
      </c>
      <c r="AC16" s="533"/>
    </row>
    <row r="17" spans="1:29" ht="16.5" customHeight="1">
      <c r="A17" s="557" t="s">
        <v>373</v>
      </c>
      <c r="B17" s="188" t="s">
        <v>13</v>
      </c>
      <c r="C17" s="552" t="s">
        <v>54</v>
      </c>
      <c r="D17" s="552"/>
      <c r="E17" s="26">
        <v>50.92</v>
      </c>
      <c r="F17" s="188">
        <v>2985</v>
      </c>
      <c r="G17" s="180">
        <f t="shared" si="21"/>
        <v>151996.20000000001</v>
      </c>
      <c r="H17" s="76" t="s">
        <v>52</v>
      </c>
      <c r="I17" s="185">
        <v>16</v>
      </c>
      <c r="J17" s="18">
        <v>2000</v>
      </c>
      <c r="K17" s="9">
        <f t="shared" si="25"/>
        <v>125</v>
      </c>
      <c r="L17" s="185">
        <v>16</v>
      </c>
      <c r="M17" s="10">
        <f t="shared" si="26"/>
        <v>1846.3917525773199</v>
      </c>
      <c r="N17" s="9">
        <f t="shared" si="22"/>
        <v>115.3994845360825</v>
      </c>
      <c r="O17" s="11">
        <f t="shared" si="27"/>
        <v>0</v>
      </c>
      <c r="P17" s="12">
        <f t="shared" si="28"/>
        <v>-9.6005154639175032</v>
      </c>
      <c r="Q17" s="179">
        <f t="shared" si="29"/>
        <v>0.92319587628865996</v>
      </c>
      <c r="R17" s="533"/>
      <c r="S17" s="24">
        <v>0.77569444444444446</v>
      </c>
      <c r="T17" s="24">
        <v>0.84305555555555556</v>
      </c>
      <c r="U17" s="180">
        <f t="shared" si="30"/>
        <v>7.9999999999999716</v>
      </c>
      <c r="V17" s="186">
        <f t="shared" si="31"/>
        <v>96.999999999999972</v>
      </c>
      <c r="W17" s="14"/>
      <c r="X17" s="14"/>
      <c r="Y17" s="528"/>
      <c r="Z17" s="528"/>
      <c r="AA17" s="11">
        <f t="shared" si="2"/>
        <v>-153.60824742268005</v>
      </c>
      <c r="AB17" s="179">
        <f t="shared" si="19"/>
        <v>0.92319587628865996</v>
      </c>
      <c r="AC17" s="533"/>
    </row>
    <row r="18" spans="1:29" ht="16.5" customHeight="1">
      <c r="A18" s="557" t="s">
        <v>373</v>
      </c>
      <c r="B18" s="26" t="s">
        <v>82</v>
      </c>
      <c r="C18" s="530"/>
      <c r="D18" s="530"/>
      <c r="E18" s="183"/>
      <c r="F18" s="16"/>
      <c r="G18" s="9"/>
      <c r="H18" s="188"/>
      <c r="I18" s="17">
        <v>18.75</v>
      </c>
      <c r="J18" s="18">
        <v>1750</v>
      </c>
      <c r="K18" s="9">
        <f>J18/I18</f>
        <v>93.333333333333329</v>
      </c>
      <c r="L18" s="17">
        <v>18.75</v>
      </c>
      <c r="M18" s="10">
        <f>AVERAGE(M14:M17)</f>
        <v>1612.609471518992</v>
      </c>
      <c r="N18" s="9">
        <f t="shared" si="22"/>
        <v>86.005838481012901</v>
      </c>
      <c r="O18" s="11">
        <f>L18-I18</f>
        <v>0</v>
      </c>
      <c r="P18" s="12">
        <f>N18-K18</f>
        <v>-7.3274948523204273</v>
      </c>
      <c r="Q18" s="179">
        <f t="shared" si="29"/>
        <v>0.92149112658228116</v>
      </c>
      <c r="R18" s="533"/>
      <c r="S18" s="24"/>
      <c r="T18" s="24"/>
      <c r="U18" s="180"/>
      <c r="V18" s="186"/>
      <c r="W18" s="9"/>
      <c r="X18" s="9"/>
      <c r="Y18" s="528"/>
      <c r="Z18" s="528"/>
      <c r="AA18" s="11">
        <f t="shared" si="2"/>
        <v>-137.390528481008</v>
      </c>
      <c r="AB18" s="179">
        <f t="shared" si="19"/>
        <v>0.92149112658228116</v>
      </c>
      <c r="AC18" s="533"/>
    </row>
    <row r="19" spans="1:29" ht="15.75" customHeight="1">
      <c r="A19" s="554" t="s">
        <v>375</v>
      </c>
      <c r="B19" s="26" t="s">
        <v>21</v>
      </c>
      <c r="C19" s="552" t="s">
        <v>22</v>
      </c>
      <c r="D19" s="552"/>
      <c r="E19" s="26">
        <v>43.14</v>
      </c>
      <c r="F19" s="188">
        <v>1209</v>
      </c>
      <c r="G19" s="180">
        <f t="shared" ref="G19:G26" si="32">E19*F19</f>
        <v>52156.26</v>
      </c>
      <c r="H19" s="76" t="s">
        <v>52</v>
      </c>
      <c r="I19" s="185">
        <v>17</v>
      </c>
      <c r="J19" s="18">
        <v>2000</v>
      </c>
      <c r="K19" s="9">
        <f t="shared" ref="K19:K27" si="33">J19/I19</f>
        <v>117.64705882352941</v>
      </c>
      <c r="L19" s="185">
        <v>17</v>
      </c>
      <c r="M19" s="10">
        <f t="shared" ref="M19:M26" si="34">F19/V19*60</f>
        <v>1860.0000000000011</v>
      </c>
      <c r="N19" s="9">
        <f t="shared" si="22"/>
        <v>109.41176470588242</v>
      </c>
      <c r="O19" s="11">
        <f t="shared" ref="O19:O26" si="35">L19-I19</f>
        <v>0</v>
      </c>
      <c r="P19" s="12">
        <f t="shared" ref="P19:P26" si="36">N19-K19</f>
        <v>-8.2352941176469869</v>
      </c>
      <c r="Q19" s="179">
        <f t="shared" si="29"/>
        <v>0.9300000000000006</v>
      </c>
      <c r="R19" s="533">
        <f>Q27</f>
        <v>0.92976999957927464</v>
      </c>
      <c r="S19" s="24">
        <v>0.20833333333333334</v>
      </c>
      <c r="T19" s="24">
        <v>0.23541666666666666</v>
      </c>
      <c r="U19" s="180"/>
      <c r="V19" s="186">
        <f>(T19-S19)*24*60</f>
        <v>38.999999999999979</v>
      </c>
      <c r="W19" s="15"/>
      <c r="X19" s="15"/>
      <c r="Y19" s="528"/>
      <c r="Z19" s="528"/>
      <c r="AA19" s="11">
        <f t="shared" si="2"/>
        <v>-139.99999999999886</v>
      </c>
      <c r="AB19" s="179">
        <f t="shared" si="19"/>
        <v>0.9300000000000006</v>
      </c>
      <c r="AC19" s="533">
        <f>AB27</f>
        <v>0.92976999957927464</v>
      </c>
    </row>
    <row r="20" spans="1:29" ht="15.75" customHeight="1">
      <c r="A20" s="555" t="s">
        <v>680</v>
      </c>
      <c r="B20" s="26" t="s">
        <v>13</v>
      </c>
      <c r="C20" s="552" t="s">
        <v>23</v>
      </c>
      <c r="D20" s="552"/>
      <c r="E20" s="26">
        <v>57.73</v>
      </c>
      <c r="F20" s="188">
        <v>3051</v>
      </c>
      <c r="G20" s="180">
        <f t="shared" si="32"/>
        <v>176134.22999999998</v>
      </c>
      <c r="H20" s="76" t="s">
        <v>52</v>
      </c>
      <c r="I20" s="185">
        <v>16</v>
      </c>
      <c r="J20" s="18">
        <v>2000</v>
      </c>
      <c r="K20" s="9">
        <f t="shared" si="33"/>
        <v>125</v>
      </c>
      <c r="L20" s="185">
        <v>16</v>
      </c>
      <c r="M20" s="10">
        <f t="shared" si="34"/>
        <v>1830.6000000000001</v>
      </c>
      <c r="N20" s="9">
        <f t="shared" si="22"/>
        <v>114.41250000000001</v>
      </c>
      <c r="O20" s="11">
        <f t="shared" si="35"/>
        <v>0</v>
      </c>
      <c r="P20" s="12">
        <f t="shared" si="36"/>
        <v>-10.587499999999991</v>
      </c>
      <c r="Q20" s="179">
        <f t="shared" si="29"/>
        <v>0.91530000000000011</v>
      </c>
      <c r="R20" s="533"/>
      <c r="S20" s="24">
        <v>0.24097222222222223</v>
      </c>
      <c r="T20" s="24">
        <v>0.31041666666666667</v>
      </c>
      <c r="U20" s="180">
        <f>IF(S20=TIME(17,0,0),"",(S20-T19)*24*60)</f>
        <v>8.0000000000000107</v>
      </c>
      <c r="V20" s="186">
        <f t="shared" ref="V20:V26" si="37">(T20-S20)*24*60</f>
        <v>100</v>
      </c>
      <c r="W20" s="14"/>
      <c r="X20" s="180"/>
      <c r="Y20" s="528"/>
      <c r="Z20" s="528"/>
      <c r="AA20" s="11">
        <f t="shared" si="2"/>
        <v>-169.39999999999986</v>
      </c>
      <c r="AB20" s="179">
        <f t="shared" si="19"/>
        <v>0.91530000000000011</v>
      </c>
      <c r="AC20" s="533"/>
    </row>
    <row r="21" spans="1:29" ht="15.75" customHeight="1">
      <c r="A21" s="555" t="s">
        <v>375</v>
      </c>
      <c r="B21" s="26" t="s">
        <v>13</v>
      </c>
      <c r="C21" s="552" t="s">
        <v>14</v>
      </c>
      <c r="D21" s="552"/>
      <c r="E21" s="26">
        <v>53.68</v>
      </c>
      <c r="F21" s="188">
        <v>1999</v>
      </c>
      <c r="G21" s="180">
        <f t="shared" si="32"/>
        <v>107306.31999999999</v>
      </c>
      <c r="H21" s="76" t="s">
        <v>52</v>
      </c>
      <c r="I21" s="185">
        <v>17</v>
      </c>
      <c r="J21" s="18">
        <v>2000</v>
      </c>
      <c r="K21" s="9">
        <f t="shared" si="33"/>
        <v>117.64705882352941</v>
      </c>
      <c r="L21" s="185">
        <v>17</v>
      </c>
      <c r="M21" s="10">
        <f t="shared" si="34"/>
        <v>1845.2307692307688</v>
      </c>
      <c r="N21" s="9">
        <f t="shared" si="22"/>
        <v>108.54298642533934</v>
      </c>
      <c r="O21" s="11">
        <f t="shared" si="35"/>
        <v>0</v>
      </c>
      <c r="P21" s="12">
        <f t="shared" si="36"/>
        <v>-9.1040723981900697</v>
      </c>
      <c r="Q21" s="179">
        <f t="shared" si="29"/>
        <v>0.92261538461538439</v>
      </c>
      <c r="R21" s="533"/>
      <c r="S21" s="24">
        <v>0.31458333333333333</v>
      </c>
      <c r="T21" s="24">
        <v>0.35972222222222222</v>
      </c>
      <c r="U21" s="180">
        <f t="shared" ref="U21:U26" si="38">IF(S21=TIME(17,0,0),"",(S21-T20)*24*60)</f>
        <v>5.9999999999999787</v>
      </c>
      <c r="V21" s="186">
        <f t="shared" si="37"/>
        <v>65.000000000000014</v>
      </c>
      <c r="W21" s="14"/>
      <c r="X21" s="180"/>
      <c r="Y21" s="528"/>
      <c r="Z21" s="528"/>
      <c r="AA21" s="11">
        <f t="shared" si="2"/>
        <v>-154.76923076923117</v>
      </c>
      <c r="AB21" s="179">
        <f t="shared" si="19"/>
        <v>0.92261538461538439</v>
      </c>
      <c r="AC21" s="533"/>
    </row>
    <row r="22" spans="1:29" ht="15.75" customHeight="1">
      <c r="A22" s="555" t="s">
        <v>375</v>
      </c>
      <c r="B22" s="26" t="s">
        <v>13</v>
      </c>
      <c r="C22" s="552" t="s">
        <v>63</v>
      </c>
      <c r="D22" s="552"/>
      <c r="E22" s="26">
        <v>50.67</v>
      </c>
      <c r="F22" s="188">
        <v>1018</v>
      </c>
      <c r="G22" s="180">
        <f t="shared" si="32"/>
        <v>51582.060000000005</v>
      </c>
      <c r="H22" s="76" t="s">
        <v>52</v>
      </c>
      <c r="I22" s="185">
        <v>16</v>
      </c>
      <c r="J22" s="18">
        <v>2000</v>
      </c>
      <c r="K22" s="9">
        <f t="shared" si="33"/>
        <v>125</v>
      </c>
      <c r="L22" s="185">
        <v>16</v>
      </c>
      <c r="M22" s="10">
        <f t="shared" si="34"/>
        <v>1850.909090909093</v>
      </c>
      <c r="N22" s="9">
        <f t="shared" si="22"/>
        <v>115.68181818181831</v>
      </c>
      <c r="O22" s="11">
        <f t="shared" si="35"/>
        <v>0</v>
      </c>
      <c r="P22" s="12">
        <f t="shared" si="36"/>
        <v>-9.3181818181816851</v>
      </c>
      <c r="Q22" s="179">
        <f t="shared" si="29"/>
        <v>0.92545454545454653</v>
      </c>
      <c r="R22" s="533"/>
      <c r="S22" s="24">
        <v>0.36527777777777776</v>
      </c>
      <c r="T22" s="24">
        <v>0.3881944444444444</v>
      </c>
      <c r="U22" s="180">
        <f t="shared" si="38"/>
        <v>7.9999999999999716</v>
      </c>
      <c r="V22" s="186">
        <f t="shared" si="37"/>
        <v>32.999999999999964</v>
      </c>
      <c r="W22" s="14"/>
      <c r="X22" s="180"/>
      <c r="Y22" s="528"/>
      <c r="Z22" s="528"/>
      <c r="AA22" s="11">
        <f t="shared" si="2"/>
        <v>-149.09090909090696</v>
      </c>
      <c r="AB22" s="179">
        <f t="shared" si="19"/>
        <v>0.92545454545454653</v>
      </c>
      <c r="AC22" s="533"/>
    </row>
    <row r="23" spans="1:29" ht="15.75" customHeight="1">
      <c r="A23" s="555" t="s">
        <v>375</v>
      </c>
      <c r="B23" s="26" t="s">
        <v>13</v>
      </c>
      <c r="C23" s="552" t="s">
        <v>81</v>
      </c>
      <c r="D23" s="552"/>
      <c r="E23" s="26">
        <v>58.17</v>
      </c>
      <c r="F23" s="188">
        <v>2496</v>
      </c>
      <c r="G23" s="180">
        <f t="shared" si="32"/>
        <v>145192.32000000001</v>
      </c>
      <c r="H23" s="76" t="s">
        <v>52</v>
      </c>
      <c r="I23" s="185">
        <v>18</v>
      </c>
      <c r="J23" s="18">
        <v>2000</v>
      </c>
      <c r="K23" s="9">
        <f t="shared" si="33"/>
        <v>111.11111111111111</v>
      </c>
      <c r="L23" s="185">
        <v>18</v>
      </c>
      <c r="M23" s="10">
        <f t="shared" si="34"/>
        <v>1848.8888888888882</v>
      </c>
      <c r="N23" s="9">
        <f t="shared" si="22"/>
        <v>102.71604938271601</v>
      </c>
      <c r="O23" s="11">
        <f t="shared" si="35"/>
        <v>0</v>
      </c>
      <c r="P23" s="12">
        <f t="shared" si="36"/>
        <v>-8.3950617283951061</v>
      </c>
      <c r="Q23" s="179">
        <f t="shared" si="29"/>
        <v>0.92444444444444407</v>
      </c>
      <c r="R23" s="533"/>
      <c r="S23" s="24">
        <v>0.39166666666666661</v>
      </c>
      <c r="T23" s="24">
        <v>0.44791666666666663</v>
      </c>
      <c r="U23" s="180">
        <f t="shared" si="38"/>
        <v>4.9999999999999822</v>
      </c>
      <c r="V23" s="186">
        <f t="shared" si="37"/>
        <v>81.000000000000028</v>
      </c>
      <c r="W23" s="14"/>
      <c r="X23" s="180"/>
      <c r="Y23" s="528"/>
      <c r="Z23" s="528"/>
      <c r="AA23" s="11">
        <f t="shared" si="2"/>
        <v>-151.11111111111177</v>
      </c>
      <c r="AB23" s="179">
        <f t="shared" si="19"/>
        <v>0.92444444444444407</v>
      </c>
      <c r="AC23" s="533"/>
    </row>
    <row r="24" spans="1:29" ht="15.75" customHeight="1">
      <c r="A24" s="555" t="s">
        <v>375</v>
      </c>
      <c r="B24" s="26" t="s">
        <v>13</v>
      </c>
      <c r="C24" s="552" t="s">
        <v>85</v>
      </c>
      <c r="D24" s="552"/>
      <c r="E24" s="26">
        <v>54.09</v>
      </c>
      <c r="F24" s="188">
        <v>3810</v>
      </c>
      <c r="G24" s="180">
        <f t="shared" si="32"/>
        <v>206082.90000000002</v>
      </c>
      <c r="H24" s="76" t="s">
        <v>52</v>
      </c>
      <c r="I24" s="185">
        <v>20</v>
      </c>
      <c r="J24" s="18">
        <v>2000</v>
      </c>
      <c r="K24" s="9">
        <f t="shared" si="33"/>
        <v>100</v>
      </c>
      <c r="L24" s="185">
        <v>20</v>
      </c>
      <c r="M24" s="10">
        <f t="shared" si="34"/>
        <v>1843.5483870967737</v>
      </c>
      <c r="N24" s="9">
        <f t="shared" si="22"/>
        <v>92.17741935483869</v>
      </c>
      <c r="O24" s="11">
        <f t="shared" si="35"/>
        <v>0</v>
      </c>
      <c r="P24" s="12">
        <f t="shared" si="36"/>
        <v>-7.8225806451613096</v>
      </c>
      <c r="Q24" s="179">
        <f t="shared" si="29"/>
        <v>0.92177419354838686</v>
      </c>
      <c r="R24" s="533"/>
      <c r="S24" s="24">
        <v>0.70833333333333337</v>
      </c>
      <c r="T24" s="24">
        <v>0.79444444444444451</v>
      </c>
      <c r="U24" s="180" t="str">
        <f t="shared" si="38"/>
        <v/>
      </c>
      <c r="V24" s="186">
        <f t="shared" si="37"/>
        <v>124.00000000000004</v>
      </c>
      <c r="W24" s="14"/>
      <c r="X24" s="15"/>
      <c r="Y24" s="528"/>
      <c r="Z24" s="528"/>
      <c r="AA24" s="11">
        <f t="shared" si="2"/>
        <v>-156.45161290322631</v>
      </c>
      <c r="AB24" s="179">
        <f t="shared" si="19"/>
        <v>0.92177419354838686</v>
      </c>
      <c r="AC24" s="533"/>
    </row>
    <row r="25" spans="1:29" ht="15.75" customHeight="1">
      <c r="A25" s="555" t="s">
        <v>375</v>
      </c>
      <c r="B25" s="26" t="s">
        <v>13</v>
      </c>
      <c r="C25" s="552" t="s">
        <v>56</v>
      </c>
      <c r="D25" s="552"/>
      <c r="E25" s="26">
        <v>53.27</v>
      </c>
      <c r="F25" s="188">
        <v>496</v>
      </c>
      <c r="G25" s="180">
        <f t="shared" si="32"/>
        <v>26421.920000000002</v>
      </c>
      <c r="H25" s="76" t="s">
        <v>52</v>
      </c>
      <c r="I25" s="185">
        <v>15</v>
      </c>
      <c r="J25" s="18">
        <v>2000</v>
      </c>
      <c r="K25" s="9">
        <f t="shared" si="33"/>
        <v>133.33333333333334</v>
      </c>
      <c r="L25" s="185">
        <v>15</v>
      </c>
      <c r="M25" s="10">
        <f t="shared" si="34"/>
        <v>1860.0000000000066</v>
      </c>
      <c r="N25" s="9">
        <f t="shared" si="22"/>
        <v>124.00000000000044</v>
      </c>
      <c r="O25" s="11">
        <f t="shared" si="35"/>
        <v>0</v>
      </c>
      <c r="P25" s="12">
        <f t="shared" si="36"/>
        <v>-9.3333333333329023</v>
      </c>
      <c r="Q25" s="179">
        <f t="shared" si="29"/>
        <v>0.93000000000000327</v>
      </c>
      <c r="R25" s="533"/>
      <c r="S25" s="24">
        <v>0.7993055555555556</v>
      </c>
      <c r="T25" s="24">
        <v>0.81041666666666667</v>
      </c>
      <c r="U25" s="180">
        <f t="shared" si="38"/>
        <v>6.9999999999999751</v>
      </c>
      <c r="V25" s="186">
        <f t="shared" si="37"/>
        <v>15.999999999999943</v>
      </c>
      <c r="W25" s="14"/>
      <c r="X25" s="15"/>
      <c r="Y25" s="536"/>
      <c r="Z25" s="537"/>
      <c r="AA25" s="11">
        <f t="shared" si="2"/>
        <v>-139.99999999999341</v>
      </c>
      <c r="AB25" s="179">
        <f t="shared" si="19"/>
        <v>0.93000000000000327</v>
      </c>
      <c r="AC25" s="533"/>
    </row>
    <row r="26" spans="1:29" ht="15.75" customHeight="1">
      <c r="A26" s="555" t="s">
        <v>680</v>
      </c>
      <c r="B26" s="26" t="s">
        <v>13</v>
      </c>
      <c r="C26" s="584" t="s">
        <v>83</v>
      </c>
      <c r="D26" s="585"/>
      <c r="E26" s="26">
        <v>49.91</v>
      </c>
      <c r="F26" s="188">
        <v>452</v>
      </c>
      <c r="G26" s="180">
        <f t="shared" si="32"/>
        <v>22559.32</v>
      </c>
      <c r="H26" s="76" t="s">
        <v>52</v>
      </c>
      <c r="I26" s="185">
        <v>16</v>
      </c>
      <c r="J26" s="18">
        <v>2000</v>
      </c>
      <c r="K26" s="9">
        <f t="shared" si="33"/>
        <v>125</v>
      </c>
      <c r="L26" s="185">
        <v>16</v>
      </c>
      <c r="M26" s="10">
        <f t="shared" si="34"/>
        <v>1937.1428571428639</v>
      </c>
      <c r="N26" s="9">
        <f t="shared" si="22"/>
        <v>121.071428571429</v>
      </c>
      <c r="O26" s="11">
        <f t="shared" si="35"/>
        <v>0</v>
      </c>
      <c r="P26" s="12">
        <f t="shared" si="36"/>
        <v>-3.9285714285710043</v>
      </c>
      <c r="Q26" s="179">
        <f t="shared" si="29"/>
        <v>0.96857142857143197</v>
      </c>
      <c r="R26" s="533"/>
      <c r="S26" s="24">
        <v>0.81388888888888888</v>
      </c>
      <c r="T26" s="24">
        <v>0.82361111111111107</v>
      </c>
      <c r="U26" s="180">
        <f t="shared" si="38"/>
        <v>4.9999999999999822</v>
      </c>
      <c r="V26" s="186">
        <f t="shared" si="37"/>
        <v>13.99999999999995</v>
      </c>
      <c r="W26" s="14"/>
      <c r="X26" s="14"/>
      <c r="Y26" s="536"/>
      <c r="Z26" s="537"/>
      <c r="AA26" s="11">
        <f t="shared" si="2"/>
        <v>-62.857142857136068</v>
      </c>
      <c r="AB26" s="179">
        <f t="shared" si="19"/>
        <v>0.96857142857143197</v>
      </c>
      <c r="AC26" s="533"/>
    </row>
    <row r="27" spans="1:29" ht="15.75" customHeight="1">
      <c r="A27" s="555" t="s">
        <v>375</v>
      </c>
      <c r="B27" s="26" t="s">
        <v>82</v>
      </c>
      <c r="C27" s="530"/>
      <c r="D27" s="530"/>
      <c r="E27" s="183"/>
      <c r="F27" s="188"/>
      <c r="G27" s="180"/>
      <c r="H27" s="188"/>
      <c r="I27" s="17">
        <v>16.875</v>
      </c>
      <c r="J27" s="18">
        <v>2000</v>
      </c>
      <c r="K27" s="9">
        <f t="shared" si="33"/>
        <v>118.51851851851852</v>
      </c>
      <c r="L27" s="17">
        <v>16.875</v>
      </c>
      <c r="M27" s="10">
        <f>AVERAGE(M19:M26)</f>
        <v>1859.5399991585493</v>
      </c>
      <c r="N27" s="9">
        <f>M27/L27</f>
        <v>110.19496291309922</v>
      </c>
      <c r="O27" s="11">
        <f>L27-I27</f>
        <v>0</v>
      </c>
      <c r="P27" s="12">
        <f>N27-K27</f>
        <v>-8.3235556054193012</v>
      </c>
      <c r="Q27" s="179">
        <f>N27/K27</f>
        <v>0.92976999957927464</v>
      </c>
      <c r="R27" s="533"/>
      <c r="S27" s="24"/>
      <c r="T27" s="24"/>
      <c r="U27" s="9"/>
      <c r="V27" s="186"/>
      <c r="W27" s="9"/>
      <c r="X27" s="9"/>
      <c r="Y27" s="528"/>
      <c r="Z27" s="528"/>
      <c r="AA27" s="11">
        <f t="shared" si="2"/>
        <v>-140.46000084145066</v>
      </c>
      <c r="AB27" s="179">
        <f t="shared" si="19"/>
        <v>0.92976999957927464</v>
      </c>
      <c r="AC27" s="533"/>
    </row>
    <row r="28" spans="1:29" ht="15.75" customHeight="1">
      <c r="A28" s="553" t="s">
        <v>377</v>
      </c>
      <c r="B28" s="26" t="s">
        <v>24</v>
      </c>
      <c r="C28" s="552" t="s">
        <v>26</v>
      </c>
      <c r="D28" s="552"/>
      <c r="E28" s="26">
        <v>26.2</v>
      </c>
      <c r="F28" s="188">
        <v>4318</v>
      </c>
      <c r="G28" s="180">
        <f t="shared" ref="G28:G33" si="39">E28*F28</f>
        <v>113131.59999999999</v>
      </c>
      <c r="H28" s="76" t="s">
        <v>52</v>
      </c>
      <c r="I28" s="185">
        <v>20</v>
      </c>
      <c r="J28" s="18">
        <v>2400</v>
      </c>
      <c r="K28" s="9">
        <f>J28/I28</f>
        <v>120</v>
      </c>
      <c r="L28" s="185">
        <v>20</v>
      </c>
      <c r="M28" s="10">
        <f t="shared" ref="M28:M33" si="40">F28/V28*60</f>
        <v>2214.3589743589741</v>
      </c>
      <c r="N28" s="9">
        <f t="shared" ref="N28:N33" si="41">M28/L28</f>
        <v>110.7179487179487</v>
      </c>
      <c r="O28" s="11">
        <f t="shared" ref="O28:O33" si="42">L28-I28</f>
        <v>0</v>
      </c>
      <c r="P28" s="12">
        <f t="shared" ref="P28:P33" si="43">N28-K28</f>
        <v>-9.2820512820512988</v>
      </c>
      <c r="Q28" s="179">
        <f t="shared" ref="Q28:Q33" si="44">N28/K28</f>
        <v>0.92264957264957248</v>
      </c>
      <c r="R28" s="533">
        <f>Q34</f>
        <v>0.91991223286749313</v>
      </c>
      <c r="S28" s="24">
        <v>8.3333333333333329E-2</v>
      </c>
      <c r="T28" s="24">
        <v>0.16458333333333333</v>
      </c>
      <c r="U28" s="180"/>
      <c r="V28" s="186">
        <f t="shared" ref="V28:V33" si="45">(T28-S28)*24*60</f>
        <v>117.00000000000001</v>
      </c>
      <c r="W28" s="14">
        <f>T28</f>
        <v>0.16458333333333333</v>
      </c>
      <c r="X28" s="14">
        <f>S29</f>
        <v>0.18333333333333332</v>
      </c>
      <c r="Y28" s="528"/>
      <c r="Z28" s="528"/>
      <c r="AA28" s="11">
        <f t="shared" si="2"/>
        <v>-185.64102564102586</v>
      </c>
      <c r="AB28" s="179">
        <f>M28/J28</f>
        <v>0.92264957264957259</v>
      </c>
      <c r="AC28" s="533">
        <f>AB34</f>
        <v>0.91991223286749324</v>
      </c>
    </row>
    <row r="29" spans="1:29" ht="15.75" customHeight="1">
      <c r="A29" s="553" t="s">
        <v>377</v>
      </c>
      <c r="B29" s="26" t="s">
        <v>24</v>
      </c>
      <c r="C29" s="552" t="s">
        <v>79</v>
      </c>
      <c r="D29" s="552"/>
      <c r="E29" s="26">
        <v>31.29</v>
      </c>
      <c r="F29" s="188">
        <v>3500</v>
      </c>
      <c r="G29" s="180">
        <f t="shared" si="39"/>
        <v>109515</v>
      </c>
      <c r="H29" s="76">
        <v>2</v>
      </c>
      <c r="I29" s="185">
        <v>16</v>
      </c>
      <c r="J29" s="18">
        <v>2400</v>
      </c>
      <c r="K29" s="9">
        <f t="shared" ref="K29:K34" si="46">J29/I29</f>
        <v>150</v>
      </c>
      <c r="L29" s="185">
        <v>16</v>
      </c>
      <c r="M29" s="10">
        <f t="shared" si="40"/>
        <v>2210.5263157894728</v>
      </c>
      <c r="N29" s="9">
        <f t="shared" si="41"/>
        <v>138.15789473684205</v>
      </c>
      <c r="O29" s="11">
        <f t="shared" si="42"/>
        <v>0</v>
      </c>
      <c r="P29" s="12">
        <f t="shared" si="43"/>
        <v>-11.842105263157947</v>
      </c>
      <c r="Q29" s="179">
        <f t="shared" si="44"/>
        <v>0.92105263157894701</v>
      </c>
      <c r="R29" s="533"/>
      <c r="S29" s="24">
        <v>0.18333333333333332</v>
      </c>
      <c r="T29" s="24">
        <v>0.24930555555555556</v>
      </c>
      <c r="U29" s="180">
        <f>(S29-T28)*24*60</f>
        <v>26.999999999999986</v>
      </c>
      <c r="V29" s="186">
        <f t="shared" si="45"/>
        <v>95.000000000000028</v>
      </c>
      <c r="W29" s="14"/>
      <c r="X29" s="14"/>
      <c r="Y29" s="528"/>
      <c r="Z29" s="528"/>
      <c r="AA29" s="11">
        <f t="shared" si="2"/>
        <v>-189.47368421052715</v>
      </c>
      <c r="AB29" s="179">
        <f t="shared" ref="AB29:AB33" si="47">M29/J29</f>
        <v>0.92105263157894701</v>
      </c>
      <c r="AC29" s="533"/>
    </row>
    <row r="30" spans="1:29" ht="15.75" customHeight="1">
      <c r="A30" s="553" t="s">
        <v>377</v>
      </c>
      <c r="B30" s="26" t="s">
        <v>24</v>
      </c>
      <c r="C30" s="552" t="s">
        <v>68</v>
      </c>
      <c r="D30" s="552"/>
      <c r="E30" s="26">
        <v>24.25</v>
      </c>
      <c r="F30" s="188">
        <v>5132</v>
      </c>
      <c r="G30" s="180">
        <f t="shared" si="39"/>
        <v>124451</v>
      </c>
      <c r="H30" s="76" t="s">
        <v>52</v>
      </c>
      <c r="I30" s="185">
        <v>18</v>
      </c>
      <c r="J30" s="18">
        <v>2400</v>
      </c>
      <c r="K30" s="9">
        <f t="shared" si="46"/>
        <v>133.33333333333334</v>
      </c>
      <c r="L30" s="185">
        <v>18</v>
      </c>
      <c r="M30" s="10">
        <f t="shared" si="40"/>
        <v>2199.428571428572</v>
      </c>
      <c r="N30" s="9">
        <f t="shared" si="41"/>
        <v>122.19047619047622</v>
      </c>
      <c r="O30" s="11">
        <f t="shared" si="42"/>
        <v>0</v>
      </c>
      <c r="P30" s="12">
        <f t="shared" si="43"/>
        <v>-11.142857142857125</v>
      </c>
      <c r="Q30" s="179">
        <f t="shared" si="44"/>
        <v>0.91642857142857159</v>
      </c>
      <c r="R30" s="533"/>
      <c r="S30" s="24">
        <v>0.25416666666666665</v>
      </c>
      <c r="T30" s="24">
        <v>0.35138888888888886</v>
      </c>
      <c r="U30" s="180">
        <f t="shared" ref="U30:U33" si="48">(S30-T29)*24*60</f>
        <v>6.9999999999999751</v>
      </c>
      <c r="V30" s="186">
        <f t="shared" si="45"/>
        <v>139.99999999999997</v>
      </c>
      <c r="W30" s="14"/>
      <c r="X30" s="14"/>
      <c r="Y30" s="528"/>
      <c r="Z30" s="528"/>
      <c r="AA30" s="11">
        <f t="shared" si="2"/>
        <v>-200.57142857142799</v>
      </c>
      <c r="AB30" s="179">
        <f t="shared" si="47"/>
        <v>0.9164285714285717</v>
      </c>
      <c r="AC30" s="533"/>
    </row>
    <row r="31" spans="1:29" ht="15.75" customHeight="1">
      <c r="A31" s="553" t="s">
        <v>377</v>
      </c>
      <c r="B31" s="26" t="s">
        <v>24</v>
      </c>
      <c r="C31" s="552" t="s">
        <v>328</v>
      </c>
      <c r="D31" s="552"/>
      <c r="E31" s="26">
        <v>25.98</v>
      </c>
      <c r="F31" s="188">
        <v>4944</v>
      </c>
      <c r="G31" s="180">
        <f t="shared" si="39"/>
        <v>128445.12</v>
      </c>
      <c r="H31" s="76" t="s">
        <v>52</v>
      </c>
      <c r="I31" s="185">
        <v>17</v>
      </c>
      <c r="J31" s="18">
        <v>2400</v>
      </c>
      <c r="K31" s="9">
        <f t="shared" si="46"/>
        <v>141.1764705882353</v>
      </c>
      <c r="L31" s="185">
        <v>17</v>
      </c>
      <c r="M31" s="10">
        <f t="shared" si="40"/>
        <v>2213.7313432835822</v>
      </c>
      <c r="N31" s="9">
        <f t="shared" si="41"/>
        <v>130.21949078138718</v>
      </c>
      <c r="O31" s="11">
        <f t="shared" si="42"/>
        <v>0</v>
      </c>
      <c r="P31" s="12">
        <f t="shared" si="43"/>
        <v>-10.956979806848125</v>
      </c>
      <c r="Q31" s="179">
        <f t="shared" si="44"/>
        <v>0.9223880597014924</v>
      </c>
      <c r="R31" s="533"/>
      <c r="S31" s="24">
        <v>0.3569444444444444</v>
      </c>
      <c r="T31" s="24">
        <v>0.44999999999999996</v>
      </c>
      <c r="U31" s="180">
        <f t="shared" si="48"/>
        <v>7.9999999999999716</v>
      </c>
      <c r="V31" s="186">
        <f t="shared" si="45"/>
        <v>134</v>
      </c>
      <c r="W31" s="14"/>
      <c r="X31" s="14"/>
      <c r="Y31" s="528"/>
      <c r="Z31" s="528"/>
      <c r="AA31" s="11">
        <f t="shared" si="2"/>
        <v>-186.26865671641781</v>
      </c>
      <c r="AB31" s="179">
        <f t="shared" si="47"/>
        <v>0.92238805970149262</v>
      </c>
      <c r="AC31" s="533"/>
    </row>
    <row r="32" spans="1:29" ht="15.75" customHeight="1">
      <c r="A32" s="553" t="s">
        <v>377</v>
      </c>
      <c r="B32" s="26" t="s">
        <v>24</v>
      </c>
      <c r="C32" s="552" t="s">
        <v>62</v>
      </c>
      <c r="D32" s="552"/>
      <c r="E32" s="26">
        <v>22.35</v>
      </c>
      <c r="F32" s="188">
        <v>2161</v>
      </c>
      <c r="G32" s="180">
        <f t="shared" si="39"/>
        <v>48298.350000000006</v>
      </c>
      <c r="H32" s="76" t="s">
        <v>52</v>
      </c>
      <c r="I32" s="185">
        <v>16</v>
      </c>
      <c r="J32" s="18">
        <v>2400</v>
      </c>
      <c r="K32" s="9">
        <f t="shared" si="46"/>
        <v>150</v>
      </c>
      <c r="L32" s="185">
        <v>16</v>
      </c>
      <c r="M32" s="10">
        <f t="shared" si="40"/>
        <v>2197.6271186440667</v>
      </c>
      <c r="N32" s="9">
        <f t="shared" si="41"/>
        <v>137.35169491525417</v>
      </c>
      <c r="O32" s="11">
        <f t="shared" si="42"/>
        <v>0</v>
      </c>
      <c r="P32" s="12">
        <f t="shared" si="43"/>
        <v>-12.648305084745829</v>
      </c>
      <c r="Q32" s="179">
        <f t="shared" si="44"/>
        <v>0.9156779661016945</v>
      </c>
      <c r="R32" s="533"/>
      <c r="S32" s="24">
        <v>0.45555555555555549</v>
      </c>
      <c r="T32" s="24">
        <v>0.49652777777777773</v>
      </c>
      <c r="U32" s="180">
        <f t="shared" si="48"/>
        <v>7.9999999999999716</v>
      </c>
      <c r="V32" s="186">
        <f t="shared" si="45"/>
        <v>59.000000000000028</v>
      </c>
      <c r="W32" s="14">
        <f>T32</f>
        <v>0.49652777777777773</v>
      </c>
      <c r="X32" s="14">
        <f>S33</f>
        <v>0.53888888888888886</v>
      </c>
      <c r="Y32" s="528"/>
      <c r="Z32" s="528"/>
      <c r="AA32" s="11">
        <f t="shared" si="2"/>
        <v>-202.37288135593326</v>
      </c>
      <c r="AB32" s="179">
        <f t="shared" si="47"/>
        <v>0.9156779661016945</v>
      </c>
      <c r="AC32" s="533"/>
    </row>
    <row r="33" spans="1:29" ht="15.75" customHeight="1">
      <c r="A33" s="553" t="s">
        <v>377</v>
      </c>
      <c r="B33" s="26" t="s">
        <v>24</v>
      </c>
      <c r="C33" s="552" t="s">
        <v>79</v>
      </c>
      <c r="D33" s="552"/>
      <c r="E33" s="26">
        <v>31.29</v>
      </c>
      <c r="F33" s="188">
        <v>5196</v>
      </c>
      <c r="G33" s="180">
        <f t="shared" si="39"/>
        <v>162582.84</v>
      </c>
      <c r="H33" s="76" t="s">
        <v>52</v>
      </c>
      <c r="I33" s="185">
        <v>16</v>
      </c>
      <c r="J33" s="18">
        <v>2400</v>
      </c>
      <c r="K33" s="9">
        <f t="shared" si="46"/>
        <v>150</v>
      </c>
      <c r="L33" s="185">
        <v>16</v>
      </c>
      <c r="M33" s="10">
        <f t="shared" si="40"/>
        <v>2211.0638297872347</v>
      </c>
      <c r="N33" s="9">
        <f t="shared" si="41"/>
        <v>138.19148936170217</v>
      </c>
      <c r="O33" s="11">
        <f t="shared" si="42"/>
        <v>0</v>
      </c>
      <c r="P33" s="12">
        <f t="shared" si="43"/>
        <v>-11.808510638297832</v>
      </c>
      <c r="Q33" s="179">
        <f t="shared" si="44"/>
        <v>0.92127659574468113</v>
      </c>
      <c r="R33" s="533"/>
      <c r="S33" s="24">
        <v>0.53888888888888886</v>
      </c>
      <c r="T33" s="24">
        <v>0.63680555555555551</v>
      </c>
      <c r="U33" s="180">
        <f t="shared" si="48"/>
        <v>61.000000000000021</v>
      </c>
      <c r="V33" s="186">
        <f t="shared" si="45"/>
        <v>140.99999999999997</v>
      </c>
      <c r="W33" s="14"/>
      <c r="X33" s="14"/>
      <c r="Y33" s="528"/>
      <c r="Z33" s="528"/>
      <c r="AA33" s="11">
        <f t="shared" si="2"/>
        <v>-188.93617021276532</v>
      </c>
      <c r="AB33" s="179">
        <f t="shared" si="47"/>
        <v>0.92127659574468113</v>
      </c>
      <c r="AC33" s="533"/>
    </row>
    <row r="34" spans="1:29" ht="15.75" customHeight="1">
      <c r="A34" s="553" t="s">
        <v>377</v>
      </c>
      <c r="B34" s="26" t="s">
        <v>82</v>
      </c>
      <c r="C34" s="530"/>
      <c r="D34" s="530"/>
      <c r="E34" s="183"/>
      <c r="F34" s="188"/>
      <c r="G34" s="180"/>
      <c r="H34" s="188"/>
      <c r="I34" s="17">
        <v>17.166666666666668</v>
      </c>
      <c r="J34" s="18">
        <v>2400</v>
      </c>
      <c r="K34" s="9">
        <f t="shared" si="46"/>
        <v>139.80582524271844</v>
      </c>
      <c r="L34" s="17">
        <v>17.166666666666668</v>
      </c>
      <c r="M34" s="10">
        <f>AVERAGE(M28:M33)</f>
        <v>2207.7893588819838</v>
      </c>
      <c r="N34" s="9">
        <f>M34/L34</f>
        <v>128.60908886691166</v>
      </c>
      <c r="O34" s="11">
        <f>L34-I34</f>
        <v>0</v>
      </c>
      <c r="P34" s="12">
        <f>N34-K34</f>
        <v>-11.196736375806779</v>
      </c>
      <c r="Q34" s="179">
        <f>N34/K34</f>
        <v>0.91991223286749313</v>
      </c>
      <c r="R34" s="533"/>
      <c r="S34" s="24"/>
      <c r="T34" s="24"/>
      <c r="U34" s="180"/>
      <c r="V34" s="186"/>
      <c r="W34" s="180"/>
      <c r="X34" s="180"/>
      <c r="Y34" s="528"/>
      <c r="Z34" s="528"/>
      <c r="AA34" s="11">
        <f t="shared" si="2"/>
        <v>-192.21064111801616</v>
      </c>
      <c r="AB34" s="179">
        <f>M34/J34</f>
        <v>0.91991223286749324</v>
      </c>
      <c r="AC34" s="533"/>
    </row>
    <row r="35" spans="1:29" ht="15.75" customHeight="1">
      <c r="A35" s="550" t="s">
        <v>379</v>
      </c>
      <c r="B35" s="26" t="s">
        <v>24</v>
      </c>
      <c r="C35" s="529" t="s">
        <v>28</v>
      </c>
      <c r="D35" s="529"/>
      <c r="E35" s="26">
        <v>26.2</v>
      </c>
      <c r="F35" s="188">
        <v>2700</v>
      </c>
      <c r="G35" s="180">
        <f t="shared" ref="G35:G42" si="49">E35*F35</f>
        <v>70740</v>
      </c>
      <c r="H35" s="76">
        <v>2</v>
      </c>
      <c r="I35" s="185">
        <v>18</v>
      </c>
      <c r="J35" s="18">
        <v>2400</v>
      </c>
      <c r="K35" s="9">
        <f>J35/I35</f>
        <v>133.33333333333334</v>
      </c>
      <c r="L35" s="185">
        <v>18</v>
      </c>
      <c r="M35" s="10">
        <f>F35/V35*60</f>
        <v>2219.178082191781</v>
      </c>
      <c r="N35" s="9">
        <f>M35/L35</f>
        <v>123.28767123287672</v>
      </c>
      <c r="O35" s="11">
        <f t="shared" ref="O35:O42" si="50">L35-I35</f>
        <v>0</v>
      </c>
      <c r="P35" s="12">
        <f t="shared" ref="P35:P52" si="51">N35-K35</f>
        <v>-10.045662100456624</v>
      </c>
      <c r="Q35" s="179">
        <f t="shared" ref="Q35:Q47" si="52">N35/K35</f>
        <v>0.92465753424657537</v>
      </c>
      <c r="R35" s="533">
        <f>Q43</f>
        <v>0.92135862517995137</v>
      </c>
      <c r="S35" s="24">
        <v>8.3333333333333329E-2</v>
      </c>
      <c r="T35" s="24">
        <v>0.13402777777777777</v>
      </c>
      <c r="U35" s="180"/>
      <c r="V35" s="186">
        <f t="shared" ref="V35:V42" si="53">(T35-S35)*24*60</f>
        <v>73</v>
      </c>
      <c r="W35" s="15">
        <f>T35</f>
        <v>0.13402777777777777</v>
      </c>
      <c r="X35" s="15">
        <f>S36</f>
        <v>0.15347222222222223</v>
      </c>
      <c r="Y35" s="528"/>
      <c r="Z35" s="528"/>
      <c r="AA35" s="11">
        <f t="shared" si="2"/>
        <v>-180.82191780821904</v>
      </c>
      <c r="AB35" s="179">
        <f>M35/J35</f>
        <v>0.92465753424657537</v>
      </c>
      <c r="AC35" s="533">
        <f>AB43</f>
        <v>0.92135862517995137</v>
      </c>
    </row>
    <row r="36" spans="1:29" ht="15.75" customHeight="1">
      <c r="A36" s="550" t="s">
        <v>379</v>
      </c>
      <c r="B36" s="26" t="s">
        <v>24</v>
      </c>
      <c r="C36" s="529" t="s">
        <v>30</v>
      </c>
      <c r="D36" s="529"/>
      <c r="E36" s="26">
        <v>24.45</v>
      </c>
      <c r="F36" s="188">
        <v>2279</v>
      </c>
      <c r="G36" s="180">
        <f t="shared" si="49"/>
        <v>55721.549999999996</v>
      </c>
      <c r="H36" s="76" t="s">
        <v>52</v>
      </c>
      <c r="I36" s="185">
        <v>20</v>
      </c>
      <c r="J36" s="18">
        <v>2400</v>
      </c>
      <c r="K36" s="9">
        <f t="shared" ref="K36:K51" si="54">J36/I36</f>
        <v>120</v>
      </c>
      <c r="L36" s="185">
        <v>20</v>
      </c>
      <c r="M36" s="10">
        <f t="shared" ref="M36:M42" si="55">F36/V36*60</f>
        <v>2205.483870967741</v>
      </c>
      <c r="N36" s="9">
        <f t="shared" ref="N36:N42" si="56">M36/L36</f>
        <v>110.27419354838705</v>
      </c>
      <c r="O36" s="11">
        <f t="shared" si="50"/>
        <v>0</v>
      </c>
      <c r="P36" s="12">
        <f t="shared" si="51"/>
        <v>-9.7258064516129537</v>
      </c>
      <c r="Q36" s="179">
        <f t="shared" si="52"/>
        <v>0.91895161290322536</v>
      </c>
      <c r="R36" s="533"/>
      <c r="S36" s="24">
        <v>0.15347222222222223</v>
      </c>
      <c r="T36" s="24">
        <v>0.1965277777777778</v>
      </c>
      <c r="U36" s="180">
        <f>(S36-T35)*24*60</f>
        <v>28.000000000000021</v>
      </c>
      <c r="V36" s="186">
        <f t="shared" si="53"/>
        <v>62.000000000000021</v>
      </c>
      <c r="W36" s="180"/>
      <c r="X36" s="180"/>
      <c r="Y36" s="528"/>
      <c r="Z36" s="528"/>
      <c r="AA36" s="11">
        <f t="shared" si="2"/>
        <v>-194.51612903225896</v>
      </c>
      <c r="AB36" s="179">
        <f t="shared" ref="AB36:AB65" si="57">M36/J36</f>
        <v>0.91895161290322547</v>
      </c>
      <c r="AC36" s="533"/>
    </row>
    <row r="37" spans="1:29">
      <c r="A37" s="551" t="s">
        <v>379</v>
      </c>
      <c r="B37" s="26" t="s">
        <v>24</v>
      </c>
      <c r="C37" s="529" t="s">
        <v>31</v>
      </c>
      <c r="D37" s="529"/>
      <c r="E37" s="26">
        <v>26.2</v>
      </c>
      <c r="F37" s="188">
        <v>3340</v>
      </c>
      <c r="G37" s="180">
        <f t="shared" si="49"/>
        <v>87508</v>
      </c>
      <c r="H37" s="76" t="s">
        <v>52</v>
      </c>
      <c r="I37" s="185">
        <v>20</v>
      </c>
      <c r="J37" s="18">
        <v>2400</v>
      </c>
      <c r="K37" s="9">
        <f t="shared" si="54"/>
        <v>120</v>
      </c>
      <c r="L37" s="185">
        <v>20</v>
      </c>
      <c r="M37" s="10">
        <f t="shared" si="55"/>
        <v>2202.1978021978011</v>
      </c>
      <c r="N37" s="9">
        <f t="shared" si="56"/>
        <v>110.10989010989006</v>
      </c>
      <c r="O37" s="11">
        <f t="shared" si="50"/>
        <v>0</v>
      </c>
      <c r="P37" s="12">
        <f t="shared" si="51"/>
        <v>-9.8901098901099402</v>
      </c>
      <c r="Q37" s="179">
        <f t="shared" si="52"/>
        <v>0.91758241758241721</v>
      </c>
      <c r="R37" s="533"/>
      <c r="S37" s="24">
        <v>0.20069444444444448</v>
      </c>
      <c r="T37" s="24">
        <v>0.26388888888888895</v>
      </c>
      <c r="U37" s="180">
        <f t="shared" ref="U37:U42" si="58">(S37-T36)*24*60</f>
        <v>6.0000000000000187</v>
      </c>
      <c r="V37" s="186">
        <f t="shared" si="53"/>
        <v>91.000000000000043</v>
      </c>
      <c r="W37" s="180"/>
      <c r="X37" s="180"/>
      <c r="Y37" s="528"/>
      <c r="Z37" s="528"/>
      <c r="AA37" s="11">
        <f t="shared" si="2"/>
        <v>-197.80219780219886</v>
      </c>
      <c r="AB37" s="179">
        <f t="shared" si="57"/>
        <v>0.9175824175824171</v>
      </c>
      <c r="AC37" s="533"/>
    </row>
    <row r="38" spans="1:29">
      <c r="A38" s="551" t="s">
        <v>379</v>
      </c>
      <c r="B38" s="26" t="s">
        <v>24</v>
      </c>
      <c r="C38" s="529" t="s">
        <v>29</v>
      </c>
      <c r="D38" s="529"/>
      <c r="E38" s="26">
        <v>26.39</v>
      </c>
      <c r="F38" s="188">
        <v>3400</v>
      </c>
      <c r="G38" s="180">
        <f t="shared" si="49"/>
        <v>89726</v>
      </c>
      <c r="H38" s="76">
        <v>2</v>
      </c>
      <c r="I38" s="185">
        <v>19</v>
      </c>
      <c r="J38" s="18">
        <v>2400</v>
      </c>
      <c r="K38" s="9">
        <f t="shared" si="54"/>
        <v>126.31578947368421</v>
      </c>
      <c r="L38" s="185">
        <v>19</v>
      </c>
      <c r="M38" s="10">
        <f t="shared" si="55"/>
        <v>2217.391304347826</v>
      </c>
      <c r="N38" s="9">
        <f t="shared" si="56"/>
        <v>116.70480549199084</v>
      </c>
      <c r="O38" s="11">
        <f t="shared" si="50"/>
        <v>0</v>
      </c>
      <c r="P38" s="12">
        <f t="shared" si="51"/>
        <v>-9.6109839816933658</v>
      </c>
      <c r="Q38" s="179">
        <f t="shared" si="52"/>
        <v>0.92391304347826086</v>
      </c>
      <c r="R38" s="533"/>
      <c r="S38" s="24">
        <v>0.26875000000000004</v>
      </c>
      <c r="T38" s="24">
        <v>0.33263888888888893</v>
      </c>
      <c r="U38" s="180">
        <f t="shared" si="58"/>
        <v>6.9999999999999751</v>
      </c>
      <c r="V38" s="186">
        <f t="shared" si="53"/>
        <v>92</v>
      </c>
      <c r="W38" s="14"/>
      <c r="X38" s="14"/>
      <c r="Y38" s="528"/>
      <c r="Z38" s="528"/>
      <c r="AA38" s="11">
        <f t="shared" si="2"/>
        <v>-182.60869565217399</v>
      </c>
      <c r="AB38" s="179">
        <f t="shared" si="57"/>
        <v>0.92391304347826086</v>
      </c>
      <c r="AC38" s="533"/>
    </row>
    <row r="39" spans="1:29">
      <c r="A39" s="551" t="s">
        <v>379</v>
      </c>
      <c r="B39" s="26" t="s">
        <v>24</v>
      </c>
      <c r="C39" s="529" t="s">
        <v>27</v>
      </c>
      <c r="D39" s="529"/>
      <c r="E39" s="26">
        <v>20.52</v>
      </c>
      <c r="F39" s="188">
        <v>3065</v>
      </c>
      <c r="G39" s="180">
        <f t="shared" si="49"/>
        <v>62893.799999999996</v>
      </c>
      <c r="H39" s="76" t="s">
        <v>52</v>
      </c>
      <c r="I39" s="185">
        <v>18</v>
      </c>
      <c r="J39" s="18">
        <v>2400</v>
      </c>
      <c r="K39" s="9">
        <f t="shared" si="54"/>
        <v>133.33333333333334</v>
      </c>
      <c r="L39" s="185">
        <v>18</v>
      </c>
      <c r="M39" s="10">
        <f t="shared" si="55"/>
        <v>2215.662650602409</v>
      </c>
      <c r="N39" s="9">
        <f t="shared" si="56"/>
        <v>123.09236947791162</v>
      </c>
      <c r="O39" s="11">
        <f t="shared" si="50"/>
        <v>0</v>
      </c>
      <c r="P39" s="12">
        <f t="shared" si="51"/>
        <v>-10.240963855421725</v>
      </c>
      <c r="Q39" s="179">
        <f t="shared" si="52"/>
        <v>0.92319277108433706</v>
      </c>
      <c r="R39" s="533"/>
      <c r="S39" s="24">
        <v>0.33611111111111114</v>
      </c>
      <c r="T39" s="24">
        <v>0.39375000000000004</v>
      </c>
      <c r="U39" s="180">
        <f t="shared" si="58"/>
        <v>4.9999999999999822</v>
      </c>
      <c r="V39" s="186">
        <f t="shared" si="53"/>
        <v>83.000000000000028</v>
      </c>
      <c r="W39" s="14"/>
      <c r="X39" s="14"/>
      <c r="Y39" s="528"/>
      <c r="Z39" s="528"/>
      <c r="AA39" s="11">
        <f t="shared" si="2"/>
        <v>-184.33734939759097</v>
      </c>
      <c r="AB39" s="179">
        <f t="shared" si="57"/>
        <v>0.92319277108433706</v>
      </c>
      <c r="AC39" s="533"/>
    </row>
    <row r="40" spans="1:29">
      <c r="A40" s="551" t="s">
        <v>379</v>
      </c>
      <c r="B40" s="26" t="s">
        <v>24</v>
      </c>
      <c r="C40" s="529" t="s">
        <v>50</v>
      </c>
      <c r="D40" s="529"/>
      <c r="E40" s="26">
        <v>26.2</v>
      </c>
      <c r="F40" s="188">
        <v>4533</v>
      </c>
      <c r="G40" s="180">
        <f t="shared" si="49"/>
        <v>118764.59999999999</v>
      </c>
      <c r="H40" s="76" t="s">
        <v>52</v>
      </c>
      <c r="I40" s="185">
        <v>19</v>
      </c>
      <c r="J40" s="18">
        <v>2400</v>
      </c>
      <c r="K40" s="9">
        <f t="shared" si="54"/>
        <v>126.31578947368421</v>
      </c>
      <c r="L40" s="185">
        <v>19</v>
      </c>
      <c r="M40" s="10">
        <f t="shared" si="55"/>
        <v>2211.2195121951227</v>
      </c>
      <c r="N40" s="9">
        <f t="shared" si="56"/>
        <v>116.37997432605908</v>
      </c>
      <c r="O40" s="11">
        <f t="shared" si="50"/>
        <v>0</v>
      </c>
      <c r="P40" s="12">
        <f t="shared" si="51"/>
        <v>-9.9358151476251209</v>
      </c>
      <c r="Q40" s="179">
        <f t="shared" si="52"/>
        <v>0.92134146341463441</v>
      </c>
      <c r="R40" s="533"/>
      <c r="S40" s="24">
        <v>0.3979166666666667</v>
      </c>
      <c r="T40" s="24">
        <v>0.48333333333333334</v>
      </c>
      <c r="U40" s="180">
        <f t="shared" si="58"/>
        <v>5.9999999999999787</v>
      </c>
      <c r="V40" s="186">
        <f t="shared" si="53"/>
        <v>122.99999999999996</v>
      </c>
      <c r="W40" s="14">
        <f>T40</f>
        <v>0.48333333333333334</v>
      </c>
      <c r="X40" s="14">
        <f>S41</f>
        <v>0.52361111111111103</v>
      </c>
      <c r="Y40" s="528"/>
      <c r="Z40" s="528"/>
      <c r="AA40" s="11">
        <f t="shared" si="2"/>
        <v>-188.78048780487734</v>
      </c>
      <c r="AB40" s="179">
        <f t="shared" si="57"/>
        <v>0.92134146341463441</v>
      </c>
      <c r="AC40" s="533"/>
    </row>
    <row r="41" spans="1:29">
      <c r="A41" s="551" t="s">
        <v>379</v>
      </c>
      <c r="B41" s="26" t="s">
        <v>24</v>
      </c>
      <c r="C41" s="529" t="s">
        <v>28</v>
      </c>
      <c r="D41" s="529"/>
      <c r="E41" s="26">
        <v>26.2</v>
      </c>
      <c r="F41" s="188">
        <v>4396</v>
      </c>
      <c r="G41" s="180">
        <f t="shared" si="49"/>
        <v>115175.2</v>
      </c>
      <c r="H41" s="76" t="s">
        <v>52</v>
      </c>
      <c r="I41" s="185">
        <v>18</v>
      </c>
      <c r="J41" s="18">
        <v>2400</v>
      </c>
      <c r="K41" s="9">
        <f t="shared" si="54"/>
        <v>133.33333333333334</v>
      </c>
      <c r="L41" s="185">
        <v>18</v>
      </c>
      <c r="M41" s="10">
        <f t="shared" si="55"/>
        <v>2197.9999999999991</v>
      </c>
      <c r="N41" s="9">
        <f t="shared" si="56"/>
        <v>122.11111111111106</v>
      </c>
      <c r="O41" s="11">
        <f t="shared" si="50"/>
        <v>0</v>
      </c>
      <c r="P41" s="12">
        <f t="shared" si="51"/>
        <v>-11.222222222222285</v>
      </c>
      <c r="Q41" s="179">
        <f t="shared" si="52"/>
        <v>0.91583333333333283</v>
      </c>
      <c r="R41" s="533"/>
      <c r="S41" s="24">
        <v>0.52361111111111103</v>
      </c>
      <c r="T41" s="24">
        <v>0.6069444444444444</v>
      </c>
      <c r="U41" s="180">
        <f t="shared" si="58"/>
        <v>57.999999999999872</v>
      </c>
      <c r="V41" s="186">
        <f t="shared" si="53"/>
        <v>120.00000000000006</v>
      </c>
      <c r="W41" s="14"/>
      <c r="X41" s="14"/>
      <c r="Y41" s="536"/>
      <c r="Z41" s="537"/>
      <c r="AA41" s="11">
        <f t="shared" si="2"/>
        <v>-202.00000000000091</v>
      </c>
      <c r="AB41" s="179">
        <f t="shared" si="57"/>
        <v>0.91583333333333294</v>
      </c>
      <c r="AC41" s="533"/>
    </row>
    <row r="42" spans="1:29">
      <c r="A42" s="551" t="s">
        <v>379</v>
      </c>
      <c r="B42" s="26" t="s">
        <v>24</v>
      </c>
      <c r="C42" s="529" t="s">
        <v>29</v>
      </c>
      <c r="D42" s="529"/>
      <c r="E42" s="26">
        <v>26.39</v>
      </c>
      <c r="F42" s="188">
        <v>2332</v>
      </c>
      <c r="G42" s="180">
        <f t="shared" si="49"/>
        <v>61541.48</v>
      </c>
      <c r="H42" s="76" t="s">
        <v>52</v>
      </c>
      <c r="I42" s="185">
        <v>19</v>
      </c>
      <c r="J42" s="18">
        <v>2400</v>
      </c>
      <c r="K42" s="9">
        <f t="shared" si="54"/>
        <v>126.31578947368421</v>
      </c>
      <c r="L42" s="185">
        <v>19</v>
      </c>
      <c r="M42" s="10">
        <f t="shared" si="55"/>
        <v>2220.9523809523835</v>
      </c>
      <c r="N42" s="9">
        <f t="shared" si="56"/>
        <v>116.89223057644124</v>
      </c>
      <c r="O42" s="11">
        <f t="shared" si="50"/>
        <v>0</v>
      </c>
      <c r="P42" s="12">
        <f t="shared" si="51"/>
        <v>-9.4235588972429696</v>
      </c>
      <c r="Q42" s="179">
        <f t="shared" si="52"/>
        <v>0.92539682539682644</v>
      </c>
      <c r="R42" s="533"/>
      <c r="S42" s="24">
        <v>0.61111111111111105</v>
      </c>
      <c r="T42" s="24">
        <v>0.65486111111111101</v>
      </c>
      <c r="U42" s="180">
        <f t="shared" si="58"/>
        <v>5.9999999999999787</v>
      </c>
      <c r="V42" s="186">
        <f t="shared" si="53"/>
        <v>62.999999999999936</v>
      </c>
      <c r="W42" s="14"/>
      <c r="X42" s="14"/>
      <c r="Y42" s="536"/>
      <c r="Z42" s="537"/>
      <c r="AA42" s="11">
        <f t="shared" si="2"/>
        <v>-179.04761904761654</v>
      </c>
      <c r="AB42" s="179">
        <f t="shared" si="57"/>
        <v>0.92539682539682644</v>
      </c>
      <c r="AC42" s="533"/>
    </row>
    <row r="43" spans="1:29">
      <c r="A43" s="551" t="s">
        <v>379</v>
      </c>
      <c r="B43" s="16" t="s">
        <v>82</v>
      </c>
      <c r="C43" s="530"/>
      <c r="D43" s="530"/>
      <c r="E43" s="183"/>
      <c r="F43" s="16"/>
      <c r="G43" s="9"/>
      <c r="H43" s="188"/>
      <c r="I43" s="17">
        <v>18.875</v>
      </c>
      <c r="J43" s="18">
        <v>2400</v>
      </c>
      <c r="K43" s="9">
        <f t="shared" si="54"/>
        <v>127.1523178807947</v>
      </c>
      <c r="L43" s="17">
        <v>18.875</v>
      </c>
      <c r="M43" s="10">
        <f>AVERAGE(M35:M42)</f>
        <v>2211.2607004318834</v>
      </c>
      <c r="N43" s="9">
        <f>M43/L43</f>
        <v>117.15288479109316</v>
      </c>
      <c r="O43" s="11">
        <f>L43-I43</f>
        <v>0</v>
      </c>
      <c r="P43" s="12">
        <f t="shared" si="51"/>
        <v>-9.9994330897015402</v>
      </c>
      <c r="Q43" s="179">
        <f t="shared" si="52"/>
        <v>0.92135862517995137</v>
      </c>
      <c r="R43" s="533"/>
      <c r="S43" s="24"/>
      <c r="T43" s="24"/>
      <c r="U43" s="9"/>
      <c r="V43" s="186"/>
      <c r="W43" s="9"/>
      <c r="X43" s="9"/>
      <c r="Y43" s="528"/>
      <c r="Z43" s="528"/>
      <c r="AA43" s="11">
        <f t="shared" si="2"/>
        <v>-188.73929956811662</v>
      </c>
      <c r="AB43" s="179">
        <f t="shared" si="57"/>
        <v>0.92135862517995137</v>
      </c>
      <c r="AC43" s="533"/>
    </row>
    <row r="44" spans="1:29" ht="15.75" customHeight="1">
      <c r="A44" s="544" t="s">
        <v>485</v>
      </c>
      <c r="B44" s="26" t="s">
        <v>32</v>
      </c>
      <c r="C44" s="534" t="s">
        <v>33</v>
      </c>
      <c r="D44" s="535"/>
      <c r="E44" s="26">
        <v>27.17</v>
      </c>
      <c r="F44" s="188">
        <v>2800</v>
      </c>
      <c r="G44" s="180">
        <f t="shared" ref="G44:G51" si="59">E44*F44</f>
        <v>76076</v>
      </c>
      <c r="H44" s="76">
        <v>2</v>
      </c>
      <c r="I44" s="185">
        <v>10</v>
      </c>
      <c r="J44" s="18">
        <v>3000</v>
      </c>
      <c r="K44" s="9">
        <f t="shared" si="54"/>
        <v>300</v>
      </c>
      <c r="L44" s="185">
        <v>10</v>
      </c>
      <c r="M44" s="10">
        <f t="shared" ref="M44:M45" si="60">F44/V44*60</f>
        <v>2754.0983606557384</v>
      </c>
      <c r="N44" s="10">
        <f t="shared" ref="N44:N52" si="61">M44/L44</f>
        <v>275.40983606557381</v>
      </c>
      <c r="O44" s="11">
        <f t="shared" ref="O44:O52" si="62">L44-I44</f>
        <v>0</v>
      </c>
      <c r="P44" s="12">
        <f t="shared" si="51"/>
        <v>-24.590163934426187</v>
      </c>
      <c r="Q44" s="179">
        <f t="shared" si="52"/>
        <v>0.91803278688524603</v>
      </c>
      <c r="R44" s="547">
        <f>Q52</f>
        <v>0.92693713142377898</v>
      </c>
      <c r="S44" s="24">
        <v>0.20833333333333334</v>
      </c>
      <c r="T44" s="24">
        <v>0.25069444444444444</v>
      </c>
      <c r="U44" s="15"/>
      <c r="V44" s="186">
        <f t="shared" ref="V44:V51" si="63">(T44-S44)*24*60</f>
        <v>60.999999999999986</v>
      </c>
      <c r="W44" s="180"/>
      <c r="X44" s="180"/>
      <c r="Y44" s="536"/>
      <c r="Z44" s="537"/>
      <c r="AA44" s="11">
        <f t="shared" si="2"/>
        <v>-245.90163934426164</v>
      </c>
      <c r="AB44" s="179">
        <f t="shared" si="57"/>
        <v>0.91803278688524614</v>
      </c>
      <c r="AC44" s="547">
        <f>AB52</f>
        <v>0.92693713142377887</v>
      </c>
    </row>
    <row r="45" spans="1:29" ht="15.75" customHeight="1">
      <c r="A45" s="545" t="s">
        <v>485</v>
      </c>
      <c r="B45" s="26" t="s">
        <v>32</v>
      </c>
      <c r="C45" s="534" t="s">
        <v>34</v>
      </c>
      <c r="D45" s="535"/>
      <c r="E45" s="26">
        <v>21.13</v>
      </c>
      <c r="F45" s="188">
        <v>3200</v>
      </c>
      <c r="G45" s="180">
        <f t="shared" si="59"/>
        <v>67616</v>
      </c>
      <c r="H45" s="76">
        <v>2</v>
      </c>
      <c r="I45" s="185">
        <v>10</v>
      </c>
      <c r="J45" s="18">
        <v>3000</v>
      </c>
      <c r="K45" s="9">
        <f t="shared" si="54"/>
        <v>300</v>
      </c>
      <c r="L45" s="185">
        <v>10</v>
      </c>
      <c r="M45" s="10">
        <f t="shared" si="60"/>
        <v>2782.608695652174</v>
      </c>
      <c r="N45" s="10">
        <f t="shared" si="61"/>
        <v>278.26086956521738</v>
      </c>
      <c r="O45" s="11">
        <f t="shared" si="62"/>
        <v>0</v>
      </c>
      <c r="P45" s="12">
        <f t="shared" si="51"/>
        <v>-21.739130434782624</v>
      </c>
      <c r="Q45" s="179">
        <f t="shared" si="52"/>
        <v>0.92753623188405787</v>
      </c>
      <c r="R45" s="548"/>
      <c r="S45" s="24">
        <v>0.25416666666666665</v>
      </c>
      <c r="T45" s="24">
        <v>0.30208333333333331</v>
      </c>
      <c r="U45" s="180">
        <f>(S45-T44)*24*60</f>
        <v>4.9999999999999822</v>
      </c>
      <c r="V45" s="186">
        <f t="shared" si="63"/>
        <v>69</v>
      </c>
      <c r="W45" s="14"/>
      <c r="X45" s="14"/>
      <c r="Y45" s="536"/>
      <c r="Z45" s="537"/>
      <c r="AA45" s="11">
        <f t="shared" si="2"/>
        <v>-217.39130434782601</v>
      </c>
      <c r="AB45" s="179">
        <f t="shared" si="57"/>
        <v>0.92753623188405798</v>
      </c>
      <c r="AC45" s="548"/>
    </row>
    <row r="46" spans="1:29" ht="15.75" customHeight="1">
      <c r="A46" s="545" t="s">
        <v>485</v>
      </c>
      <c r="B46" s="26" t="s">
        <v>32</v>
      </c>
      <c r="C46" s="534" t="s">
        <v>40</v>
      </c>
      <c r="D46" s="535"/>
      <c r="E46" s="26">
        <v>35.119999999999997</v>
      </c>
      <c r="F46" s="188">
        <v>5058</v>
      </c>
      <c r="G46" s="180">
        <f t="shared" si="59"/>
        <v>177636.96</v>
      </c>
      <c r="H46" s="76" t="s">
        <v>52</v>
      </c>
      <c r="I46" s="185">
        <v>10</v>
      </c>
      <c r="J46" s="18">
        <v>3000</v>
      </c>
      <c r="K46" s="9">
        <f t="shared" si="54"/>
        <v>300</v>
      </c>
      <c r="L46" s="185">
        <v>10</v>
      </c>
      <c r="M46" s="10">
        <f>F46/V46*60</f>
        <v>2758.9090909090905</v>
      </c>
      <c r="N46" s="10">
        <f t="shared" si="61"/>
        <v>275.89090909090908</v>
      </c>
      <c r="O46" s="11">
        <f t="shared" si="62"/>
        <v>0</v>
      </c>
      <c r="P46" s="12">
        <f t="shared" si="51"/>
        <v>-24.109090909090924</v>
      </c>
      <c r="Q46" s="179">
        <f t="shared" si="52"/>
        <v>0.91963636363636359</v>
      </c>
      <c r="R46" s="548"/>
      <c r="S46" s="24">
        <v>0.30624999999999997</v>
      </c>
      <c r="T46" s="24">
        <v>0.38263888888888886</v>
      </c>
      <c r="U46" s="180">
        <f t="shared" ref="U46:U51" si="64">(S46-T45)*24*60</f>
        <v>5.9999999999999787</v>
      </c>
      <c r="V46" s="186">
        <f t="shared" si="63"/>
        <v>110.00000000000001</v>
      </c>
      <c r="W46" s="14"/>
      <c r="X46" s="14"/>
      <c r="Y46" s="536"/>
      <c r="Z46" s="537"/>
      <c r="AA46" s="11">
        <f t="shared" si="2"/>
        <v>-241.09090909090946</v>
      </c>
      <c r="AB46" s="179">
        <f t="shared" si="57"/>
        <v>0.91963636363636347</v>
      </c>
      <c r="AC46" s="548"/>
    </row>
    <row r="47" spans="1:29" ht="15.75" customHeight="1">
      <c r="A47" s="545" t="s">
        <v>485</v>
      </c>
      <c r="B47" s="26" t="s">
        <v>32</v>
      </c>
      <c r="C47" s="534" t="s">
        <v>61</v>
      </c>
      <c r="D47" s="535"/>
      <c r="E47" s="26">
        <v>40.18</v>
      </c>
      <c r="F47" s="188">
        <v>2155</v>
      </c>
      <c r="G47" s="180">
        <f t="shared" si="59"/>
        <v>86587.9</v>
      </c>
      <c r="H47" s="76" t="s">
        <v>52</v>
      </c>
      <c r="I47" s="185">
        <v>10</v>
      </c>
      <c r="J47" s="18">
        <v>3000</v>
      </c>
      <c r="K47" s="9">
        <f t="shared" si="54"/>
        <v>300</v>
      </c>
      <c r="L47" s="185">
        <v>10</v>
      </c>
      <c r="M47" s="10">
        <f t="shared" ref="M47:M51" si="65">F47/V47*60</f>
        <v>2751.0638297872347</v>
      </c>
      <c r="N47" s="10">
        <f t="shared" si="61"/>
        <v>275.10638297872345</v>
      </c>
      <c r="O47" s="11">
        <f t="shared" si="62"/>
        <v>0</v>
      </c>
      <c r="P47" s="12">
        <f t="shared" si="51"/>
        <v>-24.893617021276555</v>
      </c>
      <c r="Q47" s="179">
        <f t="shared" si="52"/>
        <v>0.91702127659574484</v>
      </c>
      <c r="R47" s="548"/>
      <c r="S47" s="24">
        <v>0.3881944444444444</v>
      </c>
      <c r="T47" s="24">
        <v>0.42083333333333328</v>
      </c>
      <c r="U47" s="180">
        <f t="shared" si="64"/>
        <v>7.9999999999999716</v>
      </c>
      <c r="V47" s="186">
        <f t="shared" si="63"/>
        <v>46.999999999999993</v>
      </c>
      <c r="W47" s="14"/>
      <c r="X47" s="14"/>
      <c r="Y47" s="536"/>
      <c r="Z47" s="537"/>
      <c r="AA47" s="11">
        <f t="shared" si="2"/>
        <v>-248.93617021276532</v>
      </c>
      <c r="AB47" s="179">
        <f t="shared" si="57"/>
        <v>0.91702127659574484</v>
      </c>
      <c r="AC47" s="548"/>
    </row>
    <row r="48" spans="1:29" ht="15.75" customHeight="1">
      <c r="A48" s="545" t="s">
        <v>485</v>
      </c>
      <c r="B48" s="26" t="s">
        <v>32</v>
      </c>
      <c r="C48" s="534" t="s">
        <v>64</v>
      </c>
      <c r="D48" s="535"/>
      <c r="E48" s="26">
        <v>28.5</v>
      </c>
      <c r="F48" s="188">
        <v>1272</v>
      </c>
      <c r="G48" s="180">
        <f t="shared" si="59"/>
        <v>36252</v>
      </c>
      <c r="H48" s="76" t="s">
        <v>52</v>
      </c>
      <c r="I48" s="185">
        <v>10</v>
      </c>
      <c r="J48" s="18">
        <v>3000</v>
      </c>
      <c r="K48" s="9">
        <f t="shared" si="54"/>
        <v>300</v>
      </c>
      <c r="L48" s="185">
        <v>10</v>
      </c>
      <c r="M48" s="10">
        <f t="shared" si="65"/>
        <v>2826.6666666666683</v>
      </c>
      <c r="N48" s="10">
        <f t="shared" si="61"/>
        <v>282.66666666666686</v>
      </c>
      <c r="O48" s="11">
        <f t="shared" si="62"/>
        <v>0</v>
      </c>
      <c r="P48" s="12">
        <f t="shared" si="51"/>
        <v>-17.333333333333144</v>
      </c>
      <c r="Q48" s="179">
        <f>N48/K48</f>
        <v>0.94222222222222285</v>
      </c>
      <c r="R48" s="548"/>
      <c r="S48" s="24">
        <v>0.42638888888888882</v>
      </c>
      <c r="T48" s="24">
        <v>0.44513888888888881</v>
      </c>
      <c r="U48" s="180">
        <f t="shared" si="64"/>
        <v>7.9999999999999716</v>
      </c>
      <c r="V48" s="186">
        <f t="shared" si="63"/>
        <v>26.999999999999986</v>
      </c>
      <c r="W48" s="14"/>
      <c r="X48" s="14"/>
      <c r="Y48" s="536"/>
      <c r="Z48" s="537"/>
      <c r="AA48" s="11">
        <f t="shared" si="2"/>
        <v>-173.33333333333167</v>
      </c>
      <c r="AB48" s="179">
        <f t="shared" si="57"/>
        <v>0.94222222222222274</v>
      </c>
      <c r="AC48" s="548"/>
    </row>
    <row r="49" spans="1:29" ht="15.75" customHeight="1">
      <c r="A49" s="545" t="s">
        <v>485</v>
      </c>
      <c r="B49" s="26" t="s">
        <v>32</v>
      </c>
      <c r="C49" s="534" t="s">
        <v>78</v>
      </c>
      <c r="D49" s="535"/>
      <c r="E49" s="26">
        <v>35.869999999999997</v>
      </c>
      <c r="F49" s="188">
        <v>3618</v>
      </c>
      <c r="G49" s="180">
        <f t="shared" si="59"/>
        <v>129777.65999999999</v>
      </c>
      <c r="H49" s="76" t="s">
        <v>52</v>
      </c>
      <c r="I49" s="185">
        <v>10</v>
      </c>
      <c r="J49" s="18">
        <v>3000</v>
      </c>
      <c r="K49" s="9">
        <f t="shared" si="54"/>
        <v>300</v>
      </c>
      <c r="L49" s="185">
        <v>10</v>
      </c>
      <c r="M49" s="10">
        <f t="shared" si="65"/>
        <v>2783.0769230769247</v>
      </c>
      <c r="N49" s="10">
        <f t="shared" si="61"/>
        <v>278.30769230769249</v>
      </c>
      <c r="O49" s="11">
        <f t="shared" si="62"/>
        <v>0</v>
      </c>
      <c r="P49" s="12">
        <f t="shared" si="51"/>
        <v>-21.692307692307509</v>
      </c>
      <c r="Q49" s="179">
        <f t="shared" ref="Q49:Q52" si="66">N49/K49</f>
        <v>0.92769230769230826</v>
      </c>
      <c r="R49" s="548"/>
      <c r="S49" s="24">
        <v>0.45069444444444434</v>
      </c>
      <c r="T49" s="24">
        <v>0.50486111111111098</v>
      </c>
      <c r="U49" s="180">
        <f t="shared" si="64"/>
        <v>7.9999999999999716</v>
      </c>
      <c r="V49" s="186">
        <f t="shared" si="63"/>
        <v>77.999999999999957</v>
      </c>
      <c r="W49" s="14">
        <f>T49</f>
        <v>0.50486111111111098</v>
      </c>
      <c r="X49" s="14">
        <f>S50</f>
        <v>0.54513888888888873</v>
      </c>
      <c r="Y49" s="536"/>
      <c r="Z49" s="537"/>
      <c r="AA49" s="11">
        <f t="shared" si="2"/>
        <v>-216.92307692307531</v>
      </c>
      <c r="AB49" s="179">
        <f t="shared" si="57"/>
        <v>0.92769230769230826</v>
      </c>
      <c r="AC49" s="548"/>
    </row>
    <row r="50" spans="1:29" ht="15.75" customHeight="1">
      <c r="A50" s="545" t="s">
        <v>485</v>
      </c>
      <c r="B50" s="26" t="s">
        <v>32</v>
      </c>
      <c r="C50" s="534" t="s">
        <v>33</v>
      </c>
      <c r="D50" s="535"/>
      <c r="E50" s="26">
        <v>27.17</v>
      </c>
      <c r="F50" s="188">
        <v>3838</v>
      </c>
      <c r="G50" s="180">
        <f t="shared" si="59"/>
        <v>104278.46</v>
      </c>
      <c r="H50" s="76" t="s">
        <v>52</v>
      </c>
      <c r="I50" s="185">
        <v>10</v>
      </c>
      <c r="J50" s="18">
        <v>3000</v>
      </c>
      <c r="K50" s="9">
        <f t="shared" si="54"/>
        <v>300</v>
      </c>
      <c r="L50" s="185">
        <v>10</v>
      </c>
      <c r="M50" s="10">
        <f t="shared" si="65"/>
        <v>2774.4578313253</v>
      </c>
      <c r="N50" s="10">
        <f t="shared" si="61"/>
        <v>277.44578313252998</v>
      </c>
      <c r="O50" s="11">
        <f t="shared" si="62"/>
        <v>0</v>
      </c>
      <c r="P50" s="12">
        <f t="shared" si="51"/>
        <v>-22.554216867470018</v>
      </c>
      <c r="Q50" s="179">
        <f t="shared" si="66"/>
        <v>0.92481927710843326</v>
      </c>
      <c r="R50" s="548"/>
      <c r="S50" s="24">
        <v>0.54513888888888873</v>
      </c>
      <c r="T50" s="24">
        <v>0.60277777777777763</v>
      </c>
      <c r="U50" s="180">
        <f t="shared" si="64"/>
        <v>57.999999999999957</v>
      </c>
      <c r="V50" s="186">
        <f t="shared" si="63"/>
        <v>83.000000000000028</v>
      </c>
      <c r="W50" s="14"/>
      <c r="X50" s="14"/>
      <c r="Y50" s="536"/>
      <c r="Z50" s="537"/>
      <c r="AA50" s="11">
        <f t="shared" si="2"/>
        <v>-225.54216867469995</v>
      </c>
      <c r="AB50" s="179">
        <f t="shared" si="57"/>
        <v>0.92481927710843337</v>
      </c>
      <c r="AC50" s="548"/>
    </row>
    <row r="51" spans="1:29" ht="15.75" customHeight="1">
      <c r="A51" s="545" t="s">
        <v>485</v>
      </c>
      <c r="B51" s="26" t="s">
        <v>32</v>
      </c>
      <c r="C51" s="534" t="s">
        <v>34</v>
      </c>
      <c r="D51" s="535"/>
      <c r="E51" s="26">
        <v>21.13</v>
      </c>
      <c r="F51" s="188">
        <v>1924</v>
      </c>
      <c r="G51" s="180">
        <f t="shared" si="59"/>
        <v>40654.119999999995</v>
      </c>
      <c r="H51" s="76" t="s">
        <v>52</v>
      </c>
      <c r="I51" s="185">
        <v>10</v>
      </c>
      <c r="J51" s="18">
        <v>3000</v>
      </c>
      <c r="K51" s="9">
        <f t="shared" si="54"/>
        <v>300</v>
      </c>
      <c r="L51" s="185">
        <v>10</v>
      </c>
      <c r="M51" s="10">
        <f t="shared" si="65"/>
        <v>2815.60975609756</v>
      </c>
      <c r="N51" s="10">
        <f t="shared" si="61"/>
        <v>281.56097560975599</v>
      </c>
      <c r="O51" s="11">
        <f t="shared" si="62"/>
        <v>0</v>
      </c>
      <c r="P51" s="12">
        <f t="shared" si="51"/>
        <v>-18.439024390244015</v>
      </c>
      <c r="Q51" s="179">
        <f t="shared" si="66"/>
        <v>0.93853658536585327</v>
      </c>
      <c r="R51" s="548"/>
      <c r="S51" s="24">
        <v>0.60763888888888873</v>
      </c>
      <c r="T51" s="24">
        <v>0.63611111111111096</v>
      </c>
      <c r="U51" s="180">
        <f t="shared" si="64"/>
        <v>6.9999999999999751</v>
      </c>
      <c r="V51" s="186">
        <f t="shared" si="63"/>
        <v>41.000000000000014</v>
      </c>
      <c r="W51" s="14"/>
      <c r="X51" s="14"/>
      <c r="Y51" s="536"/>
      <c r="Z51" s="537"/>
      <c r="AA51" s="11">
        <f t="shared" si="2"/>
        <v>-184.39024390244003</v>
      </c>
      <c r="AB51" s="179">
        <f t="shared" si="57"/>
        <v>0.93853658536585327</v>
      </c>
      <c r="AC51" s="548"/>
    </row>
    <row r="52" spans="1:29" ht="15.75" customHeight="1">
      <c r="A52" s="546" t="s">
        <v>681</v>
      </c>
      <c r="B52" s="26" t="s">
        <v>82</v>
      </c>
      <c r="C52" s="540"/>
      <c r="D52" s="541"/>
      <c r="E52" s="184"/>
      <c r="F52" s="188"/>
      <c r="G52" s="180"/>
      <c r="H52" s="188"/>
      <c r="I52" s="17">
        <v>10</v>
      </c>
      <c r="J52" s="18">
        <v>3000</v>
      </c>
      <c r="K52" s="9">
        <f>J52/I52</f>
        <v>300</v>
      </c>
      <c r="L52" s="17">
        <v>10</v>
      </c>
      <c r="M52" s="10">
        <f>AVERAGE(M44:M51)</f>
        <v>2780.8113942713367</v>
      </c>
      <c r="N52" s="9">
        <f t="shared" si="61"/>
        <v>278.08113942713368</v>
      </c>
      <c r="O52" s="11">
        <f t="shared" si="62"/>
        <v>0</v>
      </c>
      <c r="P52" s="12">
        <f t="shared" si="51"/>
        <v>-21.918860572866322</v>
      </c>
      <c r="Q52" s="179">
        <f t="shared" si="66"/>
        <v>0.92693713142377898</v>
      </c>
      <c r="R52" s="549"/>
      <c r="S52" s="24"/>
      <c r="T52" s="24"/>
      <c r="U52" s="180"/>
      <c r="V52" s="186"/>
      <c r="W52" s="14"/>
      <c r="X52" s="14"/>
      <c r="Y52" s="536"/>
      <c r="Z52" s="537"/>
      <c r="AA52" s="11">
        <f t="shared" si="2"/>
        <v>-219.18860572866333</v>
      </c>
      <c r="AB52" s="179">
        <f t="shared" si="57"/>
        <v>0.92693713142377887</v>
      </c>
      <c r="AC52" s="549"/>
    </row>
    <row r="53" spans="1:29" ht="15.75" customHeight="1">
      <c r="A53" s="542" t="s">
        <v>383</v>
      </c>
      <c r="B53" s="26" t="s">
        <v>15</v>
      </c>
      <c r="C53" s="529" t="s">
        <v>20</v>
      </c>
      <c r="D53" s="529"/>
      <c r="E53" s="26">
        <v>46</v>
      </c>
      <c r="F53" s="27">
        <v>3287</v>
      </c>
      <c r="G53" s="180">
        <f t="shared" ref="G53:G57" si="67">E53*F53</f>
        <v>151202</v>
      </c>
      <c r="H53" s="76" t="s">
        <v>52</v>
      </c>
      <c r="I53" s="185">
        <v>17</v>
      </c>
      <c r="J53" s="18">
        <v>2000</v>
      </c>
      <c r="K53" s="9">
        <f t="shared" ref="K53:K57" si="68">J53/I53</f>
        <v>117.64705882352941</v>
      </c>
      <c r="L53" s="185">
        <v>17</v>
      </c>
      <c r="M53" s="10">
        <f t="shared" ref="M53:M57" si="69">F53/V53*60</f>
        <v>1843.1775700934577</v>
      </c>
      <c r="N53" s="10">
        <f>M53/L53</f>
        <v>108.4222100054975</v>
      </c>
      <c r="O53" s="11">
        <f>L53-I53</f>
        <v>0</v>
      </c>
      <c r="P53" s="12">
        <f>N53-K53</f>
        <v>-9.2248488180319015</v>
      </c>
      <c r="Q53" s="179">
        <f>N53/K53</f>
        <v>0.92158878504672881</v>
      </c>
      <c r="R53" s="533">
        <f>Q58</f>
        <v>0.92233560843880502</v>
      </c>
      <c r="S53" s="24">
        <v>0.29166666666666669</v>
      </c>
      <c r="T53" s="24">
        <v>0.36597222222222225</v>
      </c>
      <c r="U53" s="15"/>
      <c r="V53" s="186">
        <f t="shared" ref="V53:V57" si="70">(T53-S53)*24*60</f>
        <v>107.00000000000001</v>
      </c>
      <c r="W53" s="15"/>
      <c r="X53" s="15"/>
      <c r="Y53" s="528"/>
      <c r="Z53" s="528"/>
      <c r="AA53" s="11">
        <f t="shared" si="2"/>
        <v>-156.82242990654231</v>
      </c>
      <c r="AB53" s="179">
        <f t="shared" si="57"/>
        <v>0.92158878504672881</v>
      </c>
      <c r="AC53" s="533">
        <f>AB58</f>
        <v>0.92233560843880502</v>
      </c>
    </row>
    <row r="54" spans="1:29" ht="15.75" customHeight="1">
      <c r="A54" s="542" t="s">
        <v>383</v>
      </c>
      <c r="B54" s="26" t="s">
        <v>15</v>
      </c>
      <c r="C54" s="529" t="s">
        <v>65</v>
      </c>
      <c r="D54" s="529"/>
      <c r="E54" s="26">
        <v>46</v>
      </c>
      <c r="F54" s="27">
        <v>3607</v>
      </c>
      <c r="G54" s="180">
        <f t="shared" si="67"/>
        <v>165922</v>
      </c>
      <c r="H54" s="76" t="s">
        <v>52</v>
      </c>
      <c r="I54" s="185">
        <v>18</v>
      </c>
      <c r="J54" s="18">
        <v>2000</v>
      </c>
      <c r="K54" s="9">
        <f t="shared" si="68"/>
        <v>111.11111111111111</v>
      </c>
      <c r="L54" s="185">
        <v>18</v>
      </c>
      <c r="M54" s="10">
        <f t="shared" si="69"/>
        <v>1834.0677966101698</v>
      </c>
      <c r="N54" s="10">
        <f t="shared" ref="N54:N57" si="71">M54/L54</f>
        <v>101.89265536723165</v>
      </c>
      <c r="O54" s="11">
        <f t="shared" ref="O54:O57" si="72">L54-I54</f>
        <v>0</v>
      </c>
      <c r="P54" s="12">
        <f t="shared" ref="P54:P57" si="73">N54-K54</f>
        <v>-9.2184557438794599</v>
      </c>
      <c r="Q54" s="179">
        <f t="shared" ref="Q54:Q57" si="74">N54/K54</f>
        <v>0.91703389830508486</v>
      </c>
      <c r="R54" s="533"/>
      <c r="S54" s="24">
        <v>0.37013888888888891</v>
      </c>
      <c r="T54" s="24">
        <v>0.45208333333333334</v>
      </c>
      <c r="U54" s="180">
        <f>IF(S54=TIME(17,0,0),"",(S54-T53)*24*60)</f>
        <v>5.9999999999999787</v>
      </c>
      <c r="V54" s="186">
        <f t="shared" si="70"/>
        <v>117.99999999999999</v>
      </c>
      <c r="W54" s="14"/>
      <c r="X54" s="14"/>
      <c r="Y54" s="528"/>
      <c r="Z54" s="528"/>
      <c r="AA54" s="11">
        <f t="shared" si="2"/>
        <v>-165.93220338983019</v>
      </c>
      <c r="AB54" s="179">
        <f t="shared" si="57"/>
        <v>0.91703389830508486</v>
      </c>
      <c r="AC54" s="533"/>
    </row>
    <row r="55" spans="1:29" ht="15.75" customHeight="1">
      <c r="A55" s="542" t="s">
        <v>383</v>
      </c>
      <c r="B55" s="26" t="s">
        <v>13</v>
      </c>
      <c r="C55" s="534" t="s">
        <v>59</v>
      </c>
      <c r="D55" s="535"/>
      <c r="E55" s="26">
        <v>55.56</v>
      </c>
      <c r="F55" s="27">
        <v>2141</v>
      </c>
      <c r="G55" s="180">
        <f t="shared" si="67"/>
        <v>118953.96</v>
      </c>
      <c r="H55" s="76" t="s">
        <v>52</v>
      </c>
      <c r="I55" s="185">
        <v>17</v>
      </c>
      <c r="J55" s="18">
        <v>2000</v>
      </c>
      <c r="K55" s="9">
        <f t="shared" si="68"/>
        <v>117.64705882352941</v>
      </c>
      <c r="L55" s="185">
        <v>17</v>
      </c>
      <c r="M55" s="10">
        <f t="shared" si="69"/>
        <v>1835.1428571428553</v>
      </c>
      <c r="N55" s="10">
        <f t="shared" si="71"/>
        <v>107.94957983193267</v>
      </c>
      <c r="O55" s="11">
        <f t="shared" si="72"/>
        <v>0</v>
      </c>
      <c r="P55" s="12">
        <f t="shared" si="73"/>
        <v>-9.6974789915967392</v>
      </c>
      <c r="Q55" s="179">
        <f t="shared" si="74"/>
        <v>0.91757142857142771</v>
      </c>
      <c r="R55" s="533"/>
      <c r="S55" s="24">
        <v>0.70833333333333337</v>
      </c>
      <c r="T55" s="24">
        <v>0.75694444444444453</v>
      </c>
      <c r="U55" s="180" t="str">
        <f t="shared" ref="U55:U57" si="75">IF(S55=TIME(17,0,0),"",(S55-T54)*24*60)</f>
        <v/>
      </c>
      <c r="V55" s="186">
        <f t="shared" si="70"/>
        <v>70.000000000000071</v>
      </c>
      <c r="W55" s="14"/>
      <c r="X55" s="14"/>
      <c r="Y55" s="177"/>
      <c r="Z55" s="178"/>
      <c r="AA55" s="11">
        <f t="shared" si="2"/>
        <v>-164.85714285714471</v>
      </c>
      <c r="AB55" s="179">
        <f t="shared" si="57"/>
        <v>0.91757142857142759</v>
      </c>
      <c r="AC55" s="533"/>
    </row>
    <row r="56" spans="1:29" ht="15.75" customHeight="1">
      <c r="A56" s="542" t="s">
        <v>383</v>
      </c>
      <c r="B56" s="26" t="s">
        <v>13</v>
      </c>
      <c r="C56" s="181" t="s">
        <v>58</v>
      </c>
      <c r="D56" s="182"/>
      <c r="E56" s="26">
        <v>55.32</v>
      </c>
      <c r="F56" s="27">
        <v>1639</v>
      </c>
      <c r="G56" s="180">
        <f t="shared" si="67"/>
        <v>90669.48</v>
      </c>
      <c r="H56" s="76" t="s">
        <v>52</v>
      </c>
      <c r="I56" s="185">
        <v>15</v>
      </c>
      <c r="J56" s="18">
        <v>2000</v>
      </c>
      <c r="K56" s="9">
        <f t="shared" si="68"/>
        <v>133.33333333333334</v>
      </c>
      <c r="L56" s="185">
        <v>15</v>
      </c>
      <c r="M56" s="10">
        <f t="shared" si="69"/>
        <v>1855.4716981132085</v>
      </c>
      <c r="N56" s="10">
        <f t="shared" si="71"/>
        <v>123.69811320754724</v>
      </c>
      <c r="O56" s="11">
        <f t="shared" si="72"/>
        <v>0</v>
      </c>
      <c r="P56" s="12">
        <f t="shared" si="73"/>
        <v>-9.6352201257861054</v>
      </c>
      <c r="Q56" s="179">
        <f t="shared" si="74"/>
        <v>0.92773584905660422</v>
      </c>
      <c r="R56" s="533"/>
      <c r="S56" s="24">
        <v>0.76111111111111118</v>
      </c>
      <c r="T56" s="24">
        <v>0.79791666666666672</v>
      </c>
      <c r="U56" s="180">
        <f t="shared" si="75"/>
        <v>5.9999999999999787</v>
      </c>
      <c r="V56" s="186">
        <f t="shared" si="70"/>
        <v>52.999999999999972</v>
      </c>
      <c r="W56" s="14"/>
      <c r="X56" s="14"/>
      <c r="Y56" s="177"/>
      <c r="Z56" s="178"/>
      <c r="AA56" s="11">
        <f t="shared" si="2"/>
        <v>-144.5283018867915</v>
      </c>
      <c r="AB56" s="179">
        <f t="shared" si="57"/>
        <v>0.92773584905660422</v>
      </c>
      <c r="AC56" s="533"/>
    </row>
    <row r="57" spans="1:29" ht="15.75" customHeight="1">
      <c r="A57" s="542" t="s">
        <v>682</v>
      </c>
      <c r="B57" s="26" t="s">
        <v>13</v>
      </c>
      <c r="C57" s="181" t="s">
        <v>60</v>
      </c>
      <c r="D57" s="182"/>
      <c r="E57" s="26">
        <v>57.73</v>
      </c>
      <c r="F57" s="27">
        <v>1557</v>
      </c>
      <c r="G57" s="180">
        <f t="shared" si="67"/>
        <v>89885.61</v>
      </c>
      <c r="H57" s="76" t="s">
        <v>52</v>
      </c>
      <c r="I57" s="185">
        <v>16</v>
      </c>
      <c r="J57" s="18">
        <v>1500</v>
      </c>
      <c r="K57" s="9">
        <f t="shared" si="68"/>
        <v>93.75</v>
      </c>
      <c r="L57" s="185">
        <v>16</v>
      </c>
      <c r="M57" s="10">
        <f t="shared" si="69"/>
        <v>1394.3283582089571</v>
      </c>
      <c r="N57" s="10">
        <f t="shared" si="71"/>
        <v>87.145522388059817</v>
      </c>
      <c r="O57" s="11">
        <f t="shared" si="72"/>
        <v>0</v>
      </c>
      <c r="P57" s="12">
        <f t="shared" si="73"/>
        <v>-6.6044776119401831</v>
      </c>
      <c r="Q57" s="179">
        <f t="shared" si="74"/>
        <v>0.92955223880597138</v>
      </c>
      <c r="R57" s="533"/>
      <c r="S57" s="24">
        <v>0.80138888888888893</v>
      </c>
      <c r="T57" s="24">
        <v>0.84791666666666665</v>
      </c>
      <c r="U57" s="180">
        <f t="shared" si="75"/>
        <v>4.9999999999999822</v>
      </c>
      <c r="V57" s="186">
        <f t="shared" si="70"/>
        <v>66.999999999999915</v>
      </c>
      <c r="W57" s="14"/>
      <c r="X57" s="14"/>
      <c r="Y57" s="177"/>
      <c r="Z57" s="178"/>
      <c r="AA57" s="11">
        <f t="shared" si="2"/>
        <v>-105.67164179104293</v>
      </c>
      <c r="AB57" s="179">
        <f t="shared" si="57"/>
        <v>0.92955223880597138</v>
      </c>
      <c r="AC57" s="533"/>
    </row>
    <row r="58" spans="1:29">
      <c r="A58" s="543" t="s">
        <v>383</v>
      </c>
      <c r="B58" s="26" t="s">
        <v>82</v>
      </c>
      <c r="C58" s="530"/>
      <c r="D58" s="530"/>
      <c r="E58" s="183"/>
      <c r="F58" s="16"/>
      <c r="G58" s="9"/>
      <c r="H58" s="188"/>
      <c r="I58" s="17">
        <v>16.600000000000001</v>
      </c>
      <c r="J58" s="18">
        <v>1900</v>
      </c>
      <c r="K58" s="9">
        <f>J58/I58</f>
        <v>114.4578313253012</v>
      </c>
      <c r="L58" s="17">
        <v>16.600000000000001</v>
      </c>
      <c r="M58" s="10">
        <f>AVERAGE(M53:M57)</f>
        <v>1752.4376560337296</v>
      </c>
      <c r="N58" s="9">
        <f>M58/L58</f>
        <v>105.5685334960078</v>
      </c>
      <c r="O58" s="11">
        <f>L58-I58</f>
        <v>0</v>
      </c>
      <c r="P58" s="12">
        <f>N58-K58</f>
        <v>-8.8892978292933975</v>
      </c>
      <c r="Q58" s="179">
        <f>N58/K58</f>
        <v>0.92233560843880502</v>
      </c>
      <c r="R58" s="533"/>
      <c r="S58" s="25"/>
      <c r="T58" s="24"/>
      <c r="U58" s="9"/>
      <c r="V58" s="186"/>
      <c r="W58" s="9"/>
      <c r="X58" s="9"/>
      <c r="Y58" s="528"/>
      <c r="Z58" s="528"/>
      <c r="AA58" s="11">
        <f t="shared" si="2"/>
        <v>-147.56234396627042</v>
      </c>
      <c r="AB58" s="179">
        <f t="shared" si="57"/>
        <v>0.92233560843880502</v>
      </c>
      <c r="AC58" s="533"/>
    </row>
    <row r="59" spans="1:29" ht="15.75" customHeight="1">
      <c r="A59" s="538" t="s">
        <v>385</v>
      </c>
      <c r="B59" s="188" t="s">
        <v>32</v>
      </c>
      <c r="C59" s="529" t="s">
        <v>35</v>
      </c>
      <c r="D59" s="529"/>
      <c r="E59" s="26">
        <v>26.78</v>
      </c>
      <c r="F59" s="27">
        <v>2556</v>
      </c>
      <c r="G59" s="180">
        <f t="shared" ref="G59:G64" si="76">E59*F59</f>
        <v>68449.680000000008</v>
      </c>
      <c r="H59" s="76" t="s">
        <v>52</v>
      </c>
      <c r="I59" s="185">
        <v>10</v>
      </c>
      <c r="J59" s="18">
        <v>3000</v>
      </c>
      <c r="K59" s="9">
        <f t="shared" ref="K59:K64" si="77">J59/I59</f>
        <v>300</v>
      </c>
      <c r="L59" s="17">
        <v>10</v>
      </c>
      <c r="M59" s="10">
        <f t="shared" ref="M59:M64" si="78">F59/V59*60</f>
        <v>2788.363636363636</v>
      </c>
      <c r="N59" s="9">
        <f>M59/L59</f>
        <v>278.83636363636361</v>
      </c>
      <c r="O59" s="11">
        <f t="shared" ref="O59:O64" si="79">L59-I59</f>
        <v>0</v>
      </c>
      <c r="P59" s="12">
        <f t="shared" ref="P59:P64" si="80">N59-K59</f>
        <v>-21.163636363636385</v>
      </c>
      <c r="Q59" s="179">
        <f>N59/K59</f>
        <v>0.92945454545454542</v>
      </c>
      <c r="R59" s="533">
        <f>Q65</f>
        <v>0.92644594587333318</v>
      </c>
      <c r="S59" s="24">
        <v>0.20833333333333334</v>
      </c>
      <c r="T59" s="24">
        <v>0.24652777777777779</v>
      </c>
      <c r="U59" s="180"/>
      <c r="V59" s="186">
        <f t="shared" ref="V59:V64" si="81">(T59-S59)*24*60</f>
        <v>55.000000000000007</v>
      </c>
      <c r="W59" s="15"/>
      <c r="X59" s="15"/>
      <c r="Y59" s="528"/>
      <c r="Z59" s="528"/>
      <c r="AA59" s="11">
        <f t="shared" si="2"/>
        <v>-211.63636363636397</v>
      </c>
      <c r="AB59" s="179">
        <f t="shared" si="57"/>
        <v>0.92945454545454531</v>
      </c>
      <c r="AC59" s="533">
        <f>AB65</f>
        <v>0.92644594587333318</v>
      </c>
    </row>
    <row r="60" spans="1:29" ht="15.75" customHeight="1">
      <c r="A60" s="538" t="s">
        <v>385</v>
      </c>
      <c r="B60" s="188" t="s">
        <v>32</v>
      </c>
      <c r="C60" s="529" t="s">
        <v>39</v>
      </c>
      <c r="D60" s="529"/>
      <c r="E60" s="26">
        <v>35.369999999999997</v>
      </c>
      <c r="F60" s="27">
        <v>1578</v>
      </c>
      <c r="G60" s="180">
        <f t="shared" si="76"/>
        <v>55813.859999999993</v>
      </c>
      <c r="H60" s="76" t="s">
        <v>52</v>
      </c>
      <c r="I60" s="185">
        <v>10</v>
      </c>
      <c r="J60" s="18">
        <v>3000</v>
      </c>
      <c r="K60" s="9">
        <f t="shared" si="77"/>
        <v>300</v>
      </c>
      <c r="L60" s="17">
        <v>10</v>
      </c>
      <c r="M60" s="10">
        <f t="shared" si="78"/>
        <v>2784.7058823529378</v>
      </c>
      <c r="N60" s="9">
        <f t="shared" ref="N60:N64" si="82">M60/L60</f>
        <v>278.4705882352938</v>
      </c>
      <c r="O60" s="11">
        <f t="shared" si="79"/>
        <v>0</v>
      </c>
      <c r="P60" s="12">
        <f t="shared" si="80"/>
        <v>-21.529411764706197</v>
      </c>
      <c r="Q60" s="179">
        <f t="shared" ref="Q60:Q64" si="83">N60/K60</f>
        <v>0.92823529411764605</v>
      </c>
      <c r="R60" s="533"/>
      <c r="S60" s="24">
        <v>0.25208333333333333</v>
      </c>
      <c r="T60" s="24">
        <v>0.27569444444444446</v>
      </c>
      <c r="U60" s="180">
        <f>(S60-T59)*24*60</f>
        <v>7.9999999999999716</v>
      </c>
      <c r="V60" s="186">
        <f t="shared" si="81"/>
        <v>34.000000000000043</v>
      </c>
      <c r="W60" s="180"/>
      <c r="X60" s="180"/>
      <c r="Y60" s="528"/>
      <c r="Z60" s="528"/>
      <c r="AA60" s="11">
        <f t="shared" si="2"/>
        <v>-215.29411764706219</v>
      </c>
      <c r="AB60" s="179">
        <f t="shared" si="57"/>
        <v>0.92823529411764594</v>
      </c>
      <c r="AC60" s="533"/>
    </row>
    <row r="61" spans="1:29" ht="15.75" customHeight="1">
      <c r="A61" s="538" t="s">
        <v>385</v>
      </c>
      <c r="B61" s="188" t="s">
        <v>32</v>
      </c>
      <c r="C61" s="529" t="s">
        <v>38</v>
      </c>
      <c r="D61" s="529"/>
      <c r="E61" s="26">
        <v>34.35</v>
      </c>
      <c r="F61" s="27">
        <v>1403</v>
      </c>
      <c r="G61" s="180">
        <f t="shared" si="76"/>
        <v>48193.05</v>
      </c>
      <c r="H61" s="76" t="s">
        <v>52</v>
      </c>
      <c r="I61" s="185">
        <v>10</v>
      </c>
      <c r="J61" s="18">
        <v>3000</v>
      </c>
      <c r="K61" s="9">
        <f t="shared" si="77"/>
        <v>300</v>
      </c>
      <c r="L61" s="17">
        <v>10</v>
      </c>
      <c r="M61" s="10">
        <f t="shared" si="78"/>
        <v>2806.0000000000027</v>
      </c>
      <c r="N61" s="9">
        <f t="shared" si="82"/>
        <v>280.60000000000025</v>
      </c>
      <c r="O61" s="11">
        <f t="shared" si="79"/>
        <v>0</v>
      </c>
      <c r="P61" s="12">
        <f t="shared" si="80"/>
        <v>-19.39999999999975</v>
      </c>
      <c r="Q61" s="179">
        <f t="shared" si="83"/>
        <v>0.93533333333333413</v>
      </c>
      <c r="R61" s="533"/>
      <c r="S61" s="24">
        <v>0.28055555555555556</v>
      </c>
      <c r="T61" s="24">
        <v>0.30138888888888887</v>
      </c>
      <c r="U61" s="180">
        <f t="shared" ref="U61:U64" si="84">(S61-T60)*24*60</f>
        <v>6.9999999999999751</v>
      </c>
      <c r="V61" s="186">
        <f t="shared" si="81"/>
        <v>29.999999999999972</v>
      </c>
      <c r="W61" s="180"/>
      <c r="X61" s="180"/>
      <c r="Y61" s="528"/>
      <c r="Z61" s="528"/>
      <c r="AA61" s="11">
        <f t="shared" si="2"/>
        <v>-193.99999999999727</v>
      </c>
      <c r="AB61" s="179">
        <f t="shared" si="57"/>
        <v>0.93533333333333424</v>
      </c>
      <c r="AC61" s="533"/>
    </row>
    <row r="62" spans="1:29" ht="15.75" customHeight="1">
      <c r="A62" s="538" t="s">
        <v>683</v>
      </c>
      <c r="B62" s="188" t="s">
        <v>15</v>
      </c>
      <c r="C62" s="529" t="s">
        <v>36</v>
      </c>
      <c r="D62" s="529"/>
      <c r="E62" s="26">
        <v>26.97</v>
      </c>
      <c r="F62" s="27">
        <v>3383</v>
      </c>
      <c r="G62" s="180">
        <f t="shared" si="76"/>
        <v>91239.51</v>
      </c>
      <c r="H62" s="76" t="s">
        <v>52</v>
      </c>
      <c r="I62" s="185">
        <v>8</v>
      </c>
      <c r="J62" s="18">
        <v>1500</v>
      </c>
      <c r="K62" s="9">
        <f t="shared" si="77"/>
        <v>187.5</v>
      </c>
      <c r="L62" s="17">
        <v>8</v>
      </c>
      <c r="M62" s="10">
        <f t="shared" si="78"/>
        <v>1380.8163265306121</v>
      </c>
      <c r="N62" s="9">
        <f t="shared" si="82"/>
        <v>172.60204081632651</v>
      </c>
      <c r="O62" s="11">
        <f t="shared" si="79"/>
        <v>0</v>
      </c>
      <c r="P62" s="12">
        <f t="shared" si="80"/>
        <v>-14.897959183673493</v>
      </c>
      <c r="Q62" s="179">
        <f t="shared" si="83"/>
        <v>0.92054421768707473</v>
      </c>
      <c r="R62" s="533"/>
      <c r="S62" s="24">
        <v>0.30555555555555552</v>
      </c>
      <c r="T62" s="24">
        <v>0.40763888888888888</v>
      </c>
      <c r="U62" s="180">
        <f t="shared" si="84"/>
        <v>5.9999999999999787</v>
      </c>
      <c r="V62" s="186">
        <f t="shared" si="81"/>
        <v>147.00000000000003</v>
      </c>
      <c r="W62" s="180"/>
      <c r="X62" s="180"/>
      <c r="Y62" s="528"/>
      <c r="Z62" s="528"/>
      <c r="AA62" s="11">
        <f t="shared" si="2"/>
        <v>-119.18367346938794</v>
      </c>
      <c r="AB62" s="179">
        <f t="shared" si="57"/>
        <v>0.92054421768707473</v>
      </c>
      <c r="AC62" s="533"/>
    </row>
    <row r="63" spans="1:29">
      <c r="A63" s="539" t="s">
        <v>385</v>
      </c>
      <c r="B63" s="188" t="s">
        <v>32</v>
      </c>
      <c r="C63" s="529" t="s">
        <v>37</v>
      </c>
      <c r="D63" s="529"/>
      <c r="E63" s="26">
        <v>35.119999999999997</v>
      </c>
      <c r="F63" s="27">
        <v>1233</v>
      </c>
      <c r="G63" s="180">
        <f t="shared" si="76"/>
        <v>43302.96</v>
      </c>
      <c r="H63" s="76" t="s">
        <v>52</v>
      </c>
      <c r="I63" s="185">
        <v>13</v>
      </c>
      <c r="J63" s="18">
        <v>2000</v>
      </c>
      <c r="K63" s="9">
        <f t="shared" si="77"/>
        <v>153.84615384615384</v>
      </c>
      <c r="L63" s="17">
        <v>13</v>
      </c>
      <c r="M63" s="10">
        <f t="shared" si="78"/>
        <v>1849.4999999999993</v>
      </c>
      <c r="N63" s="9">
        <f t="shared" si="82"/>
        <v>142.26923076923072</v>
      </c>
      <c r="O63" s="11">
        <f t="shared" si="79"/>
        <v>0</v>
      </c>
      <c r="P63" s="12">
        <f t="shared" si="80"/>
        <v>-11.576923076923123</v>
      </c>
      <c r="Q63" s="179">
        <f t="shared" si="83"/>
        <v>0.92474999999999974</v>
      </c>
      <c r="R63" s="533"/>
      <c r="S63" s="24">
        <v>0.41111111111111109</v>
      </c>
      <c r="T63" s="24">
        <v>0.43888888888888888</v>
      </c>
      <c r="U63" s="180">
        <f t="shared" si="84"/>
        <v>4.9999999999999822</v>
      </c>
      <c r="V63" s="186">
        <f t="shared" si="81"/>
        <v>40.000000000000014</v>
      </c>
      <c r="W63" s="14"/>
      <c r="X63" s="14"/>
      <c r="Y63" s="528"/>
      <c r="Z63" s="528"/>
      <c r="AA63" s="11">
        <f t="shared" si="2"/>
        <v>-150.50000000000068</v>
      </c>
      <c r="AB63" s="179">
        <f t="shared" si="57"/>
        <v>0.92474999999999963</v>
      </c>
      <c r="AC63" s="533"/>
    </row>
    <row r="64" spans="1:29" ht="15" customHeight="1">
      <c r="A64" s="539" t="s">
        <v>385</v>
      </c>
      <c r="B64" s="188" t="s">
        <v>32</v>
      </c>
      <c r="C64" s="534" t="s">
        <v>84</v>
      </c>
      <c r="D64" s="535"/>
      <c r="E64" s="26">
        <v>35.869999999999997</v>
      </c>
      <c r="F64" s="27">
        <v>3484</v>
      </c>
      <c r="G64" s="180">
        <f t="shared" si="76"/>
        <v>124971.07999999999</v>
      </c>
      <c r="H64" s="76" t="s">
        <v>52</v>
      </c>
      <c r="I64" s="185">
        <v>10</v>
      </c>
      <c r="J64" s="18">
        <v>3000</v>
      </c>
      <c r="K64" s="9">
        <f t="shared" si="77"/>
        <v>300</v>
      </c>
      <c r="L64" s="17">
        <v>10</v>
      </c>
      <c r="M64" s="10">
        <f t="shared" si="78"/>
        <v>2750.5263157894747</v>
      </c>
      <c r="N64" s="9">
        <f t="shared" si="82"/>
        <v>275.05263157894746</v>
      </c>
      <c r="O64" s="11">
        <f t="shared" si="79"/>
        <v>0</v>
      </c>
      <c r="P64" s="12">
        <f t="shared" si="80"/>
        <v>-24.947368421052545</v>
      </c>
      <c r="Q64" s="179">
        <f t="shared" si="83"/>
        <v>0.91684210526315824</v>
      </c>
      <c r="R64" s="533"/>
      <c r="S64" s="24">
        <v>0.44374999999999998</v>
      </c>
      <c r="T64" s="24">
        <v>0.49652777777777773</v>
      </c>
      <c r="U64" s="180">
        <f t="shared" si="84"/>
        <v>6.9999999999999751</v>
      </c>
      <c r="V64" s="186">
        <f t="shared" si="81"/>
        <v>75.999999999999972</v>
      </c>
      <c r="W64" s="180"/>
      <c r="X64" s="180"/>
      <c r="Y64" s="536"/>
      <c r="Z64" s="537"/>
      <c r="AA64" s="11">
        <f t="shared" si="2"/>
        <v>-249.47368421052533</v>
      </c>
      <c r="AB64" s="179">
        <f t="shared" si="57"/>
        <v>0.91684210526315824</v>
      </c>
      <c r="AC64" s="533"/>
    </row>
    <row r="65" spans="1:29">
      <c r="A65" s="539" t="s">
        <v>385</v>
      </c>
      <c r="B65" s="26" t="s">
        <v>82</v>
      </c>
      <c r="C65" s="530"/>
      <c r="D65" s="530"/>
      <c r="E65" s="183"/>
      <c r="F65" s="16"/>
      <c r="G65" s="9"/>
      <c r="H65" s="188"/>
      <c r="I65" s="17">
        <v>10.166666666666666</v>
      </c>
      <c r="J65" s="18">
        <v>2583.3333333333335</v>
      </c>
      <c r="K65" s="9">
        <f>J65/I65</f>
        <v>254.09836065573774</v>
      </c>
      <c r="L65" s="17">
        <v>10.166666666666666</v>
      </c>
      <c r="M65" s="10">
        <f>AVERAGE(M59:M64)</f>
        <v>2393.3186935061108</v>
      </c>
      <c r="N65" s="9">
        <f>M65/L65</f>
        <v>235.40839608256829</v>
      </c>
      <c r="O65" s="11">
        <f>L65-I65</f>
        <v>0</v>
      </c>
      <c r="P65" s="12">
        <f>N65-K65</f>
        <v>-18.689964573169448</v>
      </c>
      <c r="Q65" s="179">
        <f>N65/K65</f>
        <v>0.92644594587333318</v>
      </c>
      <c r="R65" s="533"/>
      <c r="S65" s="24"/>
      <c r="T65" s="24"/>
      <c r="U65" s="9"/>
      <c r="V65" s="186"/>
      <c r="W65" s="9"/>
      <c r="X65" s="9"/>
      <c r="Y65" s="528"/>
      <c r="Z65" s="528"/>
      <c r="AA65" s="11">
        <f t="shared" si="2"/>
        <v>-190.01463982722271</v>
      </c>
      <c r="AB65" s="179">
        <f t="shared" si="57"/>
        <v>0.92644594587333318</v>
      </c>
      <c r="AC65" s="533"/>
    </row>
    <row r="66" spans="1:29" ht="15.75" customHeight="1">
      <c r="A66" s="531" t="s">
        <v>387</v>
      </c>
      <c r="B66" s="188" t="s">
        <v>24</v>
      </c>
      <c r="C66" s="529" t="s">
        <v>67</v>
      </c>
      <c r="D66" s="529"/>
      <c r="E66" s="26">
        <v>32.03</v>
      </c>
      <c r="F66" s="188">
        <v>1138</v>
      </c>
      <c r="G66" s="180">
        <f t="shared" ref="G66:G73" si="85">E66*F66</f>
        <v>36450.14</v>
      </c>
      <c r="H66" s="76" t="s">
        <v>52</v>
      </c>
      <c r="I66" s="185">
        <v>19</v>
      </c>
      <c r="J66" s="18">
        <v>2400</v>
      </c>
      <c r="K66" s="9">
        <f t="shared" ref="K66:K68" si="86">J66/I66</f>
        <v>126.31578947368421</v>
      </c>
      <c r="L66" s="17">
        <v>19</v>
      </c>
      <c r="M66" s="10">
        <f>F66/V66*60</f>
        <v>2202.5806451612893</v>
      </c>
      <c r="N66" s="9">
        <f t="shared" ref="N66:N73" si="87">M66/L66</f>
        <v>115.92529711375207</v>
      </c>
      <c r="O66" s="11">
        <f t="shared" ref="O66:O73" si="88">L66-I66</f>
        <v>0</v>
      </c>
      <c r="P66" s="12">
        <f t="shared" ref="P66:P73" si="89">N66-K66</f>
        <v>-10.390492359932139</v>
      </c>
      <c r="Q66" s="179">
        <f>N66/K66</f>
        <v>0.91774193548387051</v>
      </c>
      <c r="R66" s="533">
        <f>Q74</f>
        <v>0.91884030677630546</v>
      </c>
      <c r="S66" s="24">
        <v>8.3333333333333329E-2</v>
      </c>
      <c r="T66" s="24">
        <v>0.10486111111111111</v>
      </c>
      <c r="U66" s="15"/>
      <c r="V66" s="186">
        <f t="shared" ref="V66:V73" si="90">(T66-S66)*24*60</f>
        <v>31.000000000000011</v>
      </c>
      <c r="W66" s="14">
        <f>T66</f>
        <v>0.10486111111111111</v>
      </c>
      <c r="X66" s="14">
        <f>S67</f>
        <v>0.12222222222222223</v>
      </c>
      <c r="Y66" s="528"/>
      <c r="Z66" s="528"/>
      <c r="AA66" s="11">
        <f t="shared" si="2"/>
        <v>-197.41935483871066</v>
      </c>
      <c r="AB66" s="179">
        <f>M66/J66</f>
        <v>0.91774193548387051</v>
      </c>
      <c r="AC66" s="533">
        <f>AB74</f>
        <v>0.91884030677630546</v>
      </c>
    </row>
    <row r="67" spans="1:29" ht="15.75" customHeight="1">
      <c r="A67" s="531" t="s">
        <v>387</v>
      </c>
      <c r="B67" s="188" t="s">
        <v>24</v>
      </c>
      <c r="C67" s="529" t="s">
        <v>51</v>
      </c>
      <c r="D67" s="529"/>
      <c r="E67" s="26">
        <v>20.2</v>
      </c>
      <c r="F67" s="188">
        <v>2867</v>
      </c>
      <c r="G67" s="180">
        <f t="shared" si="85"/>
        <v>57913.4</v>
      </c>
      <c r="H67" s="76" t="s">
        <v>52</v>
      </c>
      <c r="I67" s="185">
        <v>19</v>
      </c>
      <c r="J67" s="18">
        <v>2400</v>
      </c>
      <c r="K67" s="9">
        <f t="shared" si="86"/>
        <v>126.31578947368421</v>
      </c>
      <c r="L67" s="17">
        <v>19</v>
      </c>
      <c r="M67" s="10">
        <f t="shared" ref="M67:M73" si="91">F67/V67*60</f>
        <v>2205.3846153846152</v>
      </c>
      <c r="N67" s="9">
        <f t="shared" si="87"/>
        <v>116.07287449392712</v>
      </c>
      <c r="O67" s="11">
        <f t="shared" si="88"/>
        <v>0</v>
      </c>
      <c r="P67" s="12">
        <f t="shared" si="89"/>
        <v>-10.242914979757089</v>
      </c>
      <c r="Q67" s="179">
        <f t="shared" ref="Q67:Q74" si="92">N67/K67</f>
        <v>0.91891025641025637</v>
      </c>
      <c r="R67" s="533"/>
      <c r="S67" s="24">
        <v>0.12222222222222223</v>
      </c>
      <c r="T67" s="24">
        <v>0.1763888888888889</v>
      </c>
      <c r="U67" s="180">
        <f>(S67-T66)*24*60</f>
        <v>25.000000000000011</v>
      </c>
      <c r="V67" s="186">
        <f t="shared" si="90"/>
        <v>78</v>
      </c>
      <c r="W67" s="14"/>
      <c r="X67" s="14"/>
      <c r="Y67" s="528"/>
      <c r="Z67" s="528"/>
      <c r="AA67" s="11">
        <f t="shared" si="2"/>
        <v>-194.61538461538476</v>
      </c>
      <c r="AB67" s="179">
        <f t="shared" ref="AB67:AB74" si="93">M67/J67</f>
        <v>0.91891025641025637</v>
      </c>
      <c r="AC67" s="533"/>
    </row>
    <row r="68" spans="1:29" ht="15.75" customHeight="1">
      <c r="A68" s="531" t="s">
        <v>387</v>
      </c>
      <c r="B68" s="188" t="s">
        <v>24</v>
      </c>
      <c r="C68" s="529" t="s">
        <v>41</v>
      </c>
      <c r="D68" s="529"/>
      <c r="E68" s="26">
        <v>19.02</v>
      </c>
      <c r="F68" s="188">
        <v>4500</v>
      </c>
      <c r="G68" s="180">
        <f t="shared" si="85"/>
        <v>85590</v>
      </c>
      <c r="H68" s="76">
        <v>2</v>
      </c>
      <c r="I68" s="185">
        <v>15</v>
      </c>
      <c r="J68" s="18">
        <v>2400</v>
      </c>
      <c r="K68" s="9">
        <f t="shared" si="86"/>
        <v>160</v>
      </c>
      <c r="L68" s="17">
        <v>15</v>
      </c>
      <c r="M68" s="10">
        <f t="shared" si="91"/>
        <v>2213.1147540983607</v>
      </c>
      <c r="N68" s="9">
        <f t="shared" si="87"/>
        <v>147.54098360655738</v>
      </c>
      <c r="O68" s="11">
        <f t="shared" si="88"/>
        <v>0</v>
      </c>
      <c r="P68" s="12">
        <f t="shared" si="89"/>
        <v>-12.459016393442624</v>
      </c>
      <c r="Q68" s="179">
        <f t="shared" si="92"/>
        <v>0.92213114754098358</v>
      </c>
      <c r="R68" s="533"/>
      <c r="S68" s="24">
        <v>0.17986111111111111</v>
      </c>
      <c r="T68" s="24">
        <v>0.26458333333333334</v>
      </c>
      <c r="U68" s="180">
        <f t="shared" ref="U68:U73" si="94">(S68-T67)*24*60</f>
        <v>4.9999999999999822</v>
      </c>
      <c r="V68" s="186">
        <f t="shared" si="90"/>
        <v>122</v>
      </c>
      <c r="W68" s="14"/>
      <c r="X68" s="14"/>
      <c r="Y68" s="528"/>
      <c r="Z68" s="528"/>
      <c r="AA68" s="11">
        <f t="shared" si="2"/>
        <v>-186.88524590163934</v>
      </c>
      <c r="AB68" s="179">
        <f t="shared" si="93"/>
        <v>0.92213114754098358</v>
      </c>
      <c r="AC68" s="533"/>
    </row>
    <row r="69" spans="1:29" ht="15.75" customHeight="1">
      <c r="A69" s="531" t="s">
        <v>387</v>
      </c>
      <c r="B69" s="188" t="s">
        <v>24</v>
      </c>
      <c r="C69" s="529" t="s">
        <v>42</v>
      </c>
      <c r="D69" s="529"/>
      <c r="E69" s="26">
        <v>25</v>
      </c>
      <c r="F69" s="188">
        <v>4366</v>
      </c>
      <c r="G69" s="180">
        <f t="shared" si="85"/>
        <v>109150</v>
      </c>
      <c r="H69" s="76" t="s">
        <v>52</v>
      </c>
      <c r="I69" s="185">
        <v>15</v>
      </c>
      <c r="J69" s="18">
        <v>2400</v>
      </c>
      <c r="K69" s="9">
        <f>J69/I69</f>
        <v>160</v>
      </c>
      <c r="L69" s="17">
        <v>15</v>
      </c>
      <c r="M69" s="10">
        <f t="shared" si="91"/>
        <v>2201.3445378151268</v>
      </c>
      <c r="N69" s="9">
        <f t="shared" si="87"/>
        <v>146.75630252100845</v>
      </c>
      <c r="O69" s="11">
        <f t="shared" si="88"/>
        <v>0</v>
      </c>
      <c r="P69" s="12">
        <f t="shared" si="89"/>
        <v>-13.24369747899155</v>
      </c>
      <c r="Q69" s="179">
        <f t="shared" si="92"/>
        <v>0.91722689075630282</v>
      </c>
      <c r="R69" s="533"/>
      <c r="S69" s="24">
        <v>0.26805555555555555</v>
      </c>
      <c r="T69" s="24">
        <v>0.35069444444444442</v>
      </c>
      <c r="U69" s="180">
        <f t="shared" si="94"/>
        <v>4.9999999999999822</v>
      </c>
      <c r="V69" s="186">
        <f t="shared" si="90"/>
        <v>118.99999999999997</v>
      </c>
      <c r="W69" s="14"/>
      <c r="X69" s="14"/>
      <c r="Y69" s="528"/>
      <c r="Z69" s="528"/>
      <c r="AA69" s="11">
        <f t="shared" ref="AA69:AA74" si="95">M69-J69</f>
        <v>-198.65546218487316</v>
      </c>
      <c r="AB69" s="179">
        <f t="shared" si="93"/>
        <v>0.91722689075630282</v>
      </c>
      <c r="AC69" s="533"/>
    </row>
    <row r="70" spans="1:29" ht="15.75" customHeight="1">
      <c r="A70" s="531" t="s">
        <v>387</v>
      </c>
      <c r="B70" s="188" t="s">
        <v>24</v>
      </c>
      <c r="C70" s="529" t="s">
        <v>77</v>
      </c>
      <c r="D70" s="529"/>
      <c r="E70" s="26">
        <v>28.51</v>
      </c>
      <c r="F70" s="188">
        <v>4523</v>
      </c>
      <c r="G70" s="180">
        <f t="shared" si="85"/>
        <v>128950.73000000001</v>
      </c>
      <c r="H70" s="76" t="s">
        <v>52</v>
      </c>
      <c r="I70" s="185">
        <v>19</v>
      </c>
      <c r="J70" s="18">
        <v>2400</v>
      </c>
      <c r="K70" s="9">
        <f t="shared" ref="K70:K74" si="96">J70/I70</f>
        <v>126.31578947368421</v>
      </c>
      <c r="L70" s="17">
        <v>19</v>
      </c>
      <c r="M70" s="10">
        <f t="shared" si="91"/>
        <v>2206.3414634146352</v>
      </c>
      <c r="N70" s="9">
        <f t="shared" si="87"/>
        <v>116.12323491655975</v>
      </c>
      <c r="O70" s="11">
        <f t="shared" si="88"/>
        <v>0</v>
      </c>
      <c r="P70" s="12">
        <f t="shared" si="89"/>
        <v>-10.192554557124453</v>
      </c>
      <c r="Q70" s="179">
        <f t="shared" si="92"/>
        <v>0.91930894308943145</v>
      </c>
      <c r="R70" s="533"/>
      <c r="S70" s="24">
        <v>0.35416666666666663</v>
      </c>
      <c r="T70" s="24">
        <v>0.43958333333333327</v>
      </c>
      <c r="U70" s="180">
        <f t="shared" si="94"/>
        <v>4.9999999999999822</v>
      </c>
      <c r="V70" s="186">
        <f t="shared" si="90"/>
        <v>122.99999999999996</v>
      </c>
      <c r="W70" s="14"/>
      <c r="X70" s="14"/>
      <c r="Y70" s="528"/>
      <c r="Z70" s="528"/>
      <c r="AA70" s="11">
        <f t="shared" si="95"/>
        <v>-193.6585365853648</v>
      </c>
      <c r="AB70" s="179">
        <f t="shared" si="93"/>
        <v>0.91930894308943134</v>
      </c>
      <c r="AC70" s="533"/>
    </row>
    <row r="71" spans="1:29" ht="15.75" customHeight="1">
      <c r="A71" s="531" t="s">
        <v>387</v>
      </c>
      <c r="B71" s="188" t="s">
        <v>24</v>
      </c>
      <c r="C71" s="529" t="s">
        <v>25</v>
      </c>
      <c r="D71" s="529"/>
      <c r="E71" s="26">
        <v>20.52</v>
      </c>
      <c r="F71" s="188">
        <v>2800</v>
      </c>
      <c r="G71" s="180">
        <f t="shared" si="85"/>
        <v>57456</v>
      </c>
      <c r="H71" s="76">
        <v>2</v>
      </c>
      <c r="I71" s="185">
        <v>18</v>
      </c>
      <c r="J71" s="18">
        <v>2400</v>
      </c>
      <c r="K71" s="9">
        <f t="shared" si="96"/>
        <v>133.33333333333334</v>
      </c>
      <c r="L71" s="17">
        <v>18</v>
      </c>
      <c r="M71" s="10">
        <f t="shared" si="91"/>
        <v>2210.5263157894747</v>
      </c>
      <c r="N71" s="9">
        <f t="shared" si="87"/>
        <v>122.8070175438597</v>
      </c>
      <c r="O71" s="11">
        <f t="shared" si="88"/>
        <v>0</v>
      </c>
      <c r="P71" s="12">
        <f t="shared" si="89"/>
        <v>-10.526315789473642</v>
      </c>
      <c r="Q71" s="179">
        <f t="shared" si="92"/>
        <v>0.92105263157894768</v>
      </c>
      <c r="R71" s="533"/>
      <c r="S71" s="24">
        <v>0.44444444444444436</v>
      </c>
      <c r="T71" s="24">
        <v>0.49722222222222212</v>
      </c>
      <c r="U71" s="180">
        <f t="shared" si="94"/>
        <v>6.9999999999999751</v>
      </c>
      <c r="V71" s="186">
        <f t="shared" si="90"/>
        <v>75.999999999999972</v>
      </c>
      <c r="W71" s="14">
        <f>T71</f>
        <v>0.49722222222222212</v>
      </c>
      <c r="X71" s="14">
        <f>S72</f>
        <v>0.53958333333333319</v>
      </c>
      <c r="Y71" s="528"/>
      <c r="Z71" s="528"/>
      <c r="AA71" s="11">
        <f t="shared" si="95"/>
        <v>-189.47368421052533</v>
      </c>
      <c r="AB71" s="179">
        <f t="shared" si="93"/>
        <v>0.92105263157894779</v>
      </c>
      <c r="AC71" s="533"/>
    </row>
    <row r="72" spans="1:29" ht="15.75" customHeight="1">
      <c r="A72" s="531" t="s">
        <v>387</v>
      </c>
      <c r="B72" s="188" t="s">
        <v>24</v>
      </c>
      <c r="C72" s="534" t="s">
        <v>41</v>
      </c>
      <c r="D72" s="535"/>
      <c r="E72" s="26">
        <v>19.02</v>
      </c>
      <c r="F72" s="188">
        <v>7692</v>
      </c>
      <c r="G72" s="180">
        <f t="shared" si="85"/>
        <v>146301.84</v>
      </c>
      <c r="H72" s="76" t="s">
        <v>52</v>
      </c>
      <c r="I72" s="185">
        <v>15</v>
      </c>
      <c r="J72" s="18">
        <v>2400</v>
      </c>
      <c r="K72" s="9">
        <f t="shared" si="96"/>
        <v>160</v>
      </c>
      <c r="L72" s="17">
        <v>15</v>
      </c>
      <c r="M72" s="10">
        <f t="shared" si="91"/>
        <v>2197.7142857142853</v>
      </c>
      <c r="N72" s="9">
        <f t="shared" si="87"/>
        <v>146.51428571428568</v>
      </c>
      <c r="O72" s="11">
        <f t="shared" si="88"/>
        <v>0</v>
      </c>
      <c r="P72" s="12">
        <f t="shared" si="89"/>
        <v>-13.485714285714323</v>
      </c>
      <c r="Q72" s="179">
        <f t="shared" si="92"/>
        <v>0.91571428571428548</v>
      </c>
      <c r="R72" s="533"/>
      <c r="S72" s="24">
        <v>0.53958333333333319</v>
      </c>
      <c r="T72" s="24">
        <v>0.68541666666666656</v>
      </c>
      <c r="U72" s="180">
        <f t="shared" si="94"/>
        <v>60.999999999999943</v>
      </c>
      <c r="V72" s="186">
        <f t="shared" si="90"/>
        <v>210.00000000000006</v>
      </c>
      <c r="W72" s="14"/>
      <c r="X72" s="14"/>
      <c r="Y72" s="536"/>
      <c r="Z72" s="537"/>
      <c r="AA72" s="11">
        <f t="shared" si="95"/>
        <v>-202.28571428571468</v>
      </c>
      <c r="AB72" s="179">
        <f t="shared" si="93"/>
        <v>0.91571428571428559</v>
      </c>
      <c r="AC72" s="533"/>
    </row>
    <row r="73" spans="1:29" ht="15.75" customHeight="1">
      <c r="A73" s="531" t="s">
        <v>387</v>
      </c>
      <c r="B73" s="188" t="s">
        <v>24</v>
      </c>
      <c r="C73" s="534" t="s">
        <v>25</v>
      </c>
      <c r="D73" s="535"/>
      <c r="E73" s="26">
        <v>20.52</v>
      </c>
      <c r="F73" s="188">
        <v>2021</v>
      </c>
      <c r="G73" s="180">
        <f t="shared" si="85"/>
        <v>41470.92</v>
      </c>
      <c r="H73" s="76" t="s">
        <v>52</v>
      </c>
      <c r="I73" s="185">
        <v>18</v>
      </c>
      <c r="J73" s="18">
        <v>2400</v>
      </c>
      <c r="K73" s="9">
        <f t="shared" si="96"/>
        <v>133.33333333333334</v>
      </c>
      <c r="L73" s="17">
        <v>18</v>
      </c>
      <c r="M73" s="10">
        <f t="shared" si="91"/>
        <v>2204.7272727272743</v>
      </c>
      <c r="N73" s="9">
        <f t="shared" si="87"/>
        <v>122.48484848484857</v>
      </c>
      <c r="O73" s="11">
        <f t="shared" si="88"/>
        <v>0</v>
      </c>
      <c r="P73" s="12">
        <f t="shared" si="89"/>
        <v>-10.848484848484773</v>
      </c>
      <c r="Q73" s="179">
        <f t="shared" si="92"/>
        <v>0.91863636363636425</v>
      </c>
      <c r="R73" s="533"/>
      <c r="S73" s="24">
        <v>0.69027777777777766</v>
      </c>
      <c r="T73" s="24">
        <v>0.72847222222222208</v>
      </c>
      <c r="U73" s="180">
        <f t="shared" si="94"/>
        <v>6.9999999999999751</v>
      </c>
      <c r="V73" s="186">
        <f t="shared" si="90"/>
        <v>54.999999999999964</v>
      </c>
      <c r="W73" s="14"/>
      <c r="X73" s="14"/>
      <c r="Y73" s="536"/>
      <c r="Z73" s="537"/>
      <c r="AA73" s="11">
        <f t="shared" si="95"/>
        <v>-195.27272727272566</v>
      </c>
      <c r="AB73" s="179">
        <f t="shared" si="93"/>
        <v>0.91863636363636436</v>
      </c>
      <c r="AC73" s="533"/>
    </row>
    <row r="74" spans="1:29" ht="16.5" customHeight="1">
      <c r="A74" s="532" t="s">
        <v>684</v>
      </c>
      <c r="B74" s="26" t="s">
        <v>82</v>
      </c>
      <c r="C74" s="530"/>
      <c r="D74" s="530"/>
      <c r="E74" s="183"/>
      <c r="F74" s="16"/>
      <c r="G74" s="9"/>
      <c r="H74" s="188"/>
      <c r="I74" s="17">
        <v>17.25</v>
      </c>
      <c r="J74" s="18">
        <v>2400</v>
      </c>
      <c r="K74" s="9">
        <f t="shared" si="96"/>
        <v>139.13043478260869</v>
      </c>
      <c r="L74" s="17">
        <v>17.25</v>
      </c>
      <c r="M74" s="10">
        <f>AVERAGE(M66:M73)</f>
        <v>2205.216736263133</v>
      </c>
      <c r="N74" s="9">
        <f>M74/L74</f>
        <v>127.83865137757293</v>
      </c>
      <c r="O74" s="11">
        <f>L74-I74</f>
        <v>0</v>
      </c>
      <c r="P74" s="12">
        <f>N74-K74</f>
        <v>-11.291783405035758</v>
      </c>
      <c r="Q74" s="179">
        <f t="shared" si="92"/>
        <v>0.91884030677630546</v>
      </c>
      <c r="R74" s="533"/>
      <c r="S74" s="24"/>
      <c r="T74" s="24"/>
      <c r="U74" s="9"/>
      <c r="V74" s="186"/>
      <c r="W74" s="9"/>
      <c r="X74" s="9"/>
      <c r="Y74" s="528"/>
      <c r="Z74" s="528"/>
      <c r="AA74" s="11">
        <f t="shared" si="95"/>
        <v>-194.78326373686696</v>
      </c>
      <c r="AB74" s="179">
        <f t="shared" si="93"/>
        <v>0.91884030677630546</v>
      </c>
      <c r="AC74" s="533"/>
    </row>
    <row r="75" spans="1:29">
      <c r="D75" s="19"/>
      <c r="E75" s="19"/>
    </row>
  </sheetData>
  <mergeCells count="196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3"/>
    <mergeCell ref="C9:D9"/>
    <mergeCell ref="R9:R13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AC14:AC18"/>
    <mergeCell ref="C15:D15"/>
    <mergeCell ref="Y15:Z15"/>
    <mergeCell ref="C16:D16"/>
    <mergeCell ref="Y16:Z16"/>
    <mergeCell ref="C17:D17"/>
    <mergeCell ref="AC9:AC13"/>
    <mergeCell ref="C10:D10"/>
    <mergeCell ref="Y10:Z10"/>
    <mergeCell ref="C11:D11"/>
    <mergeCell ref="Y11:Z11"/>
    <mergeCell ref="C12:D12"/>
    <mergeCell ref="Y12:Z12"/>
    <mergeCell ref="C13:D13"/>
    <mergeCell ref="Y13:Z13"/>
    <mergeCell ref="Y17:Z17"/>
    <mergeCell ref="C18:D18"/>
    <mergeCell ref="Y18:Z18"/>
    <mergeCell ref="A19:A27"/>
    <mergeCell ref="C19:D19"/>
    <mergeCell ref="R19:R27"/>
    <mergeCell ref="Y19:Z19"/>
    <mergeCell ref="Y24:Z24"/>
    <mergeCell ref="C25:D25"/>
    <mergeCell ref="Y25:Z25"/>
    <mergeCell ref="A14:A18"/>
    <mergeCell ref="C14:D14"/>
    <mergeCell ref="R14:R18"/>
    <mergeCell ref="Y14:Z14"/>
    <mergeCell ref="AC19:AC27"/>
    <mergeCell ref="C20:D20"/>
    <mergeCell ref="Y20:Z20"/>
    <mergeCell ref="C21:D21"/>
    <mergeCell ref="Y21:Z21"/>
    <mergeCell ref="C22:D22"/>
    <mergeCell ref="Y22:Z22"/>
    <mergeCell ref="C23:D23"/>
    <mergeCell ref="Y23:Z23"/>
    <mergeCell ref="C24:D24"/>
    <mergeCell ref="C26:D26"/>
    <mergeCell ref="Y26:Z26"/>
    <mergeCell ref="C27:D27"/>
    <mergeCell ref="Y27:Z27"/>
    <mergeCell ref="AC28:AC34"/>
    <mergeCell ref="C29:D29"/>
    <mergeCell ref="Y29:Z29"/>
    <mergeCell ref="C30:D30"/>
    <mergeCell ref="Y30:Z30"/>
    <mergeCell ref="C31:D31"/>
    <mergeCell ref="Y31:Z31"/>
    <mergeCell ref="C32:D32"/>
    <mergeCell ref="Y32:Z32"/>
    <mergeCell ref="C33:D33"/>
    <mergeCell ref="Y34:Z34"/>
    <mergeCell ref="A35:A43"/>
    <mergeCell ref="C35:D35"/>
    <mergeCell ref="R35:R43"/>
    <mergeCell ref="Y35:Z35"/>
    <mergeCell ref="C36:D36"/>
    <mergeCell ref="Y36:Z36"/>
    <mergeCell ref="C37:D37"/>
    <mergeCell ref="Y37:Z37"/>
    <mergeCell ref="A28:A34"/>
    <mergeCell ref="C28:D28"/>
    <mergeCell ref="R28:R34"/>
    <mergeCell ref="Y28:Z28"/>
    <mergeCell ref="Y33:Z33"/>
    <mergeCell ref="C34:D34"/>
    <mergeCell ref="AC44:AC52"/>
    <mergeCell ref="C45:D45"/>
    <mergeCell ref="Y45:Z45"/>
    <mergeCell ref="C46:D46"/>
    <mergeCell ref="Y46:Z46"/>
    <mergeCell ref="C47:D47"/>
    <mergeCell ref="C41:D41"/>
    <mergeCell ref="Y41:Z41"/>
    <mergeCell ref="C42:D42"/>
    <mergeCell ref="Y42:Z42"/>
    <mergeCell ref="C43:D43"/>
    <mergeCell ref="Y43:Z43"/>
    <mergeCell ref="AC35:AC43"/>
    <mergeCell ref="C51:D51"/>
    <mergeCell ref="Y51:Z51"/>
    <mergeCell ref="C52:D52"/>
    <mergeCell ref="Y52:Z52"/>
    <mergeCell ref="C38:D38"/>
    <mergeCell ref="Y38:Z38"/>
    <mergeCell ref="C39:D39"/>
    <mergeCell ref="Y39:Z39"/>
    <mergeCell ref="C40:D40"/>
    <mergeCell ref="Y40:Z40"/>
    <mergeCell ref="A53:A58"/>
    <mergeCell ref="C53:D53"/>
    <mergeCell ref="R53:R58"/>
    <mergeCell ref="Y53:Z53"/>
    <mergeCell ref="Y47:Z47"/>
    <mergeCell ref="C48:D48"/>
    <mergeCell ref="Y48:Z48"/>
    <mergeCell ref="C49:D49"/>
    <mergeCell ref="Y49:Z49"/>
    <mergeCell ref="C50:D50"/>
    <mergeCell ref="Y50:Z50"/>
    <mergeCell ref="A44:A52"/>
    <mergeCell ref="C44:D44"/>
    <mergeCell ref="R44:R52"/>
    <mergeCell ref="Y44:Z44"/>
    <mergeCell ref="Y72:Z72"/>
    <mergeCell ref="AC59:AC65"/>
    <mergeCell ref="C60:D60"/>
    <mergeCell ref="Y60:Z60"/>
    <mergeCell ref="C61:D61"/>
    <mergeCell ref="Y61:Z61"/>
    <mergeCell ref="C62:D62"/>
    <mergeCell ref="AC53:AC58"/>
    <mergeCell ref="C54:D54"/>
    <mergeCell ref="Y54:Z54"/>
    <mergeCell ref="C55:D55"/>
    <mergeCell ref="C58:D58"/>
    <mergeCell ref="Y58:Z58"/>
    <mergeCell ref="Y62:Z62"/>
    <mergeCell ref="C63:D63"/>
    <mergeCell ref="Y63:Z63"/>
    <mergeCell ref="C64:D64"/>
    <mergeCell ref="Y64:Z64"/>
    <mergeCell ref="C65:D65"/>
    <mergeCell ref="Y65:Z65"/>
    <mergeCell ref="A59:A65"/>
    <mergeCell ref="C59:D59"/>
    <mergeCell ref="R59:R65"/>
    <mergeCell ref="Y59:Z59"/>
    <mergeCell ref="A66:A74"/>
    <mergeCell ref="C66:D66"/>
    <mergeCell ref="R66:R74"/>
    <mergeCell ref="Y66:Z66"/>
    <mergeCell ref="AC66:AC74"/>
    <mergeCell ref="C67:D67"/>
    <mergeCell ref="Y67:Z67"/>
    <mergeCell ref="C68:D68"/>
    <mergeCell ref="Y68:Z68"/>
    <mergeCell ref="C69:D69"/>
    <mergeCell ref="C73:D73"/>
    <mergeCell ref="Y73:Z73"/>
    <mergeCell ref="C74:D74"/>
    <mergeCell ref="Y74:Z74"/>
    <mergeCell ref="Y69:Z69"/>
    <mergeCell ref="C70:D70"/>
    <mergeCell ref="Y70:Z70"/>
    <mergeCell ref="C71:D71"/>
    <mergeCell ref="Y71:Z71"/>
    <mergeCell ref="C72:D72"/>
  </mergeCells>
  <phoneticPr fontId="3" type="noConversion"/>
  <conditionalFormatting sqref="O62:O71 O74 O5:O9 O13:O15 O52:O59 O18:O49">
    <cfRule type="cellIs" dxfId="666" priority="56" operator="greaterThan">
      <formula>0</formula>
    </cfRule>
  </conditionalFormatting>
  <conditionalFormatting sqref="P5:P7 P62:P64 AA62:AA64 P66:P71 P28:P33 P59 P9 P13:P15 P19:P26 P53:P57 P35:P49 AA5:AA59 AA66:AA74">
    <cfRule type="cellIs" dxfId="665" priority="60" operator="lessThan">
      <formula>0</formula>
    </cfRule>
  </conditionalFormatting>
  <conditionalFormatting sqref="AB62:AB64 Q62:Q71 Q74 Q5:Q9 Q13:Q15 Q52:Q59 Q18:Q49 AB5:AB59 AB66:AB74">
    <cfRule type="cellIs" dxfId="664" priority="57" operator="greaterThan">
      <formula>1</formula>
    </cfRule>
    <cfRule type="cellIs" dxfId="663" priority="58" operator="lessThan">
      <formula>0.8</formula>
    </cfRule>
  </conditionalFormatting>
  <conditionalFormatting sqref="AC14:AC15 R14:R15 AC62 R62:R71 R18:R24 AC18:AC24 R74 AC5:AC9 R5:R9 R27:R49 AC27:AC49 AC52:AC59 R52:R59">
    <cfRule type="cellIs" dxfId="662" priority="62" operator="lessThan">
      <formula>0.8</formula>
    </cfRule>
  </conditionalFormatting>
  <conditionalFormatting sqref="AC44">
    <cfRule type="cellIs" dxfId="661" priority="64" operator="lessThan">
      <formula>0.8</formula>
    </cfRule>
  </conditionalFormatting>
  <conditionalFormatting sqref="AC19:AC24">
    <cfRule type="cellIs" dxfId="660" priority="61" operator="lessThan">
      <formula>0.8</formula>
    </cfRule>
  </conditionalFormatting>
  <conditionalFormatting sqref="AC28">
    <cfRule type="cellIs" dxfId="659" priority="63" operator="lessThan">
      <formula>0.8</formula>
    </cfRule>
  </conditionalFormatting>
  <conditionalFormatting sqref="AC35:AC42">
    <cfRule type="cellIs" dxfId="658" priority="59" operator="lessThan">
      <formula>0.8</formula>
    </cfRule>
  </conditionalFormatting>
  <conditionalFormatting sqref="AA65">
    <cfRule type="cellIs" dxfId="657" priority="55" operator="lessThan">
      <formula>0</formula>
    </cfRule>
  </conditionalFormatting>
  <conditionalFormatting sqref="AB65">
    <cfRule type="cellIs" dxfId="656" priority="53" operator="greaterThan">
      <formula>1</formula>
    </cfRule>
    <cfRule type="cellIs" dxfId="655" priority="54" operator="lessThan">
      <formula>0.8</formula>
    </cfRule>
  </conditionalFormatting>
  <conditionalFormatting sqref="O16:O17">
    <cfRule type="cellIs" dxfId="654" priority="48" operator="greaterThan">
      <formula>0</formula>
    </cfRule>
  </conditionalFormatting>
  <conditionalFormatting sqref="P16:P17">
    <cfRule type="cellIs" dxfId="653" priority="51" operator="lessThan">
      <formula>0</formula>
    </cfRule>
  </conditionalFormatting>
  <conditionalFormatting sqref="Q16:Q17">
    <cfRule type="cellIs" dxfId="652" priority="49" operator="greaterThan">
      <formula>1</formula>
    </cfRule>
    <cfRule type="cellIs" dxfId="651" priority="50" operator="lessThan">
      <formula>0.8</formula>
    </cfRule>
  </conditionalFormatting>
  <conditionalFormatting sqref="R16:R17 AC16:AC17">
    <cfRule type="cellIs" dxfId="650" priority="52" operator="lessThan">
      <formula>0.8</formula>
    </cfRule>
  </conditionalFormatting>
  <conditionalFormatting sqref="O10:O12">
    <cfRule type="cellIs" dxfId="649" priority="44" operator="greaterThan">
      <formula>0</formula>
    </cfRule>
  </conditionalFormatting>
  <conditionalFormatting sqref="P10:P12">
    <cfRule type="cellIs" dxfId="648" priority="47" operator="lessThan">
      <formula>0</formula>
    </cfRule>
  </conditionalFormatting>
  <conditionalFormatting sqref="Q10:Q12">
    <cfRule type="cellIs" dxfId="647" priority="45" operator="greaterThan">
      <formula>1</formula>
    </cfRule>
    <cfRule type="cellIs" dxfId="646" priority="46" operator="lessThan">
      <formula>0.8</formula>
    </cfRule>
  </conditionalFormatting>
  <conditionalFormatting sqref="AC26 R26">
    <cfRule type="cellIs" dxfId="645" priority="43" operator="lessThan">
      <formula>0.8</formula>
    </cfRule>
  </conditionalFormatting>
  <conditionalFormatting sqref="O61">
    <cfRule type="cellIs" dxfId="644" priority="38" operator="greaterThan">
      <formula>0</formula>
    </cfRule>
  </conditionalFormatting>
  <conditionalFormatting sqref="P61 AA61">
    <cfRule type="cellIs" dxfId="643" priority="41" operator="lessThan">
      <formula>0</formula>
    </cfRule>
  </conditionalFormatting>
  <conditionalFormatting sqref="Q61 AB61">
    <cfRule type="cellIs" dxfId="642" priority="39" operator="greaterThan">
      <formula>1</formula>
    </cfRule>
    <cfRule type="cellIs" dxfId="641" priority="40" operator="lessThan">
      <formula>0.8</formula>
    </cfRule>
  </conditionalFormatting>
  <conditionalFormatting sqref="R61 AC61">
    <cfRule type="cellIs" dxfId="640" priority="42" operator="lessThan">
      <formula>0.8</formula>
    </cfRule>
  </conditionalFormatting>
  <conditionalFormatting sqref="O72">
    <cfRule type="cellIs" dxfId="639" priority="33" operator="greaterThan">
      <formula>0</formula>
    </cfRule>
  </conditionalFormatting>
  <conditionalFormatting sqref="P72">
    <cfRule type="cellIs" dxfId="638" priority="36" operator="lessThan">
      <formula>0</formula>
    </cfRule>
  </conditionalFormatting>
  <conditionalFormatting sqref="Q72">
    <cfRule type="cellIs" dxfId="637" priority="34" operator="greaterThan">
      <formula>1</formula>
    </cfRule>
    <cfRule type="cellIs" dxfId="636" priority="35" operator="lessThan">
      <formula>0.8</formula>
    </cfRule>
  </conditionalFormatting>
  <conditionalFormatting sqref="R72">
    <cfRule type="cellIs" dxfId="635" priority="37" operator="lessThan">
      <formula>0.8</formula>
    </cfRule>
  </conditionalFormatting>
  <conditionalFormatting sqref="O50">
    <cfRule type="cellIs" dxfId="634" priority="27" operator="greaterThan">
      <formula>0</formula>
    </cfRule>
  </conditionalFormatting>
  <conditionalFormatting sqref="P50">
    <cfRule type="cellIs" dxfId="633" priority="31" operator="lessThan">
      <formula>0</formula>
    </cfRule>
  </conditionalFormatting>
  <conditionalFormatting sqref="Q50">
    <cfRule type="cellIs" dxfId="632" priority="28" operator="greaterThan">
      <formula>1</formula>
    </cfRule>
    <cfRule type="cellIs" dxfId="631" priority="29" operator="lessThan">
      <formula>0.8</formula>
    </cfRule>
  </conditionalFormatting>
  <conditionalFormatting sqref="R50 AC50">
    <cfRule type="cellIs" dxfId="630" priority="32" operator="lessThan">
      <formula>0.8</formula>
    </cfRule>
  </conditionalFormatting>
  <conditionalFormatting sqref="AC50">
    <cfRule type="cellIs" dxfId="629" priority="30" operator="lessThan">
      <formula>0.8</formula>
    </cfRule>
  </conditionalFormatting>
  <conditionalFormatting sqref="O51">
    <cfRule type="cellIs" dxfId="628" priority="21" operator="greaterThan">
      <formula>0</formula>
    </cfRule>
  </conditionalFormatting>
  <conditionalFormatting sqref="P51">
    <cfRule type="cellIs" dxfId="627" priority="25" operator="lessThan">
      <formula>0</formula>
    </cfRule>
  </conditionalFormatting>
  <conditionalFormatting sqref="Q51">
    <cfRule type="cellIs" dxfId="626" priority="22" operator="greaterThan">
      <formula>1</formula>
    </cfRule>
    <cfRule type="cellIs" dxfId="625" priority="23" operator="lessThan">
      <formula>0.8</formula>
    </cfRule>
  </conditionalFormatting>
  <conditionalFormatting sqref="R51 AC51">
    <cfRule type="cellIs" dxfId="624" priority="26" operator="lessThan">
      <formula>0.8</formula>
    </cfRule>
  </conditionalFormatting>
  <conditionalFormatting sqref="AC51">
    <cfRule type="cellIs" dxfId="623" priority="24" operator="lessThan">
      <formula>0.8</formula>
    </cfRule>
  </conditionalFormatting>
  <conditionalFormatting sqref="R25 AC25">
    <cfRule type="cellIs" dxfId="622" priority="20" operator="lessThan">
      <formula>0.8</formula>
    </cfRule>
  </conditionalFormatting>
  <conditionalFormatting sqref="AC25">
    <cfRule type="cellIs" dxfId="621" priority="19" operator="lessThan">
      <formula>0.8</formula>
    </cfRule>
  </conditionalFormatting>
  <conditionalFormatting sqref="O60">
    <cfRule type="cellIs" dxfId="620" priority="14" operator="greaterThan">
      <formula>0</formula>
    </cfRule>
  </conditionalFormatting>
  <conditionalFormatting sqref="P60 AA60">
    <cfRule type="cellIs" dxfId="619" priority="17" operator="lessThan">
      <formula>0</formula>
    </cfRule>
  </conditionalFormatting>
  <conditionalFormatting sqref="Q60 AB60">
    <cfRule type="cellIs" dxfId="618" priority="15" operator="greaterThan">
      <formula>1</formula>
    </cfRule>
    <cfRule type="cellIs" dxfId="617" priority="16" operator="lessThan">
      <formula>0.8</formula>
    </cfRule>
  </conditionalFormatting>
  <conditionalFormatting sqref="R60 AC60">
    <cfRule type="cellIs" dxfId="616" priority="18" operator="lessThan">
      <formula>0.8</formula>
    </cfRule>
  </conditionalFormatting>
  <conditionalFormatting sqref="P8">
    <cfRule type="cellIs" dxfId="615" priority="13" operator="lessThan">
      <formula>0</formula>
    </cfRule>
  </conditionalFormatting>
  <conditionalFormatting sqref="P18">
    <cfRule type="cellIs" dxfId="614" priority="12" operator="lessThan">
      <formula>0</formula>
    </cfRule>
  </conditionalFormatting>
  <conditionalFormatting sqref="P27">
    <cfRule type="cellIs" dxfId="613" priority="11" operator="lessThan">
      <formula>0</formula>
    </cfRule>
  </conditionalFormatting>
  <conditionalFormatting sqref="P34">
    <cfRule type="cellIs" dxfId="612" priority="10" operator="lessThan">
      <formula>0</formula>
    </cfRule>
  </conditionalFormatting>
  <conditionalFormatting sqref="P52">
    <cfRule type="cellIs" dxfId="611" priority="9" operator="lessThan">
      <formula>0</formula>
    </cfRule>
  </conditionalFormatting>
  <conditionalFormatting sqref="P58">
    <cfRule type="cellIs" dxfId="610" priority="8" operator="lessThan">
      <formula>0</formula>
    </cfRule>
  </conditionalFormatting>
  <conditionalFormatting sqref="P65">
    <cfRule type="cellIs" dxfId="609" priority="7" operator="lessThan">
      <formula>0</formula>
    </cfRule>
  </conditionalFormatting>
  <conditionalFormatting sqref="P74">
    <cfRule type="cellIs" dxfId="608" priority="6" operator="lessThan">
      <formula>0</formula>
    </cfRule>
  </conditionalFormatting>
  <conditionalFormatting sqref="O73">
    <cfRule type="cellIs" dxfId="607" priority="1" operator="greaterThan">
      <formula>0</formula>
    </cfRule>
  </conditionalFormatting>
  <conditionalFormatting sqref="P73">
    <cfRule type="cellIs" dxfId="606" priority="4" operator="lessThan">
      <formula>0</formula>
    </cfRule>
  </conditionalFormatting>
  <conditionalFormatting sqref="Q73">
    <cfRule type="cellIs" dxfId="605" priority="2" operator="greaterThan">
      <formula>1</formula>
    </cfRule>
    <cfRule type="cellIs" dxfId="604" priority="3" operator="lessThan">
      <formula>0.8</formula>
    </cfRule>
  </conditionalFormatting>
  <conditionalFormatting sqref="R73">
    <cfRule type="cellIs" dxfId="603" priority="5" operator="lessThan">
      <formula>0.8</formula>
    </cfRule>
  </conditionalFormatting>
  <dataValidations count="1">
    <dataValidation type="list" allowBlank="1" showInputMessage="1" showErrorMessage="1" sqref="Z8 Z63:Z64 Y5:Z7 Y8:Y64 Z10:Z59 Y65:Z74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/>
  <dimension ref="B1:Q28"/>
  <sheetViews>
    <sheetView zoomScale="70" zoomScaleNormal="70" workbookViewId="0">
      <selection activeCell="C3" sqref="C3:D3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521" t="s">
        <v>121</v>
      </c>
      <c r="C1" s="521"/>
      <c r="D1" s="521"/>
      <c r="E1" s="521"/>
      <c r="F1" s="521"/>
      <c r="G1" s="521"/>
      <c r="H1" s="521"/>
      <c r="I1" s="521"/>
      <c r="J1" s="521"/>
      <c r="K1" s="28"/>
      <c r="L1" s="28"/>
      <c r="M1" s="28"/>
      <c r="N1" s="28"/>
      <c r="O1" s="28"/>
      <c r="P1" s="28"/>
    </row>
    <row r="2" spans="2:17" ht="27.75" customHeight="1">
      <c r="B2" s="522"/>
      <c r="C2" s="522"/>
      <c r="D2" s="522"/>
      <c r="E2" s="522"/>
      <c r="F2" s="522"/>
      <c r="G2" s="522"/>
      <c r="H2" s="522"/>
      <c r="I2" s="522"/>
      <c r="J2" s="522"/>
      <c r="K2" s="30"/>
      <c r="L2" s="30"/>
      <c r="M2" s="30"/>
      <c r="N2" s="28"/>
      <c r="O2" s="28"/>
      <c r="P2" s="28"/>
    </row>
    <row r="3" spans="2:17" ht="46.5" customHeight="1">
      <c r="B3" s="162" t="s">
        <v>629</v>
      </c>
      <c r="C3" s="523" t="str">
        <f>TEXT('0810 4度C'!A2,"yyyy.mm.ddaaaa")</f>
        <v>2025.08.10星期日</v>
      </c>
      <c r="D3" s="523"/>
      <c r="E3" s="162" t="s">
        <v>630</v>
      </c>
      <c r="F3" s="524">
        <f>'0810 4度C'!D1</f>
        <v>179198</v>
      </c>
      <c r="G3" s="524"/>
      <c r="H3" s="162" t="s">
        <v>631</v>
      </c>
      <c r="I3" s="581">
        <f>'0810 4度C'!F1</f>
        <v>6020434.0999999987</v>
      </c>
      <c r="J3" s="581"/>
      <c r="K3" s="31"/>
      <c r="L3" s="32"/>
      <c r="M3" s="33"/>
      <c r="N3" s="33"/>
    </row>
    <row r="4" spans="2:17" ht="28.5" customHeight="1">
      <c r="B4" s="516" t="s">
        <v>632</v>
      </c>
      <c r="C4" s="516" t="s">
        <v>633</v>
      </c>
      <c r="D4" s="516"/>
      <c r="E4" s="526" t="s">
        <v>634</v>
      </c>
      <c r="F4" s="526"/>
      <c r="G4" s="526" t="s">
        <v>635</v>
      </c>
      <c r="H4" s="526"/>
      <c r="I4" s="526" t="s">
        <v>636</v>
      </c>
      <c r="J4" s="526"/>
      <c r="L4" s="33"/>
      <c r="M4" s="33"/>
      <c r="N4" s="33"/>
    </row>
    <row r="5" spans="2:17" ht="28.5" customHeight="1">
      <c r="B5" s="516"/>
      <c r="C5" s="516" t="s">
        <v>109</v>
      </c>
      <c r="D5" s="516"/>
      <c r="E5" s="516" t="s">
        <v>637</v>
      </c>
      <c r="F5" s="516"/>
      <c r="G5" s="517" t="s">
        <v>331</v>
      </c>
      <c r="H5" s="517"/>
      <c r="I5" s="582" t="s">
        <v>111</v>
      </c>
      <c r="J5" s="582"/>
      <c r="K5" s="33"/>
      <c r="L5" s="33"/>
      <c r="M5" s="33"/>
      <c r="N5" s="33"/>
    </row>
    <row r="6" spans="2:17" ht="28.5" customHeight="1">
      <c r="B6" s="516"/>
      <c r="C6" s="516" t="s">
        <v>43</v>
      </c>
      <c r="D6" s="516"/>
      <c r="E6" s="519">
        <f>AVERAGE(D13:M13)</f>
        <v>148.77912226203904</v>
      </c>
      <c r="F6" s="516">
        <f>AVERAGE(D27:O27,D13:J13)</f>
        <v>154.48406228425051</v>
      </c>
      <c r="G6" s="520">
        <f>AVERAGE(D13:J13)</f>
        <v>154.48406228425051</v>
      </c>
      <c r="H6" s="520"/>
      <c r="I6" s="520">
        <f>AVERAGE(K13:M13)</f>
        <v>135.46759554354557</v>
      </c>
      <c r="J6" s="520"/>
      <c r="K6" s="33"/>
      <c r="L6" s="33"/>
      <c r="M6" s="33"/>
      <c r="N6" s="33"/>
    </row>
    <row r="7" spans="2:17" ht="28.5" customHeight="1">
      <c r="B7" s="516"/>
      <c r="C7" s="510" t="s">
        <v>44</v>
      </c>
      <c r="D7" s="510"/>
      <c r="E7" s="511">
        <f>AVERAGE(D14:M14)</f>
        <v>137.47633523304694</v>
      </c>
      <c r="F7" s="512">
        <f>AVERAGE(D28:O28,D14:J14)</f>
        <v>142.85489684526399</v>
      </c>
      <c r="G7" s="513">
        <f>AVERAGE(D14:J14)</f>
        <v>142.85489684526399</v>
      </c>
      <c r="H7" s="513"/>
      <c r="I7" s="513">
        <f>AVERAGE(K14:M14)</f>
        <v>124.92635813787382</v>
      </c>
      <c r="J7" s="513"/>
      <c r="K7" s="33"/>
      <c r="L7" s="33"/>
      <c r="M7" s="33"/>
      <c r="N7" s="33"/>
    </row>
    <row r="8" spans="2:17" ht="28.5" customHeight="1">
      <c r="B8" s="516"/>
      <c r="C8" s="510" t="s">
        <v>45</v>
      </c>
      <c r="D8" s="510"/>
      <c r="E8" s="514">
        <f>AVERAGE(D15:M15)</f>
        <v>0.92380858596150506</v>
      </c>
      <c r="F8" s="510">
        <f>AVERAGE(D15:J15,D29:O29)</f>
        <v>0.92450051492948793</v>
      </c>
      <c r="G8" s="515">
        <f>AVERAGE(D15:J15)</f>
        <v>0.92450051492948793</v>
      </c>
      <c r="H8" s="515"/>
      <c r="I8" s="515">
        <f>AVERAGE(K15:M15)</f>
        <v>0.92219408503621147</v>
      </c>
      <c r="J8" s="515"/>
      <c r="K8" s="34" t="s">
        <v>638</v>
      </c>
      <c r="L8" s="33"/>
      <c r="M8" s="33"/>
      <c r="N8" s="33"/>
    </row>
    <row r="9" spans="2:17" ht="28.5" customHeight="1" thickBot="1">
      <c r="H9" s="36"/>
      <c r="N9" s="33"/>
      <c r="O9" s="33"/>
      <c r="P9" s="33"/>
      <c r="Q9" s="33"/>
    </row>
    <row r="10" spans="2:17" ht="30" customHeight="1">
      <c r="B10" s="501" t="s">
        <v>639</v>
      </c>
      <c r="C10" s="502"/>
      <c r="D10" s="503" t="s">
        <v>640</v>
      </c>
      <c r="E10" s="504"/>
      <c r="F10" s="504"/>
      <c r="G10" s="504"/>
      <c r="H10" s="504"/>
      <c r="I10" s="504"/>
      <c r="J10" s="505"/>
      <c r="K10" s="506" t="s">
        <v>129</v>
      </c>
      <c r="L10" s="583"/>
      <c r="M10" s="507"/>
      <c r="P10" s="37"/>
      <c r="Q10" s="37"/>
    </row>
    <row r="11" spans="2:17" ht="17.25" customHeight="1">
      <c r="B11" s="493" t="s">
        <v>130</v>
      </c>
      <c r="C11" s="494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39">
        <v>6</v>
      </c>
      <c r="J11" s="40">
        <v>7</v>
      </c>
      <c r="K11" s="38">
        <v>1</v>
      </c>
      <c r="L11" s="39">
        <v>2</v>
      </c>
      <c r="M11" s="40">
        <v>3</v>
      </c>
      <c r="P11" s="37"/>
      <c r="Q11" s="37"/>
    </row>
    <row r="12" spans="2:17" ht="34.15" customHeight="1">
      <c r="B12" s="493"/>
      <c r="C12" s="494"/>
      <c r="D12" s="41" t="s">
        <v>345</v>
      </c>
      <c r="E12" s="42" t="s">
        <v>346</v>
      </c>
      <c r="F12" s="42" t="s">
        <v>347</v>
      </c>
      <c r="G12" s="42" t="s">
        <v>348</v>
      </c>
      <c r="H12" s="42" t="s">
        <v>349</v>
      </c>
      <c r="I12" s="42" t="s">
        <v>350</v>
      </c>
      <c r="J12" s="43" t="s">
        <v>351</v>
      </c>
      <c r="K12" s="41" t="s">
        <v>352</v>
      </c>
      <c r="L12" s="42" t="s">
        <v>353</v>
      </c>
      <c r="M12" s="43" t="s">
        <v>354</v>
      </c>
    </row>
    <row r="13" spans="2:17" ht="40.15" customHeight="1">
      <c r="B13" s="508" t="s">
        <v>641</v>
      </c>
      <c r="C13" s="44" t="s">
        <v>141</v>
      </c>
      <c r="D13" s="45">
        <f>SUMIFS('0810 4度C'!$K:$K,'0810 4度C'!$A:$A,"新豐6線",'0810 4度C'!$B:$B,"平均")</f>
        <v>117.64705882352941</v>
      </c>
      <c r="E13" s="46">
        <f>SUMIFS('0810 4度C'!$K:$K,'0810 4度C'!$A:$A,"新豐2線",'0810 4度C'!$B:$B,"平均")</f>
        <v>83.333333333333329</v>
      </c>
      <c r="F13" s="47">
        <f>SUMIFS('0810 4度C'!$K:$K,'0810 4度C'!$A:$A,"新豐5線",'0810 4度C'!$B:$B,"平均")</f>
        <v>93.333333333333329</v>
      </c>
      <c r="G13" s="47">
        <f>SUMIFS('0810 4度C'!$K:$K,'0810 4度C'!$A:$A,"新豐7線",'0810 4度C'!$B:$B,"平均")</f>
        <v>118.51851851851852</v>
      </c>
      <c r="H13" s="47">
        <f>SUMIFS('0810 4度C'!$K:$K,'0810 4度C'!$A:$A,"新豐3線",'0810 4度C'!$B:$B,"平均")</f>
        <v>300</v>
      </c>
      <c r="I13" s="47">
        <f>SUMIFS('0810 4度C'!$K:$K,'0810 4度C'!$A:$A,"新豐1線",'0810 4度C'!$B:$B,"平均")</f>
        <v>114.4578313253012</v>
      </c>
      <c r="J13" s="48">
        <f>SUMIFS('0810 4度C'!$K:$K,'0810 4度C'!$A:$A,"新豐10線",'0810 4度C'!$B:$B,"平均")</f>
        <v>254.09836065573774</v>
      </c>
      <c r="K13" s="49">
        <f>SUMIFS('0810 4度C'!$K:$K,'0810 4度C'!$A:$A,"新豐8線",'0810 4度C'!$B:$B,"平均")</f>
        <v>137.93103448275863</v>
      </c>
      <c r="L13" s="50">
        <f>SUMIFS('0810 4度C'!$K:$K,'0810 4度C'!$A:$A,"新豐9線",'0810 4度C'!$B:$B,"平均")</f>
        <v>129.34131736526945</v>
      </c>
      <c r="M13" s="48">
        <f>SUMIFS('0810 4度C'!$K:$K,'0810 4度C'!$A:$A,"新豐4線",'0810 4度C'!$B:$B,"平均")</f>
        <v>139.13043478260869</v>
      </c>
    </row>
    <row r="14" spans="2:17" ht="39.6" customHeight="1">
      <c r="B14" s="508"/>
      <c r="C14" s="51" t="s">
        <v>69</v>
      </c>
      <c r="D14" s="52">
        <f>SUMIFS('0810 4度C'!$N:$N,'0810 4度C'!$A:$A,"新豐6線",'0810 4度C'!$B:$B,"平均")</f>
        <v>109.29925214867727</v>
      </c>
      <c r="E14" s="53">
        <f>SUMIFS('0810 4度C'!$N:$N,'0810 4度C'!$A:$A,"新豐2線",'0810 4度C'!$B:$B,"平均")</f>
        <v>76.555609964998155</v>
      </c>
      <c r="F14" s="53">
        <f>SUMIFS('0810 4度C'!$N:$N,'0810 4度C'!$A:$A,"新豐5線",'0810 4度C'!$B:$B,"平均")</f>
        <v>86.152742509394173</v>
      </c>
      <c r="G14" s="53">
        <f>SUMIFS('0810 4度C'!$N:$N,'0810 4度C'!$A:$A,"新豐7線",'0810 4度C'!$B:$B,"平均")</f>
        <v>110.3602711538399</v>
      </c>
      <c r="H14" s="53">
        <f>SUMIFS('0810 4度C'!$N:$N,'0810 4度C'!$A:$A,"新豐3線",'0810 4度C'!$B:$B,"平均")</f>
        <v>276.78254439703022</v>
      </c>
      <c r="I14" s="53">
        <f>SUMIFS('0810 4度C'!$N:$N,'0810 4度C'!$A:$A,"新豐1線",'0810 4度C'!$B:$B,"平均")</f>
        <v>105.30522815926727</v>
      </c>
      <c r="J14" s="54">
        <f>SUMIFS('0810 4度C'!$N:$N,'0810 4度C'!$A:$A,"新豐10線",'0810 4度C'!$B:$B,"平均")</f>
        <v>235.52862958364108</v>
      </c>
      <c r="K14" s="55">
        <f>SUMIFS('0810 4度C'!$N:$N,'0810 4度C'!$A:$A,"新豐8線",'0810 4度C'!$B:$B,"平均")</f>
        <v>127.12491884202892</v>
      </c>
      <c r="L14" s="56">
        <f>SUMIFS('0810 4度C'!$N:$N,'0810 4度C'!$A:$A,"新豐9線",'0810 4度C'!$B:$B,"平均")</f>
        <v>119.32823550596024</v>
      </c>
      <c r="M14" s="54">
        <f>SUMIFS('0810 4度C'!$N:$N,'0810 4度C'!$A:$A,"新豐4線",'0810 4度C'!$B:$B,"平均")</f>
        <v>128.32592006563232</v>
      </c>
    </row>
    <row r="15" spans="2:17" ht="40.15" customHeight="1">
      <c r="B15" s="508"/>
      <c r="C15" s="57" t="s">
        <v>197</v>
      </c>
      <c r="D15" s="58">
        <f>D14/D13</f>
        <v>0.92904364326375688</v>
      </c>
      <c r="E15" s="59">
        <f t="shared" ref="E15:M15" si="0">E14/E13</f>
        <v>0.91866731957997794</v>
      </c>
      <c r="F15" s="59">
        <f t="shared" si="0"/>
        <v>0.92306509831493766</v>
      </c>
      <c r="G15" s="59">
        <f t="shared" si="0"/>
        <v>0.93116478786052415</v>
      </c>
      <c r="H15" s="59">
        <f>H14/H13</f>
        <v>0.92260848132343409</v>
      </c>
      <c r="I15" s="59">
        <f>I14/I13</f>
        <v>0.92003515128622992</v>
      </c>
      <c r="J15" s="60">
        <f>J14/J13</f>
        <v>0.92691912287755507</v>
      </c>
      <c r="K15" s="58">
        <f>K14/K13</f>
        <v>0.92165566160470958</v>
      </c>
      <c r="L15" s="59">
        <f>L14/L13</f>
        <v>0.92258404303219266</v>
      </c>
      <c r="M15" s="60">
        <f t="shared" si="0"/>
        <v>0.9223425504717323</v>
      </c>
    </row>
    <row r="16" spans="2:17" ht="17.25" customHeight="1">
      <c r="B16" s="509" t="s">
        <v>642</v>
      </c>
      <c r="C16" s="161" t="s">
        <v>643</v>
      </c>
      <c r="D16" s="61">
        <f>VLOOKUP("新豐6線",'0810 4度C'!$A:$T,19,0)</f>
        <v>0.70833333333333337</v>
      </c>
      <c r="E16" s="24">
        <f>VLOOKUP("新豐2線",'0810 4度C'!$A:$T,19,0)</f>
        <v>0.12916666666666668</v>
      </c>
      <c r="F16" s="24">
        <f>VLOOKUP("新豐5線",'0810 4度C'!$A:$T,19,0)</f>
        <v>0.25</v>
      </c>
      <c r="G16" s="24">
        <f>VLOOKUP("新豐7線",'0810 4度C'!$A:$T,19,0)</f>
        <v>0.20833333333333334</v>
      </c>
      <c r="H16" s="24">
        <f>VLOOKUP("新豐3線",'0810 4度C'!$A:$T,19,0)</f>
        <v>0.20833333333333334</v>
      </c>
      <c r="I16" s="24">
        <f>VLOOKUP("新豐1線",'0810 4度C'!$A:$T,19,0)</f>
        <v>0.29166666666666669</v>
      </c>
      <c r="J16" s="62">
        <f>VLOOKUP("新豐10線",'0810 4度C'!$A:$T,19,0)</f>
        <v>0.20833333333333334</v>
      </c>
      <c r="K16" s="63">
        <f>VLOOKUP("新豐8線",'0810 4度C'!$A:$T,19,0)</f>
        <v>0.125</v>
      </c>
      <c r="L16" s="64">
        <f>VLOOKUP("新豐9線",'0810 4度C'!$A:$T,19,0)</f>
        <v>8.3333333333333329E-2</v>
      </c>
      <c r="M16" s="65">
        <f>VLOOKUP("新豐4線",'0810 4度C'!$A:$T,19,0)</f>
        <v>8.3333333333333329E-2</v>
      </c>
    </row>
    <row r="17" spans="2:13" ht="17.25" customHeight="1">
      <c r="B17" s="493"/>
      <c r="C17" s="161" t="s">
        <v>644</v>
      </c>
      <c r="D17" s="63">
        <f>LOOKUP(2,1/(('0810 4度C'!$A:$A="新豐6線")*('0810 4度C'!$T:$T&lt;&gt;"")),'0810 4度C'!$T:$T)</f>
        <v>0.8354166666666667</v>
      </c>
      <c r="E17" s="24">
        <f>LOOKUP(2,1/(('0810 4度C'!$A:$A="新豐2線")*('0810 4度C'!$T:$T&lt;&gt;"")),'0810 4度C'!$T:$T)</f>
        <v>0.68055555555555547</v>
      </c>
      <c r="F17" s="24">
        <f>LOOKUP(2,1/(('0810 4度C'!$A:$A="新豐5線")*('0810 4度C'!$T:$T&lt;&gt;"")),'0810 4度C'!$T:$T)</f>
        <v>0.84027777777777779</v>
      </c>
      <c r="G17" s="24">
        <f>LOOKUP(2,1/(('0810 4度C'!$A:$A="新豐7線")*('0810 4度C'!$T:$T&lt;&gt;"")),'0810 4度C'!$T:$T)</f>
        <v>0.8340277777777777</v>
      </c>
      <c r="H17" s="24">
        <f>LOOKUP(2,1/(('0810 4度C'!$A:$A="新豐3線")*('0810 4度C'!$T:$T&lt;&gt;"")),'0810 4度C'!$T:$T)</f>
        <v>0.62916666666666654</v>
      </c>
      <c r="I17" s="24">
        <f>LOOKUP(2,1/(('0810 4度C'!$A:$A="新豐1線")*('0810 4度C'!$T:$T&lt;&gt;"")),'0810 4度C'!$T:$T)</f>
        <v>0.84652777777777777</v>
      </c>
      <c r="J17" s="62">
        <f>LOOKUP(2,1/(('0810 4度C'!$A:$A="新豐10線")*('0810 4度C'!$T:$T&lt;&gt;"")),'0810 4度C'!$T:$T)</f>
        <v>0.50416666666666665</v>
      </c>
      <c r="K17" s="61">
        <f>LOOKUP(2,1/(('0810 4度C'!$A:$A="新豐8線")*('0810 4度C'!$T:$T&lt;&gt;"")),'0810 4度C'!$T:$T)</f>
        <v>0.6465277777777777</v>
      </c>
      <c r="L17" s="24">
        <f>LOOKUP(2,1/(('0810 4度C'!$A:$A="新豐9線")*('0810 4度C'!$T:$T&lt;&gt;"")),'0810 4度C'!$T:$T)</f>
        <v>0.69374999999999987</v>
      </c>
      <c r="M17" s="62">
        <f>LOOKUP(2,1/(('0810 4度C'!$A:$A="新豐4線")*('0810 4度C'!$T:$T&lt;&gt;"")),'0810 4度C'!$T:$T)</f>
        <v>0.72430555555555554</v>
      </c>
    </row>
    <row r="18" spans="2:13" ht="17.25" customHeight="1">
      <c r="B18" s="493" t="s">
        <v>645</v>
      </c>
      <c r="C18" s="494"/>
      <c r="D18" s="66">
        <f>SUMIFS('0810 4度C'!$I:$I,'0810 4度C'!$A:$A,"新豐6線",'0810 4度C'!$B:$B,"平均")</f>
        <v>17</v>
      </c>
      <c r="E18" s="67">
        <f>SUMIFS('0810 4度C'!$I:$I,'0810 4度C'!$A:$A,"新豐2線",'0810 4度C'!$B:$B,"平均")</f>
        <v>18</v>
      </c>
      <c r="F18" s="67">
        <f>SUMIFS('0810 4度C'!$I:$I,'0810 4度C'!$A:$A,"新豐5線",'0810 4度C'!$B:$B,"平均")</f>
        <v>18.75</v>
      </c>
      <c r="G18" s="67">
        <f>SUMIFS('0810 4度C'!$I:$I,'0810 4度C'!$A:$A,"新豐7線",'0810 4度C'!$B:$B,"平均")</f>
        <v>16.875</v>
      </c>
      <c r="H18" s="67">
        <f>SUMIFS('0810 4度C'!$I:$I,'0810 4度C'!$A:$A,"新豐3線",'0810 4度C'!$B:$B,"平均")</f>
        <v>10</v>
      </c>
      <c r="I18" s="67">
        <f>SUMIFS('0810 4度C'!$I:$I,'0810 4度C'!$A:$A,"新豐1線",'0810 4度C'!$B:$B,"平均")</f>
        <v>16.600000000000001</v>
      </c>
      <c r="J18" s="68">
        <f>SUMIFS('0810 4度C'!$I:$I,'0810 4度C'!$A:$A,"新豐10線",'0810 4度C'!$B:$B,"平均")</f>
        <v>10.166666666666666</v>
      </c>
      <c r="K18" s="66">
        <f>SUMIFS('0810 4度C'!$I:$I,'0810 4度C'!$A:$A,"新豐8線",'0810 4度C'!$B:$B,"平均")</f>
        <v>17.399999999999999</v>
      </c>
      <c r="L18" s="67">
        <f>SUMIFS('0810 4度C'!$I:$I,'0810 4度C'!$A:$A,"新豐9線",'0810 4度C'!$B:$B,"平均")</f>
        <v>18.555555555555557</v>
      </c>
      <c r="M18" s="68">
        <f>SUMIFS('0810 4度C'!$I:$I,'0810 4度C'!$A:$A,"新豐4線",'0810 4度C'!$B:$B,"平均")</f>
        <v>17.25</v>
      </c>
    </row>
    <row r="19" spans="2:13" ht="17.25" customHeight="1">
      <c r="B19" s="495" t="s">
        <v>92</v>
      </c>
      <c r="C19" s="496"/>
      <c r="D19" s="69" t="s">
        <v>46</v>
      </c>
      <c r="E19" s="70" t="s">
        <v>47</v>
      </c>
      <c r="F19" s="70" t="s">
        <v>93</v>
      </c>
      <c r="G19" s="70" t="s">
        <v>93</v>
      </c>
      <c r="H19" s="70" t="s">
        <v>48</v>
      </c>
      <c r="I19" s="70" t="s">
        <v>46</v>
      </c>
      <c r="J19" s="71" t="s">
        <v>48</v>
      </c>
      <c r="K19" s="69" t="s">
        <v>646</v>
      </c>
      <c r="L19" s="70" t="s">
        <v>72</v>
      </c>
      <c r="M19" s="71" t="s">
        <v>646</v>
      </c>
    </row>
    <row r="20" spans="2:13" ht="17.25" customHeight="1">
      <c r="B20" s="495" t="s">
        <v>647</v>
      </c>
      <c r="C20" s="496"/>
      <c r="D20" s="69"/>
      <c r="E20" s="70"/>
      <c r="F20" s="70" t="s">
        <v>202</v>
      </c>
      <c r="G20" s="70" t="s">
        <v>46</v>
      </c>
      <c r="H20" s="70"/>
      <c r="I20" s="70"/>
      <c r="J20" s="71"/>
      <c r="K20" s="69"/>
      <c r="L20" s="70"/>
      <c r="M20" s="71"/>
    </row>
    <row r="21" spans="2:13" ht="17.25" customHeight="1" thickBot="1">
      <c r="B21" s="497" t="s">
        <v>648</v>
      </c>
      <c r="C21" s="498"/>
      <c r="D21" s="72"/>
      <c r="E21" s="73" t="s">
        <v>649</v>
      </c>
      <c r="F21" s="499" t="s">
        <v>650</v>
      </c>
      <c r="G21" s="500"/>
      <c r="H21" s="73" t="s">
        <v>651</v>
      </c>
      <c r="I21" s="73" t="s">
        <v>152</v>
      </c>
      <c r="J21" s="74" t="s">
        <v>73</v>
      </c>
      <c r="K21" s="75"/>
      <c r="L21" s="73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602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2">
    <pageSetUpPr fitToPage="1"/>
  </sheetPr>
  <dimension ref="A1:AC75"/>
  <sheetViews>
    <sheetView zoomScale="80" zoomScaleNormal="80" workbookViewId="0">
      <pane ySplit="4" topLeftCell="A5" activePane="bottomLeft" state="frozen"/>
      <selection activeCell="C3" sqref="C3:D3"/>
      <selection pane="bottomLeft" activeCell="L18" sqref="L18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208</v>
      </c>
      <c r="B1" s="1"/>
      <c r="C1" s="2" t="s">
        <v>96</v>
      </c>
      <c r="D1" s="3">
        <f>SUM(F5:F74)</f>
        <v>179198</v>
      </c>
      <c r="E1" s="163" t="s">
        <v>113</v>
      </c>
      <c r="F1" s="1">
        <f>SUM(G5:G74)</f>
        <v>6020434.0999999987</v>
      </c>
      <c r="G1" s="1" t="s">
        <v>153</v>
      </c>
      <c r="H1" s="4">
        <f>L8+L13+L52+L58+L18+L65+L33+L43+L27+L74</f>
        <v>160.59722222222223</v>
      </c>
      <c r="I1" s="572" t="s">
        <v>210</v>
      </c>
      <c r="J1" s="572"/>
      <c r="K1" s="572"/>
      <c r="L1" s="572" t="s">
        <v>154</v>
      </c>
      <c r="M1" s="572"/>
      <c r="N1" s="572"/>
      <c r="O1" s="572" t="s">
        <v>97</v>
      </c>
      <c r="P1" s="572"/>
      <c r="Q1" s="572"/>
      <c r="R1" s="572"/>
      <c r="S1" s="572" t="s">
        <v>321</v>
      </c>
      <c r="T1" s="572"/>
      <c r="U1" s="572"/>
      <c r="V1" s="572"/>
      <c r="W1" s="572"/>
      <c r="X1" s="572"/>
      <c r="Y1" s="572" t="s">
        <v>115</v>
      </c>
      <c r="Z1" s="572"/>
      <c r="AA1" s="572" t="s">
        <v>155</v>
      </c>
      <c r="AB1" s="573"/>
      <c r="AC1" s="573"/>
    </row>
    <row r="2" spans="1:29" ht="26.25" customHeight="1">
      <c r="A2" s="22">
        <v>45879</v>
      </c>
      <c r="B2" s="23" t="s">
        <v>247</v>
      </c>
      <c r="C2" s="2" t="s">
        <v>116</v>
      </c>
      <c r="D2" s="6">
        <f>AVERAGE(N8,N13,N52,N58,N18,N65,N27,N33,N43,N74)</f>
        <v>137.47633523304697</v>
      </c>
      <c r="E2" s="7" t="s">
        <v>0</v>
      </c>
      <c r="F2" s="8">
        <f>F1/D1</f>
        <v>33.59654739450216</v>
      </c>
      <c r="G2" s="1" t="s">
        <v>117</v>
      </c>
      <c r="H2" s="174">
        <f>COUNT(H5:H74)</f>
        <v>8</v>
      </c>
      <c r="I2" s="572"/>
      <c r="J2" s="572"/>
      <c r="K2" s="572"/>
      <c r="L2" s="572"/>
      <c r="M2" s="572"/>
      <c r="N2" s="572"/>
      <c r="O2" s="572"/>
      <c r="P2" s="572"/>
      <c r="Q2" s="572"/>
      <c r="R2" s="572"/>
      <c r="S2" s="572"/>
      <c r="T2" s="572"/>
      <c r="U2" s="572"/>
      <c r="V2" s="572"/>
      <c r="W2" s="572"/>
      <c r="X2" s="572"/>
      <c r="Y2" s="572"/>
      <c r="Z2" s="572"/>
      <c r="AA2" s="573"/>
      <c r="AB2" s="573"/>
      <c r="AC2" s="573"/>
    </row>
    <row r="3" spans="1:29" ht="23.25" customHeight="1">
      <c r="A3" s="528" t="s">
        <v>652</v>
      </c>
      <c r="B3" s="528" t="s">
        <v>118</v>
      </c>
      <c r="C3" s="528" t="s">
        <v>119</v>
      </c>
      <c r="D3" s="528"/>
      <c r="E3" s="570" t="s">
        <v>157</v>
      </c>
      <c r="F3" s="528" t="s">
        <v>120</v>
      </c>
      <c r="G3" s="570" t="s">
        <v>158</v>
      </c>
      <c r="H3" s="563" t="s">
        <v>289</v>
      </c>
      <c r="I3" s="561" t="s">
        <v>101</v>
      </c>
      <c r="J3" s="566" t="s">
        <v>162</v>
      </c>
      <c r="K3" s="568" t="s">
        <v>116</v>
      </c>
      <c r="L3" s="561" t="s">
        <v>101</v>
      </c>
      <c r="M3" s="566" t="s">
        <v>162</v>
      </c>
      <c r="N3" s="568" t="s">
        <v>116</v>
      </c>
      <c r="O3" s="561" t="s">
        <v>101</v>
      </c>
      <c r="P3" s="568" t="s">
        <v>653</v>
      </c>
      <c r="Q3" s="567" t="s">
        <v>159</v>
      </c>
      <c r="R3" s="542" t="s">
        <v>86</v>
      </c>
      <c r="S3" s="569" t="s">
        <v>1</v>
      </c>
      <c r="T3" s="569"/>
      <c r="U3" s="563" t="s">
        <v>2</v>
      </c>
      <c r="V3" s="563" t="s">
        <v>66</v>
      </c>
      <c r="W3" s="528" t="s">
        <v>654</v>
      </c>
      <c r="X3" s="528"/>
      <c r="Y3" s="564" t="s">
        <v>161</v>
      </c>
      <c r="Z3" s="565"/>
      <c r="AA3" s="566" t="s">
        <v>162</v>
      </c>
      <c r="AB3" s="567" t="s">
        <v>655</v>
      </c>
      <c r="AC3" s="542" t="s">
        <v>86</v>
      </c>
    </row>
    <row r="4" spans="1:29">
      <c r="A4" s="528"/>
      <c r="B4" s="528"/>
      <c r="C4" s="528"/>
      <c r="D4" s="528"/>
      <c r="E4" s="571"/>
      <c r="F4" s="528"/>
      <c r="G4" s="571"/>
      <c r="H4" s="563"/>
      <c r="I4" s="561"/>
      <c r="J4" s="566"/>
      <c r="K4" s="568"/>
      <c r="L4" s="561"/>
      <c r="M4" s="566"/>
      <c r="N4" s="568"/>
      <c r="O4" s="561"/>
      <c r="P4" s="568"/>
      <c r="Q4" s="567"/>
      <c r="R4" s="542"/>
      <c r="S4" s="173" t="s">
        <v>3</v>
      </c>
      <c r="T4" s="173" t="s">
        <v>4</v>
      </c>
      <c r="U4" s="563"/>
      <c r="V4" s="563"/>
      <c r="W4" s="163" t="s">
        <v>303</v>
      </c>
      <c r="X4" s="163" t="s">
        <v>656</v>
      </c>
      <c r="Y4" s="565"/>
      <c r="Z4" s="565"/>
      <c r="AA4" s="566"/>
      <c r="AB4" s="567"/>
      <c r="AC4" s="542"/>
    </row>
    <row r="5" spans="1:29">
      <c r="A5" s="560" t="s">
        <v>657</v>
      </c>
      <c r="B5" s="26" t="s">
        <v>13</v>
      </c>
      <c r="C5" s="562" t="s">
        <v>53</v>
      </c>
      <c r="D5" s="562"/>
      <c r="E5" s="26">
        <v>46.93</v>
      </c>
      <c r="F5" s="173">
        <v>977</v>
      </c>
      <c r="G5" s="163">
        <f>E5*F5</f>
        <v>45850.61</v>
      </c>
      <c r="H5" s="76" t="s">
        <v>52</v>
      </c>
      <c r="I5" s="171">
        <v>17</v>
      </c>
      <c r="J5" s="18">
        <v>2000</v>
      </c>
      <c r="K5" s="9">
        <f>J5/I5</f>
        <v>117.64705882352941</v>
      </c>
      <c r="L5" s="171">
        <v>17</v>
      </c>
      <c r="M5" s="10">
        <f>F5/V5*60</f>
        <v>1890.9677419354809</v>
      </c>
      <c r="N5" s="9">
        <f>M5/L5</f>
        <v>111.23339658444006</v>
      </c>
      <c r="O5" s="11">
        <f t="shared" ref="O5:O7" si="0">L5-I5</f>
        <v>0</v>
      </c>
      <c r="P5" s="12">
        <f t="shared" ref="P5:P7" si="1">N5-K5</f>
        <v>-6.4136622390893478</v>
      </c>
      <c r="Q5" s="165">
        <f>N5/K5</f>
        <v>0.94548387096774056</v>
      </c>
      <c r="R5" s="533">
        <f>Q8</f>
        <v>0.92904364326375688</v>
      </c>
      <c r="S5" s="24">
        <v>0.70833333333333337</v>
      </c>
      <c r="T5" s="24">
        <v>0.72986111111111118</v>
      </c>
      <c r="U5" s="163"/>
      <c r="V5" s="172">
        <f>(T5-S5)*24*60</f>
        <v>31.00000000000005</v>
      </c>
      <c r="W5" s="14"/>
      <c r="X5" s="13"/>
      <c r="Y5" s="528"/>
      <c r="Z5" s="528"/>
      <c r="AA5" s="11">
        <f t="shared" ref="AA5:AA68" si="2">M5-J5</f>
        <v>-109.03225806451906</v>
      </c>
      <c r="AB5" s="165">
        <f t="shared" ref="AB5:AB7" si="3">M5/J5</f>
        <v>0.94548387096774045</v>
      </c>
      <c r="AC5" s="533">
        <f>AB8</f>
        <v>0.92904364326375677</v>
      </c>
    </row>
    <row r="6" spans="1:29">
      <c r="A6" s="561" t="s">
        <v>415</v>
      </c>
      <c r="B6" s="26" t="s">
        <v>13</v>
      </c>
      <c r="C6" s="562" t="s">
        <v>55</v>
      </c>
      <c r="D6" s="562"/>
      <c r="E6" s="26">
        <v>50.49</v>
      </c>
      <c r="F6" s="173">
        <v>2080</v>
      </c>
      <c r="G6" s="163">
        <f t="shared" ref="G6:G7" si="4">E6*F6</f>
        <v>105019.2</v>
      </c>
      <c r="H6" s="76" t="s">
        <v>52</v>
      </c>
      <c r="I6" s="171">
        <v>16</v>
      </c>
      <c r="J6" s="18">
        <v>2000</v>
      </c>
      <c r="K6" s="9">
        <f t="shared" ref="K6:K7" si="5">J6/I6</f>
        <v>125</v>
      </c>
      <c r="L6" s="171">
        <v>16</v>
      </c>
      <c r="M6" s="10">
        <f>F6/V6*60</f>
        <v>1835.2941176470611</v>
      </c>
      <c r="N6" s="9">
        <f t="shared" ref="N6:N7" si="6">M6/L6</f>
        <v>114.70588235294132</v>
      </c>
      <c r="O6" s="11">
        <f t="shared" si="0"/>
        <v>0</v>
      </c>
      <c r="P6" s="12">
        <f t="shared" si="1"/>
        <v>-10.294117647058684</v>
      </c>
      <c r="Q6" s="165">
        <f t="shared" ref="Q6:Q7" si="7">N6/K6</f>
        <v>0.91764705882353048</v>
      </c>
      <c r="R6" s="533"/>
      <c r="S6" s="24">
        <v>0.73541666666666672</v>
      </c>
      <c r="T6" s="24">
        <v>0.78263888888888888</v>
      </c>
      <c r="U6" s="163">
        <f>(S6-T5)*24*60</f>
        <v>7.9999999999999716</v>
      </c>
      <c r="V6" s="172">
        <f>(T6-S6)*24*60</f>
        <v>67.999999999999915</v>
      </c>
      <c r="W6" s="14"/>
      <c r="X6" s="14"/>
      <c r="Y6" s="528"/>
      <c r="Z6" s="528"/>
      <c r="AA6" s="11">
        <f t="shared" si="2"/>
        <v>-164.70588235293894</v>
      </c>
      <c r="AB6" s="165">
        <f t="shared" si="3"/>
        <v>0.91764705882353048</v>
      </c>
      <c r="AC6" s="533"/>
    </row>
    <row r="7" spans="1:29">
      <c r="A7" s="561" t="s">
        <v>415</v>
      </c>
      <c r="B7" s="26" t="s">
        <v>13</v>
      </c>
      <c r="C7" s="558" t="s">
        <v>76</v>
      </c>
      <c r="D7" s="559"/>
      <c r="E7" s="26">
        <v>50.67</v>
      </c>
      <c r="F7" s="173">
        <v>2156</v>
      </c>
      <c r="G7" s="163">
        <f t="shared" si="4"/>
        <v>109244.52</v>
      </c>
      <c r="H7" s="76" t="s">
        <v>52</v>
      </c>
      <c r="I7" s="171">
        <v>18</v>
      </c>
      <c r="J7" s="18">
        <v>2000</v>
      </c>
      <c r="K7" s="9">
        <f t="shared" si="5"/>
        <v>111.11111111111111</v>
      </c>
      <c r="L7" s="171">
        <v>18</v>
      </c>
      <c r="M7" s="10">
        <f t="shared" ref="M7" si="8">F7/V7*60</f>
        <v>1847.9999999999982</v>
      </c>
      <c r="N7" s="9">
        <f t="shared" si="6"/>
        <v>102.66666666666657</v>
      </c>
      <c r="O7" s="11">
        <f t="shared" si="0"/>
        <v>0</v>
      </c>
      <c r="P7" s="12">
        <f t="shared" si="1"/>
        <v>-8.4444444444445423</v>
      </c>
      <c r="Q7" s="165">
        <f t="shared" si="7"/>
        <v>0.92399999999999916</v>
      </c>
      <c r="R7" s="533"/>
      <c r="S7" s="24">
        <v>0.78680555555555554</v>
      </c>
      <c r="T7" s="24">
        <v>0.8354166666666667</v>
      </c>
      <c r="U7" s="163">
        <f t="shared" ref="U7" si="9">(S7-T6)*24*60</f>
        <v>5.9999999999999787</v>
      </c>
      <c r="V7" s="172">
        <f t="shared" ref="V7" si="10">(T7-S7)*24*60</f>
        <v>70.000000000000071</v>
      </c>
      <c r="W7" s="14"/>
      <c r="X7" s="14"/>
      <c r="Y7" s="536"/>
      <c r="Z7" s="537"/>
      <c r="AA7" s="11">
        <f t="shared" si="2"/>
        <v>-152.00000000000182</v>
      </c>
      <c r="AB7" s="165">
        <f t="shared" si="3"/>
        <v>0.92399999999999904</v>
      </c>
      <c r="AC7" s="533"/>
    </row>
    <row r="8" spans="1:29">
      <c r="A8" s="561" t="s">
        <v>658</v>
      </c>
      <c r="B8" s="26" t="s">
        <v>82</v>
      </c>
      <c r="C8" s="530"/>
      <c r="D8" s="530"/>
      <c r="E8" s="164"/>
      <c r="F8" s="16"/>
      <c r="G8" s="9"/>
      <c r="H8" s="173"/>
      <c r="I8" s="17">
        <v>17</v>
      </c>
      <c r="J8" s="18">
        <v>2000</v>
      </c>
      <c r="K8" s="9">
        <f>J8/I8</f>
        <v>117.64705882352941</v>
      </c>
      <c r="L8" s="17">
        <v>17</v>
      </c>
      <c r="M8" s="10">
        <f>AVERAGE(M5:M7)</f>
        <v>1858.0872865275135</v>
      </c>
      <c r="N8" s="9">
        <f>M8/L8</f>
        <v>109.29925214867727</v>
      </c>
      <c r="O8" s="11">
        <f>L8-I8</f>
        <v>0</v>
      </c>
      <c r="P8" s="12">
        <f>N8-K8</f>
        <v>-8.3478066748521371</v>
      </c>
      <c r="Q8" s="165">
        <f>N8/K8</f>
        <v>0.92904364326375688</v>
      </c>
      <c r="R8" s="533"/>
      <c r="S8" s="24"/>
      <c r="T8" s="24"/>
      <c r="U8" s="163"/>
      <c r="V8" s="172"/>
      <c r="W8" s="9"/>
      <c r="X8" s="9"/>
      <c r="Y8" s="528"/>
      <c r="Z8" s="528"/>
      <c r="AA8" s="11">
        <f t="shared" si="2"/>
        <v>-141.91271347248653</v>
      </c>
      <c r="AB8" s="165">
        <f>M8/J8</f>
        <v>0.92904364326375677</v>
      </c>
      <c r="AC8" s="533"/>
    </row>
    <row r="9" spans="1:29" ht="15.75" customHeight="1">
      <c r="A9" s="531" t="s">
        <v>659</v>
      </c>
      <c r="B9" s="26" t="s">
        <v>15</v>
      </c>
      <c r="C9" s="558" t="s">
        <v>16</v>
      </c>
      <c r="D9" s="559"/>
      <c r="E9" s="26">
        <v>39.619999999999997</v>
      </c>
      <c r="F9" s="173">
        <v>4898</v>
      </c>
      <c r="G9" s="163">
        <f t="shared" ref="G9:G12" si="11">E9*F9</f>
        <v>194058.75999999998</v>
      </c>
      <c r="H9" s="76" t="s">
        <v>52</v>
      </c>
      <c r="I9" s="171">
        <v>19</v>
      </c>
      <c r="J9" s="18">
        <v>1500</v>
      </c>
      <c r="K9" s="9">
        <f t="shared" ref="K9:K12" si="12">J9/I9</f>
        <v>78.94736842105263</v>
      </c>
      <c r="L9" s="171">
        <v>19</v>
      </c>
      <c r="M9" s="10">
        <f t="shared" ref="M9:M12" si="13">F9/V9*60</f>
        <v>1373.2710280373833</v>
      </c>
      <c r="N9" s="9">
        <f t="shared" ref="N9:N12" si="14">M9/L9</f>
        <v>72.277422528283338</v>
      </c>
      <c r="O9" s="11">
        <f t="shared" ref="O9:O12" si="15">L9-I9</f>
        <v>0</v>
      </c>
      <c r="P9" s="12">
        <f>N9-K9</f>
        <v>-6.6699458927692916</v>
      </c>
      <c r="Q9" s="165">
        <f>N9/K9</f>
        <v>0.91551401869158899</v>
      </c>
      <c r="R9" s="533">
        <f>Q13</f>
        <v>0.91866731957997794</v>
      </c>
      <c r="S9" s="24">
        <v>0.12916666666666668</v>
      </c>
      <c r="T9" s="24">
        <v>0.27777777777777779</v>
      </c>
      <c r="U9" s="163"/>
      <c r="V9" s="172">
        <f t="shared" ref="V9:V12" si="16">(T9-S9)*24*60</f>
        <v>214</v>
      </c>
      <c r="W9" s="14">
        <f>T9</f>
        <v>0.27777777777777779</v>
      </c>
      <c r="X9" s="14">
        <f>S10</f>
        <v>0.30069444444444443</v>
      </c>
      <c r="Y9" s="528"/>
      <c r="Z9" s="528"/>
      <c r="AA9" s="11">
        <f t="shared" si="2"/>
        <v>-126.7289719626167</v>
      </c>
      <c r="AB9" s="165">
        <f>M9/J9</f>
        <v>0.91551401869158888</v>
      </c>
      <c r="AC9" s="533">
        <f>AB13</f>
        <v>0.91866731957997794</v>
      </c>
    </row>
    <row r="10" spans="1:29" ht="15.75" customHeight="1">
      <c r="A10" s="531" t="s">
        <v>660</v>
      </c>
      <c r="B10" s="26" t="s">
        <v>15</v>
      </c>
      <c r="C10" s="558" t="s">
        <v>17</v>
      </c>
      <c r="D10" s="559"/>
      <c r="E10" s="26">
        <v>39.799999999999997</v>
      </c>
      <c r="F10" s="173">
        <v>2600</v>
      </c>
      <c r="G10" s="163">
        <f t="shared" si="11"/>
        <v>103479.99999999999</v>
      </c>
      <c r="H10" s="76">
        <v>2</v>
      </c>
      <c r="I10" s="171">
        <v>17</v>
      </c>
      <c r="J10" s="18">
        <v>1500</v>
      </c>
      <c r="K10" s="9">
        <f t="shared" si="12"/>
        <v>88.235294117647058</v>
      </c>
      <c r="L10" s="171">
        <v>17</v>
      </c>
      <c r="M10" s="10">
        <f t="shared" si="13"/>
        <v>1380.5309734513273</v>
      </c>
      <c r="N10" s="9">
        <f t="shared" si="14"/>
        <v>81.207704320666309</v>
      </c>
      <c r="O10" s="11">
        <f t="shared" si="15"/>
        <v>0</v>
      </c>
      <c r="P10" s="12">
        <f t="shared" ref="P10:P12" si="17">N10-K10</f>
        <v>-7.0275897969807488</v>
      </c>
      <c r="Q10" s="165">
        <f t="shared" ref="Q10:Q12" si="18">N10/K10</f>
        <v>0.92035398230088483</v>
      </c>
      <c r="R10" s="533"/>
      <c r="S10" s="24">
        <v>0.30069444444444443</v>
      </c>
      <c r="T10" s="24">
        <v>0.37916666666666665</v>
      </c>
      <c r="U10" s="163">
        <f>(S10-T9)*24*60</f>
        <v>32.999999999999964</v>
      </c>
      <c r="V10" s="172">
        <f t="shared" si="16"/>
        <v>113</v>
      </c>
      <c r="W10" s="14"/>
      <c r="X10" s="14"/>
      <c r="Y10" s="528"/>
      <c r="Z10" s="528"/>
      <c r="AA10" s="11">
        <f t="shared" si="2"/>
        <v>-119.46902654867267</v>
      </c>
      <c r="AB10" s="165">
        <f t="shared" ref="AB10:AB27" si="19">M10/J10</f>
        <v>0.92035398230088483</v>
      </c>
      <c r="AC10" s="533"/>
    </row>
    <row r="11" spans="1:29" ht="15.75" customHeight="1">
      <c r="A11" s="531" t="s">
        <v>660</v>
      </c>
      <c r="B11" s="26" t="s">
        <v>15</v>
      </c>
      <c r="C11" s="558" t="s">
        <v>80</v>
      </c>
      <c r="D11" s="559"/>
      <c r="E11" s="26">
        <v>39.29</v>
      </c>
      <c r="F11" s="173">
        <v>4058</v>
      </c>
      <c r="G11" s="163">
        <f t="shared" si="11"/>
        <v>159438.82</v>
      </c>
      <c r="H11" s="76" t="s">
        <v>52</v>
      </c>
      <c r="I11" s="171">
        <v>19</v>
      </c>
      <c r="J11" s="18">
        <v>1500</v>
      </c>
      <c r="K11" s="9">
        <f t="shared" si="12"/>
        <v>78.94736842105263</v>
      </c>
      <c r="L11" s="171">
        <v>19</v>
      </c>
      <c r="M11" s="10">
        <f t="shared" si="13"/>
        <v>1375.593220338983</v>
      </c>
      <c r="N11" s="9">
        <f t="shared" si="14"/>
        <v>72.399643175735946</v>
      </c>
      <c r="O11" s="11">
        <f t="shared" si="15"/>
        <v>0</v>
      </c>
      <c r="P11" s="12">
        <f t="shared" si="17"/>
        <v>-6.5477252453166841</v>
      </c>
      <c r="Q11" s="165">
        <f t="shared" si="18"/>
        <v>0.91706214689265531</v>
      </c>
      <c r="R11" s="533"/>
      <c r="S11" s="24">
        <v>0.38749999999999996</v>
      </c>
      <c r="T11" s="24">
        <v>0.51041666666666663</v>
      </c>
      <c r="U11" s="163">
        <f t="shared" ref="U11:U12" si="20">(S11-T10)*24*60</f>
        <v>11.999999999999957</v>
      </c>
      <c r="V11" s="172">
        <f t="shared" si="16"/>
        <v>177</v>
      </c>
      <c r="W11" s="14">
        <f>T11</f>
        <v>0.51041666666666663</v>
      </c>
      <c r="X11" s="14">
        <f>S12</f>
        <v>0.5527777777777777</v>
      </c>
      <c r="Y11" s="528"/>
      <c r="Z11" s="528"/>
      <c r="AA11" s="11">
        <f t="shared" si="2"/>
        <v>-124.40677966101703</v>
      </c>
      <c r="AB11" s="165">
        <f t="shared" si="19"/>
        <v>0.91706214689265531</v>
      </c>
      <c r="AC11" s="533"/>
    </row>
    <row r="12" spans="1:29" ht="15.75" customHeight="1">
      <c r="A12" s="531" t="s">
        <v>659</v>
      </c>
      <c r="B12" s="26" t="s">
        <v>15</v>
      </c>
      <c r="C12" s="558" t="s">
        <v>17</v>
      </c>
      <c r="D12" s="559"/>
      <c r="E12" s="26">
        <v>39.799999999999997</v>
      </c>
      <c r="F12" s="173">
        <v>4240</v>
      </c>
      <c r="G12" s="163">
        <f t="shared" si="11"/>
        <v>168752</v>
      </c>
      <c r="H12" s="76" t="s">
        <v>52</v>
      </c>
      <c r="I12" s="171">
        <v>17</v>
      </c>
      <c r="J12" s="18">
        <v>1500</v>
      </c>
      <c r="K12" s="9">
        <f t="shared" si="12"/>
        <v>88.235294117647058</v>
      </c>
      <c r="L12" s="171">
        <v>17</v>
      </c>
      <c r="M12" s="10">
        <f t="shared" si="13"/>
        <v>1382.608695652174</v>
      </c>
      <c r="N12" s="9">
        <f t="shared" si="14"/>
        <v>81.3299232736573</v>
      </c>
      <c r="O12" s="11">
        <f t="shared" si="15"/>
        <v>0</v>
      </c>
      <c r="P12" s="12">
        <f t="shared" si="17"/>
        <v>-6.9053708439897576</v>
      </c>
      <c r="Q12" s="165">
        <f t="shared" si="18"/>
        <v>0.92173913043478273</v>
      </c>
      <c r="R12" s="533"/>
      <c r="S12" s="24">
        <v>0.5527777777777777</v>
      </c>
      <c r="T12" s="24">
        <v>0.68055555555555547</v>
      </c>
      <c r="U12" s="163">
        <f t="shared" si="20"/>
        <v>60.999999999999943</v>
      </c>
      <c r="V12" s="172">
        <f t="shared" si="16"/>
        <v>184</v>
      </c>
      <c r="W12" s="14"/>
      <c r="X12" s="14"/>
      <c r="Y12" s="528"/>
      <c r="Z12" s="528"/>
      <c r="AA12" s="11">
        <f t="shared" si="2"/>
        <v>-117.39130434782601</v>
      </c>
      <c r="AB12" s="165">
        <f t="shared" si="19"/>
        <v>0.92173913043478262</v>
      </c>
      <c r="AC12" s="533"/>
    </row>
    <row r="13" spans="1:29" ht="16.5" customHeight="1">
      <c r="A13" s="531" t="s">
        <v>659</v>
      </c>
      <c r="B13" s="26" t="s">
        <v>661</v>
      </c>
      <c r="C13" s="530"/>
      <c r="D13" s="530"/>
      <c r="E13" s="164"/>
      <c r="F13" s="18"/>
      <c r="G13" s="10"/>
      <c r="H13" s="173"/>
      <c r="I13" s="17">
        <v>18</v>
      </c>
      <c r="J13" s="18">
        <v>1500</v>
      </c>
      <c r="K13" s="9">
        <f>J13/I13</f>
        <v>83.333333333333329</v>
      </c>
      <c r="L13" s="17">
        <v>18</v>
      </c>
      <c r="M13" s="10">
        <f>AVERAGE(M9:M12)</f>
        <v>1378.0009793699669</v>
      </c>
      <c r="N13" s="9">
        <f>M13/L13</f>
        <v>76.555609964998155</v>
      </c>
      <c r="O13" s="11">
        <f>L13-I13</f>
        <v>0</v>
      </c>
      <c r="P13" s="12">
        <f>N13-K13</f>
        <v>-6.7777233683351739</v>
      </c>
      <c r="Q13" s="165">
        <f>N13/K13</f>
        <v>0.91866731957997794</v>
      </c>
      <c r="R13" s="533"/>
      <c r="S13" s="24"/>
      <c r="T13" s="24"/>
      <c r="U13" s="9"/>
      <c r="V13" s="172"/>
      <c r="W13" s="9"/>
      <c r="X13" s="9"/>
      <c r="Y13" s="528"/>
      <c r="Z13" s="528"/>
      <c r="AA13" s="11">
        <f t="shared" si="2"/>
        <v>-121.9990206300331</v>
      </c>
      <c r="AB13" s="165">
        <f t="shared" si="19"/>
        <v>0.91866731957997794</v>
      </c>
      <c r="AC13" s="533"/>
    </row>
    <row r="14" spans="1:29" ht="16.5" customHeight="1">
      <c r="A14" s="556" t="s">
        <v>662</v>
      </c>
      <c r="B14" s="173" t="s">
        <v>21</v>
      </c>
      <c r="C14" s="552" t="s">
        <v>19</v>
      </c>
      <c r="D14" s="552"/>
      <c r="E14" s="26">
        <v>41</v>
      </c>
      <c r="F14" s="173">
        <v>1890</v>
      </c>
      <c r="G14" s="163">
        <f t="shared" ref="G14:G17" si="21">E14*F14</f>
        <v>77490</v>
      </c>
      <c r="H14" s="76" t="s">
        <v>52</v>
      </c>
      <c r="I14" s="171">
        <v>26</v>
      </c>
      <c r="J14" s="18">
        <v>1500</v>
      </c>
      <c r="K14" s="9">
        <f>J14/I14</f>
        <v>57.692307692307693</v>
      </c>
      <c r="L14" s="171">
        <v>26</v>
      </c>
      <c r="M14" s="10">
        <f>F14/V14*60</f>
        <v>1382.9268292682921</v>
      </c>
      <c r="N14" s="9">
        <f t="shared" ref="N14:N26" si="22">M14/L14</f>
        <v>53.189493433395846</v>
      </c>
      <c r="O14" s="11">
        <f t="shared" ref="O14" si="23">L14-I14</f>
        <v>0</v>
      </c>
      <c r="P14" s="12">
        <f t="shared" ref="P14" si="24">N14-K14</f>
        <v>-4.5028142589118474</v>
      </c>
      <c r="Q14" s="165">
        <f>N14/K14</f>
        <v>0.92195121951219461</v>
      </c>
      <c r="R14" s="533">
        <f>Q18</f>
        <v>0.92306509831493766</v>
      </c>
      <c r="S14" s="24">
        <v>0.25</v>
      </c>
      <c r="T14" s="24">
        <v>0.30694444444444446</v>
      </c>
      <c r="U14" s="163"/>
      <c r="V14" s="172">
        <f>(T14-S14)*24*60</f>
        <v>82.000000000000028</v>
      </c>
      <c r="W14" s="15"/>
      <c r="X14" s="15"/>
      <c r="Y14" s="528"/>
      <c r="Z14" s="528"/>
      <c r="AA14" s="11">
        <f t="shared" si="2"/>
        <v>-117.07317073170793</v>
      </c>
      <c r="AB14" s="165">
        <f t="shared" si="19"/>
        <v>0.92195121951219472</v>
      </c>
      <c r="AC14" s="533">
        <f>AB18</f>
        <v>0.92306509831493755</v>
      </c>
    </row>
    <row r="15" spans="1:29" ht="16.5" customHeight="1">
      <c r="A15" s="557" t="s">
        <v>373</v>
      </c>
      <c r="B15" s="173" t="s">
        <v>15</v>
      </c>
      <c r="C15" s="552" t="s">
        <v>49</v>
      </c>
      <c r="D15" s="552"/>
      <c r="E15" s="26">
        <v>39.29</v>
      </c>
      <c r="F15" s="173">
        <v>3596</v>
      </c>
      <c r="G15" s="163">
        <f t="shared" si="21"/>
        <v>141286.84</v>
      </c>
      <c r="H15" s="76" t="s">
        <v>52</v>
      </c>
      <c r="I15" s="171">
        <v>16</v>
      </c>
      <c r="J15" s="18">
        <v>1500</v>
      </c>
      <c r="K15" s="9">
        <f>J15/I15</f>
        <v>93.75</v>
      </c>
      <c r="L15" s="171">
        <v>16</v>
      </c>
      <c r="M15" s="10">
        <f>F15/V15*60</f>
        <v>1374.2675159235669</v>
      </c>
      <c r="N15" s="9">
        <f t="shared" si="22"/>
        <v>85.891719745222929</v>
      </c>
      <c r="O15" s="11">
        <f>L15-I15</f>
        <v>0</v>
      </c>
      <c r="P15" s="12">
        <f>N15-K15</f>
        <v>-7.8582802547770711</v>
      </c>
      <c r="Q15" s="165">
        <f>N15/K15</f>
        <v>0.91617834394904463</v>
      </c>
      <c r="R15" s="533"/>
      <c r="S15" s="24">
        <v>0.31666666666666665</v>
      </c>
      <c r="T15" s="24">
        <v>0.42569444444444443</v>
      </c>
      <c r="U15" s="163">
        <f>IF(S15=TIME(17,0,0),"",(S15-T14)*24*60)</f>
        <v>13.99999999999995</v>
      </c>
      <c r="V15" s="172">
        <f>(T15-S15)*24*60</f>
        <v>157</v>
      </c>
      <c r="W15" s="14"/>
      <c r="X15" s="14"/>
      <c r="Y15" s="528"/>
      <c r="Z15" s="528"/>
      <c r="AA15" s="11">
        <f t="shared" si="2"/>
        <v>-125.73248407643314</v>
      </c>
      <c r="AB15" s="165">
        <f t="shared" si="19"/>
        <v>0.91617834394904463</v>
      </c>
      <c r="AC15" s="533"/>
    </row>
    <row r="16" spans="1:29" ht="16.5" customHeight="1">
      <c r="A16" s="557" t="s">
        <v>373</v>
      </c>
      <c r="B16" s="173" t="s">
        <v>13</v>
      </c>
      <c r="C16" s="552" t="s">
        <v>57</v>
      </c>
      <c r="D16" s="552"/>
      <c r="E16" s="26">
        <v>50.98</v>
      </c>
      <c r="F16" s="173">
        <v>2687</v>
      </c>
      <c r="G16" s="163">
        <f t="shared" si="21"/>
        <v>136983.25999999998</v>
      </c>
      <c r="H16" s="76" t="s">
        <v>52</v>
      </c>
      <c r="I16" s="171">
        <v>17</v>
      </c>
      <c r="J16" s="18">
        <v>2000</v>
      </c>
      <c r="K16" s="9">
        <f t="shared" ref="K16:K17" si="25">J16/I16</f>
        <v>117.64705882352941</v>
      </c>
      <c r="L16" s="171">
        <v>17</v>
      </c>
      <c r="M16" s="10">
        <f t="shared" ref="M16:M17" si="26">F16/V16*60</f>
        <v>1853.1034482758619</v>
      </c>
      <c r="N16" s="9">
        <f t="shared" si="22"/>
        <v>109.00608519269775</v>
      </c>
      <c r="O16" s="11">
        <f t="shared" ref="O16:O17" si="27">L16-I16</f>
        <v>0</v>
      </c>
      <c r="P16" s="12">
        <f t="shared" ref="P16:P17" si="28">N16-K16</f>
        <v>-8.6409736308316525</v>
      </c>
      <c r="Q16" s="165">
        <f t="shared" ref="Q16:Q26" si="29">N16/K16</f>
        <v>0.92655172413793097</v>
      </c>
      <c r="R16" s="533"/>
      <c r="S16" s="24">
        <v>0.70833333333333337</v>
      </c>
      <c r="T16" s="24">
        <v>0.76875000000000004</v>
      </c>
      <c r="U16" s="163" t="str">
        <f t="shared" ref="U16:U17" si="30">IF(S16=TIME(17,0,0),"",(S16-T15)*24*60)</f>
        <v/>
      </c>
      <c r="V16" s="172">
        <f t="shared" ref="V16:V17" si="31">(T16-S16)*24*60</f>
        <v>87.000000000000014</v>
      </c>
      <c r="W16" s="14"/>
      <c r="X16" s="14"/>
      <c r="Y16" s="528"/>
      <c r="Z16" s="528"/>
      <c r="AA16" s="11">
        <f t="shared" si="2"/>
        <v>-146.89655172413813</v>
      </c>
      <c r="AB16" s="165">
        <f t="shared" si="19"/>
        <v>0.92655172413793097</v>
      </c>
      <c r="AC16" s="533"/>
    </row>
    <row r="17" spans="1:29" ht="16.5" customHeight="1">
      <c r="A17" s="557" t="s">
        <v>373</v>
      </c>
      <c r="B17" s="173" t="s">
        <v>13</v>
      </c>
      <c r="C17" s="552" t="s">
        <v>54</v>
      </c>
      <c r="D17" s="552"/>
      <c r="E17" s="26">
        <v>50.92</v>
      </c>
      <c r="F17" s="173">
        <v>2931</v>
      </c>
      <c r="G17" s="163">
        <f t="shared" si="21"/>
        <v>149246.52000000002</v>
      </c>
      <c r="H17" s="76" t="s">
        <v>52</v>
      </c>
      <c r="I17" s="171">
        <v>16</v>
      </c>
      <c r="J17" s="18">
        <v>2000</v>
      </c>
      <c r="K17" s="9">
        <f t="shared" si="25"/>
        <v>125</v>
      </c>
      <c r="L17" s="171">
        <v>16</v>
      </c>
      <c r="M17" s="10">
        <f t="shared" si="26"/>
        <v>1851.1578947368425</v>
      </c>
      <c r="N17" s="9">
        <f t="shared" si="22"/>
        <v>115.69736842105266</v>
      </c>
      <c r="O17" s="11">
        <f t="shared" si="27"/>
        <v>0</v>
      </c>
      <c r="P17" s="12">
        <f t="shared" si="28"/>
        <v>-9.3026315789473415</v>
      </c>
      <c r="Q17" s="165">
        <f t="shared" si="29"/>
        <v>0.92557894736842128</v>
      </c>
      <c r="R17" s="533"/>
      <c r="S17" s="24">
        <v>0.77430555555555558</v>
      </c>
      <c r="T17" s="24">
        <v>0.84027777777777779</v>
      </c>
      <c r="U17" s="163">
        <f t="shared" si="30"/>
        <v>7.9999999999999716</v>
      </c>
      <c r="V17" s="172">
        <f t="shared" si="31"/>
        <v>94.999999999999986</v>
      </c>
      <c r="W17" s="14"/>
      <c r="X17" s="14"/>
      <c r="Y17" s="528"/>
      <c r="Z17" s="528"/>
      <c r="AA17" s="11">
        <f t="shared" si="2"/>
        <v>-148.84210526315746</v>
      </c>
      <c r="AB17" s="165">
        <f t="shared" si="19"/>
        <v>0.92557894736842128</v>
      </c>
      <c r="AC17" s="533"/>
    </row>
    <row r="18" spans="1:29" ht="16.5" customHeight="1">
      <c r="A18" s="557" t="s">
        <v>373</v>
      </c>
      <c r="B18" s="26" t="s">
        <v>82</v>
      </c>
      <c r="C18" s="530"/>
      <c r="D18" s="530"/>
      <c r="E18" s="164"/>
      <c r="F18" s="16"/>
      <c r="G18" s="9"/>
      <c r="H18" s="173"/>
      <c r="I18" s="17">
        <f>AVERAGE(I14:I17)</f>
        <v>18.75</v>
      </c>
      <c r="J18" s="18">
        <v>1750</v>
      </c>
      <c r="K18" s="9">
        <f>J18/I18</f>
        <v>93.333333333333329</v>
      </c>
      <c r="L18" s="17">
        <f>AVERAGE(L14:L17)</f>
        <v>18.75</v>
      </c>
      <c r="M18" s="10">
        <f>AVERAGE(M14:M17)</f>
        <v>1615.3639220511407</v>
      </c>
      <c r="N18" s="9">
        <f t="shared" si="22"/>
        <v>86.152742509394173</v>
      </c>
      <c r="O18" s="11">
        <f>L18-I18</f>
        <v>0</v>
      </c>
      <c r="P18" s="12">
        <f>N18-K18</f>
        <v>-7.1805908239391556</v>
      </c>
      <c r="Q18" s="165">
        <f t="shared" si="29"/>
        <v>0.92306509831493766</v>
      </c>
      <c r="R18" s="533"/>
      <c r="S18" s="24"/>
      <c r="T18" s="24"/>
      <c r="U18" s="163"/>
      <c r="V18" s="172"/>
      <c r="W18" s="9"/>
      <c r="X18" s="9"/>
      <c r="Y18" s="528"/>
      <c r="Z18" s="528"/>
      <c r="AA18" s="11">
        <f t="shared" si="2"/>
        <v>-134.63607794885934</v>
      </c>
      <c r="AB18" s="165">
        <f t="shared" si="19"/>
        <v>0.92306509831493755</v>
      </c>
      <c r="AC18" s="533"/>
    </row>
    <row r="19" spans="1:29" ht="15.75" customHeight="1">
      <c r="A19" s="554" t="s">
        <v>375</v>
      </c>
      <c r="B19" s="26" t="s">
        <v>21</v>
      </c>
      <c r="C19" s="552" t="s">
        <v>22</v>
      </c>
      <c r="D19" s="552"/>
      <c r="E19" s="26">
        <v>43.14</v>
      </c>
      <c r="F19" s="173">
        <v>1278</v>
      </c>
      <c r="G19" s="163">
        <f t="shared" ref="G19:G26" si="32">E19*F19</f>
        <v>55132.92</v>
      </c>
      <c r="H19" s="76" t="s">
        <v>52</v>
      </c>
      <c r="I19" s="171">
        <v>17</v>
      </c>
      <c r="J19" s="18">
        <v>2000</v>
      </c>
      <c r="K19" s="9">
        <f t="shared" ref="K19:K27" si="33">J19/I19</f>
        <v>117.64705882352941</v>
      </c>
      <c r="L19" s="171">
        <v>17</v>
      </c>
      <c r="M19" s="10">
        <f t="shared" ref="M19:M26" si="34">F19/V19*60</f>
        <v>1870.2439024390237</v>
      </c>
      <c r="N19" s="9">
        <f t="shared" si="22"/>
        <v>110.01434720229551</v>
      </c>
      <c r="O19" s="11">
        <f t="shared" ref="O19:O26" si="35">L19-I19</f>
        <v>0</v>
      </c>
      <c r="P19" s="12">
        <f t="shared" ref="P19:P26" si="36">N19-K19</f>
        <v>-7.632711621233895</v>
      </c>
      <c r="Q19" s="165">
        <f t="shared" si="29"/>
        <v>0.93512195121951192</v>
      </c>
      <c r="R19" s="533">
        <f>Q27</f>
        <v>0.93116478786052415</v>
      </c>
      <c r="S19" s="24">
        <v>0.20833333333333334</v>
      </c>
      <c r="T19" s="24">
        <v>0.23680555555555557</v>
      </c>
      <c r="U19" s="163"/>
      <c r="V19" s="172">
        <f>(T19-S19)*24*60</f>
        <v>41.000000000000014</v>
      </c>
      <c r="W19" s="15"/>
      <c r="X19" s="15"/>
      <c r="Y19" s="528"/>
      <c r="Z19" s="528"/>
      <c r="AA19" s="11">
        <f t="shared" si="2"/>
        <v>-129.75609756097629</v>
      </c>
      <c r="AB19" s="165">
        <f t="shared" si="19"/>
        <v>0.9351219512195118</v>
      </c>
      <c r="AC19" s="533">
        <f>AB27</f>
        <v>0.93116478786052415</v>
      </c>
    </row>
    <row r="20" spans="1:29" ht="15.75" customHeight="1">
      <c r="A20" s="555" t="s">
        <v>375</v>
      </c>
      <c r="B20" s="26" t="s">
        <v>13</v>
      </c>
      <c r="C20" s="552" t="s">
        <v>23</v>
      </c>
      <c r="D20" s="552"/>
      <c r="E20" s="26">
        <v>57.73</v>
      </c>
      <c r="F20" s="173">
        <v>3011</v>
      </c>
      <c r="G20" s="163">
        <f t="shared" si="32"/>
        <v>173825.03</v>
      </c>
      <c r="H20" s="76" t="s">
        <v>52</v>
      </c>
      <c r="I20" s="171">
        <v>16</v>
      </c>
      <c r="J20" s="18">
        <v>2000</v>
      </c>
      <c r="K20" s="9">
        <f t="shared" si="33"/>
        <v>125</v>
      </c>
      <c r="L20" s="171">
        <v>16</v>
      </c>
      <c r="M20" s="10">
        <f t="shared" si="34"/>
        <v>1843.4693877551026</v>
      </c>
      <c r="N20" s="9">
        <f t="shared" si="22"/>
        <v>115.21683673469391</v>
      </c>
      <c r="O20" s="11">
        <f t="shared" si="35"/>
        <v>0</v>
      </c>
      <c r="P20" s="12">
        <f t="shared" si="36"/>
        <v>-9.7831632653060865</v>
      </c>
      <c r="Q20" s="165">
        <f t="shared" si="29"/>
        <v>0.92173469387755136</v>
      </c>
      <c r="R20" s="533"/>
      <c r="S20" s="24">
        <v>0.24097222222222225</v>
      </c>
      <c r="T20" s="24">
        <v>0.30902777777777779</v>
      </c>
      <c r="U20" s="163">
        <f>IF(S20=TIME(17,0,0),"",(S20-T19)*24*60)</f>
        <v>6.0000000000000187</v>
      </c>
      <c r="V20" s="172">
        <f t="shared" ref="V20:V26" si="37">(T20-S20)*24*60</f>
        <v>97.999999999999972</v>
      </c>
      <c r="W20" s="14"/>
      <c r="X20" s="163"/>
      <c r="Y20" s="528"/>
      <c r="Z20" s="528"/>
      <c r="AA20" s="11">
        <f t="shared" si="2"/>
        <v>-156.53061224489738</v>
      </c>
      <c r="AB20" s="165">
        <f t="shared" si="19"/>
        <v>0.92173469387755136</v>
      </c>
      <c r="AC20" s="533"/>
    </row>
    <row r="21" spans="1:29" ht="15.75" customHeight="1">
      <c r="A21" s="555" t="s">
        <v>375</v>
      </c>
      <c r="B21" s="26" t="s">
        <v>13</v>
      </c>
      <c r="C21" s="552" t="s">
        <v>14</v>
      </c>
      <c r="D21" s="552"/>
      <c r="E21" s="26">
        <v>53.68</v>
      </c>
      <c r="F21" s="173">
        <v>1993</v>
      </c>
      <c r="G21" s="163">
        <f t="shared" si="32"/>
        <v>106984.24</v>
      </c>
      <c r="H21" s="76" t="s">
        <v>52</v>
      </c>
      <c r="I21" s="171">
        <v>17</v>
      </c>
      <c r="J21" s="18">
        <v>2000</v>
      </c>
      <c r="K21" s="9">
        <f t="shared" si="33"/>
        <v>117.64705882352941</v>
      </c>
      <c r="L21" s="171">
        <v>17</v>
      </c>
      <c r="M21" s="10">
        <f t="shared" si="34"/>
        <v>1839.6923076923074</v>
      </c>
      <c r="N21" s="9">
        <f t="shared" si="22"/>
        <v>108.21719457013573</v>
      </c>
      <c r="O21" s="11">
        <f t="shared" si="35"/>
        <v>0</v>
      </c>
      <c r="P21" s="12">
        <f t="shared" si="36"/>
        <v>-9.4298642533936743</v>
      </c>
      <c r="Q21" s="165">
        <f t="shared" si="29"/>
        <v>0.91984615384615376</v>
      </c>
      <c r="R21" s="533"/>
      <c r="S21" s="24">
        <v>0.31388888888888888</v>
      </c>
      <c r="T21" s="24">
        <v>0.35902777777777778</v>
      </c>
      <c r="U21" s="163">
        <f t="shared" ref="U21:U26" si="38">IF(S21=TIME(17,0,0),"",(S21-T20)*24*60)</f>
        <v>6.9999999999999751</v>
      </c>
      <c r="V21" s="172">
        <f t="shared" si="37"/>
        <v>65.000000000000014</v>
      </c>
      <c r="W21" s="14"/>
      <c r="X21" s="163"/>
      <c r="Y21" s="528"/>
      <c r="Z21" s="528"/>
      <c r="AA21" s="11">
        <f t="shared" si="2"/>
        <v>-160.30769230769261</v>
      </c>
      <c r="AB21" s="165">
        <f t="shared" si="19"/>
        <v>0.91984615384615365</v>
      </c>
      <c r="AC21" s="533"/>
    </row>
    <row r="22" spans="1:29" ht="15.75" customHeight="1">
      <c r="A22" s="555" t="s">
        <v>375</v>
      </c>
      <c r="B22" s="26" t="s">
        <v>13</v>
      </c>
      <c r="C22" s="552" t="s">
        <v>63</v>
      </c>
      <c r="D22" s="552"/>
      <c r="E22" s="26">
        <v>50.67</v>
      </c>
      <c r="F22" s="173">
        <v>1118</v>
      </c>
      <c r="G22" s="163">
        <f t="shared" si="32"/>
        <v>56649.060000000005</v>
      </c>
      <c r="H22" s="76" t="s">
        <v>52</v>
      </c>
      <c r="I22" s="171">
        <v>16</v>
      </c>
      <c r="J22" s="18">
        <v>2000</v>
      </c>
      <c r="K22" s="9">
        <f t="shared" si="33"/>
        <v>125</v>
      </c>
      <c r="L22" s="171">
        <v>16</v>
      </c>
      <c r="M22" s="10">
        <f t="shared" si="34"/>
        <v>1863.3333333333319</v>
      </c>
      <c r="N22" s="9">
        <f t="shared" si="22"/>
        <v>116.45833333333324</v>
      </c>
      <c r="O22" s="11">
        <f t="shared" si="35"/>
        <v>0</v>
      </c>
      <c r="P22" s="12">
        <f t="shared" si="36"/>
        <v>-8.5416666666667567</v>
      </c>
      <c r="Q22" s="165">
        <f t="shared" si="29"/>
        <v>0.93166666666666598</v>
      </c>
      <c r="R22" s="533"/>
      <c r="S22" s="24">
        <v>0.36458333333333331</v>
      </c>
      <c r="T22" s="24">
        <v>0.38958333333333334</v>
      </c>
      <c r="U22" s="163">
        <f t="shared" si="38"/>
        <v>7.9999999999999716</v>
      </c>
      <c r="V22" s="172">
        <f t="shared" si="37"/>
        <v>36.000000000000028</v>
      </c>
      <c r="W22" s="14"/>
      <c r="X22" s="163"/>
      <c r="Y22" s="528"/>
      <c r="Z22" s="528"/>
      <c r="AA22" s="11">
        <f t="shared" si="2"/>
        <v>-136.66666666666811</v>
      </c>
      <c r="AB22" s="165">
        <f t="shared" si="19"/>
        <v>0.93166666666666598</v>
      </c>
      <c r="AC22" s="533"/>
    </row>
    <row r="23" spans="1:29" ht="15.75" customHeight="1">
      <c r="A23" s="555" t="s">
        <v>375</v>
      </c>
      <c r="B23" s="26" t="s">
        <v>13</v>
      </c>
      <c r="C23" s="552" t="s">
        <v>81</v>
      </c>
      <c r="D23" s="552"/>
      <c r="E23" s="26">
        <v>58.17</v>
      </c>
      <c r="F23" s="173">
        <v>2747</v>
      </c>
      <c r="G23" s="163">
        <f t="shared" si="32"/>
        <v>159792.99</v>
      </c>
      <c r="H23" s="76" t="s">
        <v>52</v>
      </c>
      <c r="I23" s="171">
        <v>18</v>
      </c>
      <c r="J23" s="18">
        <v>2000</v>
      </c>
      <c r="K23" s="9">
        <f t="shared" si="33"/>
        <v>111.11111111111111</v>
      </c>
      <c r="L23" s="171">
        <v>18</v>
      </c>
      <c r="M23" s="10">
        <f t="shared" si="34"/>
        <v>1851.9101123595506</v>
      </c>
      <c r="N23" s="9">
        <f t="shared" si="22"/>
        <v>102.88389513108615</v>
      </c>
      <c r="O23" s="11">
        <f t="shared" si="35"/>
        <v>0</v>
      </c>
      <c r="P23" s="12">
        <f t="shared" si="36"/>
        <v>-8.2272159800249653</v>
      </c>
      <c r="Q23" s="165">
        <f t="shared" si="29"/>
        <v>0.92595505617977536</v>
      </c>
      <c r="R23" s="533"/>
      <c r="S23" s="24">
        <v>0.39305555555555555</v>
      </c>
      <c r="T23" s="24">
        <v>0.4548611111111111</v>
      </c>
      <c r="U23" s="163">
        <f t="shared" si="38"/>
        <v>4.9999999999999822</v>
      </c>
      <c r="V23" s="172">
        <f t="shared" si="37"/>
        <v>89</v>
      </c>
      <c r="W23" s="14"/>
      <c r="X23" s="163"/>
      <c r="Y23" s="528"/>
      <c r="Z23" s="528"/>
      <c r="AA23" s="11">
        <f t="shared" si="2"/>
        <v>-148.08988764044943</v>
      </c>
      <c r="AB23" s="165">
        <f t="shared" si="19"/>
        <v>0.92595505617977525</v>
      </c>
      <c r="AC23" s="533"/>
    </row>
    <row r="24" spans="1:29" ht="15.75" customHeight="1">
      <c r="A24" s="555" t="s">
        <v>375</v>
      </c>
      <c r="B24" s="26" t="s">
        <v>13</v>
      </c>
      <c r="C24" s="552" t="s">
        <v>85</v>
      </c>
      <c r="D24" s="552"/>
      <c r="E24" s="26">
        <v>54.09</v>
      </c>
      <c r="F24" s="173">
        <v>4100</v>
      </c>
      <c r="G24" s="163">
        <f t="shared" si="32"/>
        <v>221769</v>
      </c>
      <c r="H24" s="76" t="s">
        <v>52</v>
      </c>
      <c r="I24" s="171">
        <v>20</v>
      </c>
      <c r="J24" s="18">
        <v>2000</v>
      </c>
      <c r="K24" s="9">
        <f t="shared" si="33"/>
        <v>100</v>
      </c>
      <c r="L24" s="171">
        <v>20</v>
      </c>
      <c r="M24" s="10">
        <f t="shared" si="34"/>
        <v>1835.8208955223881</v>
      </c>
      <c r="N24" s="9">
        <f t="shared" si="22"/>
        <v>91.791044776119406</v>
      </c>
      <c r="O24" s="11">
        <f t="shared" si="35"/>
        <v>0</v>
      </c>
      <c r="P24" s="12">
        <f t="shared" si="36"/>
        <v>-8.2089552238805936</v>
      </c>
      <c r="Q24" s="165">
        <f t="shared" si="29"/>
        <v>0.91791044776119401</v>
      </c>
      <c r="R24" s="533"/>
      <c r="S24" s="24">
        <v>0.70833333333333337</v>
      </c>
      <c r="T24" s="24">
        <v>0.80138888888888893</v>
      </c>
      <c r="U24" s="163" t="str">
        <f t="shared" si="38"/>
        <v/>
      </c>
      <c r="V24" s="172">
        <f t="shared" si="37"/>
        <v>134</v>
      </c>
      <c r="W24" s="14"/>
      <c r="X24" s="15"/>
      <c r="Y24" s="528"/>
      <c r="Z24" s="528"/>
      <c r="AA24" s="11">
        <f t="shared" si="2"/>
        <v>-164.17910447761187</v>
      </c>
      <c r="AB24" s="165">
        <f t="shared" si="19"/>
        <v>0.91791044776119401</v>
      </c>
      <c r="AC24" s="533"/>
    </row>
    <row r="25" spans="1:29" ht="15.75" customHeight="1">
      <c r="A25" s="555" t="s">
        <v>375</v>
      </c>
      <c r="B25" s="26" t="s">
        <v>13</v>
      </c>
      <c r="C25" s="552" t="s">
        <v>56</v>
      </c>
      <c r="D25" s="552"/>
      <c r="E25" s="26">
        <v>53.27</v>
      </c>
      <c r="F25" s="173">
        <v>498</v>
      </c>
      <c r="G25" s="163">
        <f t="shared" si="32"/>
        <v>26528.460000000003</v>
      </c>
      <c r="H25" s="76" t="s">
        <v>52</v>
      </c>
      <c r="I25" s="171">
        <v>15</v>
      </c>
      <c r="J25" s="18">
        <v>2000</v>
      </c>
      <c r="K25" s="9">
        <f t="shared" si="33"/>
        <v>133.33333333333334</v>
      </c>
      <c r="L25" s="171">
        <v>15</v>
      </c>
      <c r="M25" s="10">
        <f t="shared" si="34"/>
        <v>1867.5000000000066</v>
      </c>
      <c r="N25" s="9">
        <f t="shared" si="22"/>
        <v>124.50000000000044</v>
      </c>
      <c r="O25" s="11">
        <f t="shared" si="35"/>
        <v>0</v>
      </c>
      <c r="P25" s="12">
        <f t="shared" si="36"/>
        <v>-8.8333333333329023</v>
      </c>
      <c r="Q25" s="165">
        <f t="shared" si="29"/>
        <v>0.93375000000000319</v>
      </c>
      <c r="R25" s="533"/>
      <c r="S25" s="24">
        <v>0.80555555555555558</v>
      </c>
      <c r="T25" s="24">
        <v>0.81666666666666665</v>
      </c>
      <c r="U25" s="163">
        <f t="shared" si="38"/>
        <v>5.9999999999999787</v>
      </c>
      <c r="V25" s="172">
        <f t="shared" si="37"/>
        <v>15.999999999999943</v>
      </c>
      <c r="W25" s="14"/>
      <c r="X25" s="15"/>
      <c r="Y25" s="536"/>
      <c r="Z25" s="537"/>
      <c r="AA25" s="11">
        <f t="shared" si="2"/>
        <v>-132.49999999999341</v>
      </c>
      <c r="AB25" s="165">
        <f t="shared" si="19"/>
        <v>0.9337500000000033</v>
      </c>
      <c r="AC25" s="533"/>
    </row>
    <row r="26" spans="1:29" ht="15.75" customHeight="1">
      <c r="A26" s="555" t="s">
        <v>375</v>
      </c>
      <c r="B26" s="26" t="s">
        <v>13</v>
      </c>
      <c r="C26" s="584" t="s">
        <v>83</v>
      </c>
      <c r="D26" s="585"/>
      <c r="E26" s="26">
        <v>49.91</v>
      </c>
      <c r="F26" s="173">
        <v>578</v>
      </c>
      <c r="G26" s="163">
        <f t="shared" si="32"/>
        <v>28847.98</v>
      </c>
      <c r="H26" s="76" t="s">
        <v>52</v>
      </c>
      <c r="I26" s="171">
        <v>16</v>
      </c>
      <c r="J26" s="18">
        <v>2000</v>
      </c>
      <c r="K26" s="9">
        <f t="shared" si="33"/>
        <v>125</v>
      </c>
      <c r="L26" s="171">
        <v>16</v>
      </c>
      <c r="M26" s="10">
        <f t="shared" si="34"/>
        <v>1926.6666666666738</v>
      </c>
      <c r="N26" s="9">
        <f t="shared" si="22"/>
        <v>120.41666666666711</v>
      </c>
      <c r="O26" s="11">
        <f t="shared" si="35"/>
        <v>0</v>
      </c>
      <c r="P26" s="12">
        <f t="shared" si="36"/>
        <v>-4.5833333333328881</v>
      </c>
      <c r="Q26" s="165">
        <f t="shared" si="29"/>
        <v>0.96333333333333693</v>
      </c>
      <c r="R26" s="533"/>
      <c r="S26" s="24">
        <v>0.82152777777777775</v>
      </c>
      <c r="T26" s="24">
        <v>0.8340277777777777</v>
      </c>
      <c r="U26" s="163">
        <f t="shared" si="38"/>
        <v>6.9999999999999751</v>
      </c>
      <c r="V26" s="172">
        <f t="shared" si="37"/>
        <v>17.999999999999936</v>
      </c>
      <c r="W26" s="14"/>
      <c r="X26" s="14"/>
      <c r="Y26" s="536"/>
      <c r="Z26" s="537"/>
      <c r="AA26" s="11">
        <f t="shared" si="2"/>
        <v>-73.333333333326209</v>
      </c>
      <c r="AB26" s="165">
        <f t="shared" si="19"/>
        <v>0.96333333333333693</v>
      </c>
      <c r="AC26" s="533"/>
    </row>
    <row r="27" spans="1:29" ht="15.75" customHeight="1">
      <c r="A27" s="555" t="s">
        <v>375</v>
      </c>
      <c r="B27" s="26" t="s">
        <v>82</v>
      </c>
      <c r="C27" s="530"/>
      <c r="D27" s="530"/>
      <c r="E27" s="164"/>
      <c r="F27" s="173"/>
      <c r="G27" s="163"/>
      <c r="H27" s="173"/>
      <c r="I27" s="17">
        <v>16.875</v>
      </c>
      <c r="J27" s="18">
        <v>2000</v>
      </c>
      <c r="K27" s="9">
        <f t="shared" si="33"/>
        <v>118.51851851851852</v>
      </c>
      <c r="L27" s="17">
        <v>16.875</v>
      </c>
      <c r="M27" s="10">
        <f>AVERAGE(M19:M26)</f>
        <v>1862.3295757210483</v>
      </c>
      <c r="N27" s="9">
        <f>M27/L27</f>
        <v>110.3602711538399</v>
      </c>
      <c r="O27" s="11">
        <f>L27-I27</f>
        <v>0</v>
      </c>
      <c r="P27" s="12">
        <f>N27-K27</f>
        <v>-8.1582473646786156</v>
      </c>
      <c r="Q27" s="165">
        <f>N27/K27</f>
        <v>0.93116478786052415</v>
      </c>
      <c r="R27" s="533"/>
      <c r="S27" s="24"/>
      <c r="T27" s="24"/>
      <c r="U27" s="9"/>
      <c r="V27" s="172"/>
      <c r="W27" s="9"/>
      <c r="X27" s="9"/>
      <c r="Y27" s="528"/>
      <c r="Z27" s="528"/>
      <c r="AA27" s="11">
        <f t="shared" si="2"/>
        <v>-137.67042427895171</v>
      </c>
      <c r="AB27" s="165">
        <f t="shared" si="19"/>
        <v>0.93116478786052415</v>
      </c>
      <c r="AC27" s="533"/>
    </row>
    <row r="28" spans="1:29" ht="15.75" customHeight="1">
      <c r="A28" s="553" t="s">
        <v>378</v>
      </c>
      <c r="B28" s="26" t="s">
        <v>24</v>
      </c>
      <c r="C28" s="552" t="s">
        <v>26</v>
      </c>
      <c r="D28" s="552"/>
      <c r="E28" s="26">
        <v>26.2</v>
      </c>
      <c r="F28" s="173">
        <v>4282</v>
      </c>
      <c r="G28" s="163">
        <f t="shared" ref="G28:G32" si="39">E28*F28</f>
        <v>112188.4</v>
      </c>
      <c r="H28" s="76" t="s">
        <v>52</v>
      </c>
      <c r="I28" s="171">
        <v>20</v>
      </c>
      <c r="J28" s="18">
        <v>2400</v>
      </c>
      <c r="K28" s="9">
        <f>J28/I28</f>
        <v>120</v>
      </c>
      <c r="L28" s="171">
        <v>20</v>
      </c>
      <c r="M28" s="10">
        <f t="shared" ref="M28:M32" si="40">F28/V28*60</f>
        <v>2214.8275862068967</v>
      </c>
      <c r="N28" s="9">
        <f t="shared" ref="N28:N32" si="41">M28/L28</f>
        <v>110.74137931034484</v>
      </c>
      <c r="O28" s="11">
        <f t="shared" ref="O28:O32" si="42">L28-I28</f>
        <v>0</v>
      </c>
      <c r="P28" s="12">
        <f t="shared" ref="P28:P32" si="43">N28-K28</f>
        <v>-9.2586206896551602</v>
      </c>
      <c r="Q28" s="165">
        <f t="shared" ref="Q28:Q32" si="44">N28/K28</f>
        <v>0.92284482758620701</v>
      </c>
      <c r="R28" s="533">
        <f>Q33</f>
        <v>0.92165566160470958</v>
      </c>
      <c r="S28" s="24">
        <v>0.125</v>
      </c>
      <c r="T28" s="24">
        <v>0.20555555555555555</v>
      </c>
      <c r="U28" s="163"/>
      <c r="V28" s="172">
        <f t="shared" ref="V28:V32" si="45">(T28-S28)*24*60</f>
        <v>115.99999999999999</v>
      </c>
      <c r="W28" s="14">
        <f>T28</f>
        <v>0.20555555555555555</v>
      </c>
      <c r="X28" s="14">
        <f>S29</f>
        <v>0.22430555555555554</v>
      </c>
      <c r="Y28" s="528"/>
      <c r="Z28" s="528"/>
      <c r="AA28" s="11">
        <f t="shared" si="2"/>
        <v>-185.17241379310326</v>
      </c>
      <c r="AB28" s="165">
        <f>M28/J28</f>
        <v>0.92284482758620701</v>
      </c>
      <c r="AC28" s="533">
        <f>AB33</f>
        <v>0.92165566160470958</v>
      </c>
    </row>
    <row r="29" spans="1:29" ht="15.75" customHeight="1">
      <c r="A29" s="553" t="s">
        <v>378</v>
      </c>
      <c r="B29" s="26" t="s">
        <v>24</v>
      </c>
      <c r="C29" s="552" t="s">
        <v>79</v>
      </c>
      <c r="D29" s="552"/>
      <c r="E29" s="26">
        <v>31.29</v>
      </c>
      <c r="F29" s="173">
        <v>3500</v>
      </c>
      <c r="G29" s="163">
        <f t="shared" si="39"/>
        <v>109515</v>
      </c>
      <c r="H29" s="76">
        <v>2</v>
      </c>
      <c r="I29" s="171">
        <v>16</v>
      </c>
      <c r="J29" s="18">
        <v>2400</v>
      </c>
      <c r="K29" s="9">
        <f t="shared" ref="K29:K33" si="46">J29/I29</f>
        <v>150</v>
      </c>
      <c r="L29" s="171">
        <v>16</v>
      </c>
      <c r="M29" s="10">
        <f t="shared" si="40"/>
        <v>2210.5263157894738</v>
      </c>
      <c r="N29" s="9">
        <f t="shared" si="41"/>
        <v>138.15789473684211</v>
      </c>
      <c r="O29" s="11">
        <f t="shared" si="42"/>
        <v>0</v>
      </c>
      <c r="P29" s="12">
        <f t="shared" si="43"/>
        <v>-11.84210526315789</v>
      </c>
      <c r="Q29" s="165">
        <f t="shared" si="44"/>
        <v>0.92105263157894735</v>
      </c>
      <c r="R29" s="533"/>
      <c r="S29" s="24">
        <v>0.22430555555555554</v>
      </c>
      <c r="T29" s="24">
        <v>0.29027777777777775</v>
      </c>
      <c r="U29" s="163">
        <f>(S29-T28)*24*60</f>
        <v>26.999999999999986</v>
      </c>
      <c r="V29" s="172">
        <f t="shared" si="45"/>
        <v>94.999999999999986</v>
      </c>
      <c r="W29" s="14"/>
      <c r="X29" s="14"/>
      <c r="Y29" s="528"/>
      <c r="Z29" s="528"/>
      <c r="AA29" s="11">
        <f t="shared" si="2"/>
        <v>-189.47368421052624</v>
      </c>
      <c r="AB29" s="165">
        <f t="shared" ref="AB29:AB32" si="47">M29/J29</f>
        <v>0.92105263157894735</v>
      </c>
      <c r="AC29" s="533"/>
    </row>
    <row r="30" spans="1:29" ht="15.75" customHeight="1">
      <c r="A30" s="553" t="s">
        <v>378</v>
      </c>
      <c r="B30" s="26" t="s">
        <v>24</v>
      </c>
      <c r="C30" s="552" t="s">
        <v>68</v>
      </c>
      <c r="D30" s="552"/>
      <c r="E30" s="26">
        <v>24.25</v>
      </c>
      <c r="F30" s="173">
        <v>5019</v>
      </c>
      <c r="G30" s="163">
        <f t="shared" si="39"/>
        <v>121710.75</v>
      </c>
      <c r="H30" s="76" t="s">
        <v>52</v>
      </c>
      <c r="I30" s="171">
        <v>18</v>
      </c>
      <c r="J30" s="18">
        <v>2400</v>
      </c>
      <c r="K30" s="9">
        <f t="shared" si="46"/>
        <v>133.33333333333334</v>
      </c>
      <c r="L30" s="171">
        <v>18</v>
      </c>
      <c r="M30" s="10">
        <f t="shared" si="40"/>
        <v>2214.2647058823532</v>
      </c>
      <c r="N30" s="9">
        <f t="shared" si="41"/>
        <v>123.01470588235296</v>
      </c>
      <c r="O30" s="11">
        <f t="shared" si="42"/>
        <v>0</v>
      </c>
      <c r="P30" s="12">
        <f t="shared" si="43"/>
        <v>-10.318627450980387</v>
      </c>
      <c r="Q30" s="165">
        <f t="shared" si="44"/>
        <v>0.92261029411764706</v>
      </c>
      <c r="R30" s="533"/>
      <c r="S30" s="24">
        <v>0.2944444444444444</v>
      </c>
      <c r="T30" s="24">
        <v>0.38888888888888884</v>
      </c>
      <c r="U30" s="163">
        <f t="shared" ref="U30:U32" si="48">(S30-T29)*24*60</f>
        <v>5.9999999999999787</v>
      </c>
      <c r="V30" s="172">
        <f t="shared" si="45"/>
        <v>136</v>
      </c>
      <c r="W30" s="14"/>
      <c r="X30" s="14"/>
      <c r="Y30" s="528"/>
      <c r="Z30" s="528"/>
      <c r="AA30" s="11">
        <f t="shared" si="2"/>
        <v>-185.73529411764684</v>
      </c>
      <c r="AB30" s="165">
        <f t="shared" si="47"/>
        <v>0.92261029411764717</v>
      </c>
      <c r="AC30" s="533"/>
    </row>
    <row r="31" spans="1:29" ht="15.75" customHeight="1">
      <c r="A31" s="553" t="s">
        <v>378</v>
      </c>
      <c r="B31" s="26" t="s">
        <v>24</v>
      </c>
      <c r="C31" s="552" t="s">
        <v>328</v>
      </c>
      <c r="D31" s="552"/>
      <c r="E31" s="26">
        <v>25.98</v>
      </c>
      <c r="F31" s="173">
        <v>6366</v>
      </c>
      <c r="G31" s="163">
        <f t="shared" si="39"/>
        <v>165388.68</v>
      </c>
      <c r="H31" s="76" t="s">
        <v>52</v>
      </c>
      <c r="I31" s="171">
        <v>17</v>
      </c>
      <c r="J31" s="18">
        <v>2400</v>
      </c>
      <c r="K31" s="9">
        <f t="shared" si="46"/>
        <v>141.1764705882353</v>
      </c>
      <c r="L31" s="171">
        <v>17</v>
      </c>
      <c r="M31" s="10">
        <f t="shared" si="40"/>
        <v>2207.8612716763</v>
      </c>
      <c r="N31" s="9">
        <f t="shared" si="41"/>
        <v>129.87419245154706</v>
      </c>
      <c r="O31" s="11">
        <f t="shared" si="42"/>
        <v>0</v>
      </c>
      <c r="P31" s="12">
        <f t="shared" si="43"/>
        <v>-11.302278136688244</v>
      </c>
      <c r="Q31" s="165">
        <f t="shared" si="44"/>
        <v>0.91994219653179166</v>
      </c>
      <c r="R31" s="533"/>
      <c r="S31" s="24">
        <v>0.39305555555555549</v>
      </c>
      <c r="T31" s="24">
        <v>0.5131944444444444</v>
      </c>
      <c r="U31" s="163">
        <f t="shared" si="48"/>
        <v>5.9999999999999787</v>
      </c>
      <c r="V31" s="172">
        <f t="shared" si="45"/>
        <v>173.00000000000003</v>
      </c>
      <c r="W31" s="14">
        <f>T31</f>
        <v>0.5131944444444444</v>
      </c>
      <c r="X31" s="14">
        <f>S32</f>
        <v>0.55347222222222214</v>
      </c>
      <c r="Y31" s="528"/>
      <c r="Z31" s="528"/>
      <c r="AA31" s="11">
        <f t="shared" si="2"/>
        <v>-192.13872832369998</v>
      </c>
      <c r="AB31" s="165">
        <f t="shared" si="47"/>
        <v>0.91994219653179166</v>
      </c>
      <c r="AC31" s="533"/>
    </row>
    <row r="32" spans="1:29" ht="15.75" customHeight="1">
      <c r="A32" s="553" t="s">
        <v>378</v>
      </c>
      <c r="B32" s="26" t="s">
        <v>24</v>
      </c>
      <c r="C32" s="552" t="s">
        <v>79</v>
      </c>
      <c r="D32" s="552"/>
      <c r="E32" s="26">
        <v>31.29</v>
      </c>
      <c r="F32" s="173">
        <v>4941</v>
      </c>
      <c r="G32" s="163">
        <f t="shared" si="39"/>
        <v>154603.88999999998</v>
      </c>
      <c r="H32" s="76" t="s">
        <v>52</v>
      </c>
      <c r="I32" s="171">
        <v>16</v>
      </c>
      <c r="J32" s="18">
        <v>2400</v>
      </c>
      <c r="K32" s="9">
        <f t="shared" si="46"/>
        <v>150</v>
      </c>
      <c r="L32" s="171">
        <v>16</v>
      </c>
      <c r="M32" s="10">
        <f t="shared" si="40"/>
        <v>2212.3880597014927</v>
      </c>
      <c r="N32" s="9">
        <f t="shared" si="41"/>
        <v>138.27425373134329</v>
      </c>
      <c r="O32" s="11">
        <f t="shared" si="42"/>
        <v>0</v>
      </c>
      <c r="P32" s="12">
        <f t="shared" si="43"/>
        <v>-11.725746268656707</v>
      </c>
      <c r="Q32" s="165">
        <f t="shared" si="44"/>
        <v>0.92182835820895526</v>
      </c>
      <c r="R32" s="533"/>
      <c r="S32" s="24">
        <v>0.55347222222222214</v>
      </c>
      <c r="T32" s="24">
        <v>0.6465277777777777</v>
      </c>
      <c r="U32" s="163">
        <f t="shared" si="48"/>
        <v>57.999999999999957</v>
      </c>
      <c r="V32" s="172">
        <f t="shared" si="45"/>
        <v>134</v>
      </c>
      <c r="W32" s="14"/>
      <c r="X32" s="14"/>
      <c r="Y32" s="528"/>
      <c r="Z32" s="528"/>
      <c r="AA32" s="11">
        <f t="shared" si="2"/>
        <v>-187.61194029850731</v>
      </c>
      <c r="AB32" s="165">
        <f t="shared" si="47"/>
        <v>0.92182835820895526</v>
      </c>
      <c r="AC32" s="533"/>
    </row>
    <row r="33" spans="1:29" ht="15.75" customHeight="1">
      <c r="A33" s="553" t="s">
        <v>378</v>
      </c>
      <c r="B33" s="26" t="s">
        <v>82</v>
      </c>
      <c r="C33" s="530"/>
      <c r="D33" s="530"/>
      <c r="E33" s="164"/>
      <c r="F33" s="173"/>
      <c r="G33" s="163"/>
      <c r="H33" s="173"/>
      <c r="I33" s="17">
        <v>17.399999999999999</v>
      </c>
      <c r="J33" s="18">
        <v>2400</v>
      </c>
      <c r="K33" s="9">
        <f t="shared" si="46"/>
        <v>137.93103448275863</v>
      </c>
      <c r="L33" s="17">
        <v>17.399999999999999</v>
      </c>
      <c r="M33" s="10">
        <f>AVERAGE(M28:M32)</f>
        <v>2211.9735878513029</v>
      </c>
      <c r="N33" s="9">
        <f>M33/L33</f>
        <v>127.12491884202892</v>
      </c>
      <c r="O33" s="11">
        <f>L33-I33</f>
        <v>0</v>
      </c>
      <c r="P33" s="12">
        <f>N33-K33</f>
        <v>-10.806115640729715</v>
      </c>
      <c r="Q33" s="165">
        <f>N33/K33</f>
        <v>0.92165566160470958</v>
      </c>
      <c r="R33" s="533"/>
      <c r="S33" s="24"/>
      <c r="T33" s="24"/>
      <c r="U33" s="163"/>
      <c r="V33" s="172"/>
      <c r="W33" s="163"/>
      <c r="X33" s="163"/>
      <c r="Y33" s="528"/>
      <c r="Z33" s="528"/>
      <c r="AA33" s="11">
        <f t="shared" si="2"/>
        <v>-188.02641214869709</v>
      </c>
      <c r="AB33" s="165">
        <f>M33/J33</f>
        <v>0.92165566160470958</v>
      </c>
      <c r="AC33" s="533"/>
    </row>
    <row r="34" spans="1:29" ht="15.75" customHeight="1">
      <c r="A34" s="550" t="s">
        <v>379</v>
      </c>
      <c r="B34" s="26" t="s">
        <v>24</v>
      </c>
      <c r="C34" s="529" t="s">
        <v>28</v>
      </c>
      <c r="D34" s="529"/>
      <c r="E34" s="26">
        <v>26.2</v>
      </c>
      <c r="F34" s="173">
        <v>2500</v>
      </c>
      <c r="G34" s="163">
        <f t="shared" ref="G34:G42" si="49">E34*F34</f>
        <v>65500</v>
      </c>
      <c r="H34" s="76">
        <v>2</v>
      </c>
      <c r="I34" s="171">
        <v>18</v>
      </c>
      <c r="J34" s="18">
        <v>2400</v>
      </c>
      <c r="K34" s="9">
        <f>J34/I34</f>
        <v>133.33333333333334</v>
      </c>
      <c r="L34" s="171">
        <v>18</v>
      </c>
      <c r="M34" s="10">
        <f>F34/V34*60</f>
        <v>2205.8823529411775</v>
      </c>
      <c r="N34" s="9">
        <f>M34/L34</f>
        <v>122.54901960784319</v>
      </c>
      <c r="O34" s="11">
        <f t="shared" ref="O34:O42" si="50">L34-I34</f>
        <v>0</v>
      </c>
      <c r="P34" s="12">
        <f t="shared" ref="P34:P52" si="51">N34-K34</f>
        <v>-10.784313725490151</v>
      </c>
      <c r="Q34" s="165">
        <f t="shared" ref="Q34:Q47" si="52">N34/K34</f>
        <v>0.91911764705882393</v>
      </c>
      <c r="R34" s="533">
        <f>Q43</f>
        <v>0.92258404303219266</v>
      </c>
      <c r="S34" s="24">
        <v>8.3333333333333329E-2</v>
      </c>
      <c r="T34" s="24">
        <v>0.13055555555555554</v>
      </c>
      <c r="U34" s="163"/>
      <c r="V34" s="172">
        <f t="shared" ref="V34:V42" si="53">(T34-S34)*24*60</f>
        <v>67.999999999999972</v>
      </c>
      <c r="W34" s="15">
        <f>T34</f>
        <v>0.13055555555555554</v>
      </c>
      <c r="X34" s="15">
        <f>S35</f>
        <v>0.14999999999999997</v>
      </c>
      <c r="Y34" s="528"/>
      <c r="Z34" s="528"/>
      <c r="AA34" s="11">
        <f t="shared" si="2"/>
        <v>-194.11764705882251</v>
      </c>
      <c r="AB34" s="165">
        <f>M34/J34</f>
        <v>0.91911764705882393</v>
      </c>
      <c r="AC34" s="533">
        <f>AB43</f>
        <v>0.92258404303219266</v>
      </c>
    </row>
    <row r="35" spans="1:29" ht="15.75" customHeight="1">
      <c r="A35" s="550" t="s">
        <v>379</v>
      </c>
      <c r="B35" s="26" t="s">
        <v>24</v>
      </c>
      <c r="C35" s="529" t="s">
        <v>30</v>
      </c>
      <c r="D35" s="529"/>
      <c r="E35" s="26">
        <v>24.45</v>
      </c>
      <c r="F35" s="173">
        <v>2328</v>
      </c>
      <c r="G35" s="163">
        <f t="shared" si="49"/>
        <v>56919.6</v>
      </c>
      <c r="H35" s="76" t="s">
        <v>52</v>
      </c>
      <c r="I35" s="171">
        <v>20</v>
      </c>
      <c r="J35" s="18">
        <v>2400</v>
      </c>
      <c r="K35" s="9">
        <f t="shared" ref="K35:K51" si="54">J35/I35</f>
        <v>120</v>
      </c>
      <c r="L35" s="171">
        <v>20</v>
      </c>
      <c r="M35" s="10">
        <f t="shared" ref="M35:M42" si="55">F35/V35*60</f>
        <v>2217.1428571428564</v>
      </c>
      <c r="N35" s="9">
        <f t="shared" ref="N35:N42" si="56">M35/L35</f>
        <v>110.85714285714282</v>
      </c>
      <c r="O35" s="11">
        <f t="shared" si="50"/>
        <v>0</v>
      </c>
      <c r="P35" s="12">
        <f t="shared" si="51"/>
        <v>-9.1428571428571814</v>
      </c>
      <c r="Q35" s="165">
        <f t="shared" si="52"/>
        <v>0.92380952380952353</v>
      </c>
      <c r="R35" s="533"/>
      <c r="S35" s="24">
        <v>0.14999999999999997</v>
      </c>
      <c r="T35" s="24">
        <v>0.19374999999999998</v>
      </c>
      <c r="U35" s="163">
        <f>(S35-T34)*24*60</f>
        <v>27.999999999999979</v>
      </c>
      <c r="V35" s="172">
        <f t="shared" si="53"/>
        <v>63.000000000000014</v>
      </c>
      <c r="W35" s="163"/>
      <c r="X35" s="163"/>
      <c r="Y35" s="528"/>
      <c r="Z35" s="528"/>
      <c r="AA35" s="11">
        <f t="shared" si="2"/>
        <v>-182.85714285714357</v>
      </c>
      <c r="AB35" s="165">
        <f t="shared" ref="AB35:AB65" si="57">M35/J35</f>
        <v>0.92380952380952353</v>
      </c>
      <c r="AC35" s="533"/>
    </row>
    <row r="36" spans="1:29">
      <c r="A36" s="551" t="s">
        <v>379</v>
      </c>
      <c r="B36" s="26" t="s">
        <v>24</v>
      </c>
      <c r="C36" s="529" t="s">
        <v>31</v>
      </c>
      <c r="D36" s="529"/>
      <c r="E36" s="26">
        <v>26.2</v>
      </c>
      <c r="F36" s="173">
        <v>3272</v>
      </c>
      <c r="G36" s="163">
        <f t="shared" si="49"/>
        <v>85726.399999999994</v>
      </c>
      <c r="H36" s="76" t="s">
        <v>52</v>
      </c>
      <c r="I36" s="171">
        <v>20</v>
      </c>
      <c r="J36" s="18">
        <v>2400</v>
      </c>
      <c r="K36" s="9">
        <f t="shared" si="54"/>
        <v>120</v>
      </c>
      <c r="L36" s="171">
        <v>20</v>
      </c>
      <c r="M36" s="10">
        <f t="shared" si="55"/>
        <v>2205.8426966292145</v>
      </c>
      <c r="N36" s="9">
        <f t="shared" si="56"/>
        <v>110.29213483146073</v>
      </c>
      <c r="O36" s="11">
        <f t="shared" si="50"/>
        <v>0</v>
      </c>
      <c r="P36" s="12">
        <f t="shared" si="51"/>
        <v>-9.7078651685392714</v>
      </c>
      <c r="Q36" s="165">
        <f t="shared" si="52"/>
        <v>0.91910112359550611</v>
      </c>
      <c r="R36" s="533"/>
      <c r="S36" s="24">
        <v>0.19930555555555554</v>
      </c>
      <c r="T36" s="24">
        <v>0.26111111111111107</v>
      </c>
      <c r="U36" s="163">
        <f t="shared" ref="U36:U42" si="58">(S36-T35)*24*60</f>
        <v>8.0000000000000107</v>
      </c>
      <c r="V36" s="172">
        <f t="shared" si="53"/>
        <v>88.999999999999957</v>
      </c>
      <c r="W36" s="163"/>
      <c r="X36" s="163"/>
      <c r="Y36" s="528"/>
      <c r="Z36" s="528"/>
      <c r="AA36" s="11">
        <f t="shared" si="2"/>
        <v>-194.15730337078548</v>
      </c>
      <c r="AB36" s="165">
        <f t="shared" si="57"/>
        <v>0.919101123595506</v>
      </c>
      <c r="AC36" s="533"/>
    </row>
    <row r="37" spans="1:29">
      <c r="A37" s="551" t="s">
        <v>379</v>
      </c>
      <c r="B37" s="26" t="s">
        <v>24</v>
      </c>
      <c r="C37" s="529" t="s">
        <v>29</v>
      </c>
      <c r="D37" s="529"/>
      <c r="E37" s="26">
        <v>26.39</v>
      </c>
      <c r="F37" s="173">
        <v>3200</v>
      </c>
      <c r="G37" s="163">
        <f t="shared" si="49"/>
        <v>84448</v>
      </c>
      <c r="H37" s="76">
        <v>2</v>
      </c>
      <c r="I37" s="171">
        <v>19</v>
      </c>
      <c r="J37" s="18">
        <v>2400</v>
      </c>
      <c r="K37" s="9">
        <f t="shared" si="54"/>
        <v>126.31578947368421</v>
      </c>
      <c r="L37" s="171">
        <v>19</v>
      </c>
      <c r="M37" s="10">
        <f t="shared" si="55"/>
        <v>2206.8965517241372</v>
      </c>
      <c r="N37" s="9">
        <f t="shared" si="56"/>
        <v>116.15245009074407</v>
      </c>
      <c r="O37" s="11">
        <f t="shared" si="50"/>
        <v>0</v>
      </c>
      <c r="P37" s="12">
        <f t="shared" si="51"/>
        <v>-10.163339382940137</v>
      </c>
      <c r="Q37" s="165">
        <f t="shared" si="52"/>
        <v>0.91954022988505724</v>
      </c>
      <c r="R37" s="533"/>
      <c r="S37" s="24">
        <v>0.26527777777777772</v>
      </c>
      <c r="T37" s="24">
        <v>0.3256944444444444</v>
      </c>
      <c r="U37" s="163">
        <f t="shared" si="58"/>
        <v>5.9999999999999787</v>
      </c>
      <c r="V37" s="172">
        <f t="shared" si="53"/>
        <v>87.000000000000014</v>
      </c>
      <c r="W37" s="14"/>
      <c r="X37" s="14"/>
      <c r="Y37" s="528"/>
      <c r="Z37" s="528"/>
      <c r="AA37" s="11">
        <f t="shared" si="2"/>
        <v>-193.10344827586277</v>
      </c>
      <c r="AB37" s="165">
        <f t="shared" si="57"/>
        <v>0.91954022988505713</v>
      </c>
      <c r="AC37" s="533"/>
    </row>
    <row r="38" spans="1:29">
      <c r="A38" s="551" t="s">
        <v>379</v>
      </c>
      <c r="B38" s="26" t="s">
        <v>24</v>
      </c>
      <c r="C38" s="529" t="s">
        <v>27</v>
      </c>
      <c r="D38" s="529"/>
      <c r="E38" s="26">
        <v>20.52</v>
      </c>
      <c r="F38" s="173">
        <v>3298</v>
      </c>
      <c r="G38" s="163">
        <f t="shared" si="49"/>
        <v>67674.959999999992</v>
      </c>
      <c r="H38" s="76" t="s">
        <v>52</v>
      </c>
      <c r="I38" s="171">
        <v>18</v>
      </c>
      <c r="J38" s="18">
        <v>2400</v>
      </c>
      <c r="K38" s="9">
        <f t="shared" si="54"/>
        <v>133.33333333333334</v>
      </c>
      <c r="L38" s="171">
        <v>18</v>
      </c>
      <c r="M38" s="10">
        <f t="shared" si="55"/>
        <v>2223.3707865168535</v>
      </c>
      <c r="N38" s="9">
        <f t="shared" si="56"/>
        <v>123.5205992509363</v>
      </c>
      <c r="O38" s="11">
        <f t="shared" si="50"/>
        <v>0</v>
      </c>
      <c r="P38" s="12">
        <f t="shared" si="51"/>
        <v>-9.8127340823970428</v>
      </c>
      <c r="Q38" s="165">
        <f t="shared" si="52"/>
        <v>0.92640449438202221</v>
      </c>
      <c r="R38" s="533"/>
      <c r="S38" s="24">
        <v>0.33124999999999993</v>
      </c>
      <c r="T38" s="24">
        <v>0.39305555555555549</v>
      </c>
      <c r="U38" s="163">
        <f t="shared" si="58"/>
        <v>7.9999999999999716</v>
      </c>
      <c r="V38" s="172">
        <f t="shared" si="53"/>
        <v>89</v>
      </c>
      <c r="W38" s="14"/>
      <c r="X38" s="14"/>
      <c r="Y38" s="528"/>
      <c r="Z38" s="528"/>
      <c r="AA38" s="11">
        <f t="shared" si="2"/>
        <v>-176.62921348314649</v>
      </c>
      <c r="AB38" s="165">
        <f t="shared" si="57"/>
        <v>0.92640449438202233</v>
      </c>
      <c r="AC38" s="533"/>
    </row>
    <row r="39" spans="1:29">
      <c r="A39" s="551" t="s">
        <v>379</v>
      </c>
      <c r="B39" s="26" t="s">
        <v>24</v>
      </c>
      <c r="C39" s="529" t="s">
        <v>50</v>
      </c>
      <c r="D39" s="529"/>
      <c r="E39" s="26">
        <v>26.2</v>
      </c>
      <c r="F39" s="173">
        <v>4353</v>
      </c>
      <c r="G39" s="163">
        <f t="shared" si="49"/>
        <v>114048.59999999999</v>
      </c>
      <c r="H39" s="76" t="s">
        <v>52</v>
      </c>
      <c r="I39" s="171">
        <v>19</v>
      </c>
      <c r="J39" s="18">
        <v>2400</v>
      </c>
      <c r="K39" s="9">
        <f t="shared" si="54"/>
        <v>126.31578947368421</v>
      </c>
      <c r="L39" s="171">
        <v>19</v>
      </c>
      <c r="M39" s="10">
        <f t="shared" si="55"/>
        <v>2213.3898305084749</v>
      </c>
      <c r="N39" s="9">
        <f t="shared" si="56"/>
        <v>116.49420160570921</v>
      </c>
      <c r="O39" s="11">
        <f t="shared" si="50"/>
        <v>0</v>
      </c>
      <c r="P39" s="12">
        <f t="shared" si="51"/>
        <v>-9.8215878679749977</v>
      </c>
      <c r="Q39" s="165">
        <f t="shared" si="52"/>
        <v>0.92224576271186465</v>
      </c>
      <c r="R39" s="533"/>
      <c r="S39" s="24">
        <v>0.39791666666666659</v>
      </c>
      <c r="T39" s="24">
        <v>0.47986111111111102</v>
      </c>
      <c r="U39" s="163">
        <f t="shared" si="58"/>
        <v>6.9999999999999751</v>
      </c>
      <c r="V39" s="172">
        <f t="shared" si="53"/>
        <v>117.99999999999999</v>
      </c>
      <c r="W39" s="14"/>
      <c r="X39" s="14"/>
      <c r="Y39" s="528"/>
      <c r="Z39" s="528"/>
      <c r="AA39" s="11">
        <f t="shared" si="2"/>
        <v>-186.61016949152508</v>
      </c>
      <c r="AB39" s="165">
        <f t="shared" si="57"/>
        <v>0.92224576271186454</v>
      </c>
      <c r="AC39" s="533"/>
    </row>
    <row r="40" spans="1:29">
      <c r="A40" s="551" t="s">
        <v>379</v>
      </c>
      <c r="B40" s="26" t="s">
        <v>24</v>
      </c>
      <c r="C40" s="529" t="s">
        <v>62</v>
      </c>
      <c r="D40" s="529"/>
      <c r="E40" s="26">
        <v>22.35</v>
      </c>
      <c r="F40" s="173">
        <v>2148</v>
      </c>
      <c r="G40" s="163">
        <f t="shared" si="49"/>
        <v>48007.8</v>
      </c>
      <c r="H40" s="76" t="s">
        <v>52</v>
      </c>
      <c r="I40" s="171">
        <v>16</v>
      </c>
      <c r="J40" s="18">
        <v>2400</v>
      </c>
      <c r="K40" s="9">
        <f t="shared" si="54"/>
        <v>150</v>
      </c>
      <c r="L40" s="171">
        <v>16</v>
      </c>
      <c r="M40" s="10">
        <f t="shared" si="55"/>
        <v>2222.06896551724</v>
      </c>
      <c r="N40" s="9">
        <f t="shared" si="56"/>
        <v>138.8793103448275</v>
      </c>
      <c r="O40" s="11">
        <f t="shared" si="50"/>
        <v>0</v>
      </c>
      <c r="P40" s="12">
        <f t="shared" si="51"/>
        <v>-11.120689655172498</v>
      </c>
      <c r="Q40" s="165">
        <f t="shared" si="52"/>
        <v>0.9258620689655167</v>
      </c>
      <c r="R40" s="533"/>
      <c r="S40" s="24">
        <v>0.48402777777777767</v>
      </c>
      <c r="T40" s="24">
        <v>0.52430555555555547</v>
      </c>
      <c r="U40" s="163">
        <f t="shared" si="58"/>
        <v>5.9999999999999787</v>
      </c>
      <c r="V40" s="172">
        <f t="shared" si="53"/>
        <v>58.000000000000036</v>
      </c>
      <c r="W40" s="14">
        <f>T40</f>
        <v>0.52430555555555547</v>
      </c>
      <c r="X40" s="14">
        <f>S41</f>
        <v>0.56319444444444433</v>
      </c>
      <c r="Y40" s="536"/>
      <c r="Z40" s="537"/>
      <c r="AA40" s="11">
        <f t="shared" si="2"/>
        <v>-177.93103448275997</v>
      </c>
      <c r="AB40" s="165">
        <f t="shared" si="57"/>
        <v>0.9258620689655167</v>
      </c>
      <c r="AC40" s="533"/>
    </row>
    <row r="41" spans="1:29">
      <c r="A41" s="551" t="s">
        <v>379</v>
      </c>
      <c r="B41" s="26" t="s">
        <v>24</v>
      </c>
      <c r="C41" s="529" t="s">
        <v>28</v>
      </c>
      <c r="D41" s="529"/>
      <c r="E41" s="26">
        <v>26.2</v>
      </c>
      <c r="F41" s="173">
        <v>4365</v>
      </c>
      <c r="G41" s="163">
        <f t="shared" si="49"/>
        <v>114363</v>
      </c>
      <c r="H41" s="76" t="s">
        <v>52</v>
      </c>
      <c r="I41" s="171">
        <v>18</v>
      </c>
      <c r="J41" s="18">
        <v>2400</v>
      </c>
      <c r="K41" s="9">
        <f t="shared" si="54"/>
        <v>133.33333333333334</v>
      </c>
      <c r="L41" s="171">
        <v>18</v>
      </c>
      <c r="M41" s="10">
        <f t="shared" si="55"/>
        <v>2200.8403361344526</v>
      </c>
      <c r="N41" s="9">
        <f t="shared" si="56"/>
        <v>122.26890756302515</v>
      </c>
      <c r="O41" s="11">
        <f t="shared" si="50"/>
        <v>0</v>
      </c>
      <c r="P41" s="12">
        <f t="shared" si="51"/>
        <v>-11.064425770308191</v>
      </c>
      <c r="Q41" s="165">
        <f t="shared" si="52"/>
        <v>0.91701680672268859</v>
      </c>
      <c r="R41" s="533"/>
      <c r="S41" s="24">
        <v>0.56319444444444433</v>
      </c>
      <c r="T41" s="24">
        <v>0.64583333333333326</v>
      </c>
      <c r="U41" s="163">
        <f t="shared" si="58"/>
        <v>55.999999999999957</v>
      </c>
      <c r="V41" s="172">
        <f t="shared" si="53"/>
        <v>119.00000000000006</v>
      </c>
      <c r="W41" s="14"/>
      <c r="X41" s="14"/>
      <c r="Y41" s="536"/>
      <c r="Z41" s="537"/>
      <c r="AA41" s="11">
        <f t="shared" si="2"/>
        <v>-199.15966386554737</v>
      </c>
      <c r="AB41" s="165">
        <f t="shared" si="57"/>
        <v>0.91701680672268859</v>
      </c>
      <c r="AC41" s="533"/>
    </row>
    <row r="42" spans="1:29">
      <c r="A42" s="551" t="s">
        <v>379</v>
      </c>
      <c r="B42" s="26" t="s">
        <v>24</v>
      </c>
      <c r="C42" s="529" t="s">
        <v>29</v>
      </c>
      <c r="D42" s="529"/>
      <c r="E42" s="26">
        <v>26.39</v>
      </c>
      <c r="F42" s="173">
        <v>2344</v>
      </c>
      <c r="G42" s="163">
        <f t="shared" si="49"/>
        <v>61858.16</v>
      </c>
      <c r="H42" s="76" t="s">
        <v>52</v>
      </c>
      <c r="I42" s="171">
        <v>19</v>
      </c>
      <c r="J42" s="18">
        <v>2400</v>
      </c>
      <c r="K42" s="9">
        <f t="shared" si="54"/>
        <v>126.31578947368421</v>
      </c>
      <c r="L42" s="171">
        <v>19</v>
      </c>
      <c r="M42" s="10">
        <f t="shared" si="55"/>
        <v>2232.3809523809546</v>
      </c>
      <c r="N42" s="9">
        <f t="shared" si="56"/>
        <v>117.49373433583972</v>
      </c>
      <c r="O42" s="11">
        <f t="shared" si="50"/>
        <v>0</v>
      </c>
      <c r="P42" s="12">
        <f t="shared" si="51"/>
        <v>-8.8220551378444867</v>
      </c>
      <c r="Q42" s="165">
        <f t="shared" si="52"/>
        <v>0.93015873015873118</v>
      </c>
      <c r="R42" s="533"/>
      <c r="S42" s="24">
        <v>0.64999999999999991</v>
      </c>
      <c r="T42" s="24">
        <v>0.69374999999999987</v>
      </c>
      <c r="U42" s="163">
        <f t="shared" si="58"/>
        <v>5.9999999999999787</v>
      </c>
      <c r="V42" s="172">
        <f t="shared" si="53"/>
        <v>62.999999999999936</v>
      </c>
      <c r="W42" s="14"/>
      <c r="X42" s="14"/>
      <c r="Y42" s="536"/>
      <c r="Z42" s="537"/>
      <c r="AA42" s="11">
        <f t="shared" si="2"/>
        <v>-167.61904761904543</v>
      </c>
      <c r="AB42" s="165">
        <f t="shared" si="57"/>
        <v>0.93015873015873107</v>
      </c>
      <c r="AC42" s="533"/>
    </row>
    <row r="43" spans="1:29">
      <c r="A43" s="551" t="s">
        <v>379</v>
      </c>
      <c r="B43" s="16" t="s">
        <v>82</v>
      </c>
      <c r="C43" s="530"/>
      <c r="D43" s="530"/>
      <c r="E43" s="164"/>
      <c r="F43" s="16"/>
      <c r="G43" s="9"/>
      <c r="H43" s="173"/>
      <c r="I43" s="17">
        <v>18.555555555555557</v>
      </c>
      <c r="J43" s="18">
        <v>2400</v>
      </c>
      <c r="K43" s="9">
        <f t="shared" si="54"/>
        <v>129.34131736526945</v>
      </c>
      <c r="L43" s="17">
        <v>18.555555555555557</v>
      </c>
      <c r="M43" s="10">
        <f>AVERAGE(M34:M42)</f>
        <v>2214.2017032772624</v>
      </c>
      <c r="N43" s="9">
        <f>M43/L43</f>
        <v>119.32823550596024</v>
      </c>
      <c r="O43" s="11">
        <f>L43-I43</f>
        <v>0</v>
      </c>
      <c r="P43" s="12">
        <f t="shared" si="51"/>
        <v>-10.01308185930921</v>
      </c>
      <c r="Q43" s="165">
        <f t="shared" si="52"/>
        <v>0.92258404303219266</v>
      </c>
      <c r="R43" s="533"/>
      <c r="S43" s="24"/>
      <c r="T43" s="24"/>
      <c r="U43" s="9"/>
      <c r="V43" s="172"/>
      <c r="W43" s="9"/>
      <c r="X43" s="9"/>
      <c r="Y43" s="528"/>
      <c r="Z43" s="528"/>
      <c r="AA43" s="11">
        <f t="shared" si="2"/>
        <v>-185.79829672273763</v>
      </c>
      <c r="AB43" s="165">
        <f t="shared" si="57"/>
        <v>0.92258404303219266</v>
      </c>
      <c r="AC43" s="533"/>
    </row>
    <row r="44" spans="1:29" ht="15.75" customHeight="1">
      <c r="A44" s="544" t="s">
        <v>382</v>
      </c>
      <c r="B44" s="26" t="s">
        <v>32</v>
      </c>
      <c r="C44" s="534" t="s">
        <v>33</v>
      </c>
      <c r="D44" s="535"/>
      <c r="E44" s="26">
        <v>27.17</v>
      </c>
      <c r="F44" s="173">
        <v>3000</v>
      </c>
      <c r="G44" s="163">
        <f t="shared" ref="G44:G51" si="59">E44*F44</f>
        <v>81510</v>
      </c>
      <c r="H44" s="76">
        <v>2</v>
      </c>
      <c r="I44" s="171">
        <v>10</v>
      </c>
      <c r="J44" s="18">
        <v>3000</v>
      </c>
      <c r="K44" s="9">
        <f t="shared" si="54"/>
        <v>300</v>
      </c>
      <c r="L44" s="171">
        <v>10</v>
      </c>
      <c r="M44" s="10">
        <f t="shared" ref="M44:M45" si="60">F44/V44*60</f>
        <v>2769.2307692307704</v>
      </c>
      <c r="N44" s="10">
        <f t="shared" ref="N44:N52" si="61">M44/L44</f>
        <v>276.92307692307702</v>
      </c>
      <c r="O44" s="11">
        <f t="shared" ref="O44:O52" si="62">L44-I44</f>
        <v>0</v>
      </c>
      <c r="P44" s="12">
        <f t="shared" si="51"/>
        <v>-23.076923076922981</v>
      </c>
      <c r="Q44" s="165">
        <f t="shared" si="52"/>
        <v>0.92307692307692335</v>
      </c>
      <c r="R44" s="547">
        <f>Q52</f>
        <v>0.92260848132343409</v>
      </c>
      <c r="S44" s="24">
        <v>0.20833333333333334</v>
      </c>
      <c r="T44" s="24">
        <v>0.25347222222222221</v>
      </c>
      <c r="U44" s="15"/>
      <c r="V44" s="172">
        <f t="shared" ref="V44:V51" si="63">(T44-S44)*24*60</f>
        <v>64.999999999999972</v>
      </c>
      <c r="W44" s="163"/>
      <c r="X44" s="163"/>
      <c r="Y44" s="536"/>
      <c r="Z44" s="537"/>
      <c r="AA44" s="11">
        <f t="shared" si="2"/>
        <v>-230.76923076922958</v>
      </c>
      <c r="AB44" s="165">
        <f t="shared" si="57"/>
        <v>0.92307692307692346</v>
      </c>
      <c r="AC44" s="547">
        <f>AB52</f>
        <v>0.92260848132343409</v>
      </c>
    </row>
    <row r="45" spans="1:29" ht="15.75" customHeight="1">
      <c r="A45" s="545" t="s">
        <v>382</v>
      </c>
      <c r="B45" s="26" t="s">
        <v>32</v>
      </c>
      <c r="C45" s="534" t="s">
        <v>34</v>
      </c>
      <c r="D45" s="535"/>
      <c r="E45" s="26">
        <v>21.13</v>
      </c>
      <c r="F45" s="173">
        <v>3200</v>
      </c>
      <c r="G45" s="163">
        <f t="shared" si="59"/>
        <v>67616</v>
      </c>
      <c r="H45" s="76">
        <v>2</v>
      </c>
      <c r="I45" s="171">
        <v>10</v>
      </c>
      <c r="J45" s="18">
        <v>3000</v>
      </c>
      <c r="K45" s="9">
        <f t="shared" si="54"/>
        <v>300</v>
      </c>
      <c r="L45" s="171">
        <v>10</v>
      </c>
      <c r="M45" s="10">
        <f t="shared" si="60"/>
        <v>2782.608695652174</v>
      </c>
      <c r="N45" s="10">
        <f t="shared" si="61"/>
        <v>278.26086956521738</v>
      </c>
      <c r="O45" s="11">
        <f t="shared" si="62"/>
        <v>0</v>
      </c>
      <c r="P45" s="12">
        <f t="shared" si="51"/>
        <v>-21.739130434782624</v>
      </c>
      <c r="Q45" s="165">
        <f t="shared" si="52"/>
        <v>0.92753623188405787</v>
      </c>
      <c r="R45" s="548"/>
      <c r="S45" s="24">
        <v>0.2583333333333333</v>
      </c>
      <c r="T45" s="24">
        <v>0.30624999999999997</v>
      </c>
      <c r="U45" s="163">
        <f>(S45-T44)*24*60</f>
        <v>6.9999999999999751</v>
      </c>
      <c r="V45" s="172">
        <f t="shared" si="63"/>
        <v>69</v>
      </c>
      <c r="W45" s="14"/>
      <c r="X45" s="14"/>
      <c r="Y45" s="536"/>
      <c r="Z45" s="537"/>
      <c r="AA45" s="11">
        <f t="shared" si="2"/>
        <v>-217.39130434782601</v>
      </c>
      <c r="AB45" s="165">
        <f t="shared" si="57"/>
        <v>0.92753623188405798</v>
      </c>
      <c r="AC45" s="548"/>
    </row>
    <row r="46" spans="1:29" ht="15.75" customHeight="1">
      <c r="A46" s="545" t="s">
        <v>382</v>
      </c>
      <c r="B46" s="26" t="s">
        <v>32</v>
      </c>
      <c r="C46" s="534" t="s">
        <v>40</v>
      </c>
      <c r="D46" s="535"/>
      <c r="E46" s="26">
        <v>35.119999999999997</v>
      </c>
      <c r="F46" s="173">
        <v>4855</v>
      </c>
      <c r="G46" s="163">
        <f t="shared" si="59"/>
        <v>170507.59999999998</v>
      </c>
      <c r="H46" s="76" t="s">
        <v>52</v>
      </c>
      <c r="I46" s="171">
        <v>10</v>
      </c>
      <c r="J46" s="18">
        <v>3000</v>
      </c>
      <c r="K46" s="9">
        <f t="shared" si="54"/>
        <v>300</v>
      </c>
      <c r="L46" s="171">
        <v>10</v>
      </c>
      <c r="M46" s="10">
        <f>F46/V46*60</f>
        <v>2748.1132075471692</v>
      </c>
      <c r="N46" s="10">
        <f t="shared" si="61"/>
        <v>274.81132075471692</v>
      </c>
      <c r="O46" s="11">
        <f t="shared" si="62"/>
        <v>0</v>
      </c>
      <c r="P46" s="12">
        <f t="shared" si="51"/>
        <v>-25.188679245283083</v>
      </c>
      <c r="Q46" s="165">
        <f t="shared" si="52"/>
        <v>0.91603773584905634</v>
      </c>
      <c r="R46" s="548"/>
      <c r="S46" s="24">
        <v>0.31111111111111106</v>
      </c>
      <c r="T46" s="24">
        <v>0.38472222222222219</v>
      </c>
      <c r="U46" s="163">
        <f t="shared" ref="U46:U51" si="64">(S46-T45)*24*60</f>
        <v>6.9999999999999751</v>
      </c>
      <c r="V46" s="172">
        <f t="shared" si="63"/>
        <v>106.00000000000003</v>
      </c>
      <c r="W46" s="14"/>
      <c r="X46" s="14"/>
      <c r="Y46" s="536"/>
      <c r="Z46" s="537"/>
      <c r="AA46" s="11">
        <f t="shared" si="2"/>
        <v>-251.88679245283083</v>
      </c>
      <c r="AB46" s="165">
        <f t="shared" si="57"/>
        <v>0.91603773584905634</v>
      </c>
      <c r="AC46" s="548"/>
    </row>
    <row r="47" spans="1:29" ht="15.75" customHeight="1">
      <c r="A47" s="545" t="s">
        <v>382</v>
      </c>
      <c r="B47" s="26" t="s">
        <v>32</v>
      </c>
      <c r="C47" s="534" t="s">
        <v>61</v>
      </c>
      <c r="D47" s="535"/>
      <c r="E47" s="26">
        <v>40.18</v>
      </c>
      <c r="F47" s="173">
        <v>2132</v>
      </c>
      <c r="G47" s="163">
        <f t="shared" si="59"/>
        <v>85663.76</v>
      </c>
      <c r="H47" s="76" t="s">
        <v>52</v>
      </c>
      <c r="I47" s="171">
        <v>10</v>
      </c>
      <c r="J47" s="18">
        <v>3000</v>
      </c>
      <c r="K47" s="9">
        <f t="shared" si="54"/>
        <v>300</v>
      </c>
      <c r="L47" s="171">
        <v>10</v>
      </c>
      <c r="M47" s="10">
        <f t="shared" ref="M47:M51" si="65">F47/V47*60</f>
        <v>2780.8695652173915</v>
      </c>
      <c r="N47" s="10">
        <f t="shared" si="61"/>
        <v>278.08695652173913</v>
      </c>
      <c r="O47" s="11">
        <f t="shared" si="62"/>
        <v>0</v>
      </c>
      <c r="P47" s="12">
        <f t="shared" si="51"/>
        <v>-21.913043478260875</v>
      </c>
      <c r="Q47" s="165">
        <f t="shared" si="52"/>
        <v>0.92695652173913046</v>
      </c>
      <c r="R47" s="548"/>
      <c r="S47" s="24">
        <v>0.39027777777777772</v>
      </c>
      <c r="T47" s="24">
        <v>0.42222222222222217</v>
      </c>
      <c r="U47" s="163">
        <f t="shared" si="64"/>
        <v>7.9999999999999716</v>
      </c>
      <c r="V47" s="172">
        <f t="shared" si="63"/>
        <v>46</v>
      </c>
      <c r="W47" s="14"/>
      <c r="X47" s="14"/>
      <c r="Y47" s="536"/>
      <c r="Z47" s="537"/>
      <c r="AA47" s="11">
        <f t="shared" si="2"/>
        <v>-219.13043478260852</v>
      </c>
      <c r="AB47" s="165">
        <f t="shared" si="57"/>
        <v>0.92695652173913046</v>
      </c>
      <c r="AC47" s="548"/>
    </row>
    <row r="48" spans="1:29" ht="15.75" customHeight="1">
      <c r="A48" s="545" t="s">
        <v>382</v>
      </c>
      <c r="B48" s="26" t="s">
        <v>32</v>
      </c>
      <c r="C48" s="534" t="s">
        <v>64</v>
      </c>
      <c r="D48" s="535"/>
      <c r="E48" s="26">
        <v>28.5</v>
      </c>
      <c r="F48" s="173">
        <v>1328</v>
      </c>
      <c r="G48" s="163">
        <f t="shared" si="59"/>
        <v>37848</v>
      </c>
      <c r="H48" s="76" t="s">
        <v>52</v>
      </c>
      <c r="I48" s="171">
        <v>10</v>
      </c>
      <c r="J48" s="18">
        <v>3000</v>
      </c>
      <c r="K48" s="9">
        <f t="shared" si="54"/>
        <v>300</v>
      </c>
      <c r="L48" s="171">
        <v>10</v>
      </c>
      <c r="M48" s="10">
        <f t="shared" si="65"/>
        <v>2747.5862068965534</v>
      </c>
      <c r="N48" s="10">
        <f t="shared" si="61"/>
        <v>274.75862068965534</v>
      </c>
      <c r="O48" s="11">
        <f t="shared" si="62"/>
        <v>0</v>
      </c>
      <c r="P48" s="12">
        <f t="shared" si="51"/>
        <v>-25.241379310344655</v>
      </c>
      <c r="Q48" s="165">
        <f>N48/K48</f>
        <v>0.91586206896551781</v>
      </c>
      <c r="R48" s="548"/>
      <c r="S48" s="24">
        <v>0.42569444444444438</v>
      </c>
      <c r="T48" s="24">
        <v>0.44583333333333325</v>
      </c>
      <c r="U48" s="163">
        <f t="shared" si="64"/>
        <v>4.9999999999999822</v>
      </c>
      <c r="V48" s="172">
        <f t="shared" si="63"/>
        <v>28.999999999999979</v>
      </c>
      <c r="W48" s="14"/>
      <c r="X48" s="14"/>
      <c r="Y48" s="536"/>
      <c r="Z48" s="537"/>
      <c r="AA48" s="11">
        <f t="shared" si="2"/>
        <v>-252.41379310344655</v>
      </c>
      <c r="AB48" s="165">
        <f t="shared" si="57"/>
        <v>0.91586206896551781</v>
      </c>
      <c r="AC48" s="548"/>
    </row>
    <row r="49" spans="1:29" ht="15.75" customHeight="1">
      <c r="A49" s="545" t="s">
        <v>382</v>
      </c>
      <c r="B49" s="26" t="s">
        <v>32</v>
      </c>
      <c r="C49" s="534" t="s">
        <v>78</v>
      </c>
      <c r="D49" s="535"/>
      <c r="E49" s="26">
        <v>35.869999999999997</v>
      </c>
      <c r="F49" s="173">
        <v>3534</v>
      </c>
      <c r="G49" s="163">
        <f t="shared" si="59"/>
        <v>126764.57999999999</v>
      </c>
      <c r="H49" s="76" t="s">
        <v>52</v>
      </c>
      <c r="I49" s="171">
        <v>10</v>
      </c>
      <c r="J49" s="18">
        <v>3000</v>
      </c>
      <c r="K49" s="9">
        <f t="shared" si="54"/>
        <v>300</v>
      </c>
      <c r="L49" s="171">
        <v>10</v>
      </c>
      <c r="M49" s="10">
        <f t="shared" si="65"/>
        <v>2753.766233766235</v>
      </c>
      <c r="N49" s="10">
        <f t="shared" si="61"/>
        <v>275.37662337662351</v>
      </c>
      <c r="O49" s="11">
        <f t="shared" si="62"/>
        <v>0</v>
      </c>
      <c r="P49" s="12">
        <f t="shared" si="51"/>
        <v>-24.623376623376487</v>
      </c>
      <c r="Q49" s="165">
        <f t="shared" ref="Q49:Q52" si="66">N49/K49</f>
        <v>0.91792207792207836</v>
      </c>
      <c r="R49" s="548"/>
      <c r="S49" s="24">
        <v>0.44930555555555546</v>
      </c>
      <c r="T49" s="24">
        <v>0.50277777777777766</v>
      </c>
      <c r="U49" s="163">
        <f t="shared" si="64"/>
        <v>4.9999999999999822</v>
      </c>
      <c r="V49" s="172">
        <f t="shared" si="63"/>
        <v>76.999999999999972</v>
      </c>
      <c r="W49" s="14">
        <f>T49</f>
        <v>0.50277777777777766</v>
      </c>
      <c r="X49" s="14">
        <f>S50</f>
        <v>0.54166666666666652</v>
      </c>
      <c r="Y49" s="536"/>
      <c r="Z49" s="537"/>
      <c r="AA49" s="11">
        <f t="shared" si="2"/>
        <v>-246.23376623376498</v>
      </c>
      <c r="AB49" s="165">
        <f t="shared" si="57"/>
        <v>0.91792207792207836</v>
      </c>
      <c r="AC49" s="548"/>
    </row>
    <row r="50" spans="1:29" ht="15.75" customHeight="1">
      <c r="A50" s="545" t="s">
        <v>382</v>
      </c>
      <c r="B50" s="26" t="s">
        <v>32</v>
      </c>
      <c r="C50" s="534" t="s">
        <v>33</v>
      </c>
      <c r="D50" s="535"/>
      <c r="E50" s="26">
        <v>27.17</v>
      </c>
      <c r="F50" s="173">
        <v>3533</v>
      </c>
      <c r="G50" s="163">
        <f t="shared" si="59"/>
        <v>95991.61</v>
      </c>
      <c r="H50" s="76" t="s">
        <v>52</v>
      </c>
      <c r="I50" s="171">
        <v>10</v>
      </c>
      <c r="J50" s="18">
        <v>3000</v>
      </c>
      <c r="K50" s="9">
        <f t="shared" si="54"/>
        <v>300</v>
      </c>
      <c r="L50" s="171">
        <v>10</v>
      </c>
      <c r="M50" s="10">
        <f t="shared" si="65"/>
        <v>2752.9870129870114</v>
      </c>
      <c r="N50" s="10">
        <f t="shared" si="61"/>
        <v>275.29870129870113</v>
      </c>
      <c r="O50" s="11">
        <f t="shared" si="62"/>
        <v>0</v>
      </c>
      <c r="P50" s="12">
        <f t="shared" si="51"/>
        <v>-24.701298701298867</v>
      </c>
      <c r="Q50" s="165">
        <f t="shared" si="66"/>
        <v>0.91766233766233707</v>
      </c>
      <c r="R50" s="548"/>
      <c r="S50" s="24">
        <v>0.54166666666666652</v>
      </c>
      <c r="T50" s="24">
        <v>0.59513888888888877</v>
      </c>
      <c r="U50" s="163">
        <f t="shared" si="64"/>
        <v>55.999999999999957</v>
      </c>
      <c r="V50" s="172">
        <f t="shared" si="63"/>
        <v>77.000000000000043</v>
      </c>
      <c r="W50" s="14"/>
      <c r="X50" s="14"/>
      <c r="Y50" s="536"/>
      <c r="Z50" s="537"/>
      <c r="AA50" s="11">
        <f t="shared" si="2"/>
        <v>-247.01298701298856</v>
      </c>
      <c r="AB50" s="165">
        <f t="shared" si="57"/>
        <v>0.91766233766233718</v>
      </c>
      <c r="AC50" s="548"/>
    </row>
    <row r="51" spans="1:29" ht="15.75" customHeight="1">
      <c r="A51" s="545" t="s">
        <v>382</v>
      </c>
      <c r="B51" s="26" t="s">
        <v>32</v>
      </c>
      <c r="C51" s="534" t="s">
        <v>34</v>
      </c>
      <c r="D51" s="535"/>
      <c r="E51" s="26">
        <v>21.13</v>
      </c>
      <c r="F51" s="173">
        <v>2012</v>
      </c>
      <c r="G51" s="163">
        <f t="shared" si="59"/>
        <v>42513.56</v>
      </c>
      <c r="H51" s="76" t="s">
        <v>52</v>
      </c>
      <c r="I51" s="171">
        <v>10</v>
      </c>
      <c r="J51" s="18">
        <v>3000</v>
      </c>
      <c r="K51" s="9">
        <f t="shared" si="54"/>
        <v>300</v>
      </c>
      <c r="L51" s="171">
        <v>10</v>
      </c>
      <c r="M51" s="10">
        <f t="shared" si="65"/>
        <v>2807.4418604651155</v>
      </c>
      <c r="N51" s="10">
        <f t="shared" si="61"/>
        <v>280.74418604651157</v>
      </c>
      <c r="O51" s="11">
        <f t="shared" si="62"/>
        <v>0</v>
      </c>
      <c r="P51" s="12">
        <f t="shared" si="51"/>
        <v>-19.255813953488428</v>
      </c>
      <c r="Q51" s="165">
        <f t="shared" si="66"/>
        <v>0.93581395348837193</v>
      </c>
      <c r="R51" s="548"/>
      <c r="S51" s="24">
        <v>0.59930555555555542</v>
      </c>
      <c r="T51" s="24">
        <v>0.62916666666666654</v>
      </c>
      <c r="U51" s="163">
        <f t="shared" si="64"/>
        <v>5.9999999999999787</v>
      </c>
      <c r="V51" s="172">
        <f t="shared" si="63"/>
        <v>43.000000000000007</v>
      </c>
      <c r="W51" s="14"/>
      <c r="X51" s="14"/>
      <c r="Y51" s="536"/>
      <c r="Z51" s="537"/>
      <c r="AA51" s="11">
        <f t="shared" si="2"/>
        <v>-192.5581395348845</v>
      </c>
      <c r="AB51" s="165">
        <f t="shared" si="57"/>
        <v>0.93581395348837182</v>
      </c>
      <c r="AC51" s="548"/>
    </row>
    <row r="52" spans="1:29" ht="15.75" customHeight="1">
      <c r="A52" s="546" t="s">
        <v>382</v>
      </c>
      <c r="B52" s="26" t="s">
        <v>82</v>
      </c>
      <c r="C52" s="540"/>
      <c r="D52" s="541"/>
      <c r="E52" s="170"/>
      <c r="F52" s="173"/>
      <c r="G52" s="163"/>
      <c r="H52" s="173"/>
      <c r="I52" s="17">
        <v>10</v>
      </c>
      <c r="J52" s="18">
        <v>3000</v>
      </c>
      <c r="K52" s="9">
        <f>J52/I52</f>
        <v>300</v>
      </c>
      <c r="L52" s="17">
        <v>10</v>
      </c>
      <c r="M52" s="10">
        <f>AVERAGE(M44:M51)</f>
        <v>2767.8254439703023</v>
      </c>
      <c r="N52" s="9">
        <f t="shared" si="61"/>
        <v>276.78254439703022</v>
      </c>
      <c r="O52" s="11">
        <f t="shared" si="62"/>
        <v>0</v>
      </c>
      <c r="P52" s="12">
        <f t="shared" si="51"/>
        <v>-23.217455602969778</v>
      </c>
      <c r="Q52" s="165">
        <f t="shared" si="66"/>
        <v>0.92260848132343409</v>
      </c>
      <c r="R52" s="549"/>
      <c r="S52" s="24"/>
      <c r="T52" s="24"/>
      <c r="U52" s="163"/>
      <c r="V52" s="172"/>
      <c r="W52" s="14"/>
      <c r="X52" s="14"/>
      <c r="Y52" s="536"/>
      <c r="Z52" s="537"/>
      <c r="AA52" s="11">
        <f t="shared" si="2"/>
        <v>-232.17455602969767</v>
      </c>
      <c r="AB52" s="165">
        <f t="shared" si="57"/>
        <v>0.92260848132343409</v>
      </c>
      <c r="AC52" s="549"/>
    </row>
    <row r="53" spans="1:29" ht="15.75" customHeight="1">
      <c r="A53" s="542" t="s">
        <v>383</v>
      </c>
      <c r="B53" s="26" t="s">
        <v>15</v>
      </c>
      <c r="C53" s="529" t="s">
        <v>20</v>
      </c>
      <c r="D53" s="529"/>
      <c r="E53" s="26">
        <v>46</v>
      </c>
      <c r="F53" s="27">
        <v>3394</v>
      </c>
      <c r="G53" s="163">
        <f t="shared" ref="G53:G57" si="67">E53*F53</f>
        <v>156124</v>
      </c>
      <c r="H53" s="76" t="s">
        <v>52</v>
      </c>
      <c r="I53" s="171">
        <v>17</v>
      </c>
      <c r="J53" s="18">
        <v>2000</v>
      </c>
      <c r="K53" s="9">
        <f t="shared" ref="K53:K57" si="68">J53/I53</f>
        <v>117.64705882352941</v>
      </c>
      <c r="L53" s="171">
        <v>17</v>
      </c>
      <c r="M53" s="10">
        <f t="shared" ref="M53:M57" si="69">F53/V53*60</f>
        <v>1834.5945945945946</v>
      </c>
      <c r="N53" s="10">
        <f>M53/L53</f>
        <v>107.91732909379968</v>
      </c>
      <c r="O53" s="11">
        <f>L53-I53</f>
        <v>0</v>
      </c>
      <c r="P53" s="12">
        <f>N53-K53</f>
        <v>-9.7297297297297263</v>
      </c>
      <c r="Q53" s="165">
        <f>N53/K53</f>
        <v>0.91729729729729736</v>
      </c>
      <c r="R53" s="533">
        <f>Q58</f>
        <v>0.92003515128622992</v>
      </c>
      <c r="S53" s="24">
        <v>0.29166666666666669</v>
      </c>
      <c r="T53" s="24">
        <v>0.36875000000000002</v>
      </c>
      <c r="U53" s="15"/>
      <c r="V53" s="172">
        <f t="shared" ref="V53:V57" si="70">(T53-S53)*24*60</f>
        <v>111</v>
      </c>
      <c r="W53" s="15"/>
      <c r="X53" s="15"/>
      <c r="Y53" s="528"/>
      <c r="Z53" s="528"/>
      <c r="AA53" s="11">
        <f t="shared" si="2"/>
        <v>-165.40540540540542</v>
      </c>
      <c r="AB53" s="165">
        <f t="shared" si="57"/>
        <v>0.91729729729729725</v>
      </c>
      <c r="AC53" s="533">
        <f>AB58</f>
        <v>0.92003515128622992</v>
      </c>
    </row>
    <row r="54" spans="1:29" ht="15.75" customHeight="1">
      <c r="A54" s="542" t="s">
        <v>383</v>
      </c>
      <c r="B54" s="26" t="s">
        <v>15</v>
      </c>
      <c r="C54" s="529" t="s">
        <v>65</v>
      </c>
      <c r="D54" s="529"/>
      <c r="E54" s="26">
        <v>46</v>
      </c>
      <c r="F54" s="27">
        <v>3745</v>
      </c>
      <c r="G54" s="163">
        <f t="shared" si="67"/>
        <v>172270</v>
      </c>
      <c r="H54" s="76" t="s">
        <v>52</v>
      </c>
      <c r="I54" s="171">
        <v>18</v>
      </c>
      <c r="J54" s="18">
        <v>2000</v>
      </c>
      <c r="K54" s="9">
        <f t="shared" si="68"/>
        <v>111.11111111111111</v>
      </c>
      <c r="L54" s="171">
        <v>18</v>
      </c>
      <c r="M54" s="10">
        <f t="shared" si="69"/>
        <v>1841.8032786885251</v>
      </c>
      <c r="N54" s="10">
        <f t="shared" ref="N54:N57" si="71">M54/L54</f>
        <v>102.32240437158472</v>
      </c>
      <c r="O54" s="11">
        <f t="shared" ref="O54:O57" si="72">L54-I54</f>
        <v>0</v>
      </c>
      <c r="P54" s="12">
        <f t="shared" ref="P54:P57" si="73">N54-K54</f>
        <v>-8.7887067395263898</v>
      </c>
      <c r="Q54" s="165">
        <f t="shared" ref="Q54:Q57" si="74">N54/K54</f>
        <v>0.9209016393442625</v>
      </c>
      <c r="R54" s="533"/>
      <c r="S54" s="24">
        <v>0.37430555555555556</v>
      </c>
      <c r="T54" s="24">
        <v>0.45902777777777776</v>
      </c>
      <c r="U54" s="163">
        <f>IF(S54=TIME(17,0,0),"",(S54-T53)*24*60)</f>
        <v>7.9999999999999716</v>
      </c>
      <c r="V54" s="172">
        <f t="shared" si="70"/>
        <v>121.99999999999997</v>
      </c>
      <c r="W54" s="14"/>
      <c r="X54" s="14"/>
      <c r="Y54" s="528"/>
      <c r="Z54" s="528"/>
      <c r="AA54" s="11">
        <f t="shared" si="2"/>
        <v>-158.1967213114749</v>
      </c>
      <c r="AB54" s="165">
        <f t="shared" si="57"/>
        <v>0.9209016393442625</v>
      </c>
      <c r="AC54" s="533"/>
    </row>
    <row r="55" spans="1:29" ht="15.75" customHeight="1">
      <c r="A55" s="542" t="s">
        <v>383</v>
      </c>
      <c r="B55" s="26" t="s">
        <v>13</v>
      </c>
      <c r="C55" s="534" t="s">
        <v>59</v>
      </c>
      <c r="D55" s="535"/>
      <c r="E55" s="26">
        <v>55.56</v>
      </c>
      <c r="F55" s="27">
        <v>2140</v>
      </c>
      <c r="G55" s="163">
        <f t="shared" si="67"/>
        <v>118898.40000000001</v>
      </c>
      <c r="H55" s="76" t="s">
        <v>52</v>
      </c>
      <c r="I55" s="171">
        <v>17</v>
      </c>
      <c r="J55" s="18">
        <v>2000</v>
      </c>
      <c r="K55" s="9">
        <f t="shared" si="68"/>
        <v>117.64705882352941</v>
      </c>
      <c r="L55" s="171">
        <v>17</v>
      </c>
      <c r="M55" s="10">
        <f t="shared" si="69"/>
        <v>1834.2857142857124</v>
      </c>
      <c r="N55" s="10">
        <f t="shared" si="71"/>
        <v>107.89915966386543</v>
      </c>
      <c r="O55" s="11">
        <f t="shared" si="72"/>
        <v>0</v>
      </c>
      <c r="P55" s="12">
        <f t="shared" si="73"/>
        <v>-9.747899159663973</v>
      </c>
      <c r="Q55" s="165">
        <f t="shared" si="74"/>
        <v>0.91714285714285626</v>
      </c>
      <c r="R55" s="533"/>
      <c r="S55" s="24">
        <v>0.70833333333333337</v>
      </c>
      <c r="T55" s="24">
        <v>0.75694444444444453</v>
      </c>
      <c r="U55" s="163" t="str">
        <f t="shared" ref="U55:U57" si="75">IF(S55=TIME(17,0,0),"",(S55-T54)*24*60)</f>
        <v/>
      </c>
      <c r="V55" s="172">
        <f t="shared" si="70"/>
        <v>70.000000000000071</v>
      </c>
      <c r="W55" s="14"/>
      <c r="X55" s="14"/>
      <c r="Y55" s="168"/>
      <c r="Z55" s="169"/>
      <c r="AA55" s="11">
        <f t="shared" si="2"/>
        <v>-165.7142857142876</v>
      </c>
      <c r="AB55" s="165">
        <f t="shared" si="57"/>
        <v>0.91714285714285615</v>
      </c>
      <c r="AC55" s="533"/>
    </row>
    <row r="56" spans="1:29" ht="15.75" customHeight="1">
      <c r="A56" s="542" t="s">
        <v>383</v>
      </c>
      <c r="B56" s="26" t="s">
        <v>13</v>
      </c>
      <c r="C56" s="166" t="s">
        <v>58</v>
      </c>
      <c r="D56" s="167"/>
      <c r="E56" s="26">
        <v>55.32</v>
      </c>
      <c r="F56" s="27">
        <v>1592</v>
      </c>
      <c r="G56" s="163">
        <f t="shared" si="67"/>
        <v>88069.440000000002</v>
      </c>
      <c r="H56" s="76" t="s">
        <v>52</v>
      </c>
      <c r="I56" s="171">
        <v>15</v>
      </c>
      <c r="J56" s="18">
        <v>2000</v>
      </c>
      <c r="K56" s="9">
        <f t="shared" si="68"/>
        <v>133.33333333333334</v>
      </c>
      <c r="L56" s="171">
        <v>15</v>
      </c>
      <c r="M56" s="10">
        <f t="shared" si="69"/>
        <v>1836.9230769230778</v>
      </c>
      <c r="N56" s="10">
        <f t="shared" si="71"/>
        <v>122.46153846153852</v>
      </c>
      <c r="O56" s="11">
        <f t="shared" si="72"/>
        <v>0</v>
      </c>
      <c r="P56" s="12">
        <f t="shared" si="73"/>
        <v>-10.871794871794819</v>
      </c>
      <c r="Q56" s="165">
        <f t="shared" si="74"/>
        <v>0.91846153846153888</v>
      </c>
      <c r="R56" s="533"/>
      <c r="S56" s="24">
        <v>0.76041666666666674</v>
      </c>
      <c r="T56" s="24">
        <v>0.79652777777777783</v>
      </c>
      <c r="U56" s="163">
        <f t="shared" si="75"/>
        <v>4.9999999999999822</v>
      </c>
      <c r="V56" s="172">
        <f t="shared" si="70"/>
        <v>51.999999999999972</v>
      </c>
      <c r="W56" s="14"/>
      <c r="X56" s="14"/>
      <c r="Y56" s="168"/>
      <c r="Z56" s="169"/>
      <c r="AA56" s="11">
        <f t="shared" si="2"/>
        <v>-163.07692307692218</v>
      </c>
      <c r="AB56" s="165">
        <f t="shared" si="57"/>
        <v>0.91846153846153888</v>
      </c>
      <c r="AC56" s="533"/>
    </row>
    <row r="57" spans="1:29" ht="15.75" customHeight="1">
      <c r="A57" s="542" t="s">
        <v>383</v>
      </c>
      <c r="B57" s="26" t="s">
        <v>13</v>
      </c>
      <c r="C57" s="166" t="s">
        <v>60</v>
      </c>
      <c r="D57" s="167"/>
      <c r="E57" s="26">
        <v>57.73</v>
      </c>
      <c r="F57" s="27">
        <v>1532</v>
      </c>
      <c r="G57" s="163">
        <f t="shared" si="67"/>
        <v>88442.36</v>
      </c>
      <c r="H57" s="76" t="s">
        <v>52</v>
      </c>
      <c r="I57" s="171">
        <v>16</v>
      </c>
      <c r="J57" s="18">
        <v>1500</v>
      </c>
      <c r="K57" s="9">
        <f t="shared" si="68"/>
        <v>93.75</v>
      </c>
      <c r="L57" s="171">
        <v>16</v>
      </c>
      <c r="M57" s="10">
        <f t="shared" si="69"/>
        <v>1392.7272727272741</v>
      </c>
      <c r="N57" s="10">
        <f t="shared" si="71"/>
        <v>87.045454545454632</v>
      </c>
      <c r="O57" s="11">
        <f t="shared" si="72"/>
        <v>0</v>
      </c>
      <c r="P57" s="12">
        <f t="shared" si="73"/>
        <v>-6.704545454545368</v>
      </c>
      <c r="Q57" s="165">
        <f t="shared" si="74"/>
        <v>0.92848484848484936</v>
      </c>
      <c r="R57" s="533"/>
      <c r="S57" s="24">
        <v>0.80069444444444449</v>
      </c>
      <c r="T57" s="24">
        <v>0.84652777777777777</v>
      </c>
      <c r="U57" s="163">
        <f t="shared" si="75"/>
        <v>5.9999999999999787</v>
      </c>
      <c r="V57" s="172">
        <f t="shared" si="70"/>
        <v>65.999999999999929</v>
      </c>
      <c r="W57" s="14"/>
      <c r="X57" s="14"/>
      <c r="Y57" s="168"/>
      <c r="Z57" s="169"/>
      <c r="AA57" s="11">
        <f t="shared" si="2"/>
        <v>-107.27272727272589</v>
      </c>
      <c r="AB57" s="165">
        <f t="shared" si="57"/>
        <v>0.92848484848484936</v>
      </c>
      <c r="AC57" s="533"/>
    </row>
    <row r="58" spans="1:29">
      <c r="A58" s="543" t="s">
        <v>383</v>
      </c>
      <c r="B58" s="26" t="s">
        <v>82</v>
      </c>
      <c r="C58" s="530"/>
      <c r="D58" s="530"/>
      <c r="E58" s="164"/>
      <c r="F58" s="16"/>
      <c r="G58" s="9"/>
      <c r="H58" s="173"/>
      <c r="I58" s="17">
        <v>16.600000000000001</v>
      </c>
      <c r="J58" s="18">
        <v>1900</v>
      </c>
      <c r="K58" s="9">
        <f>J58/I58</f>
        <v>114.4578313253012</v>
      </c>
      <c r="L58" s="17">
        <v>16.600000000000001</v>
      </c>
      <c r="M58" s="10">
        <f>AVERAGE(M53:M57)</f>
        <v>1748.0667874438368</v>
      </c>
      <c r="N58" s="9">
        <f>M58/L58</f>
        <v>105.30522815926727</v>
      </c>
      <c r="O58" s="11">
        <f>L58-I58</f>
        <v>0</v>
      </c>
      <c r="P58" s="12">
        <f>N58-K58</f>
        <v>-9.1526031660339271</v>
      </c>
      <c r="Q58" s="165">
        <f>N58/K58</f>
        <v>0.92003515128622992</v>
      </c>
      <c r="R58" s="533"/>
      <c r="S58" s="25"/>
      <c r="T58" s="24"/>
      <c r="U58" s="9"/>
      <c r="V58" s="172"/>
      <c r="W58" s="9"/>
      <c r="X58" s="9"/>
      <c r="Y58" s="528"/>
      <c r="Z58" s="528"/>
      <c r="AA58" s="11">
        <f t="shared" si="2"/>
        <v>-151.9332125561632</v>
      </c>
      <c r="AB58" s="165">
        <f t="shared" si="57"/>
        <v>0.92003515128622992</v>
      </c>
      <c r="AC58" s="533"/>
    </row>
    <row r="59" spans="1:29" ht="15.75" customHeight="1">
      <c r="A59" s="538" t="s">
        <v>385</v>
      </c>
      <c r="B59" s="173" t="s">
        <v>32</v>
      </c>
      <c r="C59" s="529" t="s">
        <v>35</v>
      </c>
      <c r="D59" s="529"/>
      <c r="E59" s="26">
        <v>26.78</v>
      </c>
      <c r="F59" s="27">
        <v>2753</v>
      </c>
      <c r="G59" s="163">
        <f t="shared" ref="G59:G64" si="76">E59*F59</f>
        <v>73725.34</v>
      </c>
      <c r="H59" s="76" t="s">
        <v>52</v>
      </c>
      <c r="I59" s="171">
        <v>10</v>
      </c>
      <c r="J59" s="18">
        <v>3000</v>
      </c>
      <c r="K59" s="9">
        <f t="shared" ref="K59:K64" si="77">J59/I59</f>
        <v>300</v>
      </c>
      <c r="L59" s="17">
        <v>10</v>
      </c>
      <c r="M59" s="10">
        <f t="shared" ref="M59:M64" si="78">F59/V59*60</f>
        <v>2753.0000000000009</v>
      </c>
      <c r="N59" s="9">
        <f>M59/L59</f>
        <v>275.30000000000007</v>
      </c>
      <c r="O59" s="11">
        <f t="shared" ref="O59:O64" si="79">L59-I59</f>
        <v>0</v>
      </c>
      <c r="P59" s="12">
        <f t="shared" ref="P59:P64" si="80">N59-K59</f>
        <v>-24.699999999999932</v>
      </c>
      <c r="Q59" s="165">
        <f>N59/K59</f>
        <v>0.91766666666666685</v>
      </c>
      <c r="R59" s="533">
        <f>Q65</f>
        <v>0.92691912287755507</v>
      </c>
      <c r="S59" s="24">
        <v>0.20833333333333334</v>
      </c>
      <c r="T59" s="24">
        <v>0.25</v>
      </c>
      <c r="U59" s="163"/>
      <c r="V59" s="172">
        <f t="shared" ref="V59:V64" si="81">(T59-S59)*24*60</f>
        <v>59.999999999999986</v>
      </c>
      <c r="W59" s="15"/>
      <c r="X59" s="15"/>
      <c r="Y59" s="528"/>
      <c r="Z59" s="528"/>
      <c r="AA59" s="11">
        <f t="shared" si="2"/>
        <v>-246.99999999999909</v>
      </c>
      <c r="AB59" s="165">
        <f t="shared" si="57"/>
        <v>0.91766666666666696</v>
      </c>
      <c r="AC59" s="533">
        <f>AB65</f>
        <v>0.92691912287755507</v>
      </c>
    </row>
    <row r="60" spans="1:29" ht="15.75" customHeight="1">
      <c r="A60" s="538" t="s">
        <v>385</v>
      </c>
      <c r="B60" s="173" t="s">
        <v>32</v>
      </c>
      <c r="C60" s="529" t="s">
        <v>39</v>
      </c>
      <c r="D60" s="529"/>
      <c r="E60" s="26">
        <v>35.369999999999997</v>
      </c>
      <c r="F60" s="27">
        <v>1631</v>
      </c>
      <c r="G60" s="163">
        <f t="shared" si="76"/>
        <v>57688.469999999994</v>
      </c>
      <c r="H60" s="76" t="s">
        <v>52</v>
      </c>
      <c r="I60" s="171">
        <v>10</v>
      </c>
      <c r="J60" s="18">
        <v>3000</v>
      </c>
      <c r="K60" s="9">
        <f t="shared" si="77"/>
        <v>300</v>
      </c>
      <c r="L60" s="17">
        <v>10</v>
      </c>
      <c r="M60" s="10">
        <f t="shared" si="78"/>
        <v>2795.9999999999973</v>
      </c>
      <c r="N60" s="9">
        <f t="shared" ref="N60:N64" si="82">M60/L60</f>
        <v>279.59999999999974</v>
      </c>
      <c r="O60" s="11">
        <f t="shared" si="79"/>
        <v>0</v>
      </c>
      <c r="P60" s="12">
        <f t="shared" si="80"/>
        <v>-20.400000000000261</v>
      </c>
      <c r="Q60" s="165">
        <f t="shared" ref="Q60:Q64" si="83">N60/K60</f>
        <v>0.93199999999999916</v>
      </c>
      <c r="R60" s="533"/>
      <c r="S60" s="24">
        <v>0.25416666666666665</v>
      </c>
      <c r="T60" s="24">
        <v>0.27847222222222223</v>
      </c>
      <c r="U60" s="163">
        <f>(S60-T59)*24*60</f>
        <v>5.9999999999999787</v>
      </c>
      <c r="V60" s="172">
        <f t="shared" si="81"/>
        <v>35.000000000000036</v>
      </c>
      <c r="W60" s="163"/>
      <c r="X60" s="163"/>
      <c r="Y60" s="528"/>
      <c r="Z60" s="528"/>
      <c r="AA60" s="11">
        <f t="shared" si="2"/>
        <v>-204.00000000000273</v>
      </c>
      <c r="AB60" s="165">
        <f t="shared" si="57"/>
        <v>0.93199999999999905</v>
      </c>
      <c r="AC60" s="533"/>
    </row>
    <row r="61" spans="1:29" ht="15.75" customHeight="1">
      <c r="A61" s="538" t="s">
        <v>385</v>
      </c>
      <c r="B61" s="173" t="s">
        <v>32</v>
      </c>
      <c r="C61" s="529" t="s">
        <v>38</v>
      </c>
      <c r="D61" s="529"/>
      <c r="E61" s="26">
        <v>34.35</v>
      </c>
      <c r="F61" s="27">
        <v>1547</v>
      </c>
      <c r="G61" s="163">
        <f t="shared" si="76"/>
        <v>53139.450000000004</v>
      </c>
      <c r="H61" s="76" t="s">
        <v>52</v>
      </c>
      <c r="I61" s="171">
        <v>10</v>
      </c>
      <c r="J61" s="18">
        <v>3000</v>
      </c>
      <c r="K61" s="9">
        <f t="shared" si="77"/>
        <v>300</v>
      </c>
      <c r="L61" s="17">
        <v>10</v>
      </c>
      <c r="M61" s="10">
        <f t="shared" si="78"/>
        <v>2812.7272727272693</v>
      </c>
      <c r="N61" s="9">
        <f t="shared" si="82"/>
        <v>281.27272727272691</v>
      </c>
      <c r="O61" s="11">
        <f t="shared" si="79"/>
        <v>0</v>
      </c>
      <c r="P61" s="12">
        <f t="shared" si="80"/>
        <v>-18.727272727273089</v>
      </c>
      <c r="Q61" s="165">
        <f t="shared" si="83"/>
        <v>0.9375757575757564</v>
      </c>
      <c r="R61" s="533"/>
      <c r="S61" s="24">
        <v>0.28333333333333333</v>
      </c>
      <c r="T61" s="24">
        <v>0.30625000000000002</v>
      </c>
      <c r="U61" s="163">
        <f t="shared" ref="U61:U64" si="84">(S61-T60)*24*60</f>
        <v>6.9999999999999751</v>
      </c>
      <c r="V61" s="172">
        <f t="shared" si="81"/>
        <v>33.000000000000043</v>
      </c>
      <c r="W61" s="163"/>
      <c r="X61" s="163"/>
      <c r="Y61" s="528"/>
      <c r="Z61" s="528"/>
      <c r="AA61" s="11">
        <f t="shared" si="2"/>
        <v>-187.27272727273066</v>
      </c>
      <c r="AB61" s="165">
        <f t="shared" si="57"/>
        <v>0.9375757575757564</v>
      </c>
      <c r="AC61" s="533"/>
    </row>
    <row r="62" spans="1:29" ht="15.75" customHeight="1">
      <c r="A62" s="538" t="s">
        <v>385</v>
      </c>
      <c r="B62" s="173" t="s">
        <v>15</v>
      </c>
      <c r="C62" s="529" t="s">
        <v>36</v>
      </c>
      <c r="D62" s="529"/>
      <c r="E62" s="26">
        <v>26.97</v>
      </c>
      <c r="F62" s="27">
        <v>3423</v>
      </c>
      <c r="G62" s="163">
        <f t="shared" si="76"/>
        <v>92318.31</v>
      </c>
      <c r="H62" s="76" t="s">
        <v>52</v>
      </c>
      <c r="I62" s="171">
        <v>8</v>
      </c>
      <c r="J62" s="18">
        <v>1500</v>
      </c>
      <c r="K62" s="9">
        <f t="shared" si="77"/>
        <v>187.5</v>
      </c>
      <c r="L62" s="17">
        <v>8</v>
      </c>
      <c r="M62" s="10">
        <f t="shared" si="78"/>
        <v>1378.3892617449662</v>
      </c>
      <c r="N62" s="9">
        <f t="shared" si="82"/>
        <v>172.29865771812078</v>
      </c>
      <c r="O62" s="11">
        <f t="shared" si="79"/>
        <v>0</v>
      </c>
      <c r="P62" s="12">
        <f t="shared" si="80"/>
        <v>-15.201342281879221</v>
      </c>
      <c r="Q62" s="165">
        <f t="shared" si="83"/>
        <v>0.91892617449664415</v>
      </c>
      <c r="R62" s="533"/>
      <c r="S62" s="24">
        <v>0.31111111111111112</v>
      </c>
      <c r="T62" s="24">
        <v>0.41458333333333336</v>
      </c>
      <c r="U62" s="163">
        <f t="shared" si="84"/>
        <v>6.9999999999999751</v>
      </c>
      <c r="V62" s="172">
        <f t="shared" si="81"/>
        <v>149.00000000000003</v>
      </c>
      <c r="W62" s="163"/>
      <c r="X62" s="163"/>
      <c r="Y62" s="528"/>
      <c r="Z62" s="528"/>
      <c r="AA62" s="11">
        <f t="shared" si="2"/>
        <v>-121.61073825503377</v>
      </c>
      <c r="AB62" s="165">
        <f t="shared" si="57"/>
        <v>0.91892617449664415</v>
      </c>
      <c r="AC62" s="533"/>
    </row>
    <row r="63" spans="1:29">
      <c r="A63" s="539" t="s">
        <v>385</v>
      </c>
      <c r="B63" s="173" t="s">
        <v>32</v>
      </c>
      <c r="C63" s="529" t="s">
        <v>37</v>
      </c>
      <c r="D63" s="529"/>
      <c r="E63" s="26">
        <v>35.119999999999997</v>
      </c>
      <c r="F63" s="27">
        <v>1238</v>
      </c>
      <c r="G63" s="163">
        <f t="shared" si="76"/>
        <v>43478.559999999998</v>
      </c>
      <c r="H63" s="76" t="s">
        <v>52</v>
      </c>
      <c r="I63" s="171">
        <v>13</v>
      </c>
      <c r="J63" s="18">
        <v>2000</v>
      </c>
      <c r="K63" s="9">
        <f t="shared" si="77"/>
        <v>153.84615384615384</v>
      </c>
      <c r="L63" s="17">
        <v>13</v>
      </c>
      <c r="M63" s="10">
        <f t="shared" si="78"/>
        <v>1856.9999999999993</v>
      </c>
      <c r="N63" s="9">
        <f t="shared" si="82"/>
        <v>142.84615384615378</v>
      </c>
      <c r="O63" s="11">
        <f t="shared" si="79"/>
        <v>0</v>
      </c>
      <c r="P63" s="12">
        <f t="shared" si="80"/>
        <v>-11.000000000000057</v>
      </c>
      <c r="Q63" s="165">
        <f t="shared" si="83"/>
        <v>0.92849999999999966</v>
      </c>
      <c r="R63" s="533"/>
      <c r="S63" s="24">
        <v>0.41805555555555557</v>
      </c>
      <c r="T63" s="24">
        <v>0.44583333333333336</v>
      </c>
      <c r="U63" s="163">
        <f t="shared" si="84"/>
        <v>4.9999999999999822</v>
      </c>
      <c r="V63" s="172">
        <f t="shared" si="81"/>
        <v>40.000000000000014</v>
      </c>
      <c r="W63" s="14"/>
      <c r="X63" s="14"/>
      <c r="Y63" s="528"/>
      <c r="Z63" s="528"/>
      <c r="AA63" s="11">
        <f t="shared" si="2"/>
        <v>-143.00000000000068</v>
      </c>
      <c r="AB63" s="165">
        <f t="shared" si="57"/>
        <v>0.92849999999999966</v>
      </c>
      <c r="AC63" s="533"/>
    </row>
    <row r="64" spans="1:29" ht="15" customHeight="1">
      <c r="A64" s="539" t="s">
        <v>385</v>
      </c>
      <c r="B64" s="173" t="s">
        <v>32</v>
      </c>
      <c r="C64" s="534" t="s">
        <v>84</v>
      </c>
      <c r="D64" s="535"/>
      <c r="E64" s="26">
        <v>35.869999999999997</v>
      </c>
      <c r="F64" s="27">
        <v>3555</v>
      </c>
      <c r="G64" s="163">
        <f t="shared" si="76"/>
        <v>127517.84999999999</v>
      </c>
      <c r="H64" s="76" t="s">
        <v>52</v>
      </c>
      <c r="I64" s="171">
        <v>10</v>
      </c>
      <c r="J64" s="18">
        <v>3000</v>
      </c>
      <c r="K64" s="9">
        <f t="shared" si="77"/>
        <v>300</v>
      </c>
      <c r="L64" s="17">
        <v>10</v>
      </c>
      <c r="M64" s="10">
        <f t="shared" si="78"/>
        <v>2770.1298701298711</v>
      </c>
      <c r="N64" s="9">
        <f t="shared" si="82"/>
        <v>277.01298701298708</v>
      </c>
      <c r="O64" s="11">
        <f t="shared" si="79"/>
        <v>0</v>
      </c>
      <c r="P64" s="12">
        <f t="shared" si="80"/>
        <v>-22.987012987012918</v>
      </c>
      <c r="Q64" s="165">
        <f t="shared" si="83"/>
        <v>0.92337662337662363</v>
      </c>
      <c r="R64" s="533"/>
      <c r="S64" s="24">
        <v>0.45069444444444445</v>
      </c>
      <c r="T64" s="24">
        <v>0.50416666666666665</v>
      </c>
      <c r="U64" s="163">
        <f t="shared" si="84"/>
        <v>6.9999999999999751</v>
      </c>
      <c r="V64" s="172">
        <f t="shared" si="81"/>
        <v>76.999999999999972</v>
      </c>
      <c r="W64" s="163"/>
      <c r="X64" s="163"/>
      <c r="Y64" s="536"/>
      <c r="Z64" s="537"/>
      <c r="AA64" s="11">
        <f t="shared" si="2"/>
        <v>-229.87012987012895</v>
      </c>
      <c r="AB64" s="165">
        <f t="shared" si="57"/>
        <v>0.92337662337662363</v>
      </c>
      <c r="AC64" s="533"/>
    </row>
    <row r="65" spans="1:29">
      <c r="A65" s="539" t="s">
        <v>385</v>
      </c>
      <c r="B65" s="26" t="s">
        <v>82</v>
      </c>
      <c r="C65" s="530"/>
      <c r="D65" s="530"/>
      <c r="E65" s="164"/>
      <c r="F65" s="16"/>
      <c r="G65" s="9"/>
      <c r="H65" s="173"/>
      <c r="I65" s="17">
        <v>10.166666666666666</v>
      </c>
      <c r="J65" s="18">
        <v>2583.3333333333335</v>
      </c>
      <c r="K65" s="9">
        <f>J65/I65</f>
        <v>254.09836065573774</v>
      </c>
      <c r="L65" s="17">
        <v>10.166666666666666</v>
      </c>
      <c r="M65" s="10">
        <f>AVERAGE(M59:M64)</f>
        <v>2394.541067433684</v>
      </c>
      <c r="N65" s="9">
        <f>M65/L65</f>
        <v>235.52862958364108</v>
      </c>
      <c r="O65" s="11">
        <f>L65-I65</f>
        <v>0</v>
      </c>
      <c r="P65" s="12">
        <f>N65-K65</f>
        <v>-18.569731072096658</v>
      </c>
      <c r="Q65" s="165">
        <f>N65/K65</f>
        <v>0.92691912287755507</v>
      </c>
      <c r="R65" s="533"/>
      <c r="S65" s="24"/>
      <c r="T65" s="24"/>
      <c r="U65" s="9"/>
      <c r="V65" s="172"/>
      <c r="W65" s="9"/>
      <c r="X65" s="9"/>
      <c r="Y65" s="528"/>
      <c r="Z65" s="528"/>
      <c r="AA65" s="11">
        <f t="shared" si="2"/>
        <v>-188.79226589964946</v>
      </c>
      <c r="AB65" s="165">
        <f t="shared" si="57"/>
        <v>0.92691912287755507</v>
      </c>
      <c r="AC65" s="533"/>
    </row>
    <row r="66" spans="1:29" ht="15.75" customHeight="1">
      <c r="A66" s="531" t="s">
        <v>387</v>
      </c>
      <c r="B66" s="173" t="s">
        <v>24</v>
      </c>
      <c r="C66" s="529" t="s">
        <v>67</v>
      </c>
      <c r="D66" s="529"/>
      <c r="E66" s="26">
        <v>32.03</v>
      </c>
      <c r="F66" s="173">
        <v>1154</v>
      </c>
      <c r="G66" s="163">
        <f t="shared" ref="G66:G73" si="85">E66*F66</f>
        <v>36962.620000000003</v>
      </c>
      <c r="H66" s="76" t="s">
        <v>52</v>
      </c>
      <c r="I66" s="171">
        <v>19</v>
      </c>
      <c r="J66" s="18">
        <v>2400</v>
      </c>
      <c r="K66" s="9">
        <f t="shared" ref="K66:K68" si="86">J66/I66</f>
        <v>126.31578947368421</v>
      </c>
      <c r="L66" s="17">
        <v>19</v>
      </c>
      <c r="M66" s="10">
        <f>F66/V66*60</f>
        <v>2233.5483870967732</v>
      </c>
      <c r="N66" s="9">
        <f t="shared" ref="N66:N73" si="87">M66/L66</f>
        <v>117.55517826825123</v>
      </c>
      <c r="O66" s="11">
        <f t="shared" ref="O66:O73" si="88">L66-I66</f>
        <v>0</v>
      </c>
      <c r="P66" s="12">
        <f t="shared" ref="P66:P73" si="89">N66-K66</f>
        <v>-8.7606112054329799</v>
      </c>
      <c r="Q66" s="165">
        <f>N66/K66</f>
        <v>0.93064516129032226</v>
      </c>
      <c r="R66" s="533">
        <f>Q74</f>
        <v>0.9223425504717323</v>
      </c>
      <c r="S66" s="24">
        <v>8.3333333333333329E-2</v>
      </c>
      <c r="T66" s="24">
        <v>0.10486111111111111</v>
      </c>
      <c r="U66" s="15"/>
      <c r="V66" s="172">
        <f t="shared" ref="V66:V73" si="90">(T66-S66)*24*60</f>
        <v>31.000000000000011</v>
      </c>
      <c r="W66" s="14">
        <f>T66</f>
        <v>0.10486111111111111</v>
      </c>
      <c r="X66" s="14">
        <f>S67</f>
        <v>0.125</v>
      </c>
      <c r="Y66" s="528"/>
      <c r="Z66" s="528"/>
      <c r="AA66" s="11">
        <f t="shared" si="2"/>
        <v>-166.45161290322676</v>
      </c>
      <c r="AB66" s="165">
        <f>M66/J66</f>
        <v>0.93064516129032215</v>
      </c>
      <c r="AC66" s="533">
        <f>AB74</f>
        <v>0.9223425504717323</v>
      </c>
    </row>
    <row r="67" spans="1:29" ht="15.75" customHeight="1">
      <c r="A67" s="531" t="s">
        <v>387</v>
      </c>
      <c r="B67" s="173" t="s">
        <v>24</v>
      </c>
      <c r="C67" s="529" t="s">
        <v>51</v>
      </c>
      <c r="D67" s="529"/>
      <c r="E67" s="26">
        <v>20.2</v>
      </c>
      <c r="F67" s="173">
        <v>2858</v>
      </c>
      <c r="G67" s="163">
        <f t="shared" si="85"/>
        <v>57731.6</v>
      </c>
      <c r="H67" s="76" t="s">
        <v>52</v>
      </c>
      <c r="I67" s="171">
        <v>19</v>
      </c>
      <c r="J67" s="18">
        <v>2400</v>
      </c>
      <c r="K67" s="9">
        <f t="shared" si="86"/>
        <v>126.31578947368421</v>
      </c>
      <c r="L67" s="17">
        <v>19</v>
      </c>
      <c r="M67" s="10">
        <f t="shared" ref="M67:M73" si="91">F67/V67*60</f>
        <v>2198.4615384615386</v>
      </c>
      <c r="N67" s="9">
        <f t="shared" si="87"/>
        <v>115.7085020242915</v>
      </c>
      <c r="O67" s="11">
        <f t="shared" si="88"/>
        <v>0</v>
      </c>
      <c r="P67" s="12">
        <f t="shared" si="89"/>
        <v>-10.6072874493927</v>
      </c>
      <c r="Q67" s="165">
        <f t="shared" ref="Q67:Q74" si="92">N67/K67</f>
        <v>0.9160256410256411</v>
      </c>
      <c r="R67" s="533"/>
      <c r="S67" s="24">
        <v>0.125</v>
      </c>
      <c r="T67" s="24">
        <v>0.17916666666666667</v>
      </c>
      <c r="U67" s="163">
        <f>(S67-T66)*24*60</f>
        <v>28.999999999999996</v>
      </c>
      <c r="V67" s="172">
        <f t="shared" si="90"/>
        <v>78</v>
      </c>
      <c r="W67" s="14"/>
      <c r="X67" s="14"/>
      <c r="Y67" s="528"/>
      <c r="Z67" s="528"/>
      <c r="AA67" s="11">
        <f t="shared" si="2"/>
        <v>-201.53846153846143</v>
      </c>
      <c r="AB67" s="165">
        <f t="shared" ref="AB67:AB74" si="93">M67/J67</f>
        <v>0.9160256410256411</v>
      </c>
      <c r="AC67" s="533"/>
    </row>
    <row r="68" spans="1:29" ht="15.75" customHeight="1">
      <c r="A68" s="531" t="s">
        <v>387</v>
      </c>
      <c r="B68" s="173" t="s">
        <v>24</v>
      </c>
      <c r="C68" s="529" t="s">
        <v>41</v>
      </c>
      <c r="D68" s="529"/>
      <c r="E68" s="26">
        <v>19.02</v>
      </c>
      <c r="F68" s="173">
        <v>4500</v>
      </c>
      <c r="G68" s="163">
        <f t="shared" si="85"/>
        <v>85590</v>
      </c>
      <c r="H68" s="76">
        <v>2</v>
      </c>
      <c r="I68" s="171">
        <v>15</v>
      </c>
      <c r="J68" s="18">
        <v>2400</v>
      </c>
      <c r="K68" s="9">
        <f t="shared" si="86"/>
        <v>160</v>
      </c>
      <c r="L68" s="17">
        <v>15</v>
      </c>
      <c r="M68" s="10">
        <f t="shared" si="91"/>
        <v>2213.1147540983611</v>
      </c>
      <c r="N68" s="9">
        <f t="shared" si="87"/>
        <v>147.5409836065574</v>
      </c>
      <c r="O68" s="11">
        <f t="shared" si="88"/>
        <v>0</v>
      </c>
      <c r="P68" s="12">
        <f t="shared" si="89"/>
        <v>-12.459016393442596</v>
      </c>
      <c r="Q68" s="165">
        <f t="shared" si="92"/>
        <v>0.9221311475409838</v>
      </c>
      <c r="R68" s="533"/>
      <c r="S68" s="24">
        <v>0.18402777777777779</v>
      </c>
      <c r="T68" s="24">
        <v>0.26874999999999999</v>
      </c>
      <c r="U68" s="163">
        <f t="shared" ref="U68:U73" si="94">(S68-T67)*24*60</f>
        <v>7.0000000000000151</v>
      </c>
      <c r="V68" s="172">
        <f t="shared" si="90"/>
        <v>121.99999999999997</v>
      </c>
      <c r="W68" s="14"/>
      <c r="X68" s="14"/>
      <c r="Y68" s="528"/>
      <c r="Z68" s="528"/>
      <c r="AA68" s="11">
        <f t="shared" si="2"/>
        <v>-186.88524590163888</v>
      </c>
      <c r="AB68" s="165">
        <f t="shared" si="93"/>
        <v>0.9221311475409838</v>
      </c>
      <c r="AC68" s="533"/>
    </row>
    <row r="69" spans="1:29" ht="15.75" customHeight="1">
      <c r="A69" s="531" t="s">
        <v>387</v>
      </c>
      <c r="B69" s="173" t="s">
        <v>24</v>
      </c>
      <c r="C69" s="529" t="s">
        <v>42</v>
      </c>
      <c r="D69" s="529"/>
      <c r="E69" s="26">
        <v>25</v>
      </c>
      <c r="F69" s="173">
        <v>4239</v>
      </c>
      <c r="G69" s="163">
        <f t="shared" si="85"/>
        <v>105975</v>
      </c>
      <c r="H69" s="76" t="s">
        <v>52</v>
      </c>
      <c r="I69" s="171">
        <v>15</v>
      </c>
      <c r="J69" s="18">
        <v>2400</v>
      </c>
      <c r="K69" s="9">
        <f>J69/I69</f>
        <v>160</v>
      </c>
      <c r="L69" s="17">
        <v>15</v>
      </c>
      <c r="M69" s="10">
        <f t="shared" si="91"/>
        <v>2211.652173913044</v>
      </c>
      <c r="N69" s="9">
        <f t="shared" si="87"/>
        <v>147.4434782608696</v>
      </c>
      <c r="O69" s="11">
        <f t="shared" si="88"/>
        <v>0</v>
      </c>
      <c r="P69" s="12">
        <f t="shared" si="89"/>
        <v>-12.556521739130403</v>
      </c>
      <c r="Q69" s="165">
        <f t="shared" si="92"/>
        <v>0.921521739130435</v>
      </c>
      <c r="R69" s="533"/>
      <c r="S69" s="24">
        <v>0.2722222222222222</v>
      </c>
      <c r="T69" s="24">
        <v>0.3520833333333333</v>
      </c>
      <c r="U69" s="163">
        <f t="shared" si="94"/>
        <v>4.9999999999999822</v>
      </c>
      <c r="V69" s="172">
        <f t="shared" si="90"/>
        <v>114.99999999999999</v>
      </c>
      <c r="W69" s="14"/>
      <c r="X69" s="14"/>
      <c r="Y69" s="528"/>
      <c r="Z69" s="528"/>
      <c r="AA69" s="11">
        <f t="shared" ref="AA69:AA74" si="95">M69-J69</f>
        <v>-188.34782608695605</v>
      </c>
      <c r="AB69" s="165">
        <f t="shared" si="93"/>
        <v>0.921521739130435</v>
      </c>
      <c r="AC69" s="533"/>
    </row>
    <row r="70" spans="1:29" ht="15.75" customHeight="1">
      <c r="A70" s="531" t="s">
        <v>387</v>
      </c>
      <c r="B70" s="173" t="s">
        <v>24</v>
      </c>
      <c r="C70" s="529" t="s">
        <v>77</v>
      </c>
      <c r="D70" s="529"/>
      <c r="E70" s="26">
        <v>28.51</v>
      </c>
      <c r="F70" s="173">
        <v>4388</v>
      </c>
      <c r="G70" s="163">
        <f t="shared" si="85"/>
        <v>125101.88</v>
      </c>
      <c r="H70" s="76" t="s">
        <v>52</v>
      </c>
      <c r="I70" s="171">
        <v>19</v>
      </c>
      <c r="J70" s="18">
        <v>2400</v>
      </c>
      <c r="K70" s="9">
        <f t="shared" ref="K70:K74" si="96">J70/I70</f>
        <v>126.31578947368421</v>
      </c>
      <c r="L70" s="17">
        <v>19</v>
      </c>
      <c r="M70" s="10">
        <f t="shared" si="91"/>
        <v>2212.4369747899168</v>
      </c>
      <c r="N70" s="9">
        <f t="shared" si="87"/>
        <v>116.44405130473247</v>
      </c>
      <c r="O70" s="11">
        <f t="shared" si="88"/>
        <v>0</v>
      </c>
      <c r="P70" s="12">
        <f t="shared" si="89"/>
        <v>-9.8717381689517367</v>
      </c>
      <c r="Q70" s="165">
        <f t="shared" si="92"/>
        <v>0.92184873949579871</v>
      </c>
      <c r="R70" s="533"/>
      <c r="S70" s="24">
        <v>0.35624999999999996</v>
      </c>
      <c r="T70" s="24">
        <v>0.43888888888888883</v>
      </c>
      <c r="U70" s="163">
        <f t="shared" si="94"/>
        <v>5.9999999999999787</v>
      </c>
      <c r="V70" s="172">
        <f t="shared" si="90"/>
        <v>118.99999999999997</v>
      </c>
      <c r="W70" s="14"/>
      <c r="X70" s="14"/>
      <c r="Y70" s="528"/>
      <c r="Z70" s="528"/>
      <c r="AA70" s="11">
        <f t="shared" si="95"/>
        <v>-187.5630252100832</v>
      </c>
      <c r="AB70" s="165">
        <f t="shared" si="93"/>
        <v>0.92184873949579871</v>
      </c>
      <c r="AC70" s="533"/>
    </row>
    <row r="71" spans="1:29" ht="15.75" customHeight="1">
      <c r="A71" s="531" t="s">
        <v>387</v>
      </c>
      <c r="B71" s="173" t="s">
        <v>24</v>
      </c>
      <c r="C71" s="529" t="s">
        <v>25</v>
      </c>
      <c r="D71" s="529"/>
      <c r="E71" s="26">
        <v>20.52</v>
      </c>
      <c r="F71" s="173">
        <v>2700</v>
      </c>
      <c r="G71" s="163">
        <f t="shared" si="85"/>
        <v>55404</v>
      </c>
      <c r="H71" s="76">
        <v>2</v>
      </c>
      <c r="I71" s="171">
        <v>18</v>
      </c>
      <c r="J71" s="18">
        <v>2400</v>
      </c>
      <c r="K71" s="9">
        <f t="shared" si="96"/>
        <v>133.33333333333334</v>
      </c>
      <c r="L71" s="17">
        <v>18</v>
      </c>
      <c r="M71" s="10">
        <f t="shared" si="91"/>
        <v>2219.1780821917814</v>
      </c>
      <c r="N71" s="9">
        <f t="shared" si="87"/>
        <v>123.28767123287675</v>
      </c>
      <c r="O71" s="11">
        <f t="shared" si="88"/>
        <v>0</v>
      </c>
      <c r="P71" s="12">
        <f t="shared" si="89"/>
        <v>-10.045662100456596</v>
      </c>
      <c r="Q71" s="165">
        <f t="shared" si="92"/>
        <v>0.92465753424657549</v>
      </c>
      <c r="R71" s="533"/>
      <c r="S71" s="24">
        <v>0.44305555555555548</v>
      </c>
      <c r="T71" s="24">
        <v>0.49374999999999991</v>
      </c>
      <c r="U71" s="163">
        <f t="shared" si="94"/>
        <v>5.9999999999999787</v>
      </c>
      <c r="V71" s="172">
        <f t="shared" si="90"/>
        <v>72.999999999999986</v>
      </c>
      <c r="W71" s="14">
        <f>T71</f>
        <v>0.49374999999999991</v>
      </c>
      <c r="X71" s="14">
        <f>S72</f>
        <v>0.53263888888888877</v>
      </c>
      <c r="Y71" s="528"/>
      <c r="Z71" s="528"/>
      <c r="AA71" s="11">
        <f t="shared" si="95"/>
        <v>-180.82191780821859</v>
      </c>
      <c r="AB71" s="165">
        <f t="shared" si="93"/>
        <v>0.9246575342465756</v>
      </c>
      <c r="AC71" s="533"/>
    </row>
    <row r="72" spans="1:29" ht="15.75" customHeight="1">
      <c r="A72" s="531" t="s">
        <v>387</v>
      </c>
      <c r="B72" s="173" t="s">
        <v>24</v>
      </c>
      <c r="C72" s="534" t="s">
        <v>41</v>
      </c>
      <c r="D72" s="535"/>
      <c r="E72" s="26">
        <v>19.02</v>
      </c>
      <c r="F72" s="173">
        <v>7427</v>
      </c>
      <c r="G72" s="163">
        <f t="shared" si="85"/>
        <v>141261.54</v>
      </c>
      <c r="H72" s="76" t="s">
        <v>52</v>
      </c>
      <c r="I72" s="171">
        <v>15</v>
      </c>
      <c r="J72" s="18">
        <v>2400</v>
      </c>
      <c r="K72" s="9">
        <f t="shared" si="96"/>
        <v>160</v>
      </c>
      <c r="L72" s="17">
        <v>15</v>
      </c>
      <c r="M72" s="10">
        <f t="shared" si="91"/>
        <v>2206.0396039603952</v>
      </c>
      <c r="N72" s="9">
        <f t="shared" si="87"/>
        <v>147.06930693069302</v>
      </c>
      <c r="O72" s="11">
        <f t="shared" si="88"/>
        <v>0</v>
      </c>
      <c r="P72" s="12">
        <f t="shared" si="89"/>
        <v>-12.930693069306983</v>
      </c>
      <c r="Q72" s="165">
        <f t="shared" si="92"/>
        <v>0.91918316831683133</v>
      </c>
      <c r="R72" s="533"/>
      <c r="S72" s="24">
        <v>0.53263888888888877</v>
      </c>
      <c r="T72" s="24">
        <v>0.67291666666666661</v>
      </c>
      <c r="U72" s="163">
        <f t="shared" si="94"/>
        <v>55.999999999999957</v>
      </c>
      <c r="V72" s="172">
        <f t="shared" si="90"/>
        <v>202.00000000000009</v>
      </c>
      <c r="W72" s="14"/>
      <c r="X72" s="14"/>
      <c r="Y72" s="536"/>
      <c r="Z72" s="537"/>
      <c r="AA72" s="11">
        <f t="shared" si="95"/>
        <v>-193.9603960396048</v>
      </c>
      <c r="AB72" s="165">
        <f t="shared" si="93"/>
        <v>0.91918316831683133</v>
      </c>
      <c r="AC72" s="533"/>
    </row>
    <row r="73" spans="1:29" ht="15.75" customHeight="1">
      <c r="A73" s="531" t="s">
        <v>387</v>
      </c>
      <c r="B73" s="173" t="s">
        <v>24</v>
      </c>
      <c r="C73" s="534" t="s">
        <v>25</v>
      </c>
      <c r="D73" s="535"/>
      <c r="E73" s="26">
        <v>20.52</v>
      </c>
      <c r="F73" s="173">
        <v>2436</v>
      </c>
      <c r="G73" s="163">
        <f t="shared" si="85"/>
        <v>49986.720000000001</v>
      </c>
      <c r="H73" s="76" t="s">
        <v>52</v>
      </c>
      <c r="I73" s="171">
        <v>18</v>
      </c>
      <c r="J73" s="18">
        <v>2400</v>
      </c>
      <c r="K73" s="9">
        <f t="shared" si="96"/>
        <v>133.33333333333334</v>
      </c>
      <c r="L73" s="17">
        <v>18</v>
      </c>
      <c r="M73" s="10">
        <f t="shared" si="91"/>
        <v>2214.5454545454518</v>
      </c>
      <c r="N73" s="9">
        <f t="shared" si="87"/>
        <v>123.03030303030287</v>
      </c>
      <c r="O73" s="11">
        <f t="shared" si="88"/>
        <v>0</v>
      </c>
      <c r="P73" s="12">
        <f t="shared" si="89"/>
        <v>-10.303030303030468</v>
      </c>
      <c r="Q73" s="165">
        <f t="shared" si="92"/>
        <v>0.92272727272727151</v>
      </c>
      <c r="R73" s="533"/>
      <c r="S73" s="24">
        <v>0.67847222222222214</v>
      </c>
      <c r="T73" s="24">
        <v>0.72430555555555554</v>
      </c>
      <c r="U73" s="163">
        <f t="shared" si="94"/>
        <v>7.9999999999999716</v>
      </c>
      <c r="V73" s="172">
        <f t="shared" si="90"/>
        <v>66.000000000000085</v>
      </c>
      <c r="W73" s="14"/>
      <c r="X73" s="14"/>
      <c r="Y73" s="536"/>
      <c r="Z73" s="537"/>
      <c r="AA73" s="11">
        <f t="shared" si="95"/>
        <v>-185.45454545454822</v>
      </c>
      <c r="AB73" s="165">
        <f t="shared" si="93"/>
        <v>0.92272727272727162</v>
      </c>
      <c r="AC73" s="533"/>
    </row>
    <row r="74" spans="1:29" ht="16.5" customHeight="1">
      <c r="A74" s="532" t="s">
        <v>387</v>
      </c>
      <c r="B74" s="26" t="s">
        <v>82</v>
      </c>
      <c r="C74" s="530"/>
      <c r="D74" s="530"/>
      <c r="E74" s="164"/>
      <c r="F74" s="16"/>
      <c r="G74" s="9"/>
      <c r="H74" s="173"/>
      <c r="I74" s="17">
        <v>17.25</v>
      </c>
      <c r="J74" s="18">
        <v>2400</v>
      </c>
      <c r="K74" s="9">
        <f t="shared" si="96"/>
        <v>139.13043478260869</v>
      </c>
      <c r="L74" s="17">
        <v>17.25</v>
      </c>
      <c r="M74" s="10">
        <f>AVERAGE(M66:M73)</f>
        <v>2213.6221211321576</v>
      </c>
      <c r="N74" s="9">
        <f>M74/L74</f>
        <v>128.32592006563232</v>
      </c>
      <c r="O74" s="11">
        <f>L74-I74</f>
        <v>0</v>
      </c>
      <c r="P74" s="12">
        <f>N74-K74</f>
        <v>-10.804514716976371</v>
      </c>
      <c r="Q74" s="165">
        <f t="shared" si="92"/>
        <v>0.9223425504717323</v>
      </c>
      <c r="R74" s="533"/>
      <c r="S74" s="24"/>
      <c r="T74" s="24"/>
      <c r="U74" s="9"/>
      <c r="V74" s="172"/>
      <c r="W74" s="9"/>
      <c r="X74" s="9"/>
      <c r="Y74" s="528"/>
      <c r="Z74" s="528"/>
      <c r="AA74" s="11">
        <f t="shared" si="95"/>
        <v>-186.37787886784236</v>
      </c>
      <c r="AB74" s="165">
        <f t="shared" si="93"/>
        <v>0.9223425504717323</v>
      </c>
      <c r="AC74" s="533"/>
    </row>
    <row r="75" spans="1:29">
      <c r="D75" s="19"/>
      <c r="E75" s="19"/>
    </row>
  </sheetData>
  <mergeCells count="196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3"/>
    <mergeCell ref="C9:D9"/>
    <mergeCell ref="R9:R13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AC14:AC18"/>
    <mergeCell ref="C15:D15"/>
    <mergeCell ref="Y15:Z15"/>
    <mergeCell ref="C16:D16"/>
    <mergeCell ref="Y16:Z16"/>
    <mergeCell ref="C17:D17"/>
    <mergeCell ref="AC9:AC13"/>
    <mergeCell ref="C10:D10"/>
    <mergeCell ref="Y10:Z10"/>
    <mergeCell ref="C11:D11"/>
    <mergeCell ref="Y11:Z11"/>
    <mergeCell ref="C12:D12"/>
    <mergeCell ref="Y12:Z12"/>
    <mergeCell ref="C13:D13"/>
    <mergeCell ref="Y13:Z13"/>
    <mergeCell ref="Y17:Z17"/>
    <mergeCell ref="C18:D18"/>
    <mergeCell ref="Y18:Z18"/>
    <mergeCell ref="A19:A27"/>
    <mergeCell ref="C19:D19"/>
    <mergeCell ref="R19:R27"/>
    <mergeCell ref="Y19:Z19"/>
    <mergeCell ref="Y24:Z24"/>
    <mergeCell ref="C25:D25"/>
    <mergeCell ref="Y25:Z25"/>
    <mergeCell ref="A14:A18"/>
    <mergeCell ref="C14:D14"/>
    <mergeCell ref="R14:R18"/>
    <mergeCell ref="Y14:Z14"/>
    <mergeCell ref="AC19:AC27"/>
    <mergeCell ref="C20:D20"/>
    <mergeCell ref="Y20:Z20"/>
    <mergeCell ref="C21:D21"/>
    <mergeCell ref="Y21:Z21"/>
    <mergeCell ref="C22:D22"/>
    <mergeCell ref="Y22:Z22"/>
    <mergeCell ref="C23:D23"/>
    <mergeCell ref="Y23:Z23"/>
    <mergeCell ref="C24:D24"/>
    <mergeCell ref="C26:D26"/>
    <mergeCell ref="Y26:Z26"/>
    <mergeCell ref="C27:D27"/>
    <mergeCell ref="Y27:Z27"/>
    <mergeCell ref="A28:A33"/>
    <mergeCell ref="C28:D28"/>
    <mergeCell ref="R28:R33"/>
    <mergeCell ref="Y28:Z28"/>
    <mergeCell ref="Y33:Z33"/>
    <mergeCell ref="AC28:AC33"/>
    <mergeCell ref="C29:D29"/>
    <mergeCell ref="Y29:Z29"/>
    <mergeCell ref="C30:D30"/>
    <mergeCell ref="Y30:Z30"/>
    <mergeCell ref="C31:D31"/>
    <mergeCell ref="Y31:Z31"/>
    <mergeCell ref="C32:D32"/>
    <mergeCell ref="Y32:Z32"/>
    <mergeCell ref="C33:D33"/>
    <mergeCell ref="A34:A43"/>
    <mergeCell ref="C34:D34"/>
    <mergeCell ref="R34:R43"/>
    <mergeCell ref="Y34:Z34"/>
    <mergeCell ref="C35:D35"/>
    <mergeCell ref="Y35:Z35"/>
    <mergeCell ref="C36:D36"/>
    <mergeCell ref="Y36:Z36"/>
    <mergeCell ref="C37:D37"/>
    <mergeCell ref="AC44:AC52"/>
    <mergeCell ref="C45:D45"/>
    <mergeCell ref="Y45:Z45"/>
    <mergeCell ref="C46:D46"/>
    <mergeCell ref="Y46:Z46"/>
    <mergeCell ref="C47:D47"/>
    <mergeCell ref="C41:D41"/>
    <mergeCell ref="Y41:Z41"/>
    <mergeCell ref="C42:D42"/>
    <mergeCell ref="Y42:Z42"/>
    <mergeCell ref="C43:D43"/>
    <mergeCell ref="Y43:Z43"/>
    <mergeCell ref="AC34:AC43"/>
    <mergeCell ref="C51:D51"/>
    <mergeCell ref="Y51:Z51"/>
    <mergeCell ref="C52:D52"/>
    <mergeCell ref="Y52:Z52"/>
    <mergeCell ref="Y37:Z37"/>
    <mergeCell ref="C38:D38"/>
    <mergeCell ref="Y38:Z38"/>
    <mergeCell ref="C39:D39"/>
    <mergeCell ref="Y39:Z39"/>
    <mergeCell ref="C40:D40"/>
    <mergeCell ref="Y40:Z40"/>
    <mergeCell ref="A53:A58"/>
    <mergeCell ref="C53:D53"/>
    <mergeCell ref="R53:R58"/>
    <mergeCell ref="Y53:Z53"/>
    <mergeCell ref="Y47:Z47"/>
    <mergeCell ref="C48:D48"/>
    <mergeCell ref="Y48:Z48"/>
    <mergeCell ref="C49:D49"/>
    <mergeCell ref="Y49:Z49"/>
    <mergeCell ref="C50:D50"/>
    <mergeCell ref="Y50:Z50"/>
    <mergeCell ref="A44:A52"/>
    <mergeCell ref="C44:D44"/>
    <mergeCell ref="R44:R52"/>
    <mergeCell ref="Y44:Z44"/>
    <mergeCell ref="Y72:Z72"/>
    <mergeCell ref="AC59:AC65"/>
    <mergeCell ref="C60:D60"/>
    <mergeCell ref="Y60:Z60"/>
    <mergeCell ref="C61:D61"/>
    <mergeCell ref="Y61:Z61"/>
    <mergeCell ref="C62:D62"/>
    <mergeCell ref="AC53:AC58"/>
    <mergeCell ref="C54:D54"/>
    <mergeCell ref="Y54:Z54"/>
    <mergeCell ref="C55:D55"/>
    <mergeCell ref="C58:D58"/>
    <mergeCell ref="Y58:Z58"/>
    <mergeCell ref="Y62:Z62"/>
    <mergeCell ref="C63:D63"/>
    <mergeCell ref="Y63:Z63"/>
    <mergeCell ref="C64:D64"/>
    <mergeCell ref="Y64:Z64"/>
    <mergeCell ref="C65:D65"/>
    <mergeCell ref="Y65:Z65"/>
    <mergeCell ref="A59:A65"/>
    <mergeCell ref="C59:D59"/>
    <mergeCell ref="R59:R65"/>
    <mergeCell ref="Y59:Z59"/>
    <mergeCell ref="A66:A74"/>
    <mergeCell ref="C66:D66"/>
    <mergeCell ref="R66:R74"/>
    <mergeCell ref="Y66:Z66"/>
    <mergeCell ref="AC66:AC74"/>
    <mergeCell ref="C67:D67"/>
    <mergeCell ref="Y67:Z67"/>
    <mergeCell ref="C68:D68"/>
    <mergeCell ref="Y68:Z68"/>
    <mergeCell ref="C69:D69"/>
    <mergeCell ref="C73:D73"/>
    <mergeCell ref="Y73:Z73"/>
    <mergeCell ref="C74:D74"/>
    <mergeCell ref="Y74:Z74"/>
    <mergeCell ref="Y69:Z69"/>
    <mergeCell ref="C70:D70"/>
    <mergeCell ref="Y70:Z70"/>
    <mergeCell ref="C71:D71"/>
    <mergeCell ref="Y71:Z71"/>
    <mergeCell ref="C72:D72"/>
  </mergeCells>
  <phoneticPr fontId="3" type="noConversion"/>
  <conditionalFormatting sqref="O62:O71 O74 O5:O9 O13:O15 O52:O59 O18:O49">
    <cfRule type="cellIs" dxfId="601" priority="58" operator="greaterThan">
      <formula>0</formula>
    </cfRule>
  </conditionalFormatting>
  <conditionalFormatting sqref="P5:P7 P62:P64 AA62:AA64 P66:P71 P28:P32 P59 P9 P13:P15 P19:P26 P53:P57 P34:P49 AA5:AA59 AA66:AA74">
    <cfRule type="cellIs" dxfId="600" priority="62" operator="lessThan">
      <formula>0</formula>
    </cfRule>
  </conditionalFormatting>
  <conditionalFormatting sqref="AB62:AB64 Q62:Q71 Q74 Q5:Q9 Q13:Q15 Q52:Q59 Q18:Q49 AB5:AB59 AB66:AB74">
    <cfRule type="cellIs" dxfId="599" priority="59" operator="greaterThan">
      <formula>1</formula>
    </cfRule>
    <cfRule type="cellIs" dxfId="598" priority="60" operator="lessThan">
      <formula>0.8</formula>
    </cfRule>
  </conditionalFormatting>
  <conditionalFormatting sqref="AC14:AC15 R14:R15 AC62 R62:R71 R18:R24 AC18:AC24 R27:R41 AC27:AC41 R74 AC5:AC9 R5:R9 R43:R49 AC43:AC49 AC52:AC59 R52:R59">
    <cfRule type="cellIs" dxfId="597" priority="64" operator="lessThan">
      <formula>0.8</formula>
    </cfRule>
  </conditionalFormatting>
  <conditionalFormatting sqref="AC44">
    <cfRule type="cellIs" dxfId="596" priority="66" operator="lessThan">
      <formula>0.8</formula>
    </cfRule>
  </conditionalFormatting>
  <conditionalFormatting sqref="AC19:AC24">
    <cfRule type="cellIs" dxfId="595" priority="63" operator="lessThan">
      <formula>0.8</formula>
    </cfRule>
  </conditionalFormatting>
  <conditionalFormatting sqref="AC28">
    <cfRule type="cellIs" dxfId="594" priority="65" operator="lessThan">
      <formula>0.8</formula>
    </cfRule>
  </conditionalFormatting>
  <conditionalFormatting sqref="AC34:AC41">
    <cfRule type="cellIs" dxfId="593" priority="61" operator="lessThan">
      <formula>0.8</formula>
    </cfRule>
  </conditionalFormatting>
  <conditionalFormatting sqref="AA65">
    <cfRule type="cellIs" dxfId="592" priority="57" operator="lessThan">
      <formula>0</formula>
    </cfRule>
  </conditionalFormatting>
  <conditionalFormatting sqref="AB65">
    <cfRule type="cellIs" dxfId="591" priority="55" operator="greaterThan">
      <formula>1</formula>
    </cfRule>
    <cfRule type="cellIs" dxfId="590" priority="56" operator="lessThan">
      <formula>0.8</formula>
    </cfRule>
  </conditionalFormatting>
  <conditionalFormatting sqref="O16:O17">
    <cfRule type="cellIs" dxfId="589" priority="50" operator="greaterThan">
      <formula>0</formula>
    </cfRule>
  </conditionalFormatting>
  <conditionalFormatting sqref="P16:P17">
    <cfRule type="cellIs" dxfId="588" priority="53" operator="lessThan">
      <formula>0</formula>
    </cfRule>
  </conditionalFormatting>
  <conditionalFormatting sqref="Q16:Q17">
    <cfRule type="cellIs" dxfId="587" priority="51" operator="greaterThan">
      <formula>1</formula>
    </cfRule>
    <cfRule type="cellIs" dxfId="586" priority="52" operator="lessThan">
      <formula>0.8</formula>
    </cfRule>
  </conditionalFormatting>
  <conditionalFormatting sqref="R16:R17 AC16:AC17">
    <cfRule type="cellIs" dxfId="585" priority="54" operator="lessThan">
      <formula>0.8</formula>
    </cfRule>
  </conditionalFormatting>
  <conditionalFormatting sqref="O10:O12">
    <cfRule type="cellIs" dxfId="584" priority="46" operator="greaterThan">
      <formula>0</formula>
    </cfRule>
  </conditionalFormatting>
  <conditionalFormatting sqref="P10:P12">
    <cfRule type="cellIs" dxfId="583" priority="49" operator="lessThan">
      <formula>0</formula>
    </cfRule>
  </conditionalFormatting>
  <conditionalFormatting sqref="Q10:Q12">
    <cfRule type="cellIs" dxfId="582" priority="47" operator="greaterThan">
      <formula>1</formula>
    </cfRule>
    <cfRule type="cellIs" dxfId="581" priority="48" operator="lessThan">
      <formula>0.8</formula>
    </cfRule>
  </conditionalFormatting>
  <conditionalFormatting sqref="AC26 R26">
    <cfRule type="cellIs" dxfId="580" priority="45" operator="lessThan">
      <formula>0.8</formula>
    </cfRule>
  </conditionalFormatting>
  <conditionalFormatting sqref="R42 AC42">
    <cfRule type="cellIs" dxfId="579" priority="44" operator="lessThan">
      <formula>0.8</formula>
    </cfRule>
  </conditionalFormatting>
  <conditionalFormatting sqref="AC42">
    <cfRule type="cellIs" dxfId="578" priority="43" operator="lessThan">
      <formula>0.8</formula>
    </cfRule>
  </conditionalFormatting>
  <conditionalFormatting sqref="O61">
    <cfRule type="cellIs" dxfId="577" priority="38" operator="greaterThan">
      <formula>0</formula>
    </cfRule>
  </conditionalFormatting>
  <conditionalFormatting sqref="P61 AA61">
    <cfRule type="cellIs" dxfId="576" priority="41" operator="lessThan">
      <formula>0</formula>
    </cfRule>
  </conditionalFormatting>
  <conditionalFormatting sqref="Q61 AB61">
    <cfRule type="cellIs" dxfId="575" priority="39" operator="greaterThan">
      <formula>1</formula>
    </cfRule>
    <cfRule type="cellIs" dxfId="574" priority="40" operator="lessThan">
      <formula>0.8</formula>
    </cfRule>
  </conditionalFormatting>
  <conditionalFormatting sqref="R61 AC61">
    <cfRule type="cellIs" dxfId="573" priority="42" operator="lessThan">
      <formula>0.8</formula>
    </cfRule>
  </conditionalFormatting>
  <conditionalFormatting sqref="O72">
    <cfRule type="cellIs" dxfId="572" priority="33" operator="greaterThan">
      <formula>0</formula>
    </cfRule>
  </conditionalFormatting>
  <conditionalFormatting sqref="P72">
    <cfRule type="cellIs" dxfId="571" priority="36" operator="lessThan">
      <formula>0</formula>
    </cfRule>
  </conditionalFormatting>
  <conditionalFormatting sqref="Q72">
    <cfRule type="cellIs" dxfId="570" priority="34" operator="greaterThan">
      <formula>1</formula>
    </cfRule>
    <cfRule type="cellIs" dxfId="569" priority="35" operator="lessThan">
      <formula>0.8</formula>
    </cfRule>
  </conditionalFormatting>
  <conditionalFormatting sqref="R72">
    <cfRule type="cellIs" dxfId="568" priority="37" operator="lessThan">
      <formula>0.8</formula>
    </cfRule>
  </conditionalFormatting>
  <conditionalFormatting sqref="O50">
    <cfRule type="cellIs" dxfId="567" priority="27" operator="greaterThan">
      <formula>0</formula>
    </cfRule>
  </conditionalFormatting>
  <conditionalFormatting sqref="P50">
    <cfRule type="cellIs" dxfId="566" priority="31" operator="lessThan">
      <formula>0</formula>
    </cfRule>
  </conditionalFormatting>
  <conditionalFormatting sqref="Q50">
    <cfRule type="cellIs" dxfId="565" priority="28" operator="greaterThan">
      <formula>1</formula>
    </cfRule>
    <cfRule type="cellIs" dxfId="564" priority="29" operator="lessThan">
      <formula>0.8</formula>
    </cfRule>
  </conditionalFormatting>
  <conditionalFormatting sqref="R50 AC50">
    <cfRule type="cellIs" dxfId="563" priority="32" operator="lessThan">
      <formula>0.8</formula>
    </cfRule>
  </conditionalFormatting>
  <conditionalFormatting sqref="AC50">
    <cfRule type="cellIs" dxfId="562" priority="30" operator="lessThan">
      <formula>0.8</formula>
    </cfRule>
  </conditionalFormatting>
  <conditionalFormatting sqref="O51">
    <cfRule type="cellIs" dxfId="561" priority="21" operator="greaterThan">
      <formula>0</formula>
    </cfRule>
  </conditionalFormatting>
  <conditionalFormatting sqref="P51">
    <cfRule type="cellIs" dxfId="560" priority="25" operator="lessThan">
      <formula>0</formula>
    </cfRule>
  </conditionalFormatting>
  <conditionalFormatting sqref="Q51">
    <cfRule type="cellIs" dxfId="559" priority="22" operator="greaterThan">
      <formula>1</formula>
    </cfRule>
    <cfRule type="cellIs" dxfId="558" priority="23" operator="lessThan">
      <formula>0.8</formula>
    </cfRule>
  </conditionalFormatting>
  <conditionalFormatting sqref="R51 AC51">
    <cfRule type="cellIs" dxfId="557" priority="26" operator="lessThan">
      <formula>0.8</formula>
    </cfRule>
  </conditionalFormatting>
  <conditionalFormatting sqref="AC51">
    <cfRule type="cellIs" dxfId="556" priority="24" operator="lessThan">
      <formula>0.8</formula>
    </cfRule>
  </conditionalFormatting>
  <conditionalFormatting sqref="R25 AC25">
    <cfRule type="cellIs" dxfId="555" priority="20" operator="lessThan">
      <formula>0.8</formula>
    </cfRule>
  </conditionalFormatting>
  <conditionalFormatting sqref="AC25">
    <cfRule type="cellIs" dxfId="554" priority="19" operator="lessThan">
      <formula>0.8</formula>
    </cfRule>
  </conditionalFormatting>
  <conditionalFormatting sqref="O60">
    <cfRule type="cellIs" dxfId="553" priority="14" operator="greaterThan">
      <formula>0</formula>
    </cfRule>
  </conditionalFormatting>
  <conditionalFormatting sqref="P60 AA60">
    <cfRule type="cellIs" dxfId="552" priority="17" operator="lessThan">
      <formula>0</formula>
    </cfRule>
  </conditionalFormatting>
  <conditionalFormatting sqref="Q60 AB60">
    <cfRule type="cellIs" dxfId="551" priority="15" operator="greaterThan">
      <formula>1</formula>
    </cfRule>
    <cfRule type="cellIs" dxfId="550" priority="16" operator="lessThan">
      <formula>0.8</formula>
    </cfRule>
  </conditionalFormatting>
  <conditionalFormatting sqref="R60 AC60">
    <cfRule type="cellIs" dxfId="549" priority="18" operator="lessThan">
      <formula>0.8</formula>
    </cfRule>
  </conditionalFormatting>
  <conditionalFormatting sqref="P8">
    <cfRule type="cellIs" dxfId="548" priority="13" operator="lessThan">
      <formula>0</formula>
    </cfRule>
  </conditionalFormatting>
  <conditionalFormatting sqref="P18">
    <cfRule type="cellIs" dxfId="547" priority="12" operator="lessThan">
      <formula>0</formula>
    </cfRule>
  </conditionalFormatting>
  <conditionalFormatting sqref="P27">
    <cfRule type="cellIs" dxfId="546" priority="11" operator="lessThan">
      <formula>0</formula>
    </cfRule>
  </conditionalFormatting>
  <conditionalFormatting sqref="P33">
    <cfRule type="cellIs" dxfId="545" priority="10" operator="lessThan">
      <formula>0</formula>
    </cfRule>
  </conditionalFormatting>
  <conditionalFormatting sqref="P52">
    <cfRule type="cellIs" dxfId="544" priority="9" operator="lessThan">
      <formula>0</formula>
    </cfRule>
  </conditionalFormatting>
  <conditionalFormatting sqref="P58">
    <cfRule type="cellIs" dxfId="543" priority="8" operator="lessThan">
      <formula>0</formula>
    </cfRule>
  </conditionalFormatting>
  <conditionalFormatting sqref="P65">
    <cfRule type="cellIs" dxfId="542" priority="7" operator="lessThan">
      <formula>0</formula>
    </cfRule>
  </conditionalFormatting>
  <conditionalFormatting sqref="P74">
    <cfRule type="cellIs" dxfId="541" priority="6" operator="lessThan">
      <formula>0</formula>
    </cfRule>
  </conditionalFormatting>
  <conditionalFormatting sqref="O73">
    <cfRule type="cellIs" dxfId="540" priority="1" operator="greaterThan">
      <formula>0</formula>
    </cfRule>
  </conditionalFormatting>
  <conditionalFormatting sqref="P73">
    <cfRule type="cellIs" dxfId="539" priority="4" operator="lessThan">
      <formula>0</formula>
    </cfRule>
  </conditionalFormatting>
  <conditionalFormatting sqref="Q73">
    <cfRule type="cellIs" dxfId="538" priority="2" operator="greaterThan">
      <formula>1</formula>
    </cfRule>
    <cfRule type="cellIs" dxfId="537" priority="3" operator="lessThan">
      <formula>0.8</formula>
    </cfRule>
  </conditionalFormatting>
  <conditionalFormatting sqref="R73">
    <cfRule type="cellIs" dxfId="536" priority="5" operator="lessThan">
      <formula>0.8</formula>
    </cfRule>
  </conditionalFormatting>
  <dataValidations count="1">
    <dataValidation type="list" allowBlank="1" showInputMessage="1" showErrorMessage="1" sqref="Z8 Z63:Z64 Y5:Z7 Y8:Y64 Z10:Z59 Y65:Z74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/>
  <dimension ref="B1:Q28"/>
  <sheetViews>
    <sheetView zoomScale="70" zoomScaleNormal="70" workbookViewId="0">
      <selection activeCell="C3" sqref="C3:D3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521" t="s">
        <v>121</v>
      </c>
      <c r="C1" s="521"/>
      <c r="D1" s="521"/>
      <c r="E1" s="521"/>
      <c r="F1" s="521"/>
      <c r="G1" s="521"/>
      <c r="H1" s="521"/>
      <c r="I1" s="521"/>
      <c r="J1" s="521"/>
      <c r="K1" s="28"/>
      <c r="L1" s="28"/>
      <c r="M1" s="28"/>
      <c r="N1" s="28"/>
      <c r="O1" s="28"/>
      <c r="P1" s="28"/>
    </row>
    <row r="2" spans="2:17" ht="27.75" customHeight="1">
      <c r="B2" s="522"/>
      <c r="C2" s="522"/>
      <c r="D2" s="522"/>
      <c r="E2" s="522"/>
      <c r="F2" s="522"/>
      <c r="G2" s="522"/>
      <c r="H2" s="522"/>
      <c r="I2" s="522"/>
      <c r="J2" s="522"/>
      <c r="K2" s="30"/>
      <c r="L2" s="30"/>
      <c r="M2" s="30"/>
      <c r="N2" s="28"/>
      <c r="O2" s="28"/>
      <c r="P2" s="28"/>
    </row>
    <row r="3" spans="2:17" ht="46.5" customHeight="1">
      <c r="B3" s="148" t="s">
        <v>122</v>
      </c>
      <c r="C3" s="523" t="str">
        <f>TEXT('0809 4度C'!A2,"yyyy.mm.ddaaaa")</f>
        <v>2025.08.09星期六</v>
      </c>
      <c r="D3" s="523"/>
      <c r="E3" s="148" t="s">
        <v>174</v>
      </c>
      <c r="F3" s="524">
        <f>'0809 4度C'!D1</f>
        <v>136383</v>
      </c>
      <c r="G3" s="524"/>
      <c r="H3" s="148" t="s">
        <v>90</v>
      </c>
      <c r="I3" s="581">
        <f>'0809 4度C'!F1</f>
        <v>4698362.9499999993</v>
      </c>
      <c r="J3" s="581"/>
      <c r="K3" s="31"/>
      <c r="L3" s="32"/>
      <c r="M3" s="33"/>
      <c r="N3" s="33"/>
    </row>
    <row r="4" spans="2:17" ht="28.5" customHeight="1">
      <c r="B4" s="516" t="s">
        <v>124</v>
      </c>
      <c r="C4" s="516" t="s">
        <v>105</v>
      </c>
      <c r="D4" s="516"/>
      <c r="E4" s="526" t="s">
        <v>106</v>
      </c>
      <c r="F4" s="526"/>
      <c r="G4" s="526" t="s">
        <v>107</v>
      </c>
      <c r="H4" s="526"/>
      <c r="I4" s="526" t="s">
        <v>580</v>
      </c>
      <c r="J4" s="526"/>
      <c r="L4" s="33"/>
      <c r="M4" s="33"/>
      <c r="N4" s="33"/>
    </row>
    <row r="5" spans="2:17" ht="28.5" customHeight="1">
      <c r="B5" s="516"/>
      <c r="C5" s="516" t="s">
        <v>109</v>
      </c>
      <c r="D5" s="516"/>
      <c r="E5" s="516" t="s">
        <v>125</v>
      </c>
      <c r="F5" s="516"/>
      <c r="G5" s="517" t="s">
        <v>263</v>
      </c>
      <c r="H5" s="517"/>
      <c r="I5" s="582" t="s">
        <v>111</v>
      </c>
      <c r="J5" s="582"/>
      <c r="K5" s="33"/>
      <c r="L5" s="33"/>
      <c r="M5" s="33"/>
      <c r="N5" s="33"/>
    </row>
    <row r="6" spans="2:17" ht="28.5" customHeight="1">
      <c r="B6" s="516"/>
      <c r="C6" s="516" t="s">
        <v>43</v>
      </c>
      <c r="D6" s="516"/>
      <c r="E6" s="519">
        <f>AVERAGE(D13:M13)</f>
        <v>148.29733299690139</v>
      </c>
      <c r="F6" s="516">
        <f>AVERAGE(D27:O27,D13:J13)</f>
        <v>154.48406228425051</v>
      </c>
      <c r="G6" s="520">
        <f>AVERAGE(D13:J13)</f>
        <v>154.48406228425051</v>
      </c>
      <c r="H6" s="520"/>
      <c r="I6" s="520">
        <f>AVERAGE(K13:M13)</f>
        <v>133.86163132642005</v>
      </c>
      <c r="J6" s="520"/>
      <c r="K6" s="33"/>
      <c r="L6" s="33"/>
      <c r="M6" s="33"/>
      <c r="N6" s="33"/>
    </row>
    <row r="7" spans="2:17" ht="28.5" customHeight="1">
      <c r="B7" s="516"/>
      <c r="C7" s="510" t="s">
        <v>44</v>
      </c>
      <c r="D7" s="510"/>
      <c r="E7" s="511">
        <f>AVERAGE(D14:M14)</f>
        <v>137.21273753316879</v>
      </c>
      <c r="F7" s="512">
        <f>AVERAGE(D28:O28,D14:J14)</f>
        <v>143.08334114433256</v>
      </c>
      <c r="G7" s="513">
        <f>AVERAGE(D14:J14)</f>
        <v>143.08334114433256</v>
      </c>
      <c r="H7" s="513"/>
      <c r="I7" s="513">
        <f>AVERAGE(K14:M14)</f>
        <v>123.51466244045331</v>
      </c>
      <c r="J7" s="513"/>
      <c r="K7" s="33"/>
      <c r="L7" s="33"/>
      <c r="M7" s="33"/>
      <c r="N7" s="33"/>
    </row>
    <row r="8" spans="2:17" ht="28.5" customHeight="1">
      <c r="B8" s="516"/>
      <c r="C8" s="510" t="s">
        <v>45</v>
      </c>
      <c r="D8" s="510"/>
      <c r="E8" s="514">
        <f>AVERAGE(D15:M15)</f>
        <v>0.92488488992649243</v>
      </c>
      <c r="F8" s="510">
        <f>AVERAGE(D15:J15,D29:O29)</f>
        <v>0.92582069198394379</v>
      </c>
      <c r="G8" s="515">
        <f>AVERAGE(D15:J15)</f>
        <v>0.92582069198394379</v>
      </c>
      <c r="H8" s="515"/>
      <c r="I8" s="515">
        <f>AVERAGE(K15:M15)</f>
        <v>0.92270135179243917</v>
      </c>
      <c r="J8" s="515"/>
      <c r="K8" s="34" t="s">
        <v>126</v>
      </c>
      <c r="L8" s="33"/>
      <c r="M8" s="33"/>
      <c r="N8" s="33"/>
    </row>
    <row r="9" spans="2:17" ht="28.5" customHeight="1" thickBot="1">
      <c r="H9" s="36"/>
      <c r="N9" s="33"/>
      <c r="O9" s="33"/>
      <c r="P9" s="33"/>
      <c r="Q9" s="33"/>
    </row>
    <row r="10" spans="2:17" ht="30" customHeight="1">
      <c r="B10" s="501" t="s">
        <v>127</v>
      </c>
      <c r="C10" s="502"/>
      <c r="D10" s="503" t="s">
        <v>128</v>
      </c>
      <c r="E10" s="504"/>
      <c r="F10" s="504"/>
      <c r="G10" s="504"/>
      <c r="H10" s="504"/>
      <c r="I10" s="504"/>
      <c r="J10" s="505"/>
      <c r="K10" s="506" t="s">
        <v>129</v>
      </c>
      <c r="L10" s="583"/>
      <c r="M10" s="507"/>
      <c r="P10" s="37"/>
      <c r="Q10" s="37"/>
    </row>
    <row r="11" spans="2:17" ht="17.25" customHeight="1">
      <c r="B11" s="493" t="s">
        <v>130</v>
      </c>
      <c r="C11" s="494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39">
        <v>6</v>
      </c>
      <c r="J11" s="40">
        <v>7</v>
      </c>
      <c r="K11" s="38">
        <v>1</v>
      </c>
      <c r="L11" s="39">
        <v>2</v>
      </c>
      <c r="M11" s="40">
        <v>3</v>
      </c>
      <c r="P11" s="37"/>
      <c r="Q11" s="37"/>
    </row>
    <row r="12" spans="2:17" ht="34.15" customHeight="1">
      <c r="B12" s="493"/>
      <c r="C12" s="494"/>
      <c r="D12" s="41" t="s">
        <v>345</v>
      </c>
      <c r="E12" s="42" t="s">
        <v>346</v>
      </c>
      <c r="F12" s="42" t="s">
        <v>347</v>
      </c>
      <c r="G12" s="42" t="s">
        <v>348</v>
      </c>
      <c r="H12" s="42" t="s">
        <v>349</v>
      </c>
      <c r="I12" s="42" t="s">
        <v>350</v>
      </c>
      <c r="J12" s="43" t="s">
        <v>351</v>
      </c>
      <c r="K12" s="41" t="s">
        <v>352</v>
      </c>
      <c r="L12" s="42" t="s">
        <v>353</v>
      </c>
      <c r="M12" s="43" t="s">
        <v>354</v>
      </c>
    </row>
    <row r="13" spans="2:17" ht="40.15" customHeight="1">
      <c r="B13" s="508" t="s">
        <v>116</v>
      </c>
      <c r="C13" s="44" t="s">
        <v>141</v>
      </c>
      <c r="D13" s="45">
        <f>SUMIFS('0809 4度C'!$K:$K,'0809 4度C'!$A:$A,"新豐6線",'0809 4度C'!$B:$B,"平均")</f>
        <v>117.64705882352941</v>
      </c>
      <c r="E13" s="46">
        <f>SUMIFS('0809 4度C'!$K:$K,'0809 4度C'!$A:$A,"新豐2線",'0809 4度C'!$B:$B,"平均")</f>
        <v>83.333333333333329</v>
      </c>
      <c r="F13" s="47">
        <f>SUMIFS('0809 4度C'!$K:$K,'0809 4度C'!$A:$A,"新豐5線",'0809 4度C'!$B:$B,"平均")</f>
        <v>93.333333333333329</v>
      </c>
      <c r="G13" s="47">
        <f>SUMIFS('0809 4度C'!$K:$K,'0809 4度C'!$A:$A,"新豐7線",'0809 4度C'!$B:$B,"平均")</f>
        <v>118.51851851851852</v>
      </c>
      <c r="H13" s="47">
        <f>SUMIFS('0809 4度C'!$K:$K,'0809 4度C'!$A:$A,"新豐3線",'0809 4度C'!$B:$B,"平均")</f>
        <v>300</v>
      </c>
      <c r="I13" s="47">
        <f>SUMIFS('0809 4度C'!$K:$K,'0809 4度C'!$A:$A,"新豐1線",'0809 4度C'!$B:$B,"平均")</f>
        <v>114.4578313253012</v>
      </c>
      <c r="J13" s="48">
        <f>SUMIFS('0809 4度C'!$K:$K,'0809 4度C'!$A:$A,"新豐10線",'0809 4度C'!$B:$B,"平均")</f>
        <v>254.09836065573774</v>
      </c>
      <c r="K13" s="49">
        <f>SUMIFS('0809 4度C'!$K:$K,'0809 4度C'!$A:$A,"新豐8線",'0809 4度C'!$B:$B,"平均")</f>
        <v>135.21126760563379</v>
      </c>
      <c r="L13" s="50">
        <f>SUMIFS('0809 4度C'!$K:$K,'0809 4度C'!$A:$A,"新豐9線",'0809 4度C'!$B:$B,"平均")</f>
        <v>129.23076923076923</v>
      </c>
      <c r="M13" s="48">
        <f>SUMIFS('0809 4度C'!$K:$K,'0809 4度C'!$A:$A,"新豐4線",'0809 4度C'!$B:$B,"平均")</f>
        <v>137.14285714285714</v>
      </c>
    </row>
    <row r="14" spans="2:17" ht="39.6" customHeight="1">
      <c r="B14" s="508"/>
      <c r="C14" s="51" t="s">
        <v>69</v>
      </c>
      <c r="D14" s="52">
        <f>SUMIFS('0809 4度C'!$N:$N,'0809 4度C'!$A:$A,"新豐6線",'0809 4度C'!$B:$B,"平均")</f>
        <v>109.40776225879034</v>
      </c>
      <c r="E14" s="53">
        <f>SUMIFS('0809 4度C'!$N:$N,'0809 4度C'!$A:$A,"新豐2線",'0809 4度C'!$B:$B,"平均")</f>
        <v>76.744541411303445</v>
      </c>
      <c r="F14" s="53">
        <f>SUMIFS('0809 4度C'!$N:$N,'0809 4度C'!$A:$A,"新豐5線",'0809 4度C'!$B:$B,"平均")</f>
        <v>86.194187949317026</v>
      </c>
      <c r="G14" s="53">
        <f>SUMIFS('0809 4度C'!$N:$N,'0809 4度C'!$A:$A,"新豐7線",'0809 4度C'!$B:$B,"平均")</f>
        <v>110.12094740976225</v>
      </c>
      <c r="H14" s="53">
        <f>SUMIFS('0809 4度C'!$N:$N,'0809 4度C'!$A:$A,"新豐3線",'0809 4度C'!$B:$B,"平均")</f>
        <v>276.90309679427321</v>
      </c>
      <c r="I14" s="53">
        <f>SUMIFS('0809 4度C'!$N:$N,'0809 4度C'!$A:$A,"新豐1線",'0809 4度C'!$B:$B,"平均")</f>
        <v>105.6797284758518</v>
      </c>
      <c r="J14" s="54">
        <f>SUMIFS('0809 4度C'!$N:$N,'0809 4度C'!$A:$A,"新豐10線",'0809 4度C'!$B:$B,"平均")</f>
        <v>236.53312371102996</v>
      </c>
      <c r="K14" s="55">
        <f>SUMIFS('0809 4度C'!$N:$N,'0809 4度C'!$A:$A,"新豐8線",'0809 4度C'!$B:$B,"平均")</f>
        <v>124.33546193728638</v>
      </c>
      <c r="L14" s="56">
        <f>SUMIFS('0809 4度C'!$N:$N,'0809 4度C'!$A:$A,"新豐9線",'0809 4度C'!$B:$B,"平均")</f>
        <v>119.32301667761246</v>
      </c>
      <c r="M14" s="54">
        <f>SUMIFS('0809 4度C'!$N:$N,'0809 4度C'!$A:$A,"新豐4線",'0809 4度C'!$B:$B,"平均")</f>
        <v>126.88550870646107</v>
      </c>
    </row>
    <row r="15" spans="2:17" ht="40.15" customHeight="1">
      <c r="B15" s="508"/>
      <c r="C15" s="57" t="s">
        <v>142</v>
      </c>
      <c r="D15" s="58">
        <f>D14/D13</f>
        <v>0.92996597919971791</v>
      </c>
      <c r="E15" s="59">
        <f t="shared" ref="E15:M15" si="0">E14/E13</f>
        <v>0.92093449693564133</v>
      </c>
      <c r="F15" s="59">
        <f t="shared" si="0"/>
        <v>0.92350915659982535</v>
      </c>
      <c r="G15" s="59">
        <f t="shared" si="0"/>
        <v>0.92914549376986899</v>
      </c>
      <c r="H15" s="59">
        <f>H14/H13</f>
        <v>0.92301032264757732</v>
      </c>
      <c r="I15" s="59">
        <f>I14/I13</f>
        <v>0.92330710142060002</v>
      </c>
      <c r="J15" s="60">
        <f>J14/J13</f>
        <v>0.93087229331437582</v>
      </c>
      <c r="K15" s="58">
        <f>K14/K13</f>
        <v>0.91956435391118063</v>
      </c>
      <c r="L15" s="59">
        <f>L14/L13</f>
        <v>0.92333286714819163</v>
      </c>
      <c r="M15" s="60">
        <f t="shared" si="0"/>
        <v>0.92520683431794526</v>
      </c>
    </row>
    <row r="16" spans="2:17" ht="17.25" customHeight="1">
      <c r="B16" s="509" t="s">
        <v>143</v>
      </c>
      <c r="C16" s="147" t="s">
        <v>71</v>
      </c>
      <c r="D16" s="61">
        <f>VLOOKUP("新豐6線",'0809 4度C'!$A:$T,19,0)</f>
        <v>0.70833333333333337</v>
      </c>
      <c r="E16" s="24">
        <f>VLOOKUP("新豐2線",'0809 4度C'!$A:$T,19,0)</f>
        <v>0.12847222222222221</v>
      </c>
      <c r="F16" s="24">
        <f>VLOOKUP("新豐5線",'0809 4度C'!$A:$T,19,0)</f>
        <v>0.25</v>
      </c>
      <c r="G16" s="24">
        <f>VLOOKUP("新豐7線",'0809 4度C'!$A:$T,19,0)</f>
        <v>0.20833333333333334</v>
      </c>
      <c r="H16" s="24">
        <f>VLOOKUP("新豐3線",'0809 4度C'!$A:$T,19,0)</f>
        <v>0.20833333333333334</v>
      </c>
      <c r="I16" s="24">
        <f>VLOOKUP("新豐1線",'0809 4度C'!$A:$T,19,0)</f>
        <v>0.29166666666666669</v>
      </c>
      <c r="J16" s="62">
        <f>VLOOKUP("新豐10線",'0809 4度C'!$A:$T,19,0)</f>
        <v>0.20833333333333334</v>
      </c>
      <c r="K16" s="63">
        <f>VLOOKUP("新豐8線",'0809 4度C'!$A:$T,19,0)</f>
        <v>0.125</v>
      </c>
      <c r="L16" s="64">
        <f>VLOOKUP("新豐9線",'0809 4度C'!$A:$T,19,0)</f>
        <v>8.3333333333333329E-2</v>
      </c>
      <c r="M16" s="65">
        <f>VLOOKUP("新豐4線",'0809 4度C'!$A:$T,19,0)</f>
        <v>8.3333333333333329E-2</v>
      </c>
    </row>
    <row r="17" spans="2:13" ht="17.25" customHeight="1">
      <c r="B17" s="493"/>
      <c r="C17" s="147" t="s">
        <v>199</v>
      </c>
      <c r="D17" s="63">
        <f>LOOKUP(2,1/(('0809 4度C'!$A:$A="新豐6線")*('0809 4度C'!$T:$T&lt;&gt;"")),'0809 4度C'!$T:$T)</f>
        <v>0.82152777777777775</v>
      </c>
      <c r="E17" s="24">
        <f>LOOKUP(2,1/(('0809 4度C'!$A:$A="新豐2線")*('0809 4度C'!$T:$T&lt;&gt;"")),'0809 4度C'!$T:$T)</f>
        <v>0.57152777777777763</v>
      </c>
      <c r="F17" s="24">
        <f>LOOKUP(2,1/(('0809 4度C'!$A:$A="新豐5線")*('0809 4度C'!$T:$T&lt;&gt;"")),'0809 4度C'!$T:$T)</f>
        <v>0.82430555555555562</v>
      </c>
      <c r="G17" s="24">
        <f>LOOKUP(2,1/(('0809 4度C'!$A:$A="新豐7線")*('0809 4度C'!$T:$T&lt;&gt;"")),'0809 4度C'!$T:$T)</f>
        <v>0.83194444444444438</v>
      </c>
      <c r="H17" s="24">
        <f>LOOKUP(2,1/(('0809 4度C'!$A:$A="新豐3線")*('0809 4度C'!$T:$T&lt;&gt;"")),'0809 4度C'!$T:$T)</f>
        <v>0.50694444444444442</v>
      </c>
      <c r="I17" s="24">
        <f>LOOKUP(2,1/(('0809 4度C'!$A:$A="新豐1線")*('0809 4度C'!$T:$T&lt;&gt;"")),'0809 4度C'!$T:$T)</f>
        <v>0.83680555555555547</v>
      </c>
      <c r="J17" s="62">
        <f>LOOKUP(2,1/(('0809 4度C'!$A:$A="新豐10線")*('0809 4度C'!$T:$T&lt;&gt;"")),'0809 4度C'!$T:$T)</f>
        <v>0.45555555555555544</v>
      </c>
      <c r="K17" s="61">
        <f>LOOKUP(2,1/(('0809 4度C'!$A:$A="新豐8線")*('0809 4度C'!$T:$T&lt;&gt;"")),'0809 4度C'!$T:$T)</f>
        <v>0.49930555555555556</v>
      </c>
      <c r="L17" s="24">
        <f>LOOKUP(2,1/(('0809 4度C'!$A:$A="新豐9線")*('0809 4度C'!$T:$T&lt;&gt;"")),'0809 4度C'!$T:$T)</f>
        <v>0.47638888888888881</v>
      </c>
      <c r="M17" s="62">
        <f>LOOKUP(2,1/(('0809 4度C'!$A:$A="新豐4線")*('0809 4度C'!$T:$T&lt;&gt;"")),'0809 4度C'!$T:$T)</f>
        <v>0.49861111111111112</v>
      </c>
    </row>
    <row r="18" spans="2:13" ht="17.25" customHeight="1">
      <c r="B18" s="493" t="s">
        <v>91</v>
      </c>
      <c r="C18" s="494"/>
      <c r="D18" s="66">
        <f>SUMIFS('0809 4度C'!$I:$I,'0809 4度C'!$A:$A,"新豐6線",'0809 4度C'!$B:$B,"平均")</f>
        <v>17</v>
      </c>
      <c r="E18" s="67">
        <f>SUMIFS('0809 4度C'!$I:$I,'0809 4度C'!$A:$A,"新豐2線",'0809 4度C'!$B:$B,"平均")</f>
        <v>18</v>
      </c>
      <c r="F18" s="67">
        <f>SUMIFS('0809 4度C'!$I:$I,'0809 4度C'!$A:$A,"新豐5線",'0809 4度C'!$B:$B,"平均")</f>
        <v>18.75</v>
      </c>
      <c r="G18" s="67">
        <f>SUMIFS('0809 4度C'!$I:$I,'0809 4度C'!$A:$A,"新豐7線",'0809 4度C'!$B:$B,"平均")</f>
        <v>16.875</v>
      </c>
      <c r="H18" s="67">
        <f>SUMIFS('0809 4度C'!$I:$I,'0809 4度C'!$A:$A,"新豐3線",'0809 4度C'!$B:$B,"平均")</f>
        <v>10</v>
      </c>
      <c r="I18" s="67">
        <f>SUMIFS('0809 4度C'!$I:$I,'0809 4度C'!$A:$A,"新豐1線",'0809 4度C'!$B:$B,"平均")</f>
        <v>16.600000000000001</v>
      </c>
      <c r="J18" s="68">
        <f>SUMIFS('0809 4度C'!$I:$I,'0809 4度C'!$A:$A,"新豐10線",'0809 4度C'!$B:$B,"平均")</f>
        <v>10.166666666666666</v>
      </c>
      <c r="K18" s="66">
        <f>SUMIFS('0809 4度C'!$I:$I,'0809 4度C'!$A:$A,"新豐8線",'0809 4度C'!$B:$B,"平均")</f>
        <v>17.75</v>
      </c>
      <c r="L18" s="67">
        <f>SUMIFS('0809 4度C'!$I:$I,'0809 4度C'!$A:$A,"新豐9線",'0809 4度C'!$B:$B,"平均")</f>
        <v>18.571428571428573</v>
      </c>
      <c r="M18" s="68">
        <f>SUMIFS('0809 4度C'!$I:$I,'0809 4度C'!$A:$A,"新豐4線",'0809 4度C'!$B:$B,"平均")</f>
        <v>17.5</v>
      </c>
    </row>
    <row r="19" spans="2:13" ht="17.25" customHeight="1">
      <c r="B19" s="495" t="s">
        <v>92</v>
      </c>
      <c r="C19" s="496"/>
      <c r="D19" s="69" t="s">
        <v>46</v>
      </c>
      <c r="E19" s="70" t="s">
        <v>47</v>
      </c>
      <c r="F19" s="70" t="s">
        <v>93</v>
      </c>
      <c r="G19" s="70" t="s">
        <v>93</v>
      </c>
      <c r="H19" s="70" t="s">
        <v>48</v>
      </c>
      <c r="I19" s="70" t="s">
        <v>46</v>
      </c>
      <c r="J19" s="71" t="s">
        <v>48</v>
      </c>
      <c r="K19" s="69" t="s">
        <v>72</v>
      </c>
      <c r="L19" s="70" t="s">
        <v>72</v>
      </c>
      <c r="M19" s="71" t="s">
        <v>72</v>
      </c>
    </row>
    <row r="20" spans="2:13" ht="17.25" customHeight="1">
      <c r="B20" s="495" t="s">
        <v>148</v>
      </c>
      <c r="C20" s="496"/>
      <c r="D20" s="69"/>
      <c r="E20" s="70"/>
      <c r="F20" s="70" t="s">
        <v>149</v>
      </c>
      <c r="G20" s="70" t="s">
        <v>46</v>
      </c>
      <c r="H20" s="70"/>
      <c r="I20" s="70"/>
      <c r="J20" s="71"/>
      <c r="K20" s="69"/>
      <c r="L20" s="70"/>
      <c r="M20" s="71"/>
    </row>
    <row r="21" spans="2:13" ht="17.25" customHeight="1" thickBot="1">
      <c r="B21" s="497" t="s">
        <v>203</v>
      </c>
      <c r="C21" s="498"/>
      <c r="D21" s="72"/>
      <c r="E21" s="73" t="s">
        <v>150</v>
      </c>
      <c r="F21" s="499" t="s">
        <v>205</v>
      </c>
      <c r="G21" s="500"/>
      <c r="H21" s="73" t="s">
        <v>206</v>
      </c>
      <c r="I21" s="73" t="s">
        <v>152</v>
      </c>
      <c r="J21" s="74" t="s">
        <v>206</v>
      </c>
      <c r="K21" s="75"/>
      <c r="L21" s="73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53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3">
    <pageSetUpPr fitToPage="1"/>
  </sheetPr>
  <dimension ref="A1:AC68"/>
  <sheetViews>
    <sheetView zoomScale="80" zoomScaleNormal="80" workbookViewId="0">
      <pane ySplit="4" topLeftCell="A5" activePane="bottomLeft" state="frozen"/>
      <selection activeCell="C3" sqref="C3:J3"/>
      <selection pane="bottomLeft" activeCell="L18" sqref="L18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208</v>
      </c>
      <c r="B1" s="1"/>
      <c r="C1" s="2" t="s">
        <v>581</v>
      </c>
      <c r="D1" s="3">
        <f>SUM(F5:F67)</f>
        <v>136383</v>
      </c>
      <c r="E1" s="150" t="s">
        <v>582</v>
      </c>
      <c r="F1" s="1">
        <f>SUM(G5:G67)</f>
        <v>4698362.9499999993</v>
      </c>
      <c r="G1" s="1" t="s">
        <v>583</v>
      </c>
      <c r="H1" s="4">
        <f>L8+L13+L47+L53+L18+L60+L32+L40+L27+L67</f>
        <v>161.21309523809524</v>
      </c>
      <c r="I1" s="572" t="s">
        <v>114</v>
      </c>
      <c r="J1" s="572"/>
      <c r="K1" s="572"/>
      <c r="L1" s="572" t="s">
        <v>154</v>
      </c>
      <c r="M1" s="572"/>
      <c r="N1" s="572"/>
      <c r="O1" s="572" t="s">
        <v>584</v>
      </c>
      <c r="P1" s="572"/>
      <c r="Q1" s="572"/>
      <c r="R1" s="572"/>
      <c r="S1" s="572" t="s">
        <v>585</v>
      </c>
      <c r="T1" s="572"/>
      <c r="U1" s="572"/>
      <c r="V1" s="572"/>
      <c r="W1" s="572"/>
      <c r="X1" s="572"/>
      <c r="Y1" s="572" t="s">
        <v>586</v>
      </c>
      <c r="Z1" s="572"/>
      <c r="AA1" s="572" t="s">
        <v>587</v>
      </c>
      <c r="AB1" s="573"/>
      <c r="AC1" s="573"/>
    </row>
    <row r="2" spans="1:29" ht="26.25" customHeight="1">
      <c r="A2" s="22">
        <v>45878</v>
      </c>
      <c r="B2" s="23" t="s">
        <v>213</v>
      </c>
      <c r="C2" s="2" t="s">
        <v>588</v>
      </c>
      <c r="D2" s="6">
        <f>AVERAGE(N8,N13,N47,N53,N18,N60,N27,N32,N40,N67)</f>
        <v>137.21273753316879</v>
      </c>
      <c r="E2" s="7" t="s">
        <v>0</v>
      </c>
      <c r="F2" s="8">
        <f>F1/D1</f>
        <v>34.449769766026549</v>
      </c>
      <c r="G2" s="1" t="s">
        <v>117</v>
      </c>
      <c r="H2" s="159">
        <f>COUNT(H5:H67)</f>
        <v>1</v>
      </c>
      <c r="I2" s="572"/>
      <c r="J2" s="572"/>
      <c r="K2" s="572"/>
      <c r="L2" s="572"/>
      <c r="M2" s="572"/>
      <c r="N2" s="572"/>
      <c r="O2" s="572"/>
      <c r="P2" s="572"/>
      <c r="Q2" s="572"/>
      <c r="R2" s="572"/>
      <c r="S2" s="572"/>
      <c r="T2" s="572"/>
      <c r="U2" s="572"/>
      <c r="V2" s="572"/>
      <c r="W2" s="572"/>
      <c r="X2" s="572"/>
      <c r="Y2" s="572"/>
      <c r="Z2" s="572"/>
      <c r="AA2" s="573"/>
      <c r="AB2" s="573"/>
      <c r="AC2" s="573"/>
    </row>
    <row r="3" spans="1:29" ht="23.25" customHeight="1">
      <c r="A3" s="528" t="s">
        <v>589</v>
      </c>
      <c r="B3" s="528" t="s">
        <v>590</v>
      </c>
      <c r="C3" s="528" t="s">
        <v>591</v>
      </c>
      <c r="D3" s="528"/>
      <c r="E3" s="570" t="s">
        <v>592</v>
      </c>
      <c r="F3" s="528" t="s">
        <v>593</v>
      </c>
      <c r="G3" s="570" t="s">
        <v>594</v>
      </c>
      <c r="H3" s="563" t="s">
        <v>595</v>
      </c>
      <c r="I3" s="561" t="s">
        <v>596</v>
      </c>
      <c r="J3" s="566" t="s">
        <v>597</v>
      </c>
      <c r="K3" s="568" t="s">
        <v>116</v>
      </c>
      <c r="L3" s="561" t="s">
        <v>101</v>
      </c>
      <c r="M3" s="566" t="s">
        <v>598</v>
      </c>
      <c r="N3" s="568" t="s">
        <v>588</v>
      </c>
      <c r="O3" s="561" t="s">
        <v>596</v>
      </c>
      <c r="P3" s="568" t="s">
        <v>116</v>
      </c>
      <c r="Q3" s="567" t="s">
        <v>599</v>
      </c>
      <c r="R3" s="542" t="s">
        <v>86</v>
      </c>
      <c r="S3" s="569" t="s">
        <v>1</v>
      </c>
      <c r="T3" s="569"/>
      <c r="U3" s="563" t="s">
        <v>2</v>
      </c>
      <c r="V3" s="563" t="s">
        <v>600</v>
      </c>
      <c r="W3" s="528" t="s">
        <v>601</v>
      </c>
      <c r="X3" s="528"/>
      <c r="Y3" s="564" t="s">
        <v>161</v>
      </c>
      <c r="Z3" s="565"/>
      <c r="AA3" s="566" t="s">
        <v>598</v>
      </c>
      <c r="AB3" s="567" t="s">
        <v>102</v>
      </c>
      <c r="AC3" s="542" t="s">
        <v>602</v>
      </c>
    </row>
    <row r="4" spans="1:29">
      <c r="A4" s="528"/>
      <c r="B4" s="528"/>
      <c r="C4" s="528"/>
      <c r="D4" s="528"/>
      <c r="E4" s="571"/>
      <c r="F4" s="528"/>
      <c r="G4" s="571"/>
      <c r="H4" s="563"/>
      <c r="I4" s="561"/>
      <c r="J4" s="566"/>
      <c r="K4" s="568"/>
      <c r="L4" s="561"/>
      <c r="M4" s="566"/>
      <c r="N4" s="568"/>
      <c r="O4" s="561"/>
      <c r="P4" s="568"/>
      <c r="Q4" s="567"/>
      <c r="R4" s="542"/>
      <c r="S4" s="160" t="s">
        <v>3</v>
      </c>
      <c r="T4" s="160" t="s">
        <v>4</v>
      </c>
      <c r="U4" s="563"/>
      <c r="V4" s="563"/>
      <c r="W4" s="150" t="s">
        <v>603</v>
      </c>
      <c r="X4" s="150" t="s">
        <v>604</v>
      </c>
      <c r="Y4" s="565"/>
      <c r="Z4" s="565"/>
      <c r="AA4" s="566"/>
      <c r="AB4" s="567"/>
      <c r="AC4" s="542"/>
    </row>
    <row r="5" spans="1:29">
      <c r="A5" s="560" t="s">
        <v>462</v>
      </c>
      <c r="B5" s="26" t="s">
        <v>13</v>
      </c>
      <c r="C5" s="562" t="s">
        <v>53</v>
      </c>
      <c r="D5" s="562"/>
      <c r="E5" s="26">
        <v>46.93</v>
      </c>
      <c r="F5" s="160">
        <v>947</v>
      </c>
      <c r="G5" s="150">
        <f>E5*F5</f>
        <v>44442.71</v>
      </c>
      <c r="H5" s="76" t="s">
        <v>52</v>
      </c>
      <c r="I5" s="157">
        <v>17</v>
      </c>
      <c r="J5" s="18">
        <v>2000</v>
      </c>
      <c r="K5" s="9">
        <f>J5/I5</f>
        <v>117.64705882352941</v>
      </c>
      <c r="L5" s="157">
        <v>17</v>
      </c>
      <c r="M5" s="10">
        <f>F5/V5*60</f>
        <v>1893.9999999999966</v>
      </c>
      <c r="N5" s="9">
        <f>M5/L5</f>
        <v>111.41176470588215</v>
      </c>
      <c r="O5" s="11">
        <f t="shared" ref="O5:O7" si="0">L5-I5</f>
        <v>0</v>
      </c>
      <c r="P5" s="12">
        <f t="shared" ref="P5:P7" si="1">N5-K5</f>
        <v>-6.2352941176472569</v>
      </c>
      <c r="Q5" s="149">
        <f>N5/K5</f>
        <v>0.94699999999999829</v>
      </c>
      <c r="R5" s="533">
        <f>Q8</f>
        <v>0.92996597919971791</v>
      </c>
      <c r="S5" s="24">
        <v>0.70833333333333337</v>
      </c>
      <c r="T5" s="24">
        <v>0.72916666666666674</v>
      </c>
      <c r="U5" s="150"/>
      <c r="V5" s="158">
        <f>(T5-S5)*24*60</f>
        <v>30.000000000000053</v>
      </c>
      <c r="W5" s="14"/>
      <c r="X5" s="13"/>
      <c r="Y5" s="528"/>
      <c r="Z5" s="528"/>
      <c r="AA5" s="11">
        <f t="shared" ref="AA5:AA67" si="2">M5-J5</f>
        <v>-106.00000000000341</v>
      </c>
      <c r="AB5" s="149">
        <f t="shared" ref="AB5:AB7" si="3">M5/J5</f>
        <v>0.94699999999999829</v>
      </c>
      <c r="AC5" s="533">
        <f>AB8</f>
        <v>0.92996597919971791</v>
      </c>
    </row>
    <row r="6" spans="1:29">
      <c r="A6" s="561" t="s">
        <v>605</v>
      </c>
      <c r="B6" s="26" t="s">
        <v>13</v>
      </c>
      <c r="C6" s="562" t="s">
        <v>55</v>
      </c>
      <c r="D6" s="562"/>
      <c r="E6" s="26">
        <v>50.49</v>
      </c>
      <c r="F6" s="160">
        <v>1870</v>
      </c>
      <c r="G6" s="150">
        <f t="shared" ref="G6:G7" si="4">E6*F6</f>
        <v>94416.3</v>
      </c>
      <c r="H6" s="76" t="s">
        <v>52</v>
      </c>
      <c r="I6" s="157">
        <v>16</v>
      </c>
      <c r="J6" s="18">
        <v>2000</v>
      </c>
      <c r="K6" s="9">
        <f t="shared" ref="K6:K7" si="5">J6/I6</f>
        <v>125</v>
      </c>
      <c r="L6" s="157">
        <v>16</v>
      </c>
      <c r="M6" s="10">
        <f>F6/V6*60</f>
        <v>1839.3442622950836</v>
      </c>
      <c r="N6" s="9">
        <f t="shared" ref="N6:N7" si="6">M6/L6</f>
        <v>114.95901639344272</v>
      </c>
      <c r="O6" s="11">
        <f t="shared" si="0"/>
        <v>0</v>
      </c>
      <c r="P6" s="12">
        <f t="shared" si="1"/>
        <v>-10.040983606557276</v>
      </c>
      <c r="Q6" s="149">
        <f t="shared" ref="Q6:Q7" si="7">N6/K6</f>
        <v>0.91967213114754176</v>
      </c>
      <c r="R6" s="533"/>
      <c r="S6" s="24">
        <v>0.73263888888888895</v>
      </c>
      <c r="T6" s="24">
        <v>0.77500000000000002</v>
      </c>
      <c r="U6" s="150">
        <f>(S6-T5)*24*60</f>
        <v>4.9999999999999822</v>
      </c>
      <c r="V6" s="158">
        <f>(T6-S6)*24*60</f>
        <v>60.999999999999943</v>
      </c>
      <c r="W6" s="14"/>
      <c r="X6" s="14"/>
      <c r="Y6" s="528"/>
      <c r="Z6" s="528"/>
      <c r="AA6" s="11">
        <f t="shared" si="2"/>
        <v>-160.65573770491642</v>
      </c>
      <c r="AB6" s="149">
        <f t="shared" si="3"/>
        <v>0.91967213114754176</v>
      </c>
      <c r="AC6" s="533"/>
    </row>
    <row r="7" spans="1:29">
      <c r="A7" s="561" t="s">
        <v>462</v>
      </c>
      <c r="B7" s="26" t="s">
        <v>13</v>
      </c>
      <c r="C7" s="558" t="s">
        <v>76</v>
      </c>
      <c r="D7" s="559"/>
      <c r="E7" s="26">
        <v>50.67</v>
      </c>
      <c r="F7" s="160">
        <v>1908</v>
      </c>
      <c r="G7" s="150">
        <f t="shared" si="4"/>
        <v>96678.36</v>
      </c>
      <c r="H7" s="76" t="s">
        <v>52</v>
      </c>
      <c r="I7" s="157">
        <v>18</v>
      </c>
      <c r="J7" s="18">
        <v>2000</v>
      </c>
      <c r="K7" s="9">
        <f t="shared" si="5"/>
        <v>111.11111111111111</v>
      </c>
      <c r="L7" s="157">
        <v>18</v>
      </c>
      <c r="M7" s="10">
        <f t="shared" ref="M7" si="8">F7/V7*60</f>
        <v>1846.4516129032274</v>
      </c>
      <c r="N7" s="9">
        <f t="shared" si="6"/>
        <v>102.58064516129042</v>
      </c>
      <c r="O7" s="11">
        <f t="shared" si="0"/>
        <v>0</v>
      </c>
      <c r="P7" s="12">
        <f t="shared" si="1"/>
        <v>-8.5304659498206945</v>
      </c>
      <c r="Q7" s="149">
        <f t="shared" si="7"/>
        <v>0.92322580645161378</v>
      </c>
      <c r="R7" s="533"/>
      <c r="S7" s="24">
        <v>0.77847222222222223</v>
      </c>
      <c r="T7" s="24">
        <v>0.82152777777777775</v>
      </c>
      <c r="U7" s="150">
        <f t="shared" ref="U7" si="9">(S7-T6)*24*60</f>
        <v>4.9999999999999822</v>
      </c>
      <c r="V7" s="158">
        <f t="shared" ref="V7" si="10">(T7-S7)*24*60</f>
        <v>61.999999999999943</v>
      </c>
      <c r="W7" s="14"/>
      <c r="X7" s="14"/>
      <c r="Y7" s="536"/>
      <c r="Z7" s="537"/>
      <c r="AA7" s="11">
        <f t="shared" si="2"/>
        <v>-153.54838709677256</v>
      </c>
      <c r="AB7" s="149">
        <f t="shared" si="3"/>
        <v>0.92322580645161367</v>
      </c>
      <c r="AC7" s="533"/>
    </row>
    <row r="8" spans="1:29">
      <c r="A8" s="561" t="s">
        <v>462</v>
      </c>
      <c r="B8" s="26" t="s">
        <v>82</v>
      </c>
      <c r="C8" s="530"/>
      <c r="D8" s="530"/>
      <c r="E8" s="151"/>
      <c r="F8" s="16"/>
      <c r="G8" s="9"/>
      <c r="H8" s="160"/>
      <c r="I8" s="17">
        <v>17</v>
      </c>
      <c r="J8" s="18">
        <v>2000</v>
      </c>
      <c r="K8" s="9">
        <f>J8/I8</f>
        <v>117.64705882352941</v>
      </c>
      <c r="L8" s="17">
        <v>17</v>
      </c>
      <c r="M8" s="10">
        <f>AVERAGE(M5:M7)</f>
        <v>1859.9319583994359</v>
      </c>
      <c r="N8" s="9">
        <f>M8/L8</f>
        <v>109.40776225879034</v>
      </c>
      <c r="O8" s="11">
        <f>L8-I8</f>
        <v>0</v>
      </c>
      <c r="P8" s="12">
        <f>N8-K8</f>
        <v>-8.2392965647390639</v>
      </c>
      <c r="Q8" s="149">
        <f>N8/K8</f>
        <v>0.92996597919971791</v>
      </c>
      <c r="R8" s="533"/>
      <c r="S8" s="24"/>
      <c r="T8" s="24"/>
      <c r="U8" s="150"/>
      <c r="V8" s="158"/>
      <c r="W8" s="9"/>
      <c r="X8" s="9"/>
      <c r="Y8" s="528"/>
      <c r="Z8" s="528"/>
      <c r="AA8" s="11">
        <f t="shared" si="2"/>
        <v>-140.06804160056413</v>
      </c>
      <c r="AB8" s="149">
        <f>M8/J8</f>
        <v>0.92996597919971791</v>
      </c>
      <c r="AC8" s="533"/>
    </row>
    <row r="9" spans="1:29" ht="15.75" customHeight="1">
      <c r="A9" s="531" t="s">
        <v>606</v>
      </c>
      <c r="B9" s="26" t="s">
        <v>15</v>
      </c>
      <c r="C9" s="558" t="s">
        <v>16</v>
      </c>
      <c r="D9" s="559"/>
      <c r="E9" s="26">
        <v>39.619999999999997</v>
      </c>
      <c r="F9" s="160">
        <v>3709</v>
      </c>
      <c r="G9" s="150">
        <f t="shared" ref="G9:G12" si="11">E9*F9</f>
        <v>146950.57999999999</v>
      </c>
      <c r="H9" s="76" t="s">
        <v>52</v>
      </c>
      <c r="I9" s="157">
        <v>19</v>
      </c>
      <c r="J9" s="18">
        <v>1500</v>
      </c>
      <c r="K9" s="9">
        <f t="shared" ref="K9:K12" si="12">J9/I9</f>
        <v>78.94736842105263</v>
      </c>
      <c r="L9" s="157">
        <v>19</v>
      </c>
      <c r="M9" s="10">
        <f t="shared" ref="M9:M12" si="13">F9/V9*60</f>
        <v>1382.2360248447205</v>
      </c>
      <c r="N9" s="9">
        <f t="shared" ref="N9:N12" si="14">M9/L9</f>
        <v>72.749264465511601</v>
      </c>
      <c r="O9" s="11">
        <f t="shared" ref="O9:O12" si="15">L9-I9</f>
        <v>0</v>
      </c>
      <c r="P9" s="12">
        <f>N9-K9</f>
        <v>-6.1981039555410291</v>
      </c>
      <c r="Q9" s="149">
        <f>N9/K9</f>
        <v>0.92149068322981365</v>
      </c>
      <c r="R9" s="533">
        <f>Q13</f>
        <v>0.92093449693564133</v>
      </c>
      <c r="S9" s="24">
        <v>0.12847222222222221</v>
      </c>
      <c r="T9" s="24">
        <v>0.24027777777777776</v>
      </c>
      <c r="U9" s="150"/>
      <c r="V9" s="158">
        <f t="shared" ref="V9:V12" si="16">(T9-S9)*24*60</f>
        <v>161</v>
      </c>
      <c r="W9" s="14">
        <f>T9</f>
        <v>0.24027777777777776</v>
      </c>
      <c r="X9" s="14">
        <f>S10</f>
        <v>0.26388888888888884</v>
      </c>
      <c r="Y9" s="528"/>
      <c r="Z9" s="528"/>
      <c r="AA9" s="11">
        <f t="shared" si="2"/>
        <v>-117.76397515527947</v>
      </c>
      <c r="AB9" s="149">
        <f>M9/J9</f>
        <v>0.92149068322981365</v>
      </c>
      <c r="AC9" s="533">
        <f>AB13</f>
        <v>0.92093449693564133</v>
      </c>
    </row>
    <row r="10" spans="1:29" ht="15.75" customHeight="1">
      <c r="A10" s="531" t="s">
        <v>607</v>
      </c>
      <c r="B10" s="26" t="s">
        <v>15</v>
      </c>
      <c r="C10" s="558" t="s">
        <v>17</v>
      </c>
      <c r="D10" s="559"/>
      <c r="E10" s="26">
        <v>39.799999999999997</v>
      </c>
      <c r="F10" s="160">
        <v>3500</v>
      </c>
      <c r="G10" s="150">
        <f t="shared" si="11"/>
        <v>139300</v>
      </c>
      <c r="H10" s="76">
        <v>2</v>
      </c>
      <c r="I10" s="157">
        <v>17</v>
      </c>
      <c r="J10" s="18">
        <v>1500</v>
      </c>
      <c r="K10" s="9">
        <f t="shared" si="12"/>
        <v>88.235294117647058</v>
      </c>
      <c r="L10" s="157">
        <v>17</v>
      </c>
      <c r="M10" s="10">
        <f t="shared" si="13"/>
        <v>1381.5789473684208</v>
      </c>
      <c r="N10" s="9">
        <f t="shared" si="14"/>
        <v>81.269349845201219</v>
      </c>
      <c r="O10" s="11">
        <f t="shared" si="15"/>
        <v>0</v>
      </c>
      <c r="P10" s="12">
        <f t="shared" ref="P10:P12" si="17">N10-K10</f>
        <v>-6.9659442724458387</v>
      </c>
      <c r="Q10" s="149">
        <f t="shared" ref="Q10:Q12" si="18">N10/K10</f>
        <v>0.92105263157894712</v>
      </c>
      <c r="R10" s="533"/>
      <c r="S10" s="24">
        <v>0.26388888888888884</v>
      </c>
      <c r="T10" s="24">
        <v>0.36944444444444441</v>
      </c>
      <c r="U10" s="150">
        <f>(S10-T9)*24*60</f>
        <v>33.999999999999957</v>
      </c>
      <c r="V10" s="158">
        <f t="shared" si="16"/>
        <v>152.00000000000003</v>
      </c>
      <c r="W10" s="14"/>
      <c r="X10" s="14"/>
      <c r="Y10" s="528"/>
      <c r="Z10" s="528"/>
      <c r="AA10" s="11">
        <f t="shared" si="2"/>
        <v>-118.42105263157919</v>
      </c>
      <c r="AB10" s="149">
        <f t="shared" ref="AB10:AB27" si="19">M10/J10</f>
        <v>0.92105263157894723</v>
      </c>
      <c r="AC10" s="533"/>
    </row>
    <row r="11" spans="1:29" ht="15.75" customHeight="1">
      <c r="A11" s="531" t="s">
        <v>607</v>
      </c>
      <c r="B11" s="26" t="s">
        <v>15</v>
      </c>
      <c r="C11" s="558" t="s">
        <v>80</v>
      </c>
      <c r="D11" s="559"/>
      <c r="E11" s="26">
        <v>39.29</v>
      </c>
      <c r="F11" s="160">
        <v>3417</v>
      </c>
      <c r="G11" s="150">
        <f t="shared" si="11"/>
        <v>134253.93</v>
      </c>
      <c r="H11" s="76" t="s">
        <v>52</v>
      </c>
      <c r="I11" s="157">
        <v>19</v>
      </c>
      <c r="J11" s="18">
        <v>1500</v>
      </c>
      <c r="K11" s="9">
        <f t="shared" si="12"/>
        <v>78.94736842105263</v>
      </c>
      <c r="L11" s="157">
        <v>19</v>
      </c>
      <c r="M11" s="10">
        <f t="shared" si="13"/>
        <v>1385.2702702702702</v>
      </c>
      <c r="N11" s="9">
        <f t="shared" si="14"/>
        <v>72.908961593172123</v>
      </c>
      <c r="O11" s="11">
        <f t="shared" si="15"/>
        <v>0</v>
      </c>
      <c r="P11" s="12">
        <f t="shared" si="17"/>
        <v>-6.0384068278805074</v>
      </c>
      <c r="Q11" s="149">
        <f t="shared" si="18"/>
        <v>0.92351351351351352</v>
      </c>
      <c r="R11" s="533"/>
      <c r="S11" s="24">
        <v>0.37986111111111104</v>
      </c>
      <c r="T11" s="24">
        <v>0.48263888888888884</v>
      </c>
      <c r="U11" s="150">
        <f t="shared" ref="U11:U12" si="20">(S11-T10)*24*60</f>
        <v>14.999999999999947</v>
      </c>
      <c r="V11" s="158">
        <f t="shared" si="16"/>
        <v>148.00000000000003</v>
      </c>
      <c r="W11" s="14">
        <f>T11</f>
        <v>0.48263888888888884</v>
      </c>
      <c r="X11" s="14">
        <f>S12</f>
        <v>0.52361111111111103</v>
      </c>
      <c r="Y11" s="528"/>
      <c r="Z11" s="528"/>
      <c r="AA11" s="11">
        <f t="shared" si="2"/>
        <v>-114.7297297297298</v>
      </c>
      <c r="AB11" s="149">
        <f t="shared" si="19"/>
        <v>0.92351351351351352</v>
      </c>
      <c r="AC11" s="533"/>
    </row>
    <row r="12" spans="1:29" ht="15.75" customHeight="1">
      <c r="A12" s="531" t="s">
        <v>465</v>
      </c>
      <c r="B12" s="26" t="s">
        <v>15</v>
      </c>
      <c r="C12" s="558" t="s">
        <v>17</v>
      </c>
      <c r="D12" s="559"/>
      <c r="E12" s="26">
        <v>39.799999999999997</v>
      </c>
      <c r="F12" s="160">
        <v>1583</v>
      </c>
      <c r="G12" s="150">
        <f t="shared" si="11"/>
        <v>63003.399999999994</v>
      </c>
      <c r="H12" s="76" t="s">
        <v>52</v>
      </c>
      <c r="I12" s="157">
        <v>17</v>
      </c>
      <c r="J12" s="18">
        <v>1500</v>
      </c>
      <c r="K12" s="9">
        <f t="shared" si="12"/>
        <v>88.235294117647058</v>
      </c>
      <c r="L12" s="157">
        <v>17</v>
      </c>
      <c r="M12" s="10">
        <f t="shared" si="13"/>
        <v>1376.5217391304366</v>
      </c>
      <c r="N12" s="9">
        <f t="shared" si="14"/>
        <v>80.971867007672742</v>
      </c>
      <c r="O12" s="11">
        <f t="shared" si="15"/>
        <v>0</v>
      </c>
      <c r="P12" s="12">
        <f t="shared" si="17"/>
        <v>-7.263427109974316</v>
      </c>
      <c r="Q12" s="149">
        <f t="shared" si="18"/>
        <v>0.91768115942029105</v>
      </c>
      <c r="R12" s="533"/>
      <c r="S12" s="24">
        <v>0.52361111111111103</v>
      </c>
      <c r="T12" s="24">
        <v>0.57152777777777763</v>
      </c>
      <c r="U12" s="150">
        <f t="shared" si="20"/>
        <v>58.99999999999995</v>
      </c>
      <c r="V12" s="158">
        <f t="shared" si="16"/>
        <v>68.999999999999915</v>
      </c>
      <c r="W12" s="14"/>
      <c r="X12" s="14"/>
      <c r="Y12" s="528"/>
      <c r="Z12" s="528"/>
      <c r="AA12" s="11">
        <f t="shared" si="2"/>
        <v>-123.47826086956343</v>
      </c>
      <c r="AB12" s="149">
        <f t="shared" si="19"/>
        <v>0.91768115942029105</v>
      </c>
      <c r="AC12" s="533"/>
    </row>
    <row r="13" spans="1:29" ht="16.5" customHeight="1">
      <c r="A13" s="531" t="s">
        <v>465</v>
      </c>
      <c r="B13" s="26" t="s">
        <v>82</v>
      </c>
      <c r="C13" s="530"/>
      <c r="D13" s="530"/>
      <c r="E13" s="151"/>
      <c r="F13" s="18"/>
      <c r="G13" s="10"/>
      <c r="H13" s="160"/>
      <c r="I13" s="17">
        <v>18</v>
      </c>
      <c r="J13" s="18">
        <v>1500</v>
      </c>
      <c r="K13" s="9">
        <f>J13/I13</f>
        <v>83.333333333333329</v>
      </c>
      <c r="L13" s="17">
        <v>18</v>
      </c>
      <c r="M13" s="10">
        <f>AVERAGE(M9:M12)</f>
        <v>1381.401745403462</v>
      </c>
      <c r="N13" s="9">
        <f>M13/L13</f>
        <v>76.744541411303445</v>
      </c>
      <c r="O13" s="11">
        <f>L13-I13</f>
        <v>0</v>
      </c>
      <c r="P13" s="12">
        <f>N13-K13</f>
        <v>-6.5887919220298841</v>
      </c>
      <c r="Q13" s="149">
        <f>N13/K13</f>
        <v>0.92093449693564133</v>
      </c>
      <c r="R13" s="533"/>
      <c r="S13" s="24"/>
      <c r="T13" s="24"/>
      <c r="U13" s="9"/>
      <c r="V13" s="158"/>
      <c r="W13" s="9"/>
      <c r="X13" s="9"/>
      <c r="Y13" s="528"/>
      <c r="Z13" s="528"/>
      <c r="AA13" s="11">
        <f t="shared" si="2"/>
        <v>-118.59825459653803</v>
      </c>
      <c r="AB13" s="149">
        <f t="shared" si="19"/>
        <v>0.92093449693564133</v>
      </c>
      <c r="AC13" s="533"/>
    </row>
    <row r="14" spans="1:29" ht="16.5" customHeight="1">
      <c r="A14" s="556" t="s">
        <v>608</v>
      </c>
      <c r="B14" s="160" t="s">
        <v>21</v>
      </c>
      <c r="C14" s="552" t="s">
        <v>19</v>
      </c>
      <c r="D14" s="552"/>
      <c r="E14" s="26">
        <v>41</v>
      </c>
      <c r="F14" s="160">
        <v>1684</v>
      </c>
      <c r="G14" s="150">
        <f t="shared" ref="G14:G17" si="21">E14*F14</f>
        <v>69044</v>
      </c>
      <c r="H14" s="76" t="s">
        <v>52</v>
      </c>
      <c r="I14" s="157">
        <v>26</v>
      </c>
      <c r="J14" s="18">
        <v>1500</v>
      </c>
      <c r="K14" s="9">
        <f>J14/I14</f>
        <v>57.692307692307693</v>
      </c>
      <c r="L14" s="157">
        <v>26</v>
      </c>
      <c r="M14" s="10">
        <f>F14/V14*60</f>
        <v>1384.1095890410961</v>
      </c>
      <c r="N14" s="9">
        <f t="shared" ref="N14:N26" si="22">M14/L14</f>
        <v>53.234984193888309</v>
      </c>
      <c r="O14" s="11">
        <f t="shared" ref="O14" si="23">L14-I14</f>
        <v>0</v>
      </c>
      <c r="P14" s="12">
        <f t="shared" ref="P14" si="24">N14-K14</f>
        <v>-4.4573234984193846</v>
      </c>
      <c r="Q14" s="149">
        <f>N14/K14</f>
        <v>0.92273972602739729</v>
      </c>
      <c r="R14" s="533">
        <f>Q18</f>
        <v>0.92350915659982535</v>
      </c>
      <c r="S14" s="24">
        <v>0.25</v>
      </c>
      <c r="T14" s="24">
        <v>0.30069444444444443</v>
      </c>
      <c r="U14" s="150"/>
      <c r="V14" s="158">
        <f>(T14-S14)*24*60</f>
        <v>72.999999999999986</v>
      </c>
      <c r="W14" s="15"/>
      <c r="X14" s="15"/>
      <c r="Y14" s="528"/>
      <c r="Z14" s="528"/>
      <c r="AA14" s="11">
        <f t="shared" si="2"/>
        <v>-115.89041095890389</v>
      </c>
      <c r="AB14" s="149">
        <f t="shared" si="19"/>
        <v>0.9227397260273974</v>
      </c>
      <c r="AC14" s="533">
        <f>AB18</f>
        <v>0.92350915659982535</v>
      </c>
    </row>
    <row r="15" spans="1:29" ht="16.5" customHeight="1">
      <c r="A15" s="557" t="s">
        <v>609</v>
      </c>
      <c r="B15" s="160" t="s">
        <v>15</v>
      </c>
      <c r="C15" s="552" t="s">
        <v>49</v>
      </c>
      <c r="D15" s="552"/>
      <c r="E15" s="26">
        <v>39.29</v>
      </c>
      <c r="F15" s="160">
        <v>2793</v>
      </c>
      <c r="G15" s="150">
        <f t="shared" si="21"/>
        <v>109736.97</v>
      </c>
      <c r="H15" s="76" t="s">
        <v>52</v>
      </c>
      <c r="I15" s="157">
        <v>16</v>
      </c>
      <c r="J15" s="18">
        <v>1500</v>
      </c>
      <c r="K15" s="9">
        <f>J15/I15</f>
        <v>93.75</v>
      </c>
      <c r="L15" s="157">
        <v>16</v>
      </c>
      <c r="M15" s="10">
        <f>F15/V15*60</f>
        <v>1384.9586776859508</v>
      </c>
      <c r="N15" s="9">
        <f t="shared" si="22"/>
        <v>86.559917355371923</v>
      </c>
      <c r="O15" s="11">
        <f>L15-I15</f>
        <v>0</v>
      </c>
      <c r="P15" s="12">
        <f>N15-K15</f>
        <v>-7.1900826446280774</v>
      </c>
      <c r="Q15" s="149">
        <f>N15/K15</f>
        <v>0.92330578512396722</v>
      </c>
      <c r="R15" s="533"/>
      <c r="S15" s="24">
        <v>0.30972222222222218</v>
      </c>
      <c r="T15" s="24">
        <v>0.39374999999999993</v>
      </c>
      <c r="U15" s="150">
        <f>IF(S15=TIME(17,0,0),"",(S15-T14)*24*60)</f>
        <v>12.999999999999954</v>
      </c>
      <c r="V15" s="158">
        <f>(T15-S15)*24*60</f>
        <v>120.99999999999997</v>
      </c>
      <c r="W15" s="14"/>
      <c r="X15" s="14"/>
      <c r="Y15" s="528"/>
      <c r="Z15" s="528"/>
      <c r="AA15" s="11">
        <f t="shared" si="2"/>
        <v>-115.04132231404924</v>
      </c>
      <c r="AB15" s="149">
        <f t="shared" si="19"/>
        <v>0.92330578512396722</v>
      </c>
      <c r="AC15" s="533"/>
    </row>
    <row r="16" spans="1:29" ht="16.5" customHeight="1">
      <c r="A16" s="557" t="s">
        <v>610</v>
      </c>
      <c r="B16" s="160" t="s">
        <v>13</v>
      </c>
      <c r="C16" s="552" t="s">
        <v>57</v>
      </c>
      <c r="D16" s="552"/>
      <c r="E16" s="26">
        <v>50.98</v>
      </c>
      <c r="F16" s="160">
        <v>2404</v>
      </c>
      <c r="G16" s="150">
        <f t="shared" si="21"/>
        <v>122555.92</v>
      </c>
      <c r="H16" s="76" t="s">
        <v>52</v>
      </c>
      <c r="I16" s="157">
        <v>17</v>
      </c>
      <c r="J16" s="18">
        <v>2000</v>
      </c>
      <c r="K16" s="9">
        <f t="shared" ref="K16:K17" si="25">J16/I16</f>
        <v>117.64705882352941</v>
      </c>
      <c r="L16" s="157">
        <v>17</v>
      </c>
      <c r="M16" s="10">
        <f t="shared" ref="M16:M17" si="26">F16/V16*60</f>
        <v>1849.2307692307681</v>
      </c>
      <c r="N16" s="9">
        <f t="shared" si="22"/>
        <v>108.77828054298637</v>
      </c>
      <c r="O16" s="11">
        <f t="shared" ref="O16:O17" si="27">L16-I16</f>
        <v>0</v>
      </c>
      <c r="P16" s="12">
        <f t="shared" ref="P16:P17" si="28">N16-K16</f>
        <v>-8.8687782805430402</v>
      </c>
      <c r="Q16" s="149">
        <f t="shared" ref="Q16:Q26" si="29">N16/K16</f>
        <v>0.92461538461538417</v>
      </c>
      <c r="R16" s="533"/>
      <c r="S16" s="24">
        <v>0.70833333333333337</v>
      </c>
      <c r="T16" s="24">
        <v>0.76250000000000007</v>
      </c>
      <c r="U16" s="150" t="str">
        <f t="shared" ref="U16:U17" si="30">IF(S16=TIME(17,0,0),"",(S16-T15)*24*60)</f>
        <v/>
      </c>
      <c r="V16" s="158">
        <f t="shared" ref="V16:V17" si="31">(T16-S16)*24*60</f>
        <v>78.000000000000043</v>
      </c>
      <c r="W16" s="14"/>
      <c r="X16" s="14"/>
      <c r="Y16" s="528"/>
      <c r="Z16" s="528"/>
      <c r="AA16" s="11">
        <f t="shared" si="2"/>
        <v>-150.76923076923185</v>
      </c>
      <c r="AB16" s="149">
        <f t="shared" si="19"/>
        <v>0.92461538461538406</v>
      </c>
      <c r="AC16" s="533"/>
    </row>
    <row r="17" spans="1:29" ht="16.5" customHeight="1">
      <c r="A17" s="557" t="s">
        <v>609</v>
      </c>
      <c r="B17" s="160" t="s">
        <v>13</v>
      </c>
      <c r="C17" s="552" t="s">
        <v>54</v>
      </c>
      <c r="D17" s="552"/>
      <c r="E17" s="26">
        <v>50.92</v>
      </c>
      <c r="F17" s="160">
        <v>2554</v>
      </c>
      <c r="G17" s="150">
        <f t="shared" si="21"/>
        <v>130049.68000000001</v>
      </c>
      <c r="H17" s="76" t="s">
        <v>52</v>
      </c>
      <c r="I17" s="157">
        <v>16</v>
      </c>
      <c r="J17" s="18">
        <v>2000</v>
      </c>
      <c r="K17" s="9">
        <f t="shared" si="25"/>
        <v>125</v>
      </c>
      <c r="L17" s="157">
        <v>16</v>
      </c>
      <c r="M17" s="10">
        <f t="shared" si="26"/>
        <v>1846.2650602409631</v>
      </c>
      <c r="N17" s="9">
        <f t="shared" si="22"/>
        <v>115.39156626506019</v>
      </c>
      <c r="O17" s="11">
        <f t="shared" si="27"/>
        <v>0</v>
      </c>
      <c r="P17" s="12">
        <f t="shared" si="28"/>
        <v>-9.6084337349398083</v>
      </c>
      <c r="Q17" s="149">
        <f t="shared" si="29"/>
        <v>0.92313253012048158</v>
      </c>
      <c r="R17" s="533"/>
      <c r="S17" s="24">
        <v>0.76666666666666672</v>
      </c>
      <c r="T17" s="24">
        <v>0.82430555555555562</v>
      </c>
      <c r="U17" s="150">
        <f t="shared" si="30"/>
        <v>5.9999999999999787</v>
      </c>
      <c r="V17" s="158">
        <f t="shared" si="31"/>
        <v>83.000000000000028</v>
      </c>
      <c r="W17" s="14"/>
      <c r="X17" s="14"/>
      <c r="Y17" s="528"/>
      <c r="Z17" s="528"/>
      <c r="AA17" s="11">
        <f t="shared" si="2"/>
        <v>-153.73493975903693</v>
      </c>
      <c r="AB17" s="149">
        <f t="shared" si="19"/>
        <v>0.92313253012048158</v>
      </c>
      <c r="AC17" s="533"/>
    </row>
    <row r="18" spans="1:29" ht="16.5" customHeight="1">
      <c r="A18" s="557" t="s">
        <v>608</v>
      </c>
      <c r="B18" s="26" t="s">
        <v>82</v>
      </c>
      <c r="C18" s="530"/>
      <c r="D18" s="530"/>
      <c r="E18" s="151"/>
      <c r="F18" s="16"/>
      <c r="G18" s="9"/>
      <c r="H18" s="160"/>
      <c r="I18" s="17">
        <f>AVERAGE(I14:I17)</f>
        <v>18.75</v>
      </c>
      <c r="J18" s="18">
        <v>1750</v>
      </c>
      <c r="K18" s="9">
        <f>J18/I18</f>
        <v>93.333333333333329</v>
      </c>
      <c r="L18" s="17">
        <f>AVERAGE(L14:L17)</f>
        <v>18.75</v>
      </c>
      <c r="M18" s="10">
        <f>AVERAGE(M14:M17)</f>
        <v>1616.1410240496944</v>
      </c>
      <c r="N18" s="9">
        <f t="shared" si="22"/>
        <v>86.194187949317026</v>
      </c>
      <c r="O18" s="11">
        <f>L18-I18</f>
        <v>0</v>
      </c>
      <c r="P18" s="12">
        <f>N18-K18</f>
        <v>-7.1391453840163024</v>
      </c>
      <c r="Q18" s="149">
        <f t="shared" si="29"/>
        <v>0.92350915659982535</v>
      </c>
      <c r="R18" s="533"/>
      <c r="S18" s="24"/>
      <c r="T18" s="24"/>
      <c r="U18" s="150"/>
      <c r="V18" s="158"/>
      <c r="W18" s="9"/>
      <c r="X18" s="9"/>
      <c r="Y18" s="528"/>
      <c r="Z18" s="528"/>
      <c r="AA18" s="11">
        <f t="shared" si="2"/>
        <v>-133.85897595030565</v>
      </c>
      <c r="AB18" s="149">
        <f t="shared" si="19"/>
        <v>0.92350915659982535</v>
      </c>
      <c r="AC18" s="533"/>
    </row>
    <row r="19" spans="1:29" ht="15.75" customHeight="1">
      <c r="A19" s="554" t="s">
        <v>376</v>
      </c>
      <c r="B19" s="26" t="s">
        <v>21</v>
      </c>
      <c r="C19" s="552" t="s">
        <v>22</v>
      </c>
      <c r="D19" s="552"/>
      <c r="E19" s="26">
        <v>43.14</v>
      </c>
      <c r="F19" s="160">
        <v>958</v>
      </c>
      <c r="G19" s="150">
        <f t="shared" ref="G19:G26" si="32">E19*F19</f>
        <v>41328.120000000003</v>
      </c>
      <c r="H19" s="76" t="s">
        <v>52</v>
      </c>
      <c r="I19" s="157">
        <v>17</v>
      </c>
      <c r="J19" s="18">
        <v>2000</v>
      </c>
      <c r="K19" s="9">
        <f t="shared" ref="K19:K27" si="33">J19/I19</f>
        <v>117.64705882352941</v>
      </c>
      <c r="L19" s="157">
        <v>17</v>
      </c>
      <c r="M19" s="10">
        <f t="shared" ref="M19:M26" si="34">F19/V19*60</f>
        <v>1854.1935483870961</v>
      </c>
      <c r="N19" s="9">
        <f t="shared" si="22"/>
        <v>109.07020872865272</v>
      </c>
      <c r="O19" s="11">
        <f t="shared" ref="O19:O26" si="35">L19-I19</f>
        <v>0</v>
      </c>
      <c r="P19" s="12">
        <f t="shared" ref="P19:P26" si="36">N19-K19</f>
        <v>-8.5768500948766899</v>
      </c>
      <c r="Q19" s="149">
        <f t="shared" si="29"/>
        <v>0.92709677419354808</v>
      </c>
      <c r="R19" s="533">
        <f>Q27</f>
        <v>0.92914549376986899</v>
      </c>
      <c r="S19" s="24">
        <v>0.20833333333333334</v>
      </c>
      <c r="T19" s="24">
        <v>0.22986111111111113</v>
      </c>
      <c r="U19" s="150"/>
      <c r="V19" s="158">
        <f>(T19-S19)*24*60</f>
        <v>31.000000000000011</v>
      </c>
      <c r="W19" s="15"/>
      <c r="X19" s="15"/>
      <c r="Y19" s="528"/>
      <c r="Z19" s="528"/>
      <c r="AA19" s="11">
        <f t="shared" si="2"/>
        <v>-145.80645161290386</v>
      </c>
      <c r="AB19" s="149">
        <f t="shared" si="19"/>
        <v>0.92709677419354808</v>
      </c>
      <c r="AC19" s="533">
        <f>AB27</f>
        <v>0.92914549376986899</v>
      </c>
    </row>
    <row r="20" spans="1:29" ht="15.75" customHeight="1">
      <c r="A20" s="555" t="s">
        <v>376</v>
      </c>
      <c r="B20" s="26" t="s">
        <v>13</v>
      </c>
      <c r="C20" s="552" t="s">
        <v>23</v>
      </c>
      <c r="D20" s="552"/>
      <c r="E20" s="26">
        <v>57.73</v>
      </c>
      <c r="F20" s="160">
        <v>2048</v>
      </c>
      <c r="G20" s="150">
        <f t="shared" si="32"/>
        <v>118231.03999999999</v>
      </c>
      <c r="H20" s="76" t="s">
        <v>52</v>
      </c>
      <c r="I20" s="157">
        <v>16</v>
      </c>
      <c r="J20" s="18">
        <v>2000</v>
      </c>
      <c r="K20" s="9">
        <f t="shared" si="33"/>
        <v>125</v>
      </c>
      <c r="L20" s="157">
        <v>16</v>
      </c>
      <c r="M20" s="10">
        <f t="shared" si="34"/>
        <v>1834.0298507462687</v>
      </c>
      <c r="N20" s="9">
        <f t="shared" si="22"/>
        <v>114.6268656716418</v>
      </c>
      <c r="O20" s="11">
        <f t="shared" si="35"/>
        <v>0</v>
      </c>
      <c r="P20" s="12">
        <f t="shared" si="36"/>
        <v>-10.373134328358205</v>
      </c>
      <c r="Q20" s="149">
        <f t="shared" si="29"/>
        <v>0.91701492537313434</v>
      </c>
      <c r="R20" s="533"/>
      <c r="S20" s="24">
        <v>0.23333333333333334</v>
      </c>
      <c r="T20" s="24">
        <v>0.27986111111111112</v>
      </c>
      <c r="U20" s="150">
        <f>IF(S20=TIME(17,0,0),"",(S20-T19)*24*60)</f>
        <v>4.9999999999999822</v>
      </c>
      <c r="V20" s="158">
        <f t="shared" ref="V20:V26" si="37">(T20-S20)*24*60</f>
        <v>67</v>
      </c>
      <c r="W20" s="14"/>
      <c r="X20" s="150"/>
      <c r="Y20" s="528"/>
      <c r="Z20" s="528"/>
      <c r="AA20" s="11">
        <f t="shared" si="2"/>
        <v>-165.97014925373128</v>
      </c>
      <c r="AB20" s="149">
        <f t="shared" si="19"/>
        <v>0.91701492537313434</v>
      </c>
      <c r="AC20" s="533"/>
    </row>
    <row r="21" spans="1:29" ht="15.75" customHeight="1">
      <c r="A21" s="555" t="s">
        <v>376</v>
      </c>
      <c r="B21" s="26" t="s">
        <v>13</v>
      </c>
      <c r="C21" s="552" t="s">
        <v>14</v>
      </c>
      <c r="D21" s="552"/>
      <c r="E21" s="26">
        <v>53.68</v>
      </c>
      <c r="F21" s="160">
        <v>1474</v>
      </c>
      <c r="G21" s="150">
        <f t="shared" si="32"/>
        <v>79124.319999999992</v>
      </c>
      <c r="H21" s="76" t="s">
        <v>52</v>
      </c>
      <c r="I21" s="157">
        <v>17</v>
      </c>
      <c r="J21" s="18">
        <v>2000</v>
      </c>
      <c r="K21" s="9">
        <f t="shared" si="33"/>
        <v>117.64705882352941</v>
      </c>
      <c r="L21" s="157">
        <v>17</v>
      </c>
      <c r="M21" s="10">
        <f t="shared" si="34"/>
        <v>1842.5000000000005</v>
      </c>
      <c r="N21" s="9">
        <f t="shared" si="22"/>
        <v>108.38235294117649</v>
      </c>
      <c r="O21" s="11">
        <f t="shared" si="35"/>
        <v>0</v>
      </c>
      <c r="P21" s="12">
        <f t="shared" si="36"/>
        <v>-9.2647058823529136</v>
      </c>
      <c r="Q21" s="149">
        <f t="shared" si="29"/>
        <v>0.92125000000000024</v>
      </c>
      <c r="R21" s="533"/>
      <c r="S21" s="24">
        <v>0.28402777777777777</v>
      </c>
      <c r="T21" s="24">
        <v>0.31736111111111109</v>
      </c>
      <c r="U21" s="150">
        <f t="shared" ref="U21:U26" si="38">IF(S21=TIME(17,0,0),"",(S21-T20)*24*60)</f>
        <v>5.9999999999999787</v>
      </c>
      <c r="V21" s="158">
        <f t="shared" si="37"/>
        <v>47.999999999999986</v>
      </c>
      <c r="W21" s="14"/>
      <c r="X21" s="150"/>
      <c r="Y21" s="528"/>
      <c r="Z21" s="528"/>
      <c r="AA21" s="11">
        <f t="shared" si="2"/>
        <v>-157.49999999999955</v>
      </c>
      <c r="AB21" s="149">
        <f t="shared" si="19"/>
        <v>0.92125000000000024</v>
      </c>
      <c r="AC21" s="533"/>
    </row>
    <row r="22" spans="1:29" ht="15.75" customHeight="1">
      <c r="A22" s="555" t="s">
        <v>611</v>
      </c>
      <c r="B22" s="26" t="s">
        <v>13</v>
      </c>
      <c r="C22" s="552" t="s">
        <v>63</v>
      </c>
      <c r="D22" s="552"/>
      <c r="E22" s="26">
        <v>50.67</v>
      </c>
      <c r="F22" s="160">
        <v>890</v>
      </c>
      <c r="G22" s="150">
        <f t="shared" si="32"/>
        <v>45096.3</v>
      </c>
      <c r="H22" s="76" t="s">
        <v>52</v>
      </c>
      <c r="I22" s="157">
        <v>16</v>
      </c>
      <c r="J22" s="18">
        <v>2000</v>
      </c>
      <c r="K22" s="9">
        <f t="shared" si="33"/>
        <v>125</v>
      </c>
      <c r="L22" s="157">
        <v>16</v>
      </c>
      <c r="M22" s="10">
        <f t="shared" si="34"/>
        <v>1841.3793103448288</v>
      </c>
      <c r="N22" s="9">
        <f t="shared" si="22"/>
        <v>115.0862068965518</v>
      </c>
      <c r="O22" s="11">
        <f t="shared" si="35"/>
        <v>0</v>
      </c>
      <c r="P22" s="12">
        <f t="shared" si="36"/>
        <v>-9.9137931034481994</v>
      </c>
      <c r="Q22" s="149">
        <f t="shared" si="29"/>
        <v>0.92068965517241441</v>
      </c>
      <c r="R22" s="533"/>
      <c r="S22" s="24">
        <v>0.32291666666666663</v>
      </c>
      <c r="T22" s="24">
        <v>0.3430555555555555</v>
      </c>
      <c r="U22" s="150">
        <f t="shared" si="38"/>
        <v>7.9999999999999716</v>
      </c>
      <c r="V22" s="158">
        <f t="shared" si="37"/>
        <v>28.999999999999979</v>
      </c>
      <c r="W22" s="14"/>
      <c r="X22" s="150"/>
      <c r="Y22" s="528"/>
      <c r="Z22" s="528"/>
      <c r="AA22" s="11">
        <f t="shared" si="2"/>
        <v>-158.62068965517119</v>
      </c>
      <c r="AB22" s="149">
        <f t="shared" si="19"/>
        <v>0.92068965517241441</v>
      </c>
      <c r="AC22" s="533"/>
    </row>
    <row r="23" spans="1:29" ht="15.75" customHeight="1">
      <c r="A23" s="555" t="s">
        <v>376</v>
      </c>
      <c r="B23" s="26" t="s">
        <v>13</v>
      </c>
      <c r="C23" s="552" t="s">
        <v>81</v>
      </c>
      <c r="D23" s="552"/>
      <c r="E23" s="26">
        <v>58.17</v>
      </c>
      <c r="F23" s="160">
        <v>2215</v>
      </c>
      <c r="G23" s="150">
        <f t="shared" si="32"/>
        <v>128846.55</v>
      </c>
      <c r="H23" s="76" t="s">
        <v>52</v>
      </c>
      <c r="I23" s="157">
        <v>18</v>
      </c>
      <c r="J23" s="18">
        <v>2000</v>
      </c>
      <c r="K23" s="9">
        <f t="shared" si="33"/>
        <v>111.11111111111111</v>
      </c>
      <c r="L23" s="157">
        <v>18</v>
      </c>
      <c r="M23" s="10">
        <f t="shared" si="34"/>
        <v>1845.8333333333337</v>
      </c>
      <c r="N23" s="9">
        <f t="shared" si="22"/>
        <v>102.54629629629632</v>
      </c>
      <c r="O23" s="11">
        <f t="shared" si="35"/>
        <v>0</v>
      </c>
      <c r="P23" s="12">
        <f t="shared" si="36"/>
        <v>-8.5648148148147953</v>
      </c>
      <c r="Q23" s="149">
        <f t="shared" si="29"/>
        <v>0.92291666666666683</v>
      </c>
      <c r="R23" s="533"/>
      <c r="S23" s="24">
        <v>0.34722222222222215</v>
      </c>
      <c r="T23" s="24">
        <v>0.39722222222222214</v>
      </c>
      <c r="U23" s="150">
        <f t="shared" si="38"/>
        <v>5.9999999999999787</v>
      </c>
      <c r="V23" s="158">
        <f t="shared" si="37"/>
        <v>71.999999999999986</v>
      </c>
      <c r="W23" s="14"/>
      <c r="X23" s="150"/>
      <c r="Y23" s="528"/>
      <c r="Z23" s="528"/>
      <c r="AA23" s="11">
        <f t="shared" si="2"/>
        <v>-154.16666666666629</v>
      </c>
      <c r="AB23" s="149">
        <f t="shared" si="19"/>
        <v>0.92291666666666683</v>
      </c>
      <c r="AC23" s="533"/>
    </row>
    <row r="24" spans="1:29" ht="15.75" customHeight="1">
      <c r="A24" s="555" t="s">
        <v>611</v>
      </c>
      <c r="B24" s="26" t="s">
        <v>13</v>
      </c>
      <c r="C24" s="552" t="s">
        <v>85</v>
      </c>
      <c r="D24" s="552"/>
      <c r="E24" s="26">
        <v>54.09</v>
      </c>
      <c r="F24" s="160">
        <v>4008</v>
      </c>
      <c r="G24" s="150">
        <f t="shared" si="32"/>
        <v>216792.72</v>
      </c>
      <c r="H24" s="76" t="s">
        <v>52</v>
      </c>
      <c r="I24" s="157">
        <v>20</v>
      </c>
      <c r="J24" s="18">
        <v>2000</v>
      </c>
      <c r="K24" s="9">
        <f t="shared" si="33"/>
        <v>100</v>
      </c>
      <c r="L24" s="157">
        <v>20</v>
      </c>
      <c r="M24" s="10">
        <f t="shared" si="34"/>
        <v>1835.7251908396947</v>
      </c>
      <c r="N24" s="9">
        <f t="shared" si="22"/>
        <v>91.786259541984734</v>
      </c>
      <c r="O24" s="11">
        <f t="shared" si="35"/>
        <v>0</v>
      </c>
      <c r="P24" s="12">
        <f t="shared" si="36"/>
        <v>-8.2137404580152662</v>
      </c>
      <c r="Q24" s="149">
        <f t="shared" si="29"/>
        <v>0.91786259541984738</v>
      </c>
      <c r="R24" s="533"/>
      <c r="S24" s="24">
        <v>0.70833333333333337</v>
      </c>
      <c r="T24" s="24">
        <v>0.7993055555555556</v>
      </c>
      <c r="U24" s="150" t="str">
        <f t="shared" si="38"/>
        <v/>
      </c>
      <c r="V24" s="158">
        <f t="shared" si="37"/>
        <v>131</v>
      </c>
      <c r="W24" s="14"/>
      <c r="X24" s="15"/>
      <c r="Y24" s="528"/>
      <c r="Z24" s="528"/>
      <c r="AA24" s="11">
        <f t="shared" si="2"/>
        <v>-164.27480916030527</v>
      </c>
      <c r="AB24" s="149">
        <f t="shared" si="19"/>
        <v>0.91786259541984738</v>
      </c>
      <c r="AC24" s="533"/>
    </row>
    <row r="25" spans="1:29" ht="15.75" customHeight="1">
      <c r="A25" s="555" t="s">
        <v>376</v>
      </c>
      <c r="B25" s="26" t="s">
        <v>13</v>
      </c>
      <c r="C25" s="552" t="s">
        <v>56</v>
      </c>
      <c r="D25" s="552"/>
      <c r="E25" s="26">
        <v>53.27</v>
      </c>
      <c r="F25" s="160">
        <v>484</v>
      </c>
      <c r="G25" s="150">
        <f t="shared" si="32"/>
        <v>25782.68</v>
      </c>
      <c r="H25" s="76" t="s">
        <v>52</v>
      </c>
      <c r="I25" s="157">
        <v>15</v>
      </c>
      <c r="J25" s="18">
        <v>2000</v>
      </c>
      <c r="K25" s="9">
        <f t="shared" si="33"/>
        <v>133.33333333333334</v>
      </c>
      <c r="L25" s="157">
        <v>15</v>
      </c>
      <c r="M25" s="10">
        <f t="shared" si="34"/>
        <v>1936.0000000000068</v>
      </c>
      <c r="N25" s="9">
        <f t="shared" si="22"/>
        <v>129.06666666666712</v>
      </c>
      <c r="O25" s="11">
        <f t="shared" si="35"/>
        <v>0</v>
      </c>
      <c r="P25" s="12">
        <f t="shared" si="36"/>
        <v>-4.2666666666662252</v>
      </c>
      <c r="Q25" s="149">
        <f t="shared" si="29"/>
        <v>0.9680000000000033</v>
      </c>
      <c r="R25" s="533"/>
      <c r="S25" s="24">
        <v>0.80486111111111114</v>
      </c>
      <c r="T25" s="24">
        <v>0.81527777777777777</v>
      </c>
      <c r="U25" s="150">
        <f t="shared" si="38"/>
        <v>7.9999999999999716</v>
      </c>
      <c r="V25" s="158">
        <f t="shared" si="37"/>
        <v>14.999999999999947</v>
      </c>
      <c r="W25" s="14"/>
      <c r="X25" s="15"/>
      <c r="Y25" s="536"/>
      <c r="Z25" s="537"/>
      <c r="AA25" s="11">
        <f t="shared" si="2"/>
        <v>-63.999999999993179</v>
      </c>
      <c r="AB25" s="149">
        <f t="shared" si="19"/>
        <v>0.96800000000000341</v>
      </c>
      <c r="AC25" s="533"/>
    </row>
    <row r="26" spans="1:29" ht="15.75" customHeight="1">
      <c r="A26" s="555" t="s">
        <v>611</v>
      </c>
      <c r="B26" s="26" t="s">
        <v>13</v>
      </c>
      <c r="C26" s="584" t="s">
        <v>83</v>
      </c>
      <c r="D26" s="585"/>
      <c r="E26" s="26">
        <v>49.91</v>
      </c>
      <c r="F26" s="160">
        <v>563</v>
      </c>
      <c r="G26" s="150">
        <f t="shared" si="32"/>
        <v>28099.329999999998</v>
      </c>
      <c r="H26" s="76" t="s">
        <v>52</v>
      </c>
      <c r="I26" s="157">
        <v>16</v>
      </c>
      <c r="J26" s="18">
        <v>2000</v>
      </c>
      <c r="K26" s="9">
        <f t="shared" si="33"/>
        <v>125</v>
      </c>
      <c r="L26" s="157">
        <v>16</v>
      </c>
      <c r="M26" s="10">
        <f t="shared" si="34"/>
        <v>1876.6666666666733</v>
      </c>
      <c r="N26" s="9">
        <f t="shared" si="22"/>
        <v>117.29166666666708</v>
      </c>
      <c r="O26" s="11">
        <f t="shared" si="35"/>
        <v>0</v>
      </c>
      <c r="P26" s="12">
        <f t="shared" si="36"/>
        <v>-7.7083333333329165</v>
      </c>
      <c r="Q26" s="149">
        <f t="shared" si="29"/>
        <v>0.93833333333333668</v>
      </c>
      <c r="R26" s="533"/>
      <c r="S26" s="24">
        <v>0.81944444444444442</v>
      </c>
      <c r="T26" s="24">
        <v>0.83194444444444438</v>
      </c>
      <c r="U26" s="150">
        <f t="shared" si="38"/>
        <v>5.9999999999999787</v>
      </c>
      <c r="V26" s="158">
        <f t="shared" si="37"/>
        <v>17.999999999999936</v>
      </c>
      <c r="W26" s="14"/>
      <c r="X26" s="14"/>
      <c r="Y26" s="536"/>
      <c r="Z26" s="537"/>
      <c r="AA26" s="11">
        <f t="shared" si="2"/>
        <v>-123.33333333332666</v>
      </c>
      <c r="AB26" s="149">
        <f t="shared" si="19"/>
        <v>0.93833333333333668</v>
      </c>
      <c r="AC26" s="533"/>
    </row>
    <row r="27" spans="1:29" ht="15.75" customHeight="1">
      <c r="A27" s="555" t="s">
        <v>611</v>
      </c>
      <c r="B27" s="26" t="s">
        <v>475</v>
      </c>
      <c r="C27" s="530"/>
      <c r="D27" s="530"/>
      <c r="E27" s="151"/>
      <c r="F27" s="160"/>
      <c r="G27" s="150"/>
      <c r="H27" s="160"/>
      <c r="I27" s="17">
        <v>16.875</v>
      </c>
      <c r="J27" s="18">
        <v>2000</v>
      </c>
      <c r="K27" s="9">
        <f t="shared" si="33"/>
        <v>118.51851851851852</v>
      </c>
      <c r="L27" s="17">
        <v>16.875</v>
      </c>
      <c r="M27" s="10">
        <f>AVERAGE(M19:M26)</f>
        <v>1858.2909875397379</v>
      </c>
      <c r="N27" s="9">
        <f>M27/L27</f>
        <v>110.12094740976225</v>
      </c>
      <c r="O27" s="11">
        <f>L27-I27</f>
        <v>0</v>
      </c>
      <c r="P27" s="12">
        <f>N27-K27</f>
        <v>-8.3975711087562672</v>
      </c>
      <c r="Q27" s="149">
        <f>N27/K27</f>
        <v>0.92914549376986899</v>
      </c>
      <c r="R27" s="533"/>
      <c r="S27" s="24"/>
      <c r="T27" s="24"/>
      <c r="U27" s="9"/>
      <c r="V27" s="158"/>
      <c r="W27" s="9"/>
      <c r="X27" s="9"/>
      <c r="Y27" s="528"/>
      <c r="Z27" s="528"/>
      <c r="AA27" s="11">
        <f t="shared" si="2"/>
        <v>-141.7090124602621</v>
      </c>
      <c r="AB27" s="149">
        <f t="shared" si="19"/>
        <v>0.92914549376986899</v>
      </c>
      <c r="AC27" s="533"/>
    </row>
    <row r="28" spans="1:29" ht="15.75" customHeight="1">
      <c r="A28" s="553" t="s">
        <v>612</v>
      </c>
      <c r="B28" s="26" t="s">
        <v>24</v>
      </c>
      <c r="C28" s="552" t="s">
        <v>26</v>
      </c>
      <c r="D28" s="552"/>
      <c r="E28" s="26">
        <v>26.2</v>
      </c>
      <c r="F28" s="160">
        <v>2716</v>
      </c>
      <c r="G28" s="150">
        <f t="shared" ref="G28:G31" si="39">E28*F28</f>
        <v>71159.199999999997</v>
      </c>
      <c r="H28" s="76" t="s">
        <v>52</v>
      </c>
      <c r="I28" s="157">
        <v>20</v>
      </c>
      <c r="J28" s="18">
        <v>2400</v>
      </c>
      <c r="K28" s="9">
        <f>J28/I28</f>
        <v>120</v>
      </c>
      <c r="L28" s="157">
        <v>20</v>
      </c>
      <c r="M28" s="10">
        <f t="shared" ref="M28:M31" si="40">F28/V28*60</f>
        <v>2202.1621621621616</v>
      </c>
      <c r="N28" s="9">
        <f t="shared" ref="N28:N31" si="41">M28/L28</f>
        <v>110.10810810810808</v>
      </c>
      <c r="O28" s="11">
        <f t="shared" ref="O28:O31" si="42">L28-I28</f>
        <v>0</v>
      </c>
      <c r="P28" s="12">
        <f t="shared" ref="P28:P31" si="43">N28-K28</f>
        <v>-9.8918918918919161</v>
      </c>
      <c r="Q28" s="149">
        <f t="shared" ref="Q28:Q31" si="44">N28/K28</f>
        <v>0.91756756756756741</v>
      </c>
      <c r="R28" s="533">
        <f>Q32</f>
        <v>0.91956435391118063</v>
      </c>
      <c r="S28" s="24">
        <v>0.125</v>
      </c>
      <c r="T28" s="24">
        <v>0.1763888888888889</v>
      </c>
      <c r="U28" s="150"/>
      <c r="V28" s="158">
        <f t="shared" ref="V28:V31" si="45">(T28-S28)*24*60</f>
        <v>74.000000000000014</v>
      </c>
      <c r="W28" s="14">
        <f>T28</f>
        <v>0.1763888888888889</v>
      </c>
      <c r="X28" s="14">
        <f>S29</f>
        <v>0.19583333333333333</v>
      </c>
      <c r="Y28" s="528"/>
      <c r="Z28" s="528"/>
      <c r="AA28" s="11">
        <f t="shared" si="2"/>
        <v>-197.83783783783838</v>
      </c>
      <c r="AB28" s="149">
        <f>M28/J28</f>
        <v>0.9175675675675673</v>
      </c>
      <c r="AC28" s="533">
        <f>AB32</f>
        <v>0.91956435391118063</v>
      </c>
    </row>
    <row r="29" spans="1:29" ht="15.75" customHeight="1">
      <c r="A29" s="553" t="s">
        <v>613</v>
      </c>
      <c r="B29" s="26" t="s">
        <v>24</v>
      </c>
      <c r="C29" s="552" t="s">
        <v>79</v>
      </c>
      <c r="D29" s="552"/>
      <c r="E29" s="26">
        <v>31.29</v>
      </c>
      <c r="F29" s="160">
        <v>5722</v>
      </c>
      <c r="G29" s="150">
        <f t="shared" si="39"/>
        <v>179041.38</v>
      </c>
      <c r="H29" s="76" t="s">
        <v>52</v>
      </c>
      <c r="I29" s="157">
        <v>16</v>
      </c>
      <c r="J29" s="18">
        <v>2400</v>
      </c>
      <c r="K29" s="9">
        <f t="shared" ref="K29:K32" si="46">J29/I29</f>
        <v>150</v>
      </c>
      <c r="L29" s="157">
        <v>16</v>
      </c>
      <c r="M29" s="10">
        <f t="shared" si="40"/>
        <v>2200.7692307692305</v>
      </c>
      <c r="N29" s="9">
        <f t="shared" si="41"/>
        <v>137.54807692307691</v>
      </c>
      <c r="O29" s="11">
        <f t="shared" si="42"/>
        <v>0</v>
      </c>
      <c r="P29" s="12">
        <f t="shared" si="43"/>
        <v>-12.451923076923094</v>
      </c>
      <c r="Q29" s="149">
        <f t="shared" si="44"/>
        <v>0.91698717948717934</v>
      </c>
      <c r="R29" s="533"/>
      <c r="S29" s="24">
        <v>0.19583333333333333</v>
      </c>
      <c r="T29" s="24">
        <v>0.3041666666666667</v>
      </c>
      <c r="U29" s="150">
        <f>(S29-T28)*24*60</f>
        <v>27.999999999999979</v>
      </c>
      <c r="V29" s="158">
        <f t="shared" si="45"/>
        <v>156.00000000000003</v>
      </c>
      <c r="W29" s="14"/>
      <c r="X29" s="14"/>
      <c r="Y29" s="528"/>
      <c r="Z29" s="528"/>
      <c r="AA29" s="11">
        <f t="shared" si="2"/>
        <v>-199.23076923076951</v>
      </c>
      <c r="AB29" s="149">
        <f t="shared" ref="AB29:AB31" si="47">M29/J29</f>
        <v>0.91698717948717934</v>
      </c>
      <c r="AC29" s="533"/>
    </row>
    <row r="30" spans="1:29" ht="15.75" customHeight="1">
      <c r="A30" s="553" t="s">
        <v>614</v>
      </c>
      <c r="B30" s="26" t="s">
        <v>24</v>
      </c>
      <c r="C30" s="552" t="s">
        <v>68</v>
      </c>
      <c r="D30" s="552"/>
      <c r="E30" s="26">
        <v>24.25</v>
      </c>
      <c r="F30" s="160">
        <v>3483</v>
      </c>
      <c r="G30" s="150">
        <f t="shared" si="39"/>
        <v>84462.75</v>
      </c>
      <c r="H30" s="76" t="s">
        <v>52</v>
      </c>
      <c r="I30" s="157">
        <v>18</v>
      </c>
      <c r="J30" s="18">
        <v>2400</v>
      </c>
      <c r="K30" s="9">
        <f t="shared" si="46"/>
        <v>133.33333333333334</v>
      </c>
      <c r="L30" s="157">
        <v>18</v>
      </c>
      <c r="M30" s="10">
        <f t="shared" si="40"/>
        <v>2223.1914893617027</v>
      </c>
      <c r="N30" s="9">
        <f t="shared" si="41"/>
        <v>123.51063829787238</v>
      </c>
      <c r="O30" s="11">
        <f t="shared" si="42"/>
        <v>0</v>
      </c>
      <c r="P30" s="12">
        <f t="shared" si="43"/>
        <v>-9.822695035460967</v>
      </c>
      <c r="Q30" s="149">
        <f t="shared" si="44"/>
        <v>0.9263297872340428</v>
      </c>
      <c r="R30" s="533"/>
      <c r="S30" s="24">
        <v>0.30763888888888891</v>
      </c>
      <c r="T30" s="24">
        <v>0.37291666666666667</v>
      </c>
      <c r="U30" s="150">
        <f t="shared" ref="U30:U31" si="48">(S30-T29)*24*60</f>
        <v>4.9999999999999822</v>
      </c>
      <c r="V30" s="158">
        <f t="shared" si="45"/>
        <v>93.999999999999986</v>
      </c>
      <c r="W30" s="14"/>
      <c r="X30" s="14"/>
      <c r="Y30" s="528"/>
      <c r="Z30" s="528"/>
      <c r="AA30" s="11">
        <f t="shared" si="2"/>
        <v>-176.80851063829732</v>
      </c>
      <c r="AB30" s="149">
        <f t="shared" si="47"/>
        <v>0.9263297872340428</v>
      </c>
      <c r="AC30" s="533"/>
    </row>
    <row r="31" spans="1:29" ht="15.75" customHeight="1">
      <c r="A31" s="553" t="s">
        <v>615</v>
      </c>
      <c r="B31" s="26" t="s">
        <v>24</v>
      </c>
      <c r="C31" s="552" t="s">
        <v>328</v>
      </c>
      <c r="D31" s="552"/>
      <c r="E31" s="26">
        <v>25.98</v>
      </c>
      <c r="F31" s="160">
        <v>6495</v>
      </c>
      <c r="G31" s="150">
        <f t="shared" si="39"/>
        <v>168740.1</v>
      </c>
      <c r="H31" s="76" t="s">
        <v>52</v>
      </c>
      <c r="I31" s="157">
        <v>17</v>
      </c>
      <c r="J31" s="18">
        <v>2400</v>
      </c>
      <c r="K31" s="9">
        <f t="shared" si="46"/>
        <v>141.1764705882353</v>
      </c>
      <c r="L31" s="157">
        <v>17</v>
      </c>
      <c r="M31" s="10">
        <f t="shared" si="40"/>
        <v>2201.6949152542375</v>
      </c>
      <c r="N31" s="9">
        <f t="shared" si="41"/>
        <v>129.51146560319043</v>
      </c>
      <c r="O31" s="11">
        <f t="shared" si="42"/>
        <v>0</v>
      </c>
      <c r="P31" s="12">
        <f t="shared" si="43"/>
        <v>-11.665004985044874</v>
      </c>
      <c r="Q31" s="149">
        <f t="shared" si="44"/>
        <v>0.9173728813559322</v>
      </c>
      <c r="R31" s="533"/>
      <c r="S31" s="24">
        <v>0.37638888888888888</v>
      </c>
      <c r="T31" s="24">
        <v>0.49930555555555556</v>
      </c>
      <c r="U31" s="150">
        <f t="shared" si="48"/>
        <v>4.9999999999999822</v>
      </c>
      <c r="V31" s="158">
        <f t="shared" si="45"/>
        <v>177</v>
      </c>
      <c r="W31" s="14"/>
      <c r="X31" s="14"/>
      <c r="Y31" s="528"/>
      <c r="Z31" s="528"/>
      <c r="AA31" s="11">
        <f t="shared" si="2"/>
        <v>-198.30508474576254</v>
      </c>
      <c r="AB31" s="149">
        <f t="shared" si="47"/>
        <v>0.91737288135593231</v>
      </c>
      <c r="AC31" s="533"/>
    </row>
    <row r="32" spans="1:29" ht="15.75" customHeight="1">
      <c r="A32" s="553" t="s">
        <v>378</v>
      </c>
      <c r="B32" s="26" t="s">
        <v>475</v>
      </c>
      <c r="C32" s="530"/>
      <c r="D32" s="530"/>
      <c r="E32" s="151"/>
      <c r="F32" s="160"/>
      <c r="G32" s="150"/>
      <c r="H32" s="160"/>
      <c r="I32" s="17">
        <v>17.75</v>
      </c>
      <c r="J32" s="18">
        <v>2400</v>
      </c>
      <c r="K32" s="9">
        <f t="shared" si="46"/>
        <v>135.21126760563379</v>
      </c>
      <c r="L32" s="17">
        <v>17.75</v>
      </c>
      <c r="M32" s="10">
        <f>AVERAGE(M28:M31)</f>
        <v>2206.9544493868334</v>
      </c>
      <c r="N32" s="9">
        <f>M32/L32</f>
        <v>124.33546193728638</v>
      </c>
      <c r="O32" s="11">
        <f>L32-I32</f>
        <v>0</v>
      </c>
      <c r="P32" s="12">
        <f>N32-K32</f>
        <v>-10.875805668347411</v>
      </c>
      <c r="Q32" s="149">
        <f>N32/K32</f>
        <v>0.91956435391118063</v>
      </c>
      <c r="R32" s="533"/>
      <c r="S32" s="24"/>
      <c r="T32" s="24"/>
      <c r="U32" s="150"/>
      <c r="V32" s="158"/>
      <c r="W32" s="150"/>
      <c r="X32" s="150"/>
      <c r="Y32" s="528"/>
      <c r="Z32" s="528"/>
      <c r="AA32" s="11">
        <f t="shared" si="2"/>
        <v>-193.0455506131666</v>
      </c>
      <c r="AB32" s="149">
        <f>M32/J32</f>
        <v>0.91956435391118063</v>
      </c>
      <c r="AC32" s="533"/>
    </row>
    <row r="33" spans="1:29" ht="15.75" customHeight="1">
      <c r="A33" s="550" t="s">
        <v>380</v>
      </c>
      <c r="B33" s="26" t="s">
        <v>24</v>
      </c>
      <c r="C33" s="529" t="s">
        <v>28</v>
      </c>
      <c r="D33" s="529"/>
      <c r="E33" s="26">
        <v>26.2</v>
      </c>
      <c r="F33" s="160">
        <v>4343</v>
      </c>
      <c r="G33" s="150">
        <f t="shared" ref="G33:G39" si="49">E33*F33</f>
        <v>113786.59999999999</v>
      </c>
      <c r="H33" s="76" t="s">
        <v>52</v>
      </c>
      <c r="I33" s="157">
        <v>18</v>
      </c>
      <c r="J33" s="18">
        <v>2400</v>
      </c>
      <c r="K33" s="9">
        <f>J33/I33</f>
        <v>133.33333333333334</v>
      </c>
      <c r="L33" s="157">
        <v>18</v>
      </c>
      <c r="M33" s="10">
        <f>F33/V33*60</f>
        <v>2208.3050847457625</v>
      </c>
      <c r="N33" s="9">
        <f>M33/L33</f>
        <v>122.68361581920902</v>
      </c>
      <c r="O33" s="11">
        <f t="shared" ref="O33:O39" si="50">L33-I33</f>
        <v>0</v>
      </c>
      <c r="P33" s="12">
        <f t="shared" ref="P33:P47" si="51">N33-K33</f>
        <v>-10.649717514124319</v>
      </c>
      <c r="Q33" s="149">
        <f t="shared" ref="Q33:Q44" si="52">N33/K33</f>
        <v>0.9201271186440676</v>
      </c>
      <c r="R33" s="533">
        <f>Q40</f>
        <v>0.92333286714819163</v>
      </c>
      <c r="S33" s="24">
        <v>8.3333333333333329E-2</v>
      </c>
      <c r="T33" s="24">
        <v>0.16527777777777777</v>
      </c>
      <c r="U33" s="150"/>
      <c r="V33" s="158">
        <f t="shared" ref="V33:V39" si="53">(T33-S33)*24*60</f>
        <v>118</v>
      </c>
      <c r="W33" s="15">
        <f>T33</f>
        <v>0.16527777777777777</v>
      </c>
      <c r="X33" s="15">
        <f>S34</f>
        <v>0.18402777777777779</v>
      </c>
      <c r="Y33" s="528"/>
      <c r="Z33" s="528"/>
      <c r="AA33" s="11">
        <f t="shared" si="2"/>
        <v>-191.69491525423746</v>
      </c>
      <c r="AB33" s="149">
        <f>M33/J33</f>
        <v>0.92012711864406771</v>
      </c>
      <c r="AC33" s="533">
        <f>AB40</f>
        <v>0.92333286714819163</v>
      </c>
    </row>
    <row r="34" spans="1:29" ht="15.75" customHeight="1">
      <c r="A34" s="550" t="s">
        <v>380</v>
      </c>
      <c r="B34" s="26" t="s">
        <v>24</v>
      </c>
      <c r="C34" s="529" t="s">
        <v>30</v>
      </c>
      <c r="D34" s="529"/>
      <c r="E34" s="26">
        <v>24.45</v>
      </c>
      <c r="F34" s="160">
        <v>1625</v>
      </c>
      <c r="G34" s="150">
        <f t="shared" si="49"/>
        <v>39731.25</v>
      </c>
      <c r="H34" s="76" t="s">
        <v>52</v>
      </c>
      <c r="I34" s="157">
        <v>20</v>
      </c>
      <c r="J34" s="18">
        <v>2400</v>
      </c>
      <c r="K34" s="9">
        <f t="shared" ref="K34:K46" si="54">J34/I34</f>
        <v>120</v>
      </c>
      <c r="L34" s="157">
        <v>20</v>
      </c>
      <c r="M34" s="10">
        <f t="shared" ref="M34:M39" si="55">F34/V34*60</f>
        <v>2215.909090909091</v>
      </c>
      <c r="N34" s="9">
        <f t="shared" ref="N34:N39" si="56">M34/L34</f>
        <v>110.79545454545455</v>
      </c>
      <c r="O34" s="11">
        <f t="shared" si="50"/>
        <v>0</v>
      </c>
      <c r="P34" s="12">
        <f t="shared" si="51"/>
        <v>-9.2045454545454533</v>
      </c>
      <c r="Q34" s="149">
        <f t="shared" si="52"/>
        <v>0.92329545454545459</v>
      </c>
      <c r="R34" s="533"/>
      <c r="S34" s="24">
        <v>0.18402777777777779</v>
      </c>
      <c r="T34" s="24">
        <v>0.21458333333333335</v>
      </c>
      <c r="U34" s="150">
        <f>(S34-T33)*24*60</f>
        <v>27.000000000000025</v>
      </c>
      <c r="V34" s="158">
        <f t="shared" si="53"/>
        <v>44</v>
      </c>
      <c r="W34" s="150"/>
      <c r="X34" s="150"/>
      <c r="Y34" s="528"/>
      <c r="Z34" s="528"/>
      <c r="AA34" s="11">
        <f t="shared" si="2"/>
        <v>-184.09090909090901</v>
      </c>
      <c r="AB34" s="149">
        <f t="shared" ref="AB34:AB60" si="57">M34/J34</f>
        <v>0.92329545454545459</v>
      </c>
      <c r="AC34" s="533"/>
    </row>
    <row r="35" spans="1:29">
      <c r="A35" s="551" t="s">
        <v>616</v>
      </c>
      <c r="B35" s="26" t="s">
        <v>24</v>
      </c>
      <c r="C35" s="529" t="s">
        <v>31</v>
      </c>
      <c r="D35" s="529"/>
      <c r="E35" s="26">
        <v>26.2</v>
      </c>
      <c r="F35" s="160">
        <v>2110</v>
      </c>
      <c r="G35" s="150">
        <f t="shared" si="49"/>
        <v>55282</v>
      </c>
      <c r="H35" s="76" t="s">
        <v>52</v>
      </c>
      <c r="I35" s="157">
        <v>20</v>
      </c>
      <c r="J35" s="18">
        <v>2400</v>
      </c>
      <c r="K35" s="9">
        <f t="shared" si="54"/>
        <v>120</v>
      </c>
      <c r="L35" s="157">
        <v>20</v>
      </c>
      <c r="M35" s="10">
        <f t="shared" si="55"/>
        <v>2221.0526315789493</v>
      </c>
      <c r="N35" s="9">
        <f t="shared" si="56"/>
        <v>111.05263157894747</v>
      </c>
      <c r="O35" s="11">
        <f t="shared" si="50"/>
        <v>0</v>
      </c>
      <c r="P35" s="12">
        <f t="shared" si="51"/>
        <v>-8.9473684210525306</v>
      </c>
      <c r="Q35" s="149">
        <f t="shared" si="52"/>
        <v>0.92543859649122895</v>
      </c>
      <c r="R35" s="533"/>
      <c r="S35" s="24">
        <v>0.21805555555555556</v>
      </c>
      <c r="T35" s="24">
        <v>0.25763888888888886</v>
      </c>
      <c r="U35" s="150">
        <f t="shared" ref="U35:U39" si="58">(S35-T34)*24*60</f>
        <v>4.9999999999999822</v>
      </c>
      <c r="V35" s="158">
        <f t="shared" si="53"/>
        <v>56.999999999999957</v>
      </c>
      <c r="W35" s="150"/>
      <c r="X35" s="150"/>
      <c r="Y35" s="528"/>
      <c r="Z35" s="528"/>
      <c r="AA35" s="11">
        <f t="shared" si="2"/>
        <v>-178.94736842105067</v>
      </c>
      <c r="AB35" s="149">
        <f t="shared" si="57"/>
        <v>0.92543859649122884</v>
      </c>
      <c r="AC35" s="533"/>
    </row>
    <row r="36" spans="1:29">
      <c r="A36" s="551" t="s">
        <v>616</v>
      </c>
      <c r="B36" s="26" t="s">
        <v>24</v>
      </c>
      <c r="C36" s="529" t="s">
        <v>29</v>
      </c>
      <c r="D36" s="529"/>
      <c r="E36" s="26">
        <v>26.39</v>
      </c>
      <c r="F36" s="160">
        <v>3645</v>
      </c>
      <c r="G36" s="150">
        <f t="shared" si="49"/>
        <v>96191.55</v>
      </c>
      <c r="H36" s="76" t="s">
        <v>52</v>
      </c>
      <c r="I36" s="157">
        <v>19</v>
      </c>
      <c r="J36" s="18">
        <v>2400</v>
      </c>
      <c r="K36" s="9">
        <f t="shared" si="54"/>
        <v>126.31578947368421</v>
      </c>
      <c r="L36" s="157">
        <v>19</v>
      </c>
      <c r="M36" s="10">
        <f t="shared" si="55"/>
        <v>2209.0909090909095</v>
      </c>
      <c r="N36" s="9">
        <f t="shared" si="56"/>
        <v>116.26794258373208</v>
      </c>
      <c r="O36" s="11">
        <f t="shared" si="50"/>
        <v>0</v>
      </c>
      <c r="P36" s="12">
        <f t="shared" si="51"/>
        <v>-10.047846889952126</v>
      </c>
      <c r="Q36" s="149">
        <f t="shared" si="52"/>
        <v>0.92045454545454564</v>
      </c>
      <c r="R36" s="533"/>
      <c r="S36" s="24">
        <v>0.26249999999999996</v>
      </c>
      <c r="T36" s="24">
        <v>0.33124999999999993</v>
      </c>
      <c r="U36" s="150">
        <f t="shared" si="58"/>
        <v>6.9999999999999751</v>
      </c>
      <c r="V36" s="158">
        <f t="shared" si="53"/>
        <v>98.999999999999972</v>
      </c>
      <c r="W36" s="14"/>
      <c r="X36" s="14"/>
      <c r="Y36" s="528"/>
      <c r="Z36" s="528"/>
      <c r="AA36" s="11">
        <f t="shared" si="2"/>
        <v>-190.90909090909054</v>
      </c>
      <c r="AB36" s="149">
        <f t="shared" si="57"/>
        <v>0.92045454545454564</v>
      </c>
      <c r="AC36" s="533"/>
    </row>
    <row r="37" spans="1:29">
      <c r="A37" s="551" t="s">
        <v>617</v>
      </c>
      <c r="B37" s="26" t="s">
        <v>24</v>
      </c>
      <c r="C37" s="529" t="s">
        <v>27</v>
      </c>
      <c r="D37" s="529"/>
      <c r="E37" s="26">
        <v>20.52</v>
      </c>
      <c r="F37" s="160">
        <v>2409</v>
      </c>
      <c r="G37" s="150">
        <f t="shared" si="49"/>
        <v>49432.68</v>
      </c>
      <c r="H37" s="76" t="s">
        <v>52</v>
      </c>
      <c r="I37" s="157">
        <v>18</v>
      </c>
      <c r="J37" s="18">
        <v>2400</v>
      </c>
      <c r="K37" s="9">
        <f t="shared" si="54"/>
        <v>133.33333333333334</v>
      </c>
      <c r="L37" s="157">
        <v>18</v>
      </c>
      <c r="M37" s="10">
        <f t="shared" si="55"/>
        <v>2223.6923076923072</v>
      </c>
      <c r="N37" s="9">
        <f t="shared" si="56"/>
        <v>123.5384615384615</v>
      </c>
      <c r="O37" s="11">
        <f t="shared" si="50"/>
        <v>0</v>
      </c>
      <c r="P37" s="12">
        <f t="shared" si="51"/>
        <v>-9.7948717948718382</v>
      </c>
      <c r="Q37" s="149">
        <f t="shared" si="52"/>
        <v>0.9265384615384612</v>
      </c>
      <c r="R37" s="533"/>
      <c r="S37" s="24">
        <v>0.33680555555555547</v>
      </c>
      <c r="T37" s="24">
        <v>0.38194444444444436</v>
      </c>
      <c r="U37" s="150">
        <f t="shared" si="58"/>
        <v>7.9999999999999716</v>
      </c>
      <c r="V37" s="158">
        <f t="shared" si="53"/>
        <v>65.000000000000014</v>
      </c>
      <c r="W37" s="14"/>
      <c r="X37" s="14"/>
      <c r="Y37" s="528"/>
      <c r="Z37" s="528"/>
      <c r="AA37" s="11">
        <f t="shared" si="2"/>
        <v>-176.30769230769283</v>
      </c>
      <c r="AB37" s="149">
        <f t="shared" si="57"/>
        <v>0.92653846153846131</v>
      </c>
      <c r="AC37" s="533"/>
    </row>
    <row r="38" spans="1:29">
      <c r="A38" s="551" t="s">
        <v>618</v>
      </c>
      <c r="B38" s="26" t="s">
        <v>24</v>
      </c>
      <c r="C38" s="529" t="s">
        <v>50</v>
      </c>
      <c r="D38" s="529"/>
      <c r="E38" s="26">
        <v>26.2</v>
      </c>
      <c r="F38" s="160">
        <v>3020</v>
      </c>
      <c r="G38" s="150">
        <f t="shared" si="49"/>
        <v>79124</v>
      </c>
      <c r="H38" s="76" t="s">
        <v>52</v>
      </c>
      <c r="I38" s="157">
        <v>19</v>
      </c>
      <c r="J38" s="18">
        <v>2400</v>
      </c>
      <c r="K38" s="9">
        <f t="shared" si="54"/>
        <v>126.31578947368421</v>
      </c>
      <c r="L38" s="157">
        <v>19</v>
      </c>
      <c r="M38" s="10">
        <f t="shared" si="55"/>
        <v>2209.7560975609749</v>
      </c>
      <c r="N38" s="9">
        <f t="shared" si="56"/>
        <v>116.30295250320921</v>
      </c>
      <c r="O38" s="11">
        <f t="shared" si="50"/>
        <v>0</v>
      </c>
      <c r="P38" s="12">
        <f t="shared" si="51"/>
        <v>-10.012836970474993</v>
      </c>
      <c r="Q38" s="149">
        <f t="shared" si="52"/>
        <v>0.92073170731707299</v>
      </c>
      <c r="R38" s="533"/>
      <c r="S38" s="24">
        <v>0.38611111111111102</v>
      </c>
      <c r="T38" s="24">
        <v>0.44305555555555548</v>
      </c>
      <c r="U38" s="150">
        <f t="shared" si="58"/>
        <v>5.9999999999999787</v>
      </c>
      <c r="V38" s="158">
        <f t="shared" si="53"/>
        <v>82.000000000000028</v>
      </c>
      <c r="W38" s="14"/>
      <c r="X38" s="14"/>
      <c r="Y38" s="528"/>
      <c r="Z38" s="528"/>
      <c r="AA38" s="11">
        <f t="shared" si="2"/>
        <v>-190.24390243902508</v>
      </c>
      <c r="AB38" s="149">
        <f t="shared" si="57"/>
        <v>0.92073170731707288</v>
      </c>
      <c r="AC38" s="533"/>
    </row>
    <row r="39" spans="1:29">
      <c r="A39" s="551" t="s">
        <v>619</v>
      </c>
      <c r="B39" s="26" t="s">
        <v>24</v>
      </c>
      <c r="C39" s="529" t="s">
        <v>62</v>
      </c>
      <c r="D39" s="529"/>
      <c r="E39" s="26">
        <v>22.35</v>
      </c>
      <c r="F39" s="160">
        <v>1594</v>
      </c>
      <c r="G39" s="150">
        <f t="shared" si="49"/>
        <v>35625.9</v>
      </c>
      <c r="H39" s="76" t="s">
        <v>52</v>
      </c>
      <c r="I39" s="157">
        <v>16</v>
      </c>
      <c r="J39" s="18">
        <v>2400</v>
      </c>
      <c r="K39" s="9">
        <f t="shared" si="54"/>
        <v>150</v>
      </c>
      <c r="L39" s="157">
        <v>16</v>
      </c>
      <c r="M39" s="10">
        <f t="shared" si="55"/>
        <v>2224.1860465116274</v>
      </c>
      <c r="N39" s="9">
        <f t="shared" si="56"/>
        <v>139.01162790697671</v>
      </c>
      <c r="O39" s="11">
        <f t="shared" si="50"/>
        <v>0</v>
      </c>
      <c r="P39" s="12">
        <f t="shared" si="51"/>
        <v>-10.988372093023287</v>
      </c>
      <c r="Q39" s="149">
        <f t="shared" si="52"/>
        <v>0.92674418604651143</v>
      </c>
      <c r="R39" s="533"/>
      <c r="S39" s="24">
        <v>0.44652777777777769</v>
      </c>
      <c r="T39" s="24">
        <v>0.47638888888888881</v>
      </c>
      <c r="U39" s="150">
        <f t="shared" si="58"/>
        <v>4.9999999999999822</v>
      </c>
      <c r="V39" s="158">
        <f t="shared" si="53"/>
        <v>43.000000000000007</v>
      </c>
      <c r="W39" s="14"/>
      <c r="X39" s="14"/>
      <c r="Y39" s="536"/>
      <c r="Z39" s="537"/>
      <c r="AA39" s="11">
        <f t="shared" si="2"/>
        <v>-175.81395348837259</v>
      </c>
      <c r="AB39" s="149">
        <f t="shared" si="57"/>
        <v>0.92674418604651143</v>
      </c>
      <c r="AC39" s="533"/>
    </row>
    <row r="40" spans="1:29">
      <c r="A40" s="551" t="s">
        <v>618</v>
      </c>
      <c r="B40" s="16" t="s">
        <v>620</v>
      </c>
      <c r="C40" s="530"/>
      <c r="D40" s="530"/>
      <c r="E40" s="151"/>
      <c r="F40" s="16"/>
      <c r="G40" s="9"/>
      <c r="H40" s="160"/>
      <c r="I40" s="17">
        <v>18.571428571428573</v>
      </c>
      <c r="J40" s="18">
        <v>2400</v>
      </c>
      <c r="K40" s="9">
        <f t="shared" si="54"/>
        <v>129.23076923076923</v>
      </c>
      <c r="L40" s="17">
        <v>18.571428571428573</v>
      </c>
      <c r="M40" s="10">
        <f>AVERAGE(M33:M39)</f>
        <v>2215.99888115566</v>
      </c>
      <c r="N40" s="9">
        <f>M40/L40</f>
        <v>119.32301667761246</v>
      </c>
      <c r="O40" s="11">
        <f>L40-I40</f>
        <v>0</v>
      </c>
      <c r="P40" s="12">
        <f t="shared" si="51"/>
        <v>-9.9077525531567687</v>
      </c>
      <c r="Q40" s="149">
        <f t="shared" si="52"/>
        <v>0.92333286714819163</v>
      </c>
      <c r="R40" s="533"/>
      <c r="S40" s="24"/>
      <c r="T40" s="24"/>
      <c r="U40" s="9"/>
      <c r="V40" s="158"/>
      <c r="W40" s="9"/>
      <c r="X40" s="9"/>
      <c r="Y40" s="528"/>
      <c r="Z40" s="528"/>
      <c r="AA40" s="11">
        <f t="shared" si="2"/>
        <v>-184.00111884434</v>
      </c>
      <c r="AB40" s="149">
        <f t="shared" si="57"/>
        <v>0.92333286714819163</v>
      </c>
      <c r="AC40" s="533"/>
    </row>
    <row r="41" spans="1:29" ht="15.75" customHeight="1">
      <c r="A41" s="544" t="s">
        <v>621</v>
      </c>
      <c r="B41" s="26" t="s">
        <v>32</v>
      </c>
      <c r="C41" s="534" t="s">
        <v>33</v>
      </c>
      <c r="D41" s="535"/>
      <c r="E41" s="26">
        <v>27.17</v>
      </c>
      <c r="F41" s="160">
        <v>4808</v>
      </c>
      <c r="G41" s="150">
        <f t="shared" ref="G41:G46" si="59">E41*F41</f>
        <v>130633.36000000002</v>
      </c>
      <c r="H41" s="76" t="s">
        <v>52</v>
      </c>
      <c r="I41" s="157">
        <v>10</v>
      </c>
      <c r="J41" s="18">
        <v>3000</v>
      </c>
      <c r="K41" s="9">
        <f t="shared" si="54"/>
        <v>300</v>
      </c>
      <c r="L41" s="157">
        <v>10</v>
      </c>
      <c r="M41" s="10">
        <f t="shared" ref="M41:M42" si="60">F41/V41*60</f>
        <v>2747.428571428572</v>
      </c>
      <c r="N41" s="10">
        <f t="shared" ref="N41:N47" si="61">M41/L41</f>
        <v>274.74285714285719</v>
      </c>
      <c r="O41" s="11">
        <f t="shared" ref="O41:O47" si="62">L41-I41</f>
        <v>0</v>
      </c>
      <c r="P41" s="12">
        <f t="shared" si="51"/>
        <v>-25.25714285714281</v>
      </c>
      <c r="Q41" s="149">
        <f t="shared" si="52"/>
        <v>0.91580952380952396</v>
      </c>
      <c r="R41" s="547">
        <f>Q47</f>
        <v>0.92301032264757732</v>
      </c>
      <c r="S41" s="24">
        <v>0.20833333333333334</v>
      </c>
      <c r="T41" s="24">
        <v>0.28125</v>
      </c>
      <c r="U41" s="15"/>
      <c r="V41" s="158">
        <f t="shared" ref="V41:V46" si="63">(T41-S41)*24*60</f>
        <v>104.99999999999999</v>
      </c>
      <c r="W41" s="150"/>
      <c r="X41" s="150"/>
      <c r="Y41" s="536"/>
      <c r="Z41" s="537"/>
      <c r="AA41" s="11">
        <f t="shared" si="2"/>
        <v>-252.57142857142799</v>
      </c>
      <c r="AB41" s="149">
        <f t="shared" si="57"/>
        <v>0.91580952380952396</v>
      </c>
      <c r="AC41" s="547">
        <f>AB47</f>
        <v>0.92301032264757743</v>
      </c>
    </row>
    <row r="42" spans="1:29" ht="15.75" customHeight="1">
      <c r="A42" s="545" t="s">
        <v>622</v>
      </c>
      <c r="B42" s="26" t="s">
        <v>32</v>
      </c>
      <c r="C42" s="534" t="s">
        <v>34</v>
      </c>
      <c r="D42" s="535"/>
      <c r="E42" s="26">
        <v>21.13</v>
      </c>
      <c r="F42" s="160">
        <v>3903</v>
      </c>
      <c r="G42" s="150">
        <f t="shared" si="59"/>
        <v>82470.39</v>
      </c>
      <c r="H42" s="76" t="s">
        <v>52</v>
      </c>
      <c r="I42" s="157">
        <v>10</v>
      </c>
      <c r="J42" s="18">
        <v>3000</v>
      </c>
      <c r="K42" s="9">
        <f t="shared" si="54"/>
        <v>300</v>
      </c>
      <c r="L42" s="157">
        <v>10</v>
      </c>
      <c r="M42" s="10">
        <f t="shared" si="60"/>
        <v>2755.0588235294113</v>
      </c>
      <c r="N42" s="10">
        <f t="shared" si="61"/>
        <v>275.50588235294111</v>
      </c>
      <c r="O42" s="11">
        <f t="shared" si="62"/>
        <v>0</v>
      </c>
      <c r="P42" s="12">
        <f t="shared" si="51"/>
        <v>-24.494117647058886</v>
      </c>
      <c r="Q42" s="149">
        <f t="shared" si="52"/>
        <v>0.91835294117647037</v>
      </c>
      <c r="R42" s="548"/>
      <c r="S42" s="24">
        <v>0.28611111111111109</v>
      </c>
      <c r="T42" s="24">
        <v>0.34513888888888888</v>
      </c>
      <c r="U42" s="150">
        <f>(S42-T41)*24*60</f>
        <v>6.9999999999999751</v>
      </c>
      <c r="V42" s="158">
        <f t="shared" si="63"/>
        <v>85.000000000000014</v>
      </c>
      <c r="W42" s="14"/>
      <c r="X42" s="14"/>
      <c r="Y42" s="536"/>
      <c r="Z42" s="537"/>
      <c r="AA42" s="11">
        <f t="shared" si="2"/>
        <v>-244.94117647058874</v>
      </c>
      <c r="AB42" s="149">
        <f t="shared" si="57"/>
        <v>0.91835294117647037</v>
      </c>
      <c r="AC42" s="548"/>
    </row>
    <row r="43" spans="1:29" ht="15.75" customHeight="1">
      <c r="A43" s="545" t="s">
        <v>622</v>
      </c>
      <c r="B43" s="26" t="s">
        <v>32</v>
      </c>
      <c r="C43" s="534" t="s">
        <v>40</v>
      </c>
      <c r="D43" s="535"/>
      <c r="E43" s="26">
        <v>35.119999999999997</v>
      </c>
      <c r="F43" s="160">
        <v>3729</v>
      </c>
      <c r="G43" s="150">
        <f t="shared" si="59"/>
        <v>130962.48</v>
      </c>
      <c r="H43" s="76" t="s">
        <v>52</v>
      </c>
      <c r="I43" s="157">
        <v>10</v>
      </c>
      <c r="J43" s="18">
        <v>3000</v>
      </c>
      <c r="K43" s="9">
        <f t="shared" si="54"/>
        <v>300</v>
      </c>
      <c r="L43" s="157">
        <v>10</v>
      </c>
      <c r="M43" s="10">
        <f>F43/V43*60</f>
        <v>2762.2222222222213</v>
      </c>
      <c r="N43" s="10">
        <f t="shared" si="61"/>
        <v>276.22222222222211</v>
      </c>
      <c r="O43" s="11">
        <f t="shared" si="62"/>
        <v>0</v>
      </c>
      <c r="P43" s="12">
        <f t="shared" si="51"/>
        <v>-23.777777777777885</v>
      </c>
      <c r="Q43" s="149">
        <f t="shared" si="52"/>
        <v>0.92074074074074042</v>
      </c>
      <c r="R43" s="548"/>
      <c r="S43" s="24">
        <v>0.34861111111111109</v>
      </c>
      <c r="T43" s="24">
        <v>0.40486111111111112</v>
      </c>
      <c r="U43" s="150">
        <f t="shared" ref="U43:U46" si="64">(S43-T42)*24*60</f>
        <v>4.9999999999999822</v>
      </c>
      <c r="V43" s="158">
        <f t="shared" si="63"/>
        <v>81.000000000000028</v>
      </c>
      <c r="W43" s="14"/>
      <c r="X43" s="14"/>
      <c r="Y43" s="536"/>
      <c r="Z43" s="537"/>
      <c r="AA43" s="11">
        <f t="shared" si="2"/>
        <v>-237.77777777777874</v>
      </c>
      <c r="AB43" s="149">
        <f t="shared" si="57"/>
        <v>0.92074074074074042</v>
      </c>
      <c r="AC43" s="548"/>
    </row>
    <row r="44" spans="1:29" ht="15.75" customHeight="1">
      <c r="A44" s="545" t="s">
        <v>623</v>
      </c>
      <c r="B44" s="26" t="s">
        <v>32</v>
      </c>
      <c r="C44" s="534" t="s">
        <v>61</v>
      </c>
      <c r="D44" s="535"/>
      <c r="E44" s="26">
        <v>40.18</v>
      </c>
      <c r="F44" s="160">
        <v>1871</v>
      </c>
      <c r="G44" s="150">
        <f t="shared" si="59"/>
        <v>75176.78</v>
      </c>
      <c r="H44" s="76" t="s">
        <v>52</v>
      </c>
      <c r="I44" s="157">
        <v>10</v>
      </c>
      <c r="J44" s="18">
        <v>3000</v>
      </c>
      <c r="K44" s="9">
        <f t="shared" si="54"/>
        <v>300</v>
      </c>
      <c r="L44" s="157">
        <v>10</v>
      </c>
      <c r="M44" s="10">
        <f t="shared" ref="M44:M46" si="65">F44/V44*60</f>
        <v>2806.4999999999991</v>
      </c>
      <c r="N44" s="10">
        <f t="shared" si="61"/>
        <v>280.64999999999992</v>
      </c>
      <c r="O44" s="11">
        <f t="shared" si="62"/>
        <v>0</v>
      </c>
      <c r="P44" s="12">
        <f t="shared" si="51"/>
        <v>-19.35000000000008</v>
      </c>
      <c r="Q44" s="149">
        <f t="shared" si="52"/>
        <v>0.93549999999999978</v>
      </c>
      <c r="R44" s="548"/>
      <c r="S44" s="24">
        <v>0.40833333333333333</v>
      </c>
      <c r="T44" s="24">
        <v>0.43611111111111112</v>
      </c>
      <c r="U44" s="150">
        <f t="shared" si="64"/>
        <v>4.9999999999999822</v>
      </c>
      <c r="V44" s="158">
        <f t="shared" si="63"/>
        <v>40.000000000000014</v>
      </c>
      <c r="W44" s="14"/>
      <c r="X44" s="14"/>
      <c r="Y44" s="536"/>
      <c r="Z44" s="537"/>
      <c r="AA44" s="11">
        <f t="shared" si="2"/>
        <v>-193.50000000000091</v>
      </c>
      <c r="AB44" s="149">
        <f t="shared" si="57"/>
        <v>0.93549999999999967</v>
      </c>
      <c r="AC44" s="548"/>
    </row>
    <row r="45" spans="1:29" ht="15.75" customHeight="1">
      <c r="A45" s="545" t="s">
        <v>381</v>
      </c>
      <c r="B45" s="26" t="s">
        <v>32</v>
      </c>
      <c r="C45" s="534" t="s">
        <v>64</v>
      </c>
      <c r="D45" s="535"/>
      <c r="E45" s="26">
        <v>28.5</v>
      </c>
      <c r="F45" s="160">
        <v>1109</v>
      </c>
      <c r="G45" s="150">
        <f t="shared" si="59"/>
        <v>31606.5</v>
      </c>
      <c r="H45" s="76" t="s">
        <v>52</v>
      </c>
      <c r="I45" s="157">
        <v>10</v>
      </c>
      <c r="J45" s="18">
        <v>3000</v>
      </c>
      <c r="K45" s="9">
        <f t="shared" si="54"/>
        <v>300</v>
      </c>
      <c r="L45" s="157">
        <v>10</v>
      </c>
      <c r="M45" s="10">
        <f t="shared" si="65"/>
        <v>2772.5000000000009</v>
      </c>
      <c r="N45" s="10">
        <f t="shared" si="61"/>
        <v>277.25000000000011</v>
      </c>
      <c r="O45" s="11">
        <f t="shared" si="62"/>
        <v>0</v>
      </c>
      <c r="P45" s="12">
        <f t="shared" si="51"/>
        <v>-22.749999999999886</v>
      </c>
      <c r="Q45" s="149">
        <f>N45/K45</f>
        <v>0.92416666666666702</v>
      </c>
      <c r="R45" s="548"/>
      <c r="S45" s="24">
        <v>0.44166666666666665</v>
      </c>
      <c r="T45" s="24">
        <v>0.45833333333333331</v>
      </c>
      <c r="U45" s="150">
        <f t="shared" si="64"/>
        <v>7.9999999999999716</v>
      </c>
      <c r="V45" s="158">
        <f t="shared" si="63"/>
        <v>23.999999999999993</v>
      </c>
      <c r="W45" s="14"/>
      <c r="X45" s="14"/>
      <c r="Y45" s="536"/>
      <c r="Z45" s="537"/>
      <c r="AA45" s="11">
        <f t="shared" si="2"/>
        <v>-227.49999999999909</v>
      </c>
      <c r="AB45" s="149">
        <f t="shared" si="57"/>
        <v>0.92416666666666702</v>
      </c>
      <c r="AC45" s="548"/>
    </row>
    <row r="46" spans="1:29" ht="15.75" customHeight="1">
      <c r="A46" s="545" t="s">
        <v>622</v>
      </c>
      <c r="B46" s="26" t="s">
        <v>32</v>
      </c>
      <c r="C46" s="534" t="s">
        <v>78</v>
      </c>
      <c r="D46" s="535"/>
      <c r="E46" s="26">
        <v>35.869999999999997</v>
      </c>
      <c r="F46" s="160">
        <v>2909</v>
      </c>
      <c r="G46" s="150">
        <f t="shared" si="59"/>
        <v>104345.82999999999</v>
      </c>
      <c r="H46" s="76" t="s">
        <v>52</v>
      </c>
      <c r="I46" s="157">
        <v>10</v>
      </c>
      <c r="J46" s="18">
        <v>3000</v>
      </c>
      <c r="K46" s="9">
        <f t="shared" si="54"/>
        <v>300</v>
      </c>
      <c r="L46" s="157">
        <v>10</v>
      </c>
      <c r="M46" s="10">
        <f t="shared" si="65"/>
        <v>2770.4761904761899</v>
      </c>
      <c r="N46" s="10">
        <f t="shared" si="61"/>
        <v>277.04761904761898</v>
      </c>
      <c r="O46" s="11">
        <f t="shared" si="62"/>
        <v>0</v>
      </c>
      <c r="P46" s="12">
        <f t="shared" si="51"/>
        <v>-22.95238095238102</v>
      </c>
      <c r="Q46" s="149">
        <f t="shared" ref="Q46:Q47" si="66">N46/K46</f>
        <v>0.92349206349206325</v>
      </c>
      <c r="R46" s="548"/>
      <c r="S46" s="24">
        <v>0.46319444444444441</v>
      </c>
      <c r="T46" s="24">
        <v>0.50694444444444442</v>
      </c>
      <c r="U46" s="150">
        <f t="shared" si="64"/>
        <v>6.9999999999999751</v>
      </c>
      <c r="V46" s="158">
        <f t="shared" si="63"/>
        <v>63.000000000000014</v>
      </c>
      <c r="W46" s="14"/>
      <c r="X46" s="14"/>
      <c r="Y46" s="536"/>
      <c r="Z46" s="537"/>
      <c r="AA46" s="11">
        <f t="shared" si="2"/>
        <v>-229.52380952381009</v>
      </c>
      <c r="AB46" s="149">
        <f t="shared" si="57"/>
        <v>0.92349206349206325</v>
      </c>
      <c r="AC46" s="548"/>
    </row>
    <row r="47" spans="1:29" ht="15.75" customHeight="1">
      <c r="A47" s="546" t="s">
        <v>622</v>
      </c>
      <c r="B47" s="26" t="s">
        <v>475</v>
      </c>
      <c r="C47" s="540"/>
      <c r="D47" s="541"/>
      <c r="E47" s="156"/>
      <c r="F47" s="160"/>
      <c r="G47" s="150"/>
      <c r="H47" s="160"/>
      <c r="I47" s="17">
        <v>10</v>
      </c>
      <c r="J47" s="18">
        <v>3000</v>
      </c>
      <c r="K47" s="9">
        <f>J47/I47</f>
        <v>300</v>
      </c>
      <c r="L47" s="17">
        <v>10</v>
      </c>
      <c r="M47" s="10">
        <f>AVERAGE(M41:M46)</f>
        <v>2769.0309679427323</v>
      </c>
      <c r="N47" s="9">
        <f t="shared" si="61"/>
        <v>276.90309679427321</v>
      </c>
      <c r="O47" s="11">
        <f t="shared" si="62"/>
        <v>0</v>
      </c>
      <c r="P47" s="12">
        <f t="shared" si="51"/>
        <v>-23.09690320572679</v>
      </c>
      <c r="Q47" s="149">
        <f t="shared" si="66"/>
        <v>0.92301032264757732</v>
      </c>
      <c r="R47" s="549"/>
      <c r="S47" s="24"/>
      <c r="T47" s="24"/>
      <c r="U47" s="150"/>
      <c r="V47" s="158"/>
      <c r="W47" s="14"/>
      <c r="X47" s="14"/>
      <c r="Y47" s="536"/>
      <c r="Z47" s="537"/>
      <c r="AA47" s="11">
        <f t="shared" si="2"/>
        <v>-230.96903205726767</v>
      </c>
      <c r="AB47" s="149">
        <f t="shared" si="57"/>
        <v>0.92301032264757743</v>
      </c>
      <c r="AC47" s="549"/>
    </row>
    <row r="48" spans="1:29" ht="15.75" customHeight="1">
      <c r="A48" s="542" t="s">
        <v>384</v>
      </c>
      <c r="B48" s="26" t="s">
        <v>15</v>
      </c>
      <c r="C48" s="529" t="s">
        <v>20</v>
      </c>
      <c r="D48" s="529"/>
      <c r="E48" s="26">
        <v>46</v>
      </c>
      <c r="F48" s="27">
        <v>2456</v>
      </c>
      <c r="G48" s="150">
        <f t="shared" ref="G48:G52" si="67">E48*F48</f>
        <v>112976</v>
      </c>
      <c r="H48" s="76" t="s">
        <v>52</v>
      </c>
      <c r="I48" s="157">
        <v>17</v>
      </c>
      <c r="J48" s="18">
        <v>2000</v>
      </c>
      <c r="K48" s="9">
        <f t="shared" ref="K48:K52" si="68">J48/I48</f>
        <v>117.64705882352941</v>
      </c>
      <c r="L48" s="157">
        <v>17</v>
      </c>
      <c r="M48" s="10">
        <f t="shared" ref="M48:M52" si="69">F48/V48*60</f>
        <v>1842.0000000000009</v>
      </c>
      <c r="N48" s="10">
        <f>M48/L48</f>
        <v>108.35294117647064</v>
      </c>
      <c r="O48" s="11">
        <f>L48-I48</f>
        <v>0</v>
      </c>
      <c r="P48" s="12">
        <f>N48-K48</f>
        <v>-9.2941176470587692</v>
      </c>
      <c r="Q48" s="149">
        <f>N48/K48</f>
        <v>0.92100000000000048</v>
      </c>
      <c r="R48" s="533">
        <f>Q53</f>
        <v>0.92330710142060002</v>
      </c>
      <c r="S48" s="24">
        <v>0.29166666666666669</v>
      </c>
      <c r="T48" s="24">
        <v>0.34722222222222221</v>
      </c>
      <c r="U48" s="15"/>
      <c r="V48" s="158">
        <f t="shared" ref="V48:V52" si="70">(T48-S48)*24*60</f>
        <v>79.999999999999957</v>
      </c>
      <c r="W48" s="15"/>
      <c r="X48" s="15"/>
      <c r="Y48" s="528"/>
      <c r="Z48" s="528"/>
      <c r="AA48" s="11">
        <f t="shared" si="2"/>
        <v>-157.99999999999909</v>
      </c>
      <c r="AB48" s="149">
        <f t="shared" si="57"/>
        <v>0.92100000000000048</v>
      </c>
      <c r="AC48" s="533">
        <f>AB53</f>
        <v>0.92330710142060002</v>
      </c>
    </row>
    <row r="49" spans="1:29" ht="15.75" customHeight="1">
      <c r="A49" s="542" t="s">
        <v>624</v>
      </c>
      <c r="B49" s="26" t="s">
        <v>15</v>
      </c>
      <c r="C49" s="529" t="s">
        <v>65</v>
      </c>
      <c r="D49" s="529"/>
      <c r="E49" s="26">
        <v>46</v>
      </c>
      <c r="F49" s="27">
        <v>2925</v>
      </c>
      <c r="G49" s="150">
        <f t="shared" si="67"/>
        <v>134550</v>
      </c>
      <c r="H49" s="76" t="s">
        <v>52</v>
      </c>
      <c r="I49" s="157">
        <v>18</v>
      </c>
      <c r="J49" s="18">
        <v>2000</v>
      </c>
      <c r="K49" s="9">
        <f t="shared" si="68"/>
        <v>111.11111111111111</v>
      </c>
      <c r="L49" s="157">
        <v>18</v>
      </c>
      <c r="M49" s="10">
        <f t="shared" si="69"/>
        <v>1847.3684210526319</v>
      </c>
      <c r="N49" s="10">
        <f t="shared" ref="N49:N52" si="71">M49/L49</f>
        <v>102.63157894736844</v>
      </c>
      <c r="O49" s="11">
        <f t="shared" ref="O49:O52" si="72">L49-I49</f>
        <v>0</v>
      </c>
      <c r="P49" s="12">
        <f t="shared" ref="P49:P52" si="73">N49-K49</f>
        <v>-8.4795321637426753</v>
      </c>
      <c r="Q49" s="149">
        <f t="shared" ref="Q49:Q52" si="74">N49/K49</f>
        <v>0.92368421052631589</v>
      </c>
      <c r="R49" s="533"/>
      <c r="S49" s="24">
        <v>0.35277777777777775</v>
      </c>
      <c r="T49" s="24">
        <v>0.41874999999999996</v>
      </c>
      <c r="U49" s="150">
        <f>IF(S49=TIME(17,0,0),"",(S49-T48)*24*60)</f>
        <v>7.9999999999999716</v>
      </c>
      <c r="V49" s="158">
        <f t="shared" si="70"/>
        <v>94.999999999999986</v>
      </c>
      <c r="W49" s="14"/>
      <c r="X49" s="14"/>
      <c r="Y49" s="528"/>
      <c r="Z49" s="528"/>
      <c r="AA49" s="11">
        <f t="shared" si="2"/>
        <v>-152.6315789473681</v>
      </c>
      <c r="AB49" s="149">
        <f t="shared" si="57"/>
        <v>0.923684210526316</v>
      </c>
      <c r="AC49" s="533"/>
    </row>
    <row r="50" spans="1:29" ht="15.75" customHeight="1">
      <c r="A50" s="542" t="s">
        <v>624</v>
      </c>
      <c r="B50" s="26" t="s">
        <v>13</v>
      </c>
      <c r="C50" s="534" t="s">
        <v>59</v>
      </c>
      <c r="D50" s="535"/>
      <c r="E50" s="26">
        <v>55.56</v>
      </c>
      <c r="F50" s="27">
        <v>1930</v>
      </c>
      <c r="G50" s="150">
        <f t="shared" si="67"/>
        <v>107230.8</v>
      </c>
      <c r="H50" s="76" t="s">
        <v>52</v>
      </c>
      <c r="I50" s="157">
        <v>17</v>
      </c>
      <c r="J50" s="18">
        <v>2000</v>
      </c>
      <c r="K50" s="9">
        <f t="shared" si="68"/>
        <v>117.64705882352941</v>
      </c>
      <c r="L50" s="157">
        <v>17</v>
      </c>
      <c r="M50" s="10">
        <f t="shared" si="69"/>
        <v>1838.0952380952399</v>
      </c>
      <c r="N50" s="10">
        <f t="shared" si="71"/>
        <v>108.12324929971999</v>
      </c>
      <c r="O50" s="11">
        <f t="shared" si="72"/>
        <v>0</v>
      </c>
      <c r="P50" s="12">
        <f t="shared" si="73"/>
        <v>-9.5238095238094189</v>
      </c>
      <c r="Q50" s="149">
        <f t="shared" si="74"/>
        <v>0.91904761904761989</v>
      </c>
      <c r="R50" s="533"/>
      <c r="S50" s="24">
        <v>0.70833333333333337</v>
      </c>
      <c r="T50" s="24">
        <v>0.75208333333333333</v>
      </c>
      <c r="U50" s="150" t="str">
        <f t="shared" ref="U50:U52" si="75">IF(S50=TIME(17,0,0),"",(S50-T49)*24*60)</f>
        <v/>
      </c>
      <c r="V50" s="158">
        <f t="shared" si="70"/>
        <v>62.999999999999936</v>
      </c>
      <c r="W50" s="14"/>
      <c r="X50" s="14"/>
      <c r="Y50" s="154"/>
      <c r="Z50" s="155"/>
      <c r="AA50" s="11">
        <f t="shared" si="2"/>
        <v>-161.90476190476011</v>
      </c>
      <c r="AB50" s="149">
        <f t="shared" si="57"/>
        <v>0.91904761904762</v>
      </c>
      <c r="AC50" s="533"/>
    </row>
    <row r="51" spans="1:29" ht="15.75" customHeight="1">
      <c r="A51" s="542" t="s">
        <v>384</v>
      </c>
      <c r="B51" s="26" t="s">
        <v>13</v>
      </c>
      <c r="C51" s="152" t="s">
        <v>58</v>
      </c>
      <c r="D51" s="153"/>
      <c r="E51" s="26">
        <v>55.32</v>
      </c>
      <c r="F51" s="27">
        <v>1424</v>
      </c>
      <c r="G51" s="150">
        <f t="shared" si="67"/>
        <v>78775.680000000008</v>
      </c>
      <c r="H51" s="76" t="s">
        <v>52</v>
      </c>
      <c r="I51" s="157">
        <v>15</v>
      </c>
      <c r="J51" s="18">
        <v>2000</v>
      </c>
      <c r="K51" s="9">
        <f t="shared" si="68"/>
        <v>133.33333333333334</v>
      </c>
      <c r="L51" s="157">
        <v>15</v>
      </c>
      <c r="M51" s="10">
        <f t="shared" si="69"/>
        <v>1857.391304347826</v>
      </c>
      <c r="N51" s="10">
        <f t="shared" si="71"/>
        <v>123.82608695652173</v>
      </c>
      <c r="O51" s="11">
        <f t="shared" si="72"/>
        <v>0</v>
      </c>
      <c r="P51" s="12">
        <f t="shared" si="73"/>
        <v>-9.507246376811608</v>
      </c>
      <c r="Q51" s="149">
        <f t="shared" si="74"/>
        <v>0.92869565217391292</v>
      </c>
      <c r="R51" s="533"/>
      <c r="S51" s="24">
        <v>0.75694444444444442</v>
      </c>
      <c r="T51" s="24">
        <v>0.78888888888888886</v>
      </c>
      <c r="U51" s="150">
        <f t="shared" si="75"/>
        <v>6.9999999999999751</v>
      </c>
      <c r="V51" s="158">
        <f t="shared" si="70"/>
        <v>46</v>
      </c>
      <c r="W51" s="14"/>
      <c r="X51" s="14"/>
      <c r="Y51" s="154"/>
      <c r="Z51" s="155"/>
      <c r="AA51" s="11">
        <f t="shared" si="2"/>
        <v>-142.60869565217399</v>
      </c>
      <c r="AB51" s="149">
        <f t="shared" si="57"/>
        <v>0.92869565217391303</v>
      </c>
      <c r="AC51" s="533"/>
    </row>
    <row r="52" spans="1:29" ht="15.75" customHeight="1">
      <c r="A52" s="542" t="s">
        <v>384</v>
      </c>
      <c r="B52" s="26" t="s">
        <v>13</v>
      </c>
      <c r="C52" s="152" t="s">
        <v>60</v>
      </c>
      <c r="D52" s="153"/>
      <c r="E52" s="26">
        <v>57.73</v>
      </c>
      <c r="F52" s="27">
        <v>1479</v>
      </c>
      <c r="G52" s="150">
        <f t="shared" si="67"/>
        <v>85382.67</v>
      </c>
      <c r="H52" s="76" t="s">
        <v>52</v>
      </c>
      <c r="I52" s="157">
        <v>16</v>
      </c>
      <c r="J52" s="18">
        <v>1500</v>
      </c>
      <c r="K52" s="9">
        <f t="shared" si="68"/>
        <v>93.75</v>
      </c>
      <c r="L52" s="157">
        <v>16</v>
      </c>
      <c r="M52" s="10">
        <f t="shared" si="69"/>
        <v>1386.5625000000016</v>
      </c>
      <c r="N52" s="10">
        <f t="shared" si="71"/>
        <v>86.660156250000099</v>
      </c>
      <c r="O52" s="11">
        <f t="shared" si="72"/>
        <v>0</v>
      </c>
      <c r="P52" s="12">
        <f t="shared" si="73"/>
        <v>-7.0898437499999005</v>
      </c>
      <c r="Q52" s="149">
        <f t="shared" si="74"/>
        <v>0.92437500000000106</v>
      </c>
      <c r="R52" s="533"/>
      <c r="S52" s="24">
        <v>0.79236111111111107</v>
      </c>
      <c r="T52" s="24">
        <v>0.83680555555555547</v>
      </c>
      <c r="U52" s="150">
        <f t="shared" si="75"/>
        <v>4.9999999999999822</v>
      </c>
      <c r="V52" s="158">
        <f t="shared" si="70"/>
        <v>63.999999999999929</v>
      </c>
      <c r="W52" s="14"/>
      <c r="X52" s="14"/>
      <c r="Y52" s="154"/>
      <c r="Z52" s="155"/>
      <c r="AA52" s="11">
        <f t="shared" si="2"/>
        <v>-113.43749999999841</v>
      </c>
      <c r="AB52" s="149">
        <f t="shared" si="57"/>
        <v>0.92437500000000106</v>
      </c>
      <c r="AC52" s="533"/>
    </row>
    <row r="53" spans="1:29">
      <c r="A53" s="543" t="s">
        <v>625</v>
      </c>
      <c r="B53" s="26" t="s">
        <v>626</v>
      </c>
      <c r="C53" s="530"/>
      <c r="D53" s="530"/>
      <c r="E53" s="151"/>
      <c r="F53" s="16"/>
      <c r="G53" s="9"/>
      <c r="H53" s="160"/>
      <c r="I53" s="17">
        <v>16.600000000000001</v>
      </c>
      <c r="J53" s="18">
        <v>1900</v>
      </c>
      <c r="K53" s="9">
        <f>J53/I53</f>
        <v>114.4578313253012</v>
      </c>
      <c r="L53" s="17">
        <v>16.600000000000001</v>
      </c>
      <c r="M53" s="10">
        <f>AVERAGE(M48:M52)</f>
        <v>1754.28349269914</v>
      </c>
      <c r="N53" s="9">
        <f>M53/L53</f>
        <v>105.6797284758518</v>
      </c>
      <c r="O53" s="11">
        <f>L53-I53</f>
        <v>0</v>
      </c>
      <c r="P53" s="12">
        <f>N53-K53</f>
        <v>-8.7781028494493967</v>
      </c>
      <c r="Q53" s="149">
        <f>N53/K53</f>
        <v>0.92330710142060002</v>
      </c>
      <c r="R53" s="533"/>
      <c r="S53" s="25"/>
      <c r="T53" s="24"/>
      <c r="U53" s="9"/>
      <c r="V53" s="158"/>
      <c r="W53" s="9"/>
      <c r="X53" s="9"/>
      <c r="Y53" s="528"/>
      <c r="Z53" s="528"/>
      <c r="AA53" s="11">
        <f t="shared" si="2"/>
        <v>-145.71650730086003</v>
      </c>
      <c r="AB53" s="149">
        <f t="shared" si="57"/>
        <v>0.92330710142060002</v>
      </c>
      <c r="AC53" s="533"/>
    </row>
    <row r="54" spans="1:29" ht="15.75" customHeight="1">
      <c r="A54" s="538" t="s">
        <v>386</v>
      </c>
      <c r="B54" s="160" t="s">
        <v>32</v>
      </c>
      <c r="C54" s="529" t="s">
        <v>35</v>
      </c>
      <c r="D54" s="529"/>
      <c r="E54" s="26">
        <v>26.78</v>
      </c>
      <c r="F54" s="27">
        <v>2081</v>
      </c>
      <c r="G54" s="150">
        <f t="shared" ref="G54:G59" si="76">E54*F54</f>
        <v>55729.18</v>
      </c>
      <c r="H54" s="76" t="s">
        <v>52</v>
      </c>
      <c r="I54" s="157">
        <v>10</v>
      </c>
      <c r="J54" s="18">
        <v>3000</v>
      </c>
      <c r="K54" s="9">
        <f t="shared" ref="K54:K59" si="77">J54/I54</f>
        <v>300</v>
      </c>
      <c r="L54" s="17">
        <v>10</v>
      </c>
      <c r="M54" s="10">
        <f t="shared" ref="M54:M59" si="78">F54/V54*60</f>
        <v>2774.666666666667</v>
      </c>
      <c r="N54" s="9">
        <f>M54/L54</f>
        <v>277.4666666666667</v>
      </c>
      <c r="O54" s="11">
        <f t="shared" ref="O54:O59" si="79">L54-I54</f>
        <v>0</v>
      </c>
      <c r="P54" s="12">
        <f t="shared" ref="P54:P59" si="80">N54-K54</f>
        <v>-22.533333333333303</v>
      </c>
      <c r="Q54" s="149">
        <f>N54/K54</f>
        <v>0.92488888888888898</v>
      </c>
      <c r="R54" s="533">
        <f>Q60</f>
        <v>0.93087229331437582</v>
      </c>
      <c r="S54" s="24">
        <v>0.20833333333333334</v>
      </c>
      <c r="T54" s="24">
        <v>0.23958333333333334</v>
      </c>
      <c r="U54" s="150"/>
      <c r="V54" s="158">
        <f t="shared" ref="V54:V59" si="81">(T54-S54)*24*60</f>
        <v>45</v>
      </c>
      <c r="W54" s="15"/>
      <c r="X54" s="15"/>
      <c r="Y54" s="528"/>
      <c r="Z54" s="528"/>
      <c r="AA54" s="11">
        <f t="shared" si="2"/>
        <v>-225.33333333333303</v>
      </c>
      <c r="AB54" s="149">
        <f t="shared" si="57"/>
        <v>0.92488888888888898</v>
      </c>
      <c r="AC54" s="533">
        <f>AB60</f>
        <v>0.93087229331437582</v>
      </c>
    </row>
    <row r="55" spans="1:29" ht="15.75" customHeight="1">
      <c r="A55" s="538" t="s">
        <v>386</v>
      </c>
      <c r="B55" s="160" t="s">
        <v>32</v>
      </c>
      <c r="C55" s="529" t="s">
        <v>39</v>
      </c>
      <c r="D55" s="529"/>
      <c r="E55" s="26">
        <v>35.369999999999997</v>
      </c>
      <c r="F55" s="27">
        <v>1483</v>
      </c>
      <c r="G55" s="150">
        <f t="shared" si="76"/>
        <v>52453.71</v>
      </c>
      <c r="H55" s="76" t="s">
        <v>52</v>
      </c>
      <c r="I55" s="157">
        <v>10</v>
      </c>
      <c r="J55" s="18">
        <v>3000</v>
      </c>
      <c r="K55" s="9">
        <f t="shared" si="77"/>
        <v>300</v>
      </c>
      <c r="L55" s="17">
        <v>10</v>
      </c>
      <c r="M55" s="10">
        <f t="shared" si="78"/>
        <v>2780.6250000000032</v>
      </c>
      <c r="N55" s="9">
        <f t="shared" ref="N55:N59" si="82">M55/L55</f>
        <v>278.06250000000034</v>
      </c>
      <c r="O55" s="11">
        <f t="shared" si="79"/>
        <v>0</v>
      </c>
      <c r="P55" s="12">
        <f t="shared" si="80"/>
        <v>-21.937499999999659</v>
      </c>
      <c r="Q55" s="149">
        <f t="shared" ref="Q55:Q59" si="83">N55/K55</f>
        <v>0.92687500000000111</v>
      </c>
      <c r="R55" s="533"/>
      <c r="S55" s="24">
        <v>0.24444444444444446</v>
      </c>
      <c r="T55" s="24">
        <v>0.26666666666666666</v>
      </c>
      <c r="U55" s="150">
        <f>(S55-T54)*24*60</f>
        <v>7.0000000000000151</v>
      </c>
      <c r="V55" s="158">
        <f t="shared" si="81"/>
        <v>31.999999999999964</v>
      </c>
      <c r="W55" s="150"/>
      <c r="X55" s="150"/>
      <c r="Y55" s="528"/>
      <c r="Z55" s="528"/>
      <c r="AA55" s="11">
        <f t="shared" si="2"/>
        <v>-219.37499999999682</v>
      </c>
      <c r="AB55" s="149">
        <f t="shared" si="57"/>
        <v>0.92687500000000111</v>
      </c>
      <c r="AC55" s="533"/>
    </row>
    <row r="56" spans="1:29" ht="15.75" customHeight="1">
      <c r="A56" s="538" t="s">
        <v>386</v>
      </c>
      <c r="B56" s="160" t="s">
        <v>32</v>
      </c>
      <c r="C56" s="529" t="s">
        <v>38</v>
      </c>
      <c r="D56" s="529"/>
      <c r="E56" s="26">
        <v>34.35</v>
      </c>
      <c r="F56" s="27">
        <v>1274</v>
      </c>
      <c r="G56" s="150">
        <f t="shared" si="76"/>
        <v>43761.9</v>
      </c>
      <c r="H56" s="76" t="s">
        <v>52</v>
      </c>
      <c r="I56" s="157">
        <v>10</v>
      </c>
      <c r="J56" s="18">
        <v>3000</v>
      </c>
      <c r="K56" s="9">
        <f t="shared" si="77"/>
        <v>300</v>
      </c>
      <c r="L56" s="17">
        <v>10</v>
      </c>
      <c r="M56" s="10">
        <f t="shared" si="78"/>
        <v>2831.1111111111127</v>
      </c>
      <c r="N56" s="9">
        <f t="shared" si="82"/>
        <v>283.11111111111126</v>
      </c>
      <c r="O56" s="11">
        <f t="shared" si="79"/>
        <v>0</v>
      </c>
      <c r="P56" s="12">
        <f t="shared" si="80"/>
        <v>-16.888888888888744</v>
      </c>
      <c r="Q56" s="149">
        <f t="shared" si="83"/>
        <v>0.94370370370370416</v>
      </c>
      <c r="R56" s="533"/>
      <c r="S56" s="24">
        <v>0.27083333333333331</v>
      </c>
      <c r="T56" s="24">
        <v>0.2895833333333333</v>
      </c>
      <c r="U56" s="150">
        <f t="shared" ref="U56:U59" si="84">(S56-T55)*24*60</f>
        <v>5.9999999999999787</v>
      </c>
      <c r="V56" s="158">
        <f t="shared" si="81"/>
        <v>26.999999999999986</v>
      </c>
      <c r="W56" s="150"/>
      <c r="X56" s="150"/>
      <c r="Y56" s="528"/>
      <c r="Z56" s="528"/>
      <c r="AA56" s="11">
        <f t="shared" si="2"/>
        <v>-168.88888888888732</v>
      </c>
      <c r="AB56" s="149">
        <f t="shared" si="57"/>
        <v>0.94370370370370427</v>
      </c>
      <c r="AC56" s="533"/>
    </row>
    <row r="57" spans="1:29" ht="15.75" customHeight="1">
      <c r="A57" s="538" t="s">
        <v>386</v>
      </c>
      <c r="B57" s="160" t="s">
        <v>15</v>
      </c>
      <c r="C57" s="529" t="s">
        <v>36</v>
      </c>
      <c r="D57" s="529"/>
      <c r="E57" s="26">
        <v>26.97</v>
      </c>
      <c r="F57" s="27">
        <v>2782</v>
      </c>
      <c r="G57" s="150">
        <f t="shared" si="76"/>
        <v>75030.539999999994</v>
      </c>
      <c r="H57" s="76" t="s">
        <v>52</v>
      </c>
      <c r="I57" s="157">
        <v>8</v>
      </c>
      <c r="J57" s="18">
        <v>1500</v>
      </c>
      <c r="K57" s="9">
        <f t="shared" si="77"/>
        <v>187.5</v>
      </c>
      <c r="L57" s="17">
        <v>8</v>
      </c>
      <c r="M57" s="10">
        <f t="shared" si="78"/>
        <v>1379.5041322314053</v>
      </c>
      <c r="N57" s="9">
        <f t="shared" si="82"/>
        <v>172.43801652892566</v>
      </c>
      <c r="O57" s="11">
        <f t="shared" si="79"/>
        <v>0</v>
      </c>
      <c r="P57" s="12">
        <f t="shared" si="80"/>
        <v>-15.061983471074342</v>
      </c>
      <c r="Q57" s="149">
        <f t="shared" si="83"/>
        <v>0.91966942148760356</v>
      </c>
      <c r="R57" s="533"/>
      <c r="S57" s="24">
        <v>0.29374999999999996</v>
      </c>
      <c r="T57" s="24">
        <v>0.37777777777777771</v>
      </c>
      <c r="U57" s="150">
        <f t="shared" si="84"/>
        <v>5.9999999999999787</v>
      </c>
      <c r="V57" s="158">
        <f t="shared" si="81"/>
        <v>120.99999999999997</v>
      </c>
      <c r="W57" s="150"/>
      <c r="X57" s="150"/>
      <c r="Y57" s="528"/>
      <c r="Z57" s="528"/>
      <c r="AA57" s="11">
        <f t="shared" si="2"/>
        <v>-120.49586776859474</v>
      </c>
      <c r="AB57" s="149">
        <f t="shared" si="57"/>
        <v>0.91966942148760356</v>
      </c>
      <c r="AC57" s="533"/>
    </row>
    <row r="58" spans="1:29">
      <c r="A58" s="539" t="s">
        <v>386</v>
      </c>
      <c r="B58" s="160" t="s">
        <v>32</v>
      </c>
      <c r="C58" s="529" t="s">
        <v>37</v>
      </c>
      <c r="D58" s="529"/>
      <c r="E58" s="26">
        <v>35.119999999999997</v>
      </c>
      <c r="F58" s="27">
        <v>1032</v>
      </c>
      <c r="G58" s="150">
        <f t="shared" si="76"/>
        <v>36243.839999999997</v>
      </c>
      <c r="H58" s="76" t="s">
        <v>52</v>
      </c>
      <c r="I58" s="157">
        <v>13</v>
      </c>
      <c r="J58" s="18">
        <v>2000</v>
      </c>
      <c r="K58" s="9">
        <f t="shared" si="77"/>
        <v>153.84615384615384</v>
      </c>
      <c r="L58" s="17">
        <v>13</v>
      </c>
      <c r="M58" s="10">
        <f t="shared" si="78"/>
        <v>1876.3636363636383</v>
      </c>
      <c r="N58" s="9">
        <f t="shared" si="82"/>
        <v>144.33566433566449</v>
      </c>
      <c r="O58" s="11">
        <f t="shared" si="79"/>
        <v>0</v>
      </c>
      <c r="P58" s="12">
        <f t="shared" si="80"/>
        <v>-9.5104895104893501</v>
      </c>
      <c r="Q58" s="149">
        <f t="shared" si="83"/>
        <v>0.93818181818181923</v>
      </c>
      <c r="R58" s="533"/>
      <c r="S58" s="24">
        <v>0.38263888888888881</v>
      </c>
      <c r="T58" s="24">
        <v>0.40555555555555545</v>
      </c>
      <c r="U58" s="150">
        <f t="shared" si="84"/>
        <v>6.9999999999999751</v>
      </c>
      <c r="V58" s="158">
        <f t="shared" si="81"/>
        <v>32.999999999999964</v>
      </c>
      <c r="W58" s="14"/>
      <c r="X58" s="14"/>
      <c r="Y58" s="528"/>
      <c r="Z58" s="528"/>
      <c r="AA58" s="11">
        <f t="shared" si="2"/>
        <v>-123.63636363636169</v>
      </c>
      <c r="AB58" s="149">
        <f t="shared" si="57"/>
        <v>0.93818181818181912</v>
      </c>
      <c r="AC58" s="533"/>
    </row>
    <row r="59" spans="1:29" ht="15" customHeight="1">
      <c r="A59" s="539" t="s">
        <v>386</v>
      </c>
      <c r="B59" s="160" t="s">
        <v>32</v>
      </c>
      <c r="C59" s="534" t="s">
        <v>84</v>
      </c>
      <c r="D59" s="535"/>
      <c r="E59" s="26">
        <v>35.869999999999997</v>
      </c>
      <c r="F59" s="27">
        <v>2972</v>
      </c>
      <c r="G59" s="150">
        <f t="shared" si="76"/>
        <v>106605.64</v>
      </c>
      <c r="H59" s="76" t="s">
        <v>52</v>
      </c>
      <c r="I59" s="157">
        <v>10</v>
      </c>
      <c r="J59" s="18">
        <v>3000</v>
      </c>
      <c r="K59" s="9">
        <f t="shared" si="77"/>
        <v>300</v>
      </c>
      <c r="L59" s="17">
        <v>10</v>
      </c>
      <c r="M59" s="10">
        <f t="shared" si="78"/>
        <v>2786.2499999999995</v>
      </c>
      <c r="N59" s="9">
        <f t="shared" si="82"/>
        <v>278.62499999999994</v>
      </c>
      <c r="O59" s="11">
        <f t="shared" si="79"/>
        <v>0</v>
      </c>
      <c r="P59" s="12">
        <f t="shared" si="80"/>
        <v>-21.375000000000057</v>
      </c>
      <c r="Q59" s="149">
        <f t="shared" si="83"/>
        <v>0.92874999999999985</v>
      </c>
      <c r="R59" s="533"/>
      <c r="S59" s="24">
        <v>0.41111111111111098</v>
      </c>
      <c r="T59" s="24">
        <v>0.45555555555555544</v>
      </c>
      <c r="U59" s="150">
        <f t="shared" si="84"/>
        <v>7.9999999999999716</v>
      </c>
      <c r="V59" s="158">
        <f t="shared" si="81"/>
        <v>64.000000000000014</v>
      </c>
      <c r="W59" s="150"/>
      <c r="X59" s="150"/>
      <c r="Y59" s="536"/>
      <c r="Z59" s="537"/>
      <c r="AA59" s="11">
        <f t="shared" si="2"/>
        <v>-213.75000000000045</v>
      </c>
      <c r="AB59" s="149">
        <f t="shared" si="57"/>
        <v>0.92874999999999985</v>
      </c>
      <c r="AC59" s="533"/>
    </row>
    <row r="60" spans="1:29">
      <c r="A60" s="539" t="s">
        <v>386</v>
      </c>
      <c r="B60" s="26" t="s">
        <v>82</v>
      </c>
      <c r="C60" s="530"/>
      <c r="D60" s="530"/>
      <c r="E60" s="151"/>
      <c r="F60" s="16"/>
      <c r="G60" s="9"/>
      <c r="H60" s="160"/>
      <c r="I60" s="17">
        <v>10.166666666666666</v>
      </c>
      <c r="J60" s="18">
        <v>2583.3333333333335</v>
      </c>
      <c r="K60" s="9">
        <f>J60/I60</f>
        <v>254.09836065573774</v>
      </c>
      <c r="L60" s="17">
        <v>10.166666666666666</v>
      </c>
      <c r="M60" s="10">
        <f>AVERAGE(M54:M59)</f>
        <v>2404.753424395471</v>
      </c>
      <c r="N60" s="9">
        <f>M60/L60</f>
        <v>236.53312371102996</v>
      </c>
      <c r="O60" s="11">
        <f>L60-I60</f>
        <v>0</v>
      </c>
      <c r="P60" s="12">
        <f>N60-K60</f>
        <v>-17.565236944707777</v>
      </c>
      <c r="Q60" s="149">
        <f>N60/K60</f>
        <v>0.93087229331437582</v>
      </c>
      <c r="R60" s="533"/>
      <c r="S60" s="24"/>
      <c r="T60" s="24"/>
      <c r="U60" s="9"/>
      <c r="V60" s="158"/>
      <c r="W60" s="9"/>
      <c r="X60" s="9"/>
      <c r="Y60" s="528"/>
      <c r="Z60" s="528"/>
      <c r="AA60" s="11">
        <f t="shared" si="2"/>
        <v>-178.57990893786246</v>
      </c>
      <c r="AB60" s="149">
        <f t="shared" si="57"/>
        <v>0.93087229331437582</v>
      </c>
      <c r="AC60" s="533"/>
    </row>
    <row r="61" spans="1:29" ht="15.75" customHeight="1">
      <c r="A61" s="531" t="s">
        <v>388</v>
      </c>
      <c r="B61" s="160" t="s">
        <v>24</v>
      </c>
      <c r="C61" s="529" t="s">
        <v>67</v>
      </c>
      <c r="D61" s="529"/>
      <c r="E61" s="26">
        <v>32.03</v>
      </c>
      <c r="F61" s="160">
        <v>827</v>
      </c>
      <c r="G61" s="150">
        <f t="shared" ref="G61:G66" si="85">E61*F61</f>
        <v>26488.81</v>
      </c>
      <c r="H61" s="76" t="s">
        <v>52</v>
      </c>
      <c r="I61" s="157">
        <v>19</v>
      </c>
      <c r="J61" s="18">
        <v>2400</v>
      </c>
      <c r="K61" s="9">
        <f t="shared" ref="K61:K63" si="86">J61/I61</f>
        <v>126.31578947368421</v>
      </c>
      <c r="L61" s="17">
        <v>19</v>
      </c>
      <c r="M61" s="10">
        <f>F61/V61*60</f>
        <v>2255.4545454545455</v>
      </c>
      <c r="N61" s="9">
        <f t="shared" ref="N61:N66" si="87">M61/L61</f>
        <v>118.70813397129187</v>
      </c>
      <c r="O61" s="11">
        <f t="shared" ref="O61:O66" si="88">L61-I61</f>
        <v>0</v>
      </c>
      <c r="P61" s="12">
        <f t="shared" ref="P61:P66" si="89">N61-K61</f>
        <v>-7.6076555023923333</v>
      </c>
      <c r="Q61" s="149">
        <f>N61/K61</f>
        <v>0.93977272727272732</v>
      </c>
      <c r="R61" s="533">
        <f>Q67</f>
        <v>0.92520683431794526</v>
      </c>
      <c r="S61" s="24">
        <v>8.3333333333333329E-2</v>
      </c>
      <c r="T61" s="24">
        <v>9.8611111111111108E-2</v>
      </c>
      <c r="U61" s="15"/>
      <c r="V61" s="158">
        <f t="shared" ref="V61:V66" si="90">(T61-S61)*24*60</f>
        <v>22</v>
      </c>
      <c r="W61" s="14">
        <f>T61</f>
        <v>9.8611111111111108E-2</v>
      </c>
      <c r="X61" s="14">
        <f>S62</f>
        <v>0.11805555555555555</v>
      </c>
      <c r="Y61" s="528"/>
      <c r="Z61" s="528"/>
      <c r="AA61" s="11">
        <f t="shared" si="2"/>
        <v>-144.5454545454545</v>
      </c>
      <c r="AB61" s="149">
        <f>M61/J61</f>
        <v>0.93977272727272732</v>
      </c>
      <c r="AC61" s="533">
        <f>AB67</f>
        <v>0.92520683431794526</v>
      </c>
    </row>
    <row r="62" spans="1:29" ht="15.75" customHeight="1">
      <c r="A62" s="531" t="s">
        <v>388</v>
      </c>
      <c r="B62" s="160" t="s">
        <v>24</v>
      </c>
      <c r="C62" s="529" t="s">
        <v>51</v>
      </c>
      <c r="D62" s="529"/>
      <c r="E62" s="26">
        <v>20.2</v>
      </c>
      <c r="F62" s="160">
        <v>1859</v>
      </c>
      <c r="G62" s="150">
        <f t="shared" si="85"/>
        <v>37551.799999999996</v>
      </c>
      <c r="H62" s="76" t="s">
        <v>52</v>
      </c>
      <c r="I62" s="157">
        <v>19</v>
      </c>
      <c r="J62" s="18">
        <v>2400</v>
      </c>
      <c r="K62" s="9">
        <f t="shared" si="86"/>
        <v>126.31578947368421</v>
      </c>
      <c r="L62" s="17">
        <v>19</v>
      </c>
      <c r="M62" s="10">
        <f t="shared" ref="M62:M66" si="91">F62/V62*60</f>
        <v>2230.7999999999993</v>
      </c>
      <c r="N62" s="9">
        <f t="shared" si="87"/>
        <v>117.41052631578944</v>
      </c>
      <c r="O62" s="11">
        <f t="shared" si="88"/>
        <v>0</v>
      </c>
      <c r="P62" s="12">
        <f t="shared" si="89"/>
        <v>-8.9052631578947654</v>
      </c>
      <c r="Q62" s="149">
        <f t="shared" ref="Q62:Q67" si="92">N62/K62</f>
        <v>0.92949999999999977</v>
      </c>
      <c r="R62" s="533"/>
      <c r="S62" s="24">
        <v>0.11805555555555555</v>
      </c>
      <c r="T62" s="24">
        <v>0.15277777777777779</v>
      </c>
      <c r="U62" s="150">
        <f>(S62-T61)*24*60</f>
        <v>28</v>
      </c>
      <c r="V62" s="158">
        <f t="shared" si="90"/>
        <v>50.000000000000021</v>
      </c>
      <c r="W62" s="14"/>
      <c r="X62" s="14"/>
      <c r="Y62" s="528"/>
      <c r="Z62" s="528"/>
      <c r="AA62" s="11">
        <f t="shared" si="2"/>
        <v>-169.20000000000073</v>
      </c>
      <c r="AB62" s="149">
        <f t="shared" ref="AB62:AB67" si="93">M62/J62</f>
        <v>0.92949999999999966</v>
      </c>
      <c r="AC62" s="533"/>
    </row>
    <row r="63" spans="1:29" ht="15.75" customHeight="1">
      <c r="A63" s="531" t="s">
        <v>627</v>
      </c>
      <c r="B63" s="160" t="s">
        <v>24</v>
      </c>
      <c r="C63" s="529" t="s">
        <v>41</v>
      </c>
      <c r="D63" s="529"/>
      <c r="E63" s="26">
        <v>19.02</v>
      </c>
      <c r="F63" s="160">
        <v>8069</v>
      </c>
      <c r="G63" s="150">
        <f t="shared" si="85"/>
        <v>153472.38</v>
      </c>
      <c r="H63" s="76" t="s">
        <v>52</v>
      </c>
      <c r="I63" s="157">
        <v>15</v>
      </c>
      <c r="J63" s="18">
        <v>2400</v>
      </c>
      <c r="K63" s="9">
        <f t="shared" si="86"/>
        <v>160</v>
      </c>
      <c r="L63" s="17">
        <v>15</v>
      </c>
      <c r="M63" s="10">
        <f t="shared" si="91"/>
        <v>2200.6363636363635</v>
      </c>
      <c r="N63" s="9">
        <f t="shared" si="87"/>
        <v>146.70909090909089</v>
      </c>
      <c r="O63" s="11">
        <f t="shared" si="88"/>
        <v>0</v>
      </c>
      <c r="P63" s="12">
        <f t="shared" si="89"/>
        <v>-13.290909090909111</v>
      </c>
      <c r="Q63" s="149">
        <f t="shared" si="92"/>
        <v>0.91693181818181801</v>
      </c>
      <c r="R63" s="533"/>
      <c r="S63" s="24">
        <v>0.15625</v>
      </c>
      <c r="T63" s="24">
        <v>0.30902777777777779</v>
      </c>
      <c r="U63" s="150">
        <f t="shared" ref="U63:U66" si="94">(S63-T62)*24*60</f>
        <v>4.9999999999999822</v>
      </c>
      <c r="V63" s="158">
        <f t="shared" si="90"/>
        <v>220.00000000000003</v>
      </c>
      <c r="W63" s="14"/>
      <c r="X63" s="14"/>
      <c r="Y63" s="528"/>
      <c r="Z63" s="528"/>
      <c r="AA63" s="11">
        <f t="shared" si="2"/>
        <v>-199.36363636363649</v>
      </c>
      <c r="AB63" s="149">
        <f t="shared" si="93"/>
        <v>0.91693181818181813</v>
      </c>
      <c r="AC63" s="533"/>
    </row>
    <row r="64" spans="1:29" ht="15.75" customHeight="1">
      <c r="A64" s="531" t="s">
        <v>388</v>
      </c>
      <c r="B64" s="160" t="s">
        <v>24</v>
      </c>
      <c r="C64" s="529" t="s">
        <v>42</v>
      </c>
      <c r="D64" s="529"/>
      <c r="E64" s="26">
        <v>25</v>
      </c>
      <c r="F64" s="160">
        <v>2948</v>
      </c>
      <c r="G64" s="150">
        <f t="shared" si="85"/>
        <v>73700</v>
      </c>
      <c r="H64" s="76" t="s">
        <v>52</v>
      </c>
      <c r="I64" s="157">
        <v>15</v>
      </c>
      <c r="J64" s="18">
        <v>2400</v>
      </c>
      <c r="K64" s="9">
        <f>J64/I64</f>
        <v>160</v>
      </c>
      <c r="L64" s="17">
        <v>15</v>
      </c>
      <c r="M64" s="10">
        <f t="shared" si="91"/>
        <v>2210.9999999999991</v>
      </c>
      <c r="N64" s="9">
        <f t="shared" si="87"/>
        <v>147.39999999999995</v>
      </c>
      <c r="O64" s="11">
        <f t="shared" si="88"/>
        <v>0</v>
      </c>
      <c r="P64" s="12">
        <f t="shared" si="89"/>
        <v>-12.600000000000051</v>
      </c>
      <c r="Q64" s="149">
        <f t="shared" si="92"/>
        <v>0.92124999999999968</v>
      </c>
      <c r="R64" s="533"/>
      <c r="S64" s="24">
        <v>0.31319444444444444</v>
      </c>
      <c r="T64" s="24">
        <v>0.36875000000000002</v>
      </c>
      <c r="U64" s="150">
        <f t="shared" si="94"/>
        <v>5.9999999999999787</v>
      </c>
      <c r="V64" s="158">
        <f t="shared" si="90"/>
        <v>80.000000000000028</v>
      </c>
      <c r="W64" s="14"/>
      <c r="X64" s="14"/>
      <c r="Y64" s="528"/>
      <c r="Z64" s="528"/>
      <c r="AA64" s="11">
        <f t="shared" si="2"/>
        <v>-189.00000000000091</v>
      </c>
      <c r="AB64" s="149">
        <f t="shared" si="93"/>
        <v>0.92124999999999957</v>
      </c>
      <c r="AC64" s="533"/>
    </row>
    <row r="65" spans="1:29" ht="15.75" customHeight="1">
      <c r="A65" s="531" t="s">
        <v>627</v>
      </c>
      <c r="B65" s="160" t="s">
        <v>24</v>
      </c>
      <c r="C65" s="529" t="s">
        <v>77</v>
      </c>
      <c r="D65" s="529"/>
      <c r="E65" s="26">
        <v>28.51</v>
      </c>
      <c r="F65" s="160">
        <v>3350</v>
      </c>
      <c r="G65" s="150">
        <f t="shared" si="85"/>
        <v>95508.5</v>
      </c>
      <c r="H65" s="76" t="s">
        <v>52</v>
      </c>
      <c r="I65" s="157">
        <v>19</v>
      </c>
      <c r="J65" s="18">
        <v>2400</v>
      </c>
      <c r="K65" s="9">
        <f t="shared" ref="K65:K67" si="95">J65/I65</f>
        <v>126.31578947368421</v>
      </c>
      <c r="L65" s="17">
        <v>19</v>
      </c>
      <c r="M65" s="10">
        <f t="shared" si="91"/>
        <v>2208.7912087912086</v>
      </c>
      <c r="N65" s="9">
        <f t="shared" si="87"/>
        <v>116.25216888374783</v>
      </c>
      <c r="O65" s="11">
        <f t="shared" si="88"/>
        <v>0</v>
      </c>
      <c r="P65" s="12">
        <f t="shared" si="89"/>
        <v>-10.063620589936377</v>
      </c>
      <c r="Q65" s="149">
        <f t="shared" si="92"/>
        <v>0.92032967032967039</v>
      </c>
      <c r="R65" s="533"/>
      <c r="S65" s="24">
        <v>0.37430555555555556</v>
      </c>
      <c r="T65" s="24">
        <v>0.4375</v>
      </c>
      <c r="U65" s="150">
        <f t="shared" si="94"/>
        <v>7.9999999999999716</v>
      </c>
      <c r="V65" s="158">
        <f t="shared" si="90"/>
        <v>91</v>
      </c>
      <c r="W65" s="14"/>
      <c r="X65" s="14"/>
      <c r="Y65" s="528"/>
      <c r="Z65" s="528"/>
      <c r="AA65" s="11">
        <f t="shared" si="2"/>
        <v>-191.20879120879135</v>
      </c>
      <c r="AB65" s="149">
        <f t="shared" si="93"/>
        <v>0.92032967032967028</v>
      </c>
      <c r="AC65" s="533"/>
    </row>
    <row r="66" spans="1:29" ht="15.75" customHeight="1">
      <c r="A66" s="531" t="s">
        <v>388</v>
      </c>
      <c r="B66" s="160" t="s">
        <v>24</v>
      </c>
      <c r="C66" s="529" t="s">
        <v>25</v>
      </c>
      <c r="D66" s="529"/>
      <c r="E66" s="26">
        <v>20.52</v>
      </c>
      <c r="F66" s="160">
        <v>2992</v>
      </c>
      <c r="G66" s="150">
        <f t="shared" si="85"/>
        <v>61395.839999999997</v>
      </c>
      <c r="H66" s="76" t="s">
        <v>52</v>
      </c>
      <c r="I66" s="157">
        <v>18</v>
      </c>
      <c r="J66" s="18">
        <v>2400</v>
      </c>
      <c r="K66" s="9">
        <f t="shared" si="95"/>
        <v>133.33333333333334</v>
      </c>
      <c r="L66" s="17">
        <v>18</v>
      </c>
      <c r="M66" s="10">
        <f t="shared" si="91"/>
        <v>2216.2962962962956</v>
      </c>
      <c r="N66" s="9">
        <f t="shared" si="87"/>
        <v>123.12757201646087</v>
      </c>
      <c r="O66" s="11">
        <f t="shared" si="88"/>
        <v>0</v>
      </c>
      <c r="P66" s="12">
        <f t="shared" si="89"/>
        <v>-10.205761316872469</v>
      </c>
      <c r="Q66" s="149">
        <f t="shared" si="92"/>
        <v>0.92345679012345649</v>
      </c>
      <c r="R66" s="533"/>
      <c r="S66" s="24">
        <v>0.44236111111111109</v>
      </c>
      <c r="T66" s="24">
        <v>0.49861111111111112</v>
      </c>
      <c r="U66" s="150">
        <f t="shared" si="94"/>
        <v>6.9999999999999751</v>
      </c>
      <c r="V66" s="158">
        <f t="shared" si="90"/>
        <v>81.000000000000028</v>
      </c>
      <c r="W66" s="14"/>
      <c r="X66" s="14"/>
      <c r="Y66" s="528"/>
      <c r="Z66" s="528"/>
      <c r="AA66" s="11">
        <f t="shared" si="2"/>
        <v>-183.70370370370438</v>
      </c>
      <c r="AB66" s="149">
        <f t="shared" si="93"/>
        <v>0.92345679012345649</v>
      </c>
      <c r="AC66" s="533"/>
    </row>
    <row r="67" spans="1:29" ht="16.5" customHeight="1">
      <c r="A67" s="532" t="s">
        <v>627</v>
      </c>
      <c r="B67" s="26" t="s">
        <v>628</v>
      </c>
      <c r="C67" s="530"/>
      <c r="D67" s="530"/>
      <c r="E67" s="151"/>
      <c r="F67" s="16"/>
      <c r="G67" s="9"/>
      <c r="H67" s="160"/>
      <c r="I67" s="17">
        <v>17.5</v>
      </c>
      <c r="J67" s="18">
        <v>2400</v>
      </c>
      <c r="K67" s="9">
        <f t="shared" si="95"/>
        <v>137.14285714285714</v>
      </c>
      <c r="L67" s="17">
        <v>17.5</v>
      </c>
      <c r="M67" s="10">
        <f>AVERAGE(M61:M66)</f>
        <v>2220.4964023630687</v>
      </c>
      <c r="N67" s="9">
        <f>M67/L67</f>
        <v>126.88550870646107</v>
      </c>
      <c r="O67" s="11">
        <f>L67-I67</f>
        <v>0</v>
      </c>
      <c r="P67" s="12">
        <f>N67-K67</f>
        <v>-10.257348436396072</v>
      </c>
      <c r="Q67" s="149">
        <f t="shared" si="92"/>
        <v>0.92520683431794526</v>
      </c>
      <c r="R67" s="533"/>
      <c r="S67" s="24"/>
      <c r="T67" s="24"/>
      <c r="U67" s="9"/>
      <c r="V67" s="158"/>
      <c r="W67" s="9"/>
      <c r="X67" s="9"/>
      <c r="Y67" s="528"/>
      <c r="Z67" s="528"/>
      <c r="AA67" s="11">
        <f t="shared" si="2"/>
        <v>-179.50359763693132</v>
      </c>
      <c r="AB67" s="149">
        <f t="shared" si="93"/>
        <v>0.92520683431794526</v>
      </c>
      <c r="AC67" s="533"/>
    </row>
    <row r="68" spans="1:29">
      <c r="D68" s="19"/>
      <c r="E68" s="19"/>
    </row>
  </sheetData>
  <mergeCells count="182">
    <mergeCell ref="Y64:Z64"/>
    <mergeCell ref="C65:D65"/>
    <mergeCell ref="Y65:Z65"/>
    <mergeCell ref="A61:A67"/>
    <mergeCell ref="C61:D61"/>
    <mergeCell ref="R61:R67"/>
    <mergeCell ref="Y61:Z61"/>
    <mergeCell ref="AC61:AC67"/>
    <mergeCell ref="C62:D62"/>
    <mergeCell ref="Y62:Z62"/>
    <mergeCell ref="C63:D63"/>
    <mergeCell ref="Y63:Z63"/>
    <mergeCell ref="C64:D64"/>
    <mergeCell ref="C66:D66"/>
    <mergeCell ref="Y66:Z66"/>
    <mergeCell ref="C67:D67"/>
    <mergeCell ref="Y67:Z67"/>
    <mergeCell ref="A54:A60"/>
    <mergeCell ref="C54:D54"/>
    <mergeCell ref="R54:R60"/>
    <mergeCell ref="Y54:Z54"/>
    <mergeCell ref="AC54:AC60"/>
    <mergeCell ref="C55:D55"/>
    <mergeCell ref="Y55:Z55"/>
    <mergeCell ref="C56:D56"/>
    <mergeCell ref="Y56:Z56"/>
    <mergeCell ref="C57:D57"/>
    <mergeCell ref="Y57:Z57"/>
    <mergeCell ref="C58:D58"/>
    <mergeCell ref="Y58:Z58"/>
    <mergeCell ref="C59:D59"/>
    <mergeCell ref="Y59:Z59"/>
    <mergeCell ref="C60:D60"/>
    <mergeCell ref="Y60:Z60"/>
    <mergeCell ref="A48:A53"/>
    <mergeCell ref="C48:D48"/>
    <mergeCell ref="R48:R53"/>
    <mergeCell ref="Y48:Z48"/>
    <mergeCell ref="AC48:AC53"/>
    <mergeCell ref="C49:D49"/>
    <mergeCell ref="Y49:Z49"/>
    <mergeCell ref="C50:D50"/>
    <mergeCell ref="C53:D53"/>
    <mergeCell ref="Y53:Z53"/>
    <mergeCell ref="AC41:AC47"/>
    <mergeCell ref="C42:D42"/>
    <mergeCell ref="Y42:Z42"/>
    <mergeCell ref="C43:D43"/>
    <mergeCell ref="Y43:Z43"/>
    <mergeCell ref="C44:D44"/>
    <mergeCell ref="Y44:Z44"/>
    <mergeCell ref="C45:D45"/>
    <mergeCell ref="Y45:Z45"/>
    <mergeCell ref="C46:D46"/>
    <mergeCell ref="A33:A40"/>
    <mergeCell ref="C33:D33"/>
    <mergeCell ref="R33:R40"/>
    <mergeCell ref="Y33:Z33"/>
    <mergeCell ref="C40:D40"/>
    <mergeCell ref="Y40:Z40"/>
    <mergeCell ref="A41:A47"/>
    <mergeCell ref="C41:D41"/>
    <mergeCell ref="R41:R47"/>
    <mergeCell ref="Y41:Z41"/>
    <mergeCell ref="Y46:Z46"/>
    <mergeCell ref="C47:D47"/>
    <mergeCell ref="Y47:Z47"/>
    <mergeCell ref="AC33:AC40"/>
    <mergeCell ref="C34:D34"/>
    <mergeCell ref="Y34:Z34"/>
    <mergeCell ref="C35:D35"/>
    <mergeCell ref="Y35:Z35"/>
    <mergeCell ref="C36:D36"/>
    <mergeCell ref="AC28:AC32"/>
    <mergeCell ref="C29:D29"/>
    <mergeCell ref="Y29:Z29"/>
    <mergeCell ref="C30:D30"/>
    <mergeCell ref="Y30:Z30"/>
    <mergeCell ref="C31:D31"/>
    <mergeCell ref="Y31:Z31"/>
    <mergeCell ref="C32:D32"/>
    <mergeCell ref="Y32:Z32"/>
    <mergeCell ref="Y36:Z36"/>
    <mergeCell ref="C37:D37"/>
    <mergeCell ref="Y37:Z37"/>
    <mergeCell ref="C38:D38"/>
    <mergeCell ref="Y38:Z38"/>
    <mergeCell ref="C39:D39"/>
    <mergeCell ref="Y39:Z39"/>
    <mergeCell ref="A28:A32"/>
    <mergeCell ref="C28:D28"/>
    <mergeCell ref="R28:R32"/>
    <mergeCell ref="Y28:Z28"/>
    <mergeCell ref="AC19:AC27"/>
    <mergeCell ref="C20:D20"/>
    <mergeCell ref="Y20:Z20"/>
    <mergeCell ref="C21:D21"/>
    <mergeCell ref="Y21:Z21"/>
    <mergeCell ref="C22:D22"/>
    <mergeCell ref="Y22:Z22"/>
    <mergeCell ref="C23:D23"/>
    <mergeCell ref="Y23:Z23"/>
    <mergeCell ref="C24:D24"/>
    <mergeCell ref="A19:A27"/>
    <mergeCell ref="C19:D19"/>
    <mergeCell ref="R19:R27"/>
    <mergeCell ref="Y19:Z19"/>
    <mergeCell ref="Y24:Z24"/>
    <mergeCell ref="C25:D25"/>
    <mergeCell ref="Y25:Z25"/>
    <mergeCell ref="A14:A18"/>
    <mergeCell ref="C14:D14"/>
    <mergeCell ref="R14:R18"/>
    <mergeCell ref="Y14:Z14"/>
    <mergeCell ref="C26:D26"/>
    <mergeCell ref="Y26:Z26"/>
    <mergeCell ref="C27:D27"/>
    <mergeCell ref="Y27:Z27"/>
    <mergeCell ref="AC14:AC18"/>
    <mergeCell ref="C15:D15"/>
    <mergeCell ref="Y15:Z15"/>
    <mergeCell ref="C16:D16"/>
    <mergeCell ref="Y16:Z16"/>
    <mergeCell ref="C17:D17"/>
    <mergeCell ref="Y17:Z17"/>
    <mergeCell ref="C18:D18"/>
    <mergeCell ref="Y18:Z18"/>
    <mergeCell ref="AC9:AC13"/>
    <mergeCell ref="C10:D10"/>
    <mergeCell ref="Y10:Z10"/>
    <mergeCell ref="C11:D11"/>
    <mergeCell ref="Y11:Z11"/>
    <mergeCell ref="C12:D12"/>
    <mergeCell ref="Y12:Z12"/>
    <mergeCell ref="C13:D13"/>
    <mergeCell ref="Y13:Z13"/>
    <mergeCell ref="C8:D8"/>
    <mergeCell ref="Y8:Z8"/>
    <mergeCell ref="A9:A13"/>
    <mergeCell ref="C9:D9"/>
    <mergeCell ref="R9:R13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57:O67 O5:O9 O13:O15 O18:O54">
    <cfRule type="cellIs" dxfId="534" priority="34" operator="greaterThan">
      <formula>0</formula>
    </cfRule>
  </conditionalFormatting>
  <conditionalFormatting sqref="P5:P7 P57:P59 AA57:AA59 P61:P66 P28:P31 P54 P9 P13:P15 P19:P26 P48:P52 P33:P46 AA5:AA54 AA61:AA67">
    <cfRule type="cellIs" dxfId="533" priority="38" operator="lessThan">
      <formula>0</formula>
    </cfRule>
  </conditionalFormatting>
  <conditionalFormatting sqref="AB57:AB59 Q57:Q67 Q5:Q9 Q13:Q15 Q18:Q54 AB5:AB54 AB61:AB67">
    <cfRule type="cellIs" dxfId="532" priority="35" operator="greaterThan">
      <formula>1</formula>
    </cfRule>
    <cfRule type="cellIs" dxfId="531" priority="36" operator="lessThan">
      <formula>0.8</formula>
    </cfRule>
  </conditionalFormatting>
  <conditionalFormatting sqref="AC14:AC15 R14:R15 AC57 R18:R24 AC18:AC24 R57:R67 AC5:AC9 R5:R9 AC27:AC54 R27:R54">
    <cfRule type="cellIs" dxfId="530" priority="40" operator="lessThan">
      <formula>0.8</formula>
    </cfRule>
  </conditionalFormatting>
  <conditionalFormatting sqref="AC41">
    <cfRule type="cellIs" dxfId="529" priority="42" operator="lessThan">
      <formula>0.8</formula>
    </cfRule>
  </conditionalFormatting>
  <conditionalFormatting sqref="AC19:AC24">
    <cfRule type="cellIs" dxfId="528" priority="39" operator="lessThan">
      <formula>0.8</formula>
    </cfRule>
  </conditionalFormatting>
  <conditionalFormatting sqref="AC28">
    <cfRule type="cellIs" dxfId="527" priority="41" operator="lessThan">
      <formula>0.8</formula>
    </cfRule>
  </conditionalFormatting>
  <conditionalFormatting sqref="AC33:AC39">
    <cfRule type="cellIs" dxfId="526" priority="37" operator="lessThan">
      <formula>0.8</formula>
    </cfRule>
  </conditionalFormatting>
  <conditionalFormatting sqref="AA60">
    <cfRule type="cellIs" dxfId="525" priority="33" operator="lessThan">
      <formula>0</formula>
    </cfRule>
  </conditionalFormatting>
  <conditionalFormatting sqref="AB60">
    <cfRule type="cellIs" dxfId="524" priority="31" operator="greaterThan">
      <formula>1</formula>
    </cfRule>
    <cfRule type="cellIs" dxfId="523" priority="32" operator="lessThan">
      <formula>0.8</formula>
    </cfRule>
  </conditionalFormatting>
  <conditionalFormatting sqref="O16:O17">
    <cfRule type="cellIs" dxfId="522" priority="26" operator="greaterThan">
      <formula>0</formula>
    </cfRule>
  </conditionalFormatting>
  <conditionalFormatting sqref="P16:P17">
    <cfRule type="cellIs" dxfId="521" priority="29" operator="lessThan">
      <formula>0</formula>
    </cfRule>
  </conditionalFormatting>
  <conditionalFormatting sqref="Q16:Q17">
    <cfRule type="cellIs" dxfId="520" priority="27" operator="greaterThan">
      <formula>1</formula>
    </cfRule>
    <cfRule type="cellIs" dxfId="519" priority="28" operator="lessThan">
      <formula>0.8</formula>
    </cfRule>
  </conditionalFormatting>
  <conditionalFormatting sqref="R16:R17 AC16:AC17">
    <cfRule type="cellIs" dxfId="518" priority="30" operator="lessThan">
      <formula>0.8</formula>
    </cfRule>
  </conditionalFormatting>
  <conditionalFormatting sqref="O10:O12">
    <cfRule type="cellIs" dxfId="517" priority="22" operator="greaterThan">
      <formula>0</formula>
    </cfRule>
  </conditionalFormatting>
  <conditionalFormatting sqref="P10:P12">
    <cfRule type="cellIs" dxfId="516" priority="25" operator="lessThan">
      <formula>0</formula>
    </cfRule>
  </conditionalFormatting>
  <conditionalFormatting sqref="Q10:Q12">
    <cfRule type="cellIs" dxfId="515" priority="23" operator="greaterThan">
      <formula>1</formula>
    </cfRule>
    <cfRule type="cellIs" dxfId="514" priority="24" operator="lessThan">
      <formula>0.8</formula>
    </cfRule>
  </conditionalFormatting>
  <conditionalFormatting sqref="AC26 R26">
    <cfRule type="cellIs" dxfId="513" priority="21" operator="lessThan">
      <formula>0.8</formula>
    </cfRule>
  </conditionalFormatting>
  <conditionalFormatting sqref="O56">
    <cfRule type="cellIs" dxfId="512" priority="16" operator="greaterThan">
      <formula>0</formula>
    </cfRule>
  </conditionalFormatting>
  <conditionalFormatting sqref="P56 AA56">
    <cfRule type="cellIs" dxfId="511" priority="19" operator="lessThan">
      <formula>0</formula>
    </cfRule>
  </conditionalFormatting>
  <conditionalFormatting sqref="Q56 AB56">
    <cfRule type="cellIs" dxfId="510" priority="17" operator="greaterThan">
      <formula>1</formula>
    </cfRule>
    <cfRule type="cellIs" dxfId="509" priority="18" operator="lessThan">
      <formula>0.8</formula>
    </cfRule>
  </conditionalFormatting>
  <conditionalFormatting sqref="R56 AC56">
    <cfRule type="cellIs" dxfId="508" priority="20" operator="lessThan">
      <formula>0.8</formula>
    </cfRule>
  </conditionalFormatting>
  <conditionalFormatting sqref="R25 AC25">
    <cfRule type="cellIs" dxfId="507" priority="15" operator="lessThan">
      <formula>0.8</formula>
    </cfRule>
  </conditionalFormatting>
  <conditionalFormatting sqref="AC25">
    <cfRule type="cellIs" dxfId="506" priority="14" operator="lessThan">
      <formula>0.8</formula>
    </cfRule>
  </conditionalFormatting>
  <conditionalFormatting sqref="O55">
    <cfRule type="cellIs" dxfId="505" priority="9" operator="greaterThan">
      <formula>0</formula>
    </cfRule>
  </conditionalFormatting>
  <conditionalFormatting sqref="P55 AA55">
    <cfRule type="cellIs" dxfId="504" priority="12" operator="lessThan">
      <formula>0</formula>
    </cfRule>
  </conditionalFormatting>
  <conditionalFormatting sqref="Q55 AB55">
    <cfRule type="cellIs" dxfId="503" priority="10" operator="greaterThan">
      <formula>1</formula>
    </cfRule>
    <cfRule type="cellIs" dxfId="502" priority="11" operator="lessThan">
      <formula>0.8</formula>
    </cfRule>
  </conditionalFormatting>
  <conditionalFormatting sqref="R55 AC55">
    <cfRule type="cellIs" dxfId="501" priority="13" operator="lessThan">
      <formula>0.8</formula>
    </cfRule>
  </conditionalFormatting>
  <conditionalFormatting sqref="P8">
    <cfRule type="cellIs" dxfId="500" priority="8" operator="lessThan">
      <formula>0</formula>
    </cfRule>
  </conditionalFormatting>
  <conditionalFormatting sqref="P18">
    <cfRule type="cellIs" dxfId="499" priority="7" operator="lessThan">
      <formula>0</formula>
    </cfRule>
  </conditionalFormatting>
  <conditionalFormatting sqref="P27">
    <cfRule type="cellIs" dxfId="498" priority="6" operator="lessThan">
      <formula>0</formula>
    </cfRule>
  </conditionalFormatting>
  <conditionalFormatting sqref="P32">
    <cfRule type="cellIs" dxfId="497" priority="5" operator="lessThan">
      <formula>0</formula>
    </cfRule>
  </conditionalFormatting>
  <conditionalFormatting sqref="P47">
    <cfRule type="cellIs" dxfId="496" priority="4" operator="lessThan">
      <formula>0</formula>
    </cfRule>
  </conditionalFormatting>
  <conditionalFormatting sqref="P53">
    <cfRule type="cellIs" dxfId="495" priority="3" operator="lessThan">
      <formula>0</formula>
    </cfRule>
  </conditionalFormatting>
  <conditionalFormatting sqref="P60">
    <cfRule type="cellIs" dxfId="494" priority="2" operator="lessThan">
      <formula>0</formula>
    </cfRule>
  </conditionalFormatting>
  <conditionalFormatting sqref="P67">
    <cfRule type="cellIs" dxfId="493" priority="1" operator="lessThan">
      <formula>0</formula>
    </cfRule>
  </conditionalFormatting>
  <dataValidations count="1">
    <dataValidation type="list" allowBlank="1" showInputMessage="1" showErrorMessage="1" sqref="Z8 Z58:Z59 Y5:Z7 Y8:Y59 Z10:Z54 Y60:Z67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/>
  <dimension ref="B1:Q28"/>
  <sheetViews>
    <sheetView zoomScale="70" zoomScaleNormal="70" workbookViewId="0">
      <selection activeCell="C3" sqref="C3:D3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521" t="s">
        <v>502</v>
      </c>
      <c r="C1" s="521"/>
      <c r="D1" s="521"/>
      <c r="E1" s="521"/>
      <c r="F1" s="521"/>
      <c r="G1" s="521"/>
      <c r="H1" s="521"/>
      <c r="I1" s="521"/>
      <c r="J1" s="521"/>
      <c r="K1" s="28"/>
      <c r="L1" s="28"/>
      <c r="M1" s="28"/>
      <c r="N1" s="28"/>
      <c r="O1" s="28"/>
      <c r="P1" s="28"/>
    </row>
    <row r="2" spans="2:17" ht="27.75" customHeight="1">
      <c r="B2" s="522"/>
      <c r="C2" s="522"/>
      <c r="D2" s="522"/>
      <c r="E2" s="522"/>
      <c r="F2" s="522"/>
      <c r="G2" s="522"/>
      <c r="H2" s="522"/>
      <c r="I2" s="522"/>
      <c r="J2" s="522"/>
      <c r="K2" s="30"/>
      <c r="L2" s="30"/>
      <c r="M2" s="30"/>
      <c r="N2" s="28"/>
      <c r="O2" s="28"/>
      <c r="P2" s="28"/>
    </row>
    <row r="3" spans="2:17" ht="46.5" customHeight="1">
      <c r="B3" s="133" t="s">
        <v>503</v>
      </c>
      <c r="C3" s="523" t="str">
        <f>TEXT('0808 4度C'!A2,"yyyy.mm.ddaaaa")</f>
        <v>2025.08.08星期五</v>
      </c>
      <c r="D3" s="523"/>
      <c r="E3" s="133" t="s">
        <v>504</v>
      </c>
      <c r="F3" s="524">
        <f>'0808 4度C'!D1</f>
        <v>133441</v>
      </c>
      <c r="G3" s="524"/>
      <c r="H3" s="133" t="s">
        <v>505</v>
      </c>
      <c r="I3" s="581">
        <f>'0808 4度C'!F1</f>
        <v>4540704.4499999993</v>
      </c>
      <c r="J3" s="581"/>
      <c r="K3" s="31"/>
      <c r="L3" s="32"/>
      <c r="M3" s="33"/>
      <c r="N3" s="33"/>
    </row>
    <row r="4" spans="2:17" ht="28.5" customHeight="1">
      <c r="B4" s="516" t="s">
        <v>506</v>
      </c>
      <c r="C4" s="516" t="s">
        <v>507</v>
      </c>
      <c r="D4" s="516"/>
      <c r="E4" s="526" t="s">
        <v>508</v>
      </c>
      <c r="F4" s="526"/>
      <c r="G4" s="526" t="s">
        <v>509</v>
      </c>
      <c r="H4" s="526"/>
      <c r="I4" s="526" t="s">
        <v>510</v>
      </c>
      <c r="J4" s="526"/>
      <c r="L4" s="33"/>
      <c r="M4" s="33"/>
      <c r="N4" s="33"/>
    </row>
    <row r="5" spans="2:17" ht="28.5" customHeight="1">
      <c r="B5" s="516"/>
      <c r="C5" s="516" t="s">
        <v>511</v>
      </c>
      <c r="D5" s="516"/>
      <c r="E5" s="516" t="s">
        <v>512</v>
      </c>
      <c r="F5" s="516"/>
      <c r="G5" s="517" t="s">
        <v>513</v>
      </c>
      <c r="H5" s="517"/>
      <c r="I5" s="582" t="s">
        <v>514</v>
      </c>
      <c r="J5" s="582"/>
      <c r="K5" s="33"/>
      <c r="L5" s="33"/>
      <c r="M5" s="33"/>
      <c r="N5" s="33"/>
    </row>
    <row r="6" spans="2:17" ht="28.5" customHeight="1">
      <c r="B6" s="516"/>
      <c r="C6" s="516" t="s">
        <v>43</v>
      </c>
      <c r="D6" s="516"/>
      <c r="E6" s="519">
        <f>AVERAGE(D13:M13)</f>
        <v>148.29733299690139</v>
      </c>
      <c r="F6" s="516">
        <f>AVERAGE(D27:O27,D13:J13)</f>
        <v>154.48406228425051</v>
      </c>
      <c r="G6" s="520">
        <f>AVERAGE(D13:J13)</f>
        <v>154.48406228425051</v>
      </c>
      <c r="H6" s="520"/>
      <c r="I6" s="520">
        <f>AVERAGE(K13:M13)</f>
        <v>133.86163132642005</v>
      </c>
      <c r="J6" s="520"/>
      <c r="K6" s="33"/>
      <c r="L6" s="33"/>
      <c r="M6" s="33"/>
      <c r="N6" s="33"/>
    </row>
    <row r="7" spans="2:17" ht="28.5" customHeight="1">
      <c r="B7" s="516"/>
      <c r="C7" s="510" t="s">
        <v>44</v>
      </c>
      <c r="D7" s="510"/>
      <c r="E7" s="511">
        <f>AVERAGE(D14:M14)</f>
        <v>137.18624482981659</v>
      </c>
      <c r="F7" s="512">
        <f>AVERAGE(D28:O28,D14:J14)</f>
        <v>143.03671316674925</v>
      </c>
      <c r="G7" s="513">
        <f>AVERAGE(D14:J14)</f>
        <v>143.03671316674925</v>
      </c>
      <c r="H7" s="513"/>
      <c r="I7" s="513">
        <f>AVERAGE(K14:M14)</f>
        <v>123.53515204364042</v>
      </c>
      <c r="J7" s="513"/>
      <c r="K7" s="33"/>
      <c r="L7" s="33"/>
      <c r="M7" s="33"/>
      <c r="N7" s="33"/>
    </row>
    <row r="8" spans="2:17" ht="28.5" customHeight="1">
      <c r="B8" s="516"/>
      <c r="C8" s="510" t="s">
        <v>45</v>
      </c>
      <c r="D8" s="510"/>
      <c r="E8" s="514">
        <f>AVERAGE(D15:M15)</f>
        <v>0.92544813290724037</v>
      </c>
      <c r="F8" s="510">
        <f>AVERAGE(D15:J15,D29:O29)</f>
        <v>0.92655146305760783</v>
      </c>
      <c r="G8" s="515">
        <f>AVERAGE(D15:J15)</f>
        <v>0.92655146305760783</v>
      </c>
      <c r="H8" s="515"/>
      <c r="I8" s="515">
        <f>AVERAGE(K15:M15)</f>
        <v>0.92287369588971579</v>
      </c>
      <c r="J8" s="515"/>
      <c r="K8" s="34" t="s">
        <v>515</v>
      </c>
      <c r="L8" s="33"/>
      <c r="M8" s="33"/>
      <c r="N8" s="33"/>
    </row>
    <row r="9" spans="2:17" ht="28.5" customHeight="1" thickBot="1">
      <c r="H9" s="36"/>
      <c r="N9" s="33"/>
      <c r="O9" s="33"/>
      <c r="P9" s="33"/>
      <c r="Q9" s="33"/>
    </row>
    <row r="10" spans="2:17" ht="30" customHeight="1">
      <c r="B10" s="501" t="s">
        <v>516</v>
      </c>
      <c r="C10" s="502"/>
      <c r="D10" s="503" t="s">
        <v>517</v>
      </c>
      <c r="E10" s="504"/>
      <c r="F10" s="504"/>
      <c r="G10" s="504"/>
      <c r="H10" s="504"/>
      <c r="I10" s="504"/>
      <c r="J10" s="505"/>
      <c r="K10" s="506" t="s">
        <v>518</v>
      </c>
      <c r="L10" s="583"/>
      <c r="M10" s="507"/>
      <c r="P10" s="37"/>
      <c r="Q10" s="37"/>
    </row>
    <row r="11" spans="2:17" ht="17.25" customHeight="1">
      <c r="B11" s="493" t="s">
        <v>519</v>
      </c>
      <c r="C11" s="494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39">
        <v>6</v>
      </c>
      <c r="J11" s="40">
        <v>7</v>
      </c>
      <c r="K11" s="38">
        <v>1</v>
      </c>
      <c r="L11" s="39">
        <v>2</v>
      </c>
      <c r="M11" s="40">
        <v>3</v>
      </c>
      <c r="P11" s="37"/>
      <c r="Q11" s="37"/>
    </row>
    <row r="12" spans="2:17" ht="34.15" customHeight="1">
      <c r="B12" s="493"/>
      <c r="C12" s="494"/>
      <c r="D12" s="41" t="s">
        <v>345</v>
      </c>
      <c r="E12" s="42" t="s">
        <v>346</v>
      </c>
      <c r="F12" s="42" t="s">
        <v>347</v>
      </c>
      <c r="G12" s="42" t="s">
        <v>348</v>
      </c>
      <c r="H12" s="42" t="s">
        <v>349</v>
      </c>
      <c r="I12" s="42" t="s">
        <v>350</v>
      </c>
      <c r="J12" s="43" t="s">
        <v>351</v>
      </c>
      <c r="K12" s="41" t="s">
        <v>352</v>
      </c>
      <c r="L12" s="42" t="s">
        <v>353</v>
      </c>
      <c r="M12" s="43" t="s">
        <v>354</v>
      </c>
    </row>
    <row r="13" spans="2:17" ht="40.15" customHeight="1">
      <c r="B13" s="508" t="s">
        <v>116</v>
      </c>
      <c r="C13" s="44" t="s">
        <v>520</v>
      </c>
      <c r="D13" s="45">
        <f>SUMIFS('0808 4度C'!$K:$K,'0808 4度C'!$A:$A,"新豐6線",'0808 4度C'!$B:$B,"平均")</f>
        <v>117.64705882352941</v>
      </c>
      <c r="E13" s="46">
        <f>SUMIFS('0808 4度C'!$K:$K,'0808 4度C'!$A:$A,"新豐2線",'0808 4度C'!$B:$B,"平均")</f>
        <v>83.333333333333329</v>
      </c>
      <c r="F13" s="47">
        <f>SUMIFS('0808 4度C'!$K:$K,'0808 4度C'!$A:$A,"新豐5線",'0808 4度C'!$B:$B,"平均")</f>
        <v>93.333333333333329</v>
      </c>
      <c r="G13" s="47">
        <f>SUMIFS('0808 4度C'!$K:$K,'0808 4度C'!$A:$A,"新豐7線",'0808 4度C'!$B:$B,"平均")</f>
        <v>118.51851851851852</v>
      </c>
      <c r="H13" s="47">
        <f>SUMIFS('0808 4度C'!$K:$K,'0808 4度C'!$A:$A,"新豐3線",'0808 4度C'!$B:$B,"平均")</f>
        <v>300</v>
      </c>
      <c r="I13" s="47">
        <f>SUMIFS('0808 4度C'!$K:$K,'0808 4度C'!$A:$A,"新豐1線",'0808 4度C'!$B:$B,"平均")</f>
        <v>114.4578313253012</v>
      </c>
      <c r="J13" s="48">
        <f>SUMIFS('0808 4度C'!$K:$K,'0808 4度C'!$A:$A,"新豐10線",'0808 4度C'!$B:$B,"平均")</f>
        <v>254.09836065573774</v>
      </c>
      <c r="K13" s="49">
        <f>SUMIFS('0808 4度C'!$K:$K,'0808 4度C'!$A:$A,"新豐8線",'0808 4度C'!$B:$B,"平均")</f>
        <v>135.21126760563379</v>
      </c>
      <c r="L13" s="50">
        <f>SUMIFS('0808 4度C'!$K:$K,'0808 4度C'!$A:$A,"新豐9線",'0808 4度C'!$B:$B,"平均")</f>
        <v>129.23076923076923</v>
      </c>
      <c r="M13" s="48">
        <f>SUMIFS('0808 4度C'!$K:$K,'0808 4度C'!$A:$A,"新豐4線",'0808 4度C'!$B:$B,"平均")</f>
        <v>137.14285714285714</v>
      </c>
    </row>
    <row r="14" spans="2:17" ht="39.6" customHeight="1">
      <c r="B14" s="508"/>
      <c r="C14" s="51" t="s">
        <v>69</v>
      </c>
      <c r="D14" s="52">
        <f>SUMIFS('0808 4度C'!$N:$N,'0808 4度C'!$A:$A,"新豐6線",'0808 4度C'!$B:$B,"平均")</f>
        <v>109.39189455046225</v>
      </c>
      <c r="E14" s="53">
        <f>SUMIFS('0808 4度C'!$N:$N,'0808 4度C'!$A:$A,"新豐2線",'0808 4度C'!$B:$B,"平均")</f>
        <v>76.687962616988699</v>
      </c>
      <c r="F14" s="53">
        <f>SUMIFS('0808 4度C'!$N:$N,'0808 4度C'!$A:$A,"新豐5線",'0808 4度C'!$B:$B,"平均")</f>
        <v>86.434396833113382</v>
      </c>
      <c r="G14" s="53">
        <f>SUMIFS('0808 4度C'!$N:$N,'0808 4度C'!$A:$A,"新豐7線",'0808 4度C'!$B:$B,"平均")</f>
        <v>111.2529984992737</v>
      </c>
      <c r="H14" s="53">
        <f>SUMIFS('0808 4度C'!$N:$N,'0808 4度C'!$A:$A,"新豐3線",'0808 4度C'!$B:$B,"平均")</f>
        <v>277.19603962830638</v>
      </c>
      <c r="I14" s="53">
        <f>SUMIFS('0808 4度C'!$N:$N,'0808 4度C'!$A:$A,"新豐1線",'0808 4度C'!$B:$B,"平均")</f>
        <v>105.75891171523701</v>
      </c>
      <c r="J14" s="54">
        <f>SUMIFS('0808 4度C'!$N:$N,'0808 4度C'!$A:$A,"新豐10線",'0808 4度C'!$B:$B,"平均")</f>
        <v>234.53478832386344</v>
      </c>
      <c r="K14" s="55">
        <f>SUMIFS('0808 4度C'!$N:$N,'0808 4度C'!$A:$A,"新豐8線",'0808 4度C'!$B:$B,"平均")</f>
        <v>124.56360520016376</v>
      </c>
      <c r="L14" s="56">
        <f>SUMIFS('0808 4度C'!$N:$N,'0808 4度C'!$A:$A,"新豐9線",'0808 4度C'!$B:$B,"平均")</f>
        <v>119.42394502713734</v>
      </c>
      <c r="M14" s="54">
        <f>SUMIFS('0808 4度C'!$N:$N,'0808 4度C'!$A:$A,"新豐4線",'0808 4度C'!$B:$B,"平均")</f>
        <v>126.61790590362018</v>
      </c>
    </row>
    <row r="15" spans="2:17" ht="40.15" customHeight="1">
      <c r="B15" s="508"/>
      <c r="C15" s="57" t="s">
        <v>521</v>
      </c>
      <c r="D15" s="58">
        <f>D14/D13</f>
        <v>0.92983110367892918</v>
      </c>
      <c r="E15" s="59">
        <f t="shared" ref="E15:M15" si="0">E14/E13</f>
        <v>0.92025555140386439</v>
      </c>
      <c r="F15" s="59">
        <f t="shared" si="0"/>
        <v>0.92608282321192914</v>
      </c>
      <c r="G15" s="59">
        <f t="shared" si="0"/>
        <v>0.93869717483762183</v>
      </c>
      <c r="H15" s="59">
        <f>H14/H13</f>
        <v>0.9239867987610213</v>
      </c>
      <c r="I15" s="59">
        <f>I14/I13</f>
        <v>0.92399891288049174</v>
      </c>
      <c r="J15" s="60">
        <f>J14/J13</f>
        <v>0.92300787662939798</v>
      </c>
      <c r="K15" s="58">
        <f>K14/K13</f>
        <v>0.92125166345954457</v>
      </c>
      <c r="L15" s="59">
        <f>L14/L13</f>
        <v>0.92411386032903897</v>
      </c>
      <c r="M15" s="60">
        <f t="shared" si="0"/>
        <v>0.92325556388056385</v>
      </c>
    </row>
    <row r="16" spans="2:17" ht="17.25" customHeight="1">
      <c r="B16" s="509" t="s">
        <v>522</v>
      </c>
      <c r="C16" s="134" t="s">
        <v>71</v>
      </c>
      <c r="D16" s="61">
        <f>VLOOKUP("新豐6線",'0808 4度C'!$A:$T,19,0)</f>
        <v>0.70833333333333337</v>
      </c>
      <c r="E16" s="24">
        <f>VLOOKUP("新豐2線",'0808 4度C'!$A:$T,19,0)</f>
        <v>0.12847222222222221</v>
      </c>
      <c r="F16" s="24">
        <f>VLOOKUP("新豐5線",'0808 4度C'!$A:$T,19,0)</f>
        <v>0.25</v>
      </c>
      <c r="G16" s="24">
        <f>VLOOKUP("新豐7線",'0808 4度C'!$A:$T,19,0)</f>
        <v>0.20833333333333334</v>
      </c>
      <c r="H16" s="24">
        <f>VLOOKUP("新豐3線",'0808 4度C'!$A:$T,19,0)</f>
        <v>0.20833333333333334</v>
      </c>
      <c r="I16" s="24">
        <f>VLOOKUP("新豐1線",'0808 4度C'!$A:$T,19,0)</f>
        <v>0.29166666666666669</v>
      </c>
      <c r="J16" s="62">
        <f>VLOOKUP("新豐10線",'0808 4度C'!$A:$T,19,0)</f>
        <v>0.20833333333333334</v>
      </c>
      <c r="K16" s="63">
        <f>VLOOKUP("新豐8線",'0808 4度C'!$A:$T,19,0)</f>
        <v>0.125</v>
      </c>
      <c r="L16" s="64">
        <f>VLOOKUP("新豐9線",'0808 4度C'!$A:$T,19,0)</f>
        <v>8.3333333333333329E-2</v>
      </c>
      <c r="M16" s="65">
        <f>VLOOKUP("新豐4線",'0808 4度C'!$A:$T,19,0)</f>
        <v>8.3333333333333329E-2</v>
      </c>
    </row>
    <row r="17" spans="2:13" ht="17.25" customHeight="1">
      <c r="B17" s="493"/>
      <c r="C17" s="134" t="s">
        <v>523</v>
      </c>
      <c r="D17" s="63">
        <f>LOOKUP(2,1/(('0808 4度C'!$A:$A="新豐6線")*('0808 4度C'!$T:$T&lt;&gt;"")),'0808 4度C'!$T:$T)</f>
        <v>0.80763888888888891</v>
      </c>
      <c r="E17" s="24">
        <f>LOOKUP(2,1/(('0808 4度C'!$A:$A="新豐2線")*('0808 4度C'!$T:$T&lt;&gt;"")),'0808 4度C'!$T:$T)</f>
        <v>0.56874999999999987</v>
      </c>
      <c r="F17" s="24">
        <f>LOOKUP(2,1/(('0808 4度C'!$A:$A="新豐5線")*('0808 4度C'!$T:$T&lt;&gt;"")),'0808 4度C'!$T:$T)</f>
        <v>0.81527777777777788</v>
      </c>
      <c r="G17" s="24">
        <f>LOOKUP(2,1/(('0808 4度C'!$A:$A="新豐7線")*('0808 4度C'!$T:$T&lt;&gt;"")),'0808 4度C'!$T:$T)</f>
        <v>0.81666666666666665</v>
      </c>
      <c r="H17" s="24">
        <f>LOOKUP(2,1/(('0808 4度C'!$A:$A="新豐3線")*('0808 4度C'!$T:$T&lt;&gt;"")),'0808 4度C'!$T:$T)</f>
        <v>0.51805555555555549</v>
      </c>
      <c r="I17" s="24">
        <f>LOOKUP(2,1/(('0808 4度C'!$A:$A="新豐1線")*('0808 4度C'!$T:$T&lt;&gt;"")),'0808 4度C'!$T:$T)</f>
        <v>0.81874999999999998</v>
      </c>
      <c r="J17" s="62">
        <f>LOOKUP(2,1/(('0808 4度C'!$A:$A="新豐10線")*('0808 4度C'!$T:$T&lt;&gt;"")),'0808 4度C'!$T:$T)</f>
        <v>0.45347222222222217</v>
      </c>
      <c r="K17" s="61">
        <f>LOOKUP(2,1/(('0808 4度C'!$A:$A="新豐8線")*('0808 4度C'!$T:$T&lt;&gt;"")),'0808 4度C'!$T:$T)</f>
        <v>0.47638888888888886</v>
      </c>
      <c r="L17" s="24">
        <f>LOOKUP(2,1/(('0808 4度C'!$A:$A="新豐9線")*('0808 4度C'!$T:$T&lt;&gt;"")),'0808 4度C'!$T:$T)</f>
        <v>0.48194444444444434</v>
      </c>
      <c r="M17" s="62">
        <f>LOOKUP(2,1/(('0808 4度C'!$A:$A="新豐4線")*('0808 4度C'!$T:$T&lt;&gt;"")),'0808 4度C'!$T:$T)</f>
        <v>0.50902777777777775</v>
      </c>
    </row>
    <row r="18" spans="2:13" ht="17.25" customHeight="1">
      <c r="B18" s="493" t="s">
        <v>524</v>
      </c>
      <c r="C18" s="494"/>
      <c r="D18" s="66">
        <f>SUMIFS('0808 4度C'!$I:$I,'0808 4度C'!$A:$A,"新豐6線",'0808 4度C'!$B:$B,"平均")</f>
        <v>17</v>
      </c>
      <c r="E18" s="67">
        <f>SUMIFS('0808 4度C'!$I:$I,'0808 4度C'!$A:$A,"新豐2線",'0808 4度C'!$B:$B,"平均")</f>
        <v>18</v>
      </c>
      <c r="F18" s="67">
        <f>SUMIFS('0808 4度C'!$I:$I,'0808 4度C'!$A:$A,"新豐5線",'0808 4度C'!$B:$B,"平均")</f>
        <v>18.75</v>
      </c>
      <c r="G18" s="67">
        <f>SUMIFS('0808 4度C'!$I:$I,'0808 4度C'!$A:$A,"新豐7線",'0808 4度C'!$B:$B,"平均")</f>
        <v>16.875</v>
      </c>
      <c r="H18" s="67">
        <f>SUMIFS('0808 4度C'!$I:$I,'0808 4度C'!$A:$A,"新豐3線",'0808 4度C'!$B:$B,"平均")</f>
        <v>10</v>
      </c>
      <c r="I18" s="67">
        <f>SUMIFS('0808 4度C'!$I:$I,'0808 4度C'!$A:$A,"新豐1線",'0808 4度C'!$B:$B,"平均")</f>
        <v>16.600000000000001</v>
      </c>
      <c r="J18" s="68">
        <f>SUMIFS('0808 4度C'!$I:$I,'0808 4度C'!$A:$A,"新豐10線",'0808 4度C'!$B:$B,"平均")</f>
        <v>10.166666666666666</v>
      </c>
      <c r="K18" s="66">
        <f>SUMIFS('0808 4度C'!$I:$I,'0808 4度C'!$A:$A,"新豐8線",'0808 4度C'!$B:$B,"平均")</f>
        <v>17.75</v>
      </c>
      <c r="L18" s="67">
        <f>SUMIFS('0808 4度C'!$I:$I,'0808 4度C'!$A:$A,"新豐9線",'0808 4度C'!$B:$B,"平均")</f>
        <v>18.571428571428573</v>
      </c>
      <c r="M18" s="68">
        <f>SUMIFS('0808 4度C'!$I:$I,'0808 4度C'!$A:$A,"新豐4線",'0808 4度C'!$B:$B,"平均")</f>
        <v>17.5</v>
      </c>
    </row>
    <row r="19" spans="2:13" ht="17.25" customHeight="1">
      <c r="B19" s="495" t="s">
        <v>92</v>
      </c>
      <c r="C19" s="496"/>
      <c r="D19" s="69" t="s">
        <v>46</v>
      </c>
      <c r="E19" s="70" t="s">
        <v>47</v>
      </c>
      <c r="F19" s="70" t="s">
        <v>93</v>
      </c>
      <c r="G19" s="70" t="s">
        <v>93</v>
      </c>
      <c r="H19" s="70" t="s">
        <v>48</v>
      </c>
      <c r="I19" s="70" t="s">
        <v>46</v>
      </c>
      <c r="J19" s="71" t="s">
        <v>48</v>
      </c>
      <c r="K19" s="69" t="s">
        <v>72</v>
      </c>
      <c r="L19" s="70" t="s">
        <v>72</v>
      </c>
      <c r="M19" s="71" t="s">
        <v>72</v>
      </c>
    </row>
    <row r="20" spans="2:13" ht="17.25" customHeight="1">
      <c r="B20" s="495" t="s">
        <v>525</v>
      </c>
      <c r="C20" s="496"/>
      <c r="D20" s="69"/>
      <c r="E20" s="70"/>
      <c r="F20" s="70" t="s">
        <v>526</v>
      </c>
      <c r="G20" s="70" t="s">
        <v>46</v>
      </c>
      <c r="H20" s="70"/>
      <c r="I20" s="70"/>
      <c r="J20" s="71"/>
      <c r="K20" s="69"/>
      <c r="L20" s="70"/>
      <c r="M20" s="71"/>
    </row>
    <row r="21" spans="2:13" ht="17.25" customHeight="1" thickBot="1">
      <c r="B21" s="497" t="s">
        <v>527</v>
      </c>
      <c r="C21" s="498"/>
      <c r="D21" s="72"/>
      <c r="E21" s="73" t="s">
        <v>528</v>
      </c>
      <c r="F21" s="499" t="s">
        <v>529</v>
      </c>
      <c r="G21" s="500"/>
      <c r="H21" s="73" t="s">
        <v>73</v>
      </c>
      <c r="I21" s="73" t="s">
        <v>530</v>
      </c>
      <c r="J21" s="74" t="s">
        <v>73</v>
      </c>
      <c r="K21" s="75"/>
      <c r="L21" s="73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492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4">
    <pageSetUpPr fitToPage="1"/>
  </sheetPr>
  <dimension ref="A1:AC68"/>
  <sheetViews>
    <sheetView zoomScale="80" zoomScaleNormal="80" workbookViewId="0">
      <pane ySplit="4" topLeftCell="A5" activePane="bottomLeft" state="frozen"/>
      <selection activeCell="C3" sqref="C3:J3"/>
      <selection pane="bottomLeft" activeCell="L18" sqref="L18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531</v>
      </c>
      <c r="B1" s="1"/>
      <c r="C1" s="2" t="s">
        <v>532</v>
      </c>
      <c r="D1" s="3">
        <f>SUM(F5:F67)</f>
        <v>133441</v>
      </c>
      <c r="E1" s="136" t="s">
        <v>533</v>
      </c>
      <c r="F1" s="1">
        <f>SUM(G5:G67)</f>
        <v>4540704.4499999993</v>
      </c>
      <c r="G1" s="1" t="s">
        <v>534</v>
      </c>
      <c r="H1" s="4">
        <f>L8+L13+L47+L53+L18+L60+L32+L40+L27+L67</f>
        <v>161.21309523809524</v>
      </c>
      <c r="I1" s="572" t="s">
        <v>535</v>
      </c>
      <c r="J1" s="572"/>
      <c r="K1" s="572"/>
      <c r="L1" s="572" t="s">
        <v>536</v>
      </c>
      <c r="M1" s="572"/>
      <c r="N1" s="572"/>
      <c r="O1" s="572" t="s">
        <v>537</v>
      </c>
      <c r="P1" s="572"/>
      <c r="Q1" s="572"/>
      <c r="R1" s="572"/>
      <c r="S1" s="572" t="s">
        <v>538</v>
      </c>
      <c r="T1" s="572"/>
      <c r="U1" s="572"/>
      <c r="V1" s="572"/>
      <c r="W1" s="572"/>
      <c r="X1" s="572"/>
      <c r="Y1" s="572" t="s">
        <v>539</v>
      </c>
      <c r="Z1" s="572"/>
      <c r="AA1" s="572" t="s">
        <v>540</v>
      </c>
      <c r="AB1" s="573"/>
      <c r="AC1" s="573"/>
    </row>
    <row r="2" spans="1:29" ht="26.25" customHeight="1">
      <c r="A2" s="22">
        <v>45877</v>
      </c>
      <c r="B2" s="23" t="s">
        <v>74</v>
      </c>
      <c r="C2" s="2" t="s">
        <v>116</v>
      </c>
      <c r="D2" s="6">
        <f>AVERAGE(N8,N13,N47,N53,N18,N60,N27,N32,N40,N67)</f>
        <v>137.18624482981659</v>
      </c>
      <c r="E2" s="7" t="s">
        <v>0</v>
      </c>
      <c r="F2" s="8">
        <f>F1/D1</f>
        <v>34.027805921718205</v>
      </c>
      <c r="G2" s="1" t="s">
        <v>117</v>
      </c>
      <c r="H2" s="135">
        <f>COUNT(H5:H67)</f>
        <v>1</v>
      </c>
      <c r="I2" s="572"/>
      <c r="J2" s="572"/>
      <c r="K2" s="572"/>
      <c r="L2" s="572"/>
      <c r="M2" s="572"/>
      <c r="N2" s="572"/>
      <c r="O2" s="572"/>
      <c r="P2" s="572"/>
      <c r="Q2" s="572"/>
      <c r="R2" s="572"/>
      <c r="S2" s="572"/>
      <c r="T2" s="572"/>
      <c r="U2" s="572"/>
      <c r="V2" s="572"/>
      <c r="W2" s="572"/>
      <c r="X2" s="572"/>
      <c r="Y2" s="572"/>
      <c r="Z2" s="572"/>
      <c r="AA2" s="573"/>
      <c r="AB2" s="573"/>
      <c r="AC2" s="573"/>
    </row>
    <row r="3" spans="1:29" ht="23.25" customHeight="1">
      <c r="A3" s="528" t="s">
        <v>541</v>
      </c>
      <c r="B3" s="528" t="s">
        <v>542</v>
      </c>
      <c r="C3" s="528" t="s">
        <v>543</v>
      </c>
      <c r="D3" s="528"/>
      <c r="E3" s="570" t="s">
        <v>544</v>
      </c>
      <c r="F3" s="528" t="s">
        <v>545</v>
      </c>
      <c r="G3" s="570" t="s">
        <v>546</v>
      </c>
      <c r="H3" s="563" t="s">
        <v>547</v>
      </c>
      <c r="I3" s="561" t="s">
        <v>548</v>
      </c>
      <c r="J3" s="566" t="s">
        <v>549</v>
      </c>
      <c r="K3" s="568" t="s">
        <v>550</v>
      </c>
      <c r="L3" s="561" t="s">
        <v>548</v>
      </c>
      <c r="M3" s="566" t="s">
        <v>551</v>
      </c>
      <c r="N3" s="568" t="s">
        <v>550</v>
      </c>
      <c r="O3" s="561" t="s">
        <v>548</v>
      </c>
      <c r="P3" s="568" t="s">
        <v>550</v>
      </c>
      <c r="Q3" s="567" t="s">
        <v>552</v>
      </c>
      <c r="R3" s="542" t="s">
        <v>553</v>
      </c>
      <c r="S3" s="569" t="s">
        <v>1</v>
      </c>
      <c r="T3" s="569"/>
      <c r="U3" s="563" t="s">
        <v>2</v>
      </c>
      <c r="V3" s="563" t="s">
        <v>66</v>
      </c>
      <c r="W3" s="528" t="s">
        <v>554</v>
      </c>
      <c r="X3" s="528"/>
      <c r="Y3" s="564" t="s">
        <v>555</v>
      </c>
      <c r="Z3" s="565"/>
      <c r="AA3" s="566" t="s">
        <v>551</v>
      </c>
      <c r="AB3" s="567" t="s">
        <v>556</v>
      </c>
      <c r="AC3" s="542" t="s">
        <v>553</v>
      </c>
    </row>
    <row r="4" spans="1:29">
      <c r="A4" s="528"/>
      <c r="B4" s="528"/>
      <c r="C4" s="528"/>
      <c r="D4" s="528"/>
      <c r="E4" s="571"/>
      <c r="F4" s="528"/>
      <c r="G4" s="571"/>
      <c r="H4" s="563"/>
      <c r="I4" s="561"/>
      <c r="J4" s="566"/>
      <c r="K4" s="568"/>
      <c r="L4" s="561"/>
      <c r="M4" s="566"/>
      <c r="N4" s="568"/>
      <c r="O4" s="561"/>
      <c r="P4" s="568"/>
      <c r="Q4" s="567"/>
      <c r="R4" s="542"/>
      <c r="S4" s="137" t="s">
        <v>3</v>
      </c>
      <c r="T4" s="137" t="s">
        <v>4</v>
      </c>
      <c r="U4" s="563"/>
      <c r="V4" s="563"/>
      <c r="W4" s="136" t="s">
        <v>557</v>
      </c>
      <c r="X4" s="136" t="s">
        <v>558</v>
      </c>
      <c r="Y4" s="565"/>
      <c r="Z4" s="565"/>
      <c r="AA4" s="566"/>
      <c r="AB4" s="567"/>
      <c r="AC4" s="542"/>
    </row>
    <row r="5" spans="1:29">
      <c r="A5" s="560" t="s">
        <v>559</v>
      </c>
      <c r="B5" s="26" t="s">
        <v>13</v>
      </c>
      <c r="C5" s="562" t="s">
        <v>53</v>
      </c>
      <c r="D5" s="562"/>
      <c r="E5" s="26">
        <v>46.93</v>
      </c>
      <c r="F5" s="137">
        <v>715</v>
      </c>
      <c r="G5" s="136">
        <f>E5*F5</f>
        <v>33554.949999999997</v>
      </c>
      <c r="H5" s="76" t="s">
        <v>52</v>
      </c>
      <c r="I5" s="139">
        <v>17</v>
      </c>
      <c r="J5" s="18">
        <v>2000</v>
      </c>
      <c r="K5" s="9">
        <f>J5/I5</f>
        <v>117.64705882352941</v>
      </c>
      <c r="L5" s="139">
        <v>17</v>
      </c>
      <c r="M5" s="10">
        <f>F5/V5*60</f>
        <v>1865.2173913043416</v>
      </c>
      <c r="N5" s="9">
        <f>M5/L5</f>
        <v>109.71867007672597</v>
      </c>
      <c r="O5" s="11">
        <f t="shared" ref="O5:O7" si="0">L5-I5</f>
        <v>0</v>
      </c>
      <c r="P5" s="12">
        <f t="shared" ref="P5:P7" si="1">N5-K5</f>
        <v>-7.9283887468034351</v>
      </c>
      <c r="Q5" s="141">
        <f>N5/K5</f>
        <v>0.93260869565217075</v>
      </c>
      <c r="R5" s="533">
        <f>Q8</f>
        <v>0.92983110367892918</v>
      </c>
      <c r="S5" s="24">
        <v>0.70833333333333337</v>
      </c>
      <c r="T5" s="24">
        <v>0.72430555555555565</v>
      </c>
      <c r="U5" s="136"/>
      <c r="V5" s="138">
        <f>(T5-S5)*24*60</f>
        <v>23.000000000000078</v>
      </c>
      <c r="W5" s="14"/>
      <c r="X5" s="13"/>
      <c r="Y5" s="528"/>
      <c r="Z5" s="528"/>
      <c r="AA5" s="11">
        <f t="shared" ref="AA5:AA67" si="2">M5-J5</f>
        <v>-134.78260869565838</v>
      </c>
      <c r="AB5" s="141">
        <f t="shared" ref="AB5:AB7" si="3">M5/J5</f>
        <v>0.93260869565217086</v>
      </c>
      <c r="AC5" s="533">
        <f>AB8</f>
        <v>0.92983110367892918</v>
      </c>
    </row>
    <row r="6" spans="1:29">
      <c r="A6" s="561" t="s">
        <v>559</v>
      </c>
      <c r="B6" s="26" t="s">
        <v>13</v>
      </c>
      <c r="C6" s="562" t="s">
        <v>55</v>
      </c>
      <c r="D6" s="562"/>
      <c r="E6" s="26">
        <v>50.49</v>
      </c>
      <c r="F6" s="137">
        <v>1617</v>
      </c>
      <c r="G6" s="136">
        <f t="shared" ref="G6:G7" si="4">E6*F6</f>
        <v>81642.33</v>
      </c>
      <c r="H6" s="76" t="s">
        <v>52</v>
      </c>
      <c r="I6" s="139">
        <v>16</v>
      </c>
      <c r="J6" s="18">
        <v>2000</v>
      </c>
      <c r="K6" s="9">
        <f t="shared" ref="K6:K7" si="5">J6/I6</f>
        <v>125</v>
      </c>
      <c r="L6" s="139">
        <v>16</v>
      </c>
      <c r="M6" s="10">
        <f>F6/V6*60</f>
        <v>1865.7692307692319</v>
      </c>
      <c r="N6" s="9">
        <f t="shared" ref="N6:N7" si="6">M6/L6</f>
        <v>116.61057692307699</v>
      </c>
      <c r="O6" s="11">
        <f t="shared" si="0"/>
        <v>0</v>
      </c>
      <c r="P6" s="12">
        <f t="shared" si="1"/>
        <v>-8.3894230769230091</v>
      </c>
      <c r="Q6" s="141">
        <f t="shared" ref="Q6:Q7" si="7">N6/K6</f>
        <v>0.93288461538461598</v>
      </c>
      <c r="R6" s="533"/>
      <c r="S6" s="24">
        <v>0.72777777777777786</v>
      </c>
      <c r="T6" s="24">
        <v>0.76388888888888895</v>
      </c>
      <c r="U6" s="136">
        <f>(S6-T5)*24*60</f>
        <v>4.9999999999999822</v>
      </c>
      <c r="V6" s="138">
        <f>(T6-S6)*24*60</f>
        <v>51.999999999999972</v>
      </c>
      <c r="W6" s="14"/>
      <c r="X6" s="14"/>
      <c r="Y6" s="528"/>
      <c r="Z6" s="528"/>
      <c r="AA6" s="11">
        <f t="shared" si="2"/>
        <v>-134.23076923076815</v>
      </c>
      <c r="AB6" s="141">
        <f t="shared" si="3"/>
        <v>0.93288461538461598</v>
      </c>
      <c r="AC6" s="533"/>
    </row>
    <row r="7" spans="1:29">
      <c r="A7" s="561" t="s">
        <v>560</v>
      </c>
      <c r="B7" s="26" t="s">
        <v>13</v>
      </c>
      <c r="C7" s="558" t="s">
        <v>76</v>
      </c>
      <c r="D7" s="559"/>
      <c r="E7" s="26">
        <v>50.67</v>
      </c>
      <c r="F7" s="137">
        <v>1694</v>
      </c>
      <c r="G7" s="136">
        <f t="shared" si="4"/>
        <v>85834.98</v>
      </c>
      <c r="H7" s="76" t="s">
        <v>52</v>
      </c>
      <c r="I7" s="139">
        <v>18</v>
      </c>
      <c r="J7" s="18">
        <v>2000</v>
      </c>
      <c r="K7" s="9">
        <f t="shared" si="5"/>
        <v>111.11111111111111</v>
      </c>
      <c r="L7" s="139">
        <v>18</v>
      </c>
      <c r="M7" s="10">
        <f t="shared" ref="M7" si="8">F7/V7*60</f>
        <v>1848.0000000000011</v>
      </c>
      <c r="N7" s="9">
        <f t="shared" si="6"/>
        <v>102.66666666666673</v>
      </c>
      <c r="O7" s="11">
        <f t="shared" si="0"/>
        <v>0</v>
      </c>
      <c r="P7" s="12">
        <f t="shared" si="1"/>
        <v>-8.444444444444386</v>
      </c>
      <c r="Q7" s="141">
        <f t="shared" si="7"/>
        <v>0.92400000000000049</v>
      </c>
      <c r="R7" s="533"/>
      <c r="S7" s="24">
        <v>0.76944444444444449</v>
      </c>
      <c r="T7" s="24">
        <v>0.80763888888888891</v>
      </c>
      <c r="U7" s="136">
        <f t="shared" ref="U7" si="9">(S7-T6)*24*60</f>
        <v>7.9999999999999716</v>
      </c>
      <c r="V7" s="138">
        <f t="shared" ref="V7" si="10">(T7-S7)*24*60</f>
        <v>54.999999999999964</v>
      </c>
      <c r="W7" s="14"/>
      <c r="X7" s="14"/>
      <c r="Y7" s="536"/>
      <c r="Z7" s="537"/>
      <c r="AA7" s="11">
        <f t="shared" si="2"/>
        <v>-151.99999999999886</v>
      </c>
      <c r="AB7" s="141">
        <f t="shared" si="3"/>
        <v>0.9240000000000006</v>
      </c>
      <c r="AC7" s="533"/>
    </row>
    <row r="8" spans="1:29">
      <c r="A8" s="561" t="s">
        <v>560</v>
      </c>
      <c r="B8" s="26" t="s">
        <v>561</v>
      </c>
      <c r="C8" s="530"/>
      <c r="D8" s="530"/>
      <c r="E8" s="140"/>
      <c r="F8" s="16"/>
      <c r="G8" s="9"/>
      <c r="H8" s="137"/>
      <c r="I8" s="17">
        <v>17</v>
      </c>
      <c r="J8" s="18">
        <v>2000</v>
      </c>
      <c r="K8" s="9">
        <f>J8/I8</f>
        <v>117.64705882352941</v>
      </c>
      <c r="L8" s="17">
        <v>17</v>
      </c>
      <c r="M8" s="10">
        <f>AVERAGE(M5:M7)</f>
        <v>1859.6622073578583</v>
      </c>
      <c r="N8" s="9">
        <f>M8/L8</f>
        <v>109.39189455046225</v>
      </c>
      <c r="O8" s="11">
        <f>L8-I8</f>
        <v>0</v>
      </c>
      <c r="P8" s="12">
        <f>N8-K8</f>
        <v>-8.2551642730671517</v>
      </c>
      <c r="Q8" s="141">
        <f>N8/K8</f>
        <v>0.92983110367892918</v>
      </c>
      <c r="R8" s="533"/>
      <c r="S8" s="24"/>
      <c r="T8" s="24"/>
      <c r="U8" s="136"/>
      <c r="V8" s="138"/>
      <c r="W8" s="9"/>
      <c r="X8" s="9"/>
      <c r="Y8" s="528"/>
      <c r="Z8" s="528"/>
      <c r="AA8" s="11">
        <f t="shared" si="2"/>
        <v>-140.33779264214172</v>
      </c>
      <c r="AB8" s="141">
        <f>M8/J8</f>
        <v>0.92983110367892918</v>
      </c>
      <c r="AC8" s="533"/>
    </row>
    <row r="9" spans="1:29" ht="15.75" customHeight="1">
      <c r="A9" s="531" t="s">
        <v>562</v>
      </c>
      <c r="B9" s="26" t="s">
        <v>15</v>
      </c>
      <c r="C9" s="558" t="s">
        <v>16</v>
      </c>
      <c r="D9" s="559"/>
      <c r="E9" s="26">
        <v>39.619999999999997</v>
      </c>
      <c r="F9" s="137">
        <v>3684</v>
      </c>
      <c r="G9" s="136">
        <f t="shared" ref="G9:G12" si="11">E9*F9</f>
        <v>145960.07999999999</v>
      </c>
      <c r="H9" s="76" t="s">
        <v>52</v>
      </c>
      <c r="I9" s="139">
        <v>19</v>
      </c>
      <c r="J9" s="18">
        <v>1500</v>
      </c>
      <c r="K9" s="9">
        <f t="shared" ref="K9:K12" si="12">J9/I9</f>
        <v>78.94736842105263</v>
      </c>
      <c r="L9" s="139">
        <v>19</v>
      </c>
      <c r="M9" s="10">
        <f t="shared" ref="M9:M12" si="13">F9/V9*60</f>
        <v>1381.5</v>
      </c>
      <c r="N9" s="9">
        <f t="shared" ref="N9:N12" si="14">M9/L9</f>
        <v>72.71052631578948</v>
      </c>
      <c r="O9" s="11">
        <f t="shared" ref="O9:O12" si="15">L9-I9</f>
        <v>0</v>
      </c>
      <c r="P9" s="12">
        <f>N9-K9</f>
        <v>-6.2368421052631504</v>
      </c>
      <c r="Q9" s="141">
        <f>N9/K9</f>
        <v>0.92100000000000004</v>
      </c>
      <c r="R9" s="533">
        <f>Q13</f>
        <v>0.92025555140386439</v>
      </c>
      <c r="S9" s="24">
        <v>0.12847222222222221</v>
      </c>
      <c r="T9" s="24">
        <v>0.23958333333333331</v>
      </c>
      <c r="U9" s="136"/>
      <c r="V9" s="138">
        <f t="shared" ref="V9:V12" si="16">(T9-S9)*24*60</f>
        <v>160</v>
      </c>
      <c r="W9" s="14">
        <f>T9</f>
        <v>0.23958333333333331</v>
      </c>
      <c r="X9" s="14">
        <f>S10</f>
        <v>0.26527777777777772</v>
      </c>
      <c r="Y9" s="528"/>
      <c r="Z9" s="528"/>
      <c r="AA9" s="11">
        <f t="shared" si="2"/>
        <v>-118.5</v>
      </c>
      <c r="AB9" s="141">
        <f>M9/J9</f>
        <v>0.92100000000000004</v>
      </c>
      <c r="AC9" s="533">
        <f>AB13</f>
        <v>0.92025555140386439</v>
      </c>
    </row>
    <row r="10" spans="1:29" ht="15.75" customHeight="1">
      <c r="A10" s="531" t="s">
        <v>563</v>
      </c>
      <c r="B10" s="26" t="s">
        <v>15</v>
      </c>
      <c r="C10" s="558" t="s">
        <v>17</v>
      </c>
      <c r="D10" s="559"/>
      <c r="E10" s="26">
        <v>39.799999999999997</v>
      </c>
      <c r="F10" s="137">
        <v>3500</v>
      </c>
      <c r="G10" s="136">
        <f t="shared" si="11"/>
        <v>139300</v>
      </c>
      <c r="H10" s="76">
        <v>2</v>
      </c>
      <c r="I10" s="139">
        <v>17</v>
      </c>
      <c r="J10" s="18">
        <v>1500</v>
      </c>
      <c r="K10" s="9">
        <f t="shared" si="12"/>
        <v>88.235294117647058</v>
      </c>
      <c r="L10" s="139">
        <v>17</v>
      </c>
      <c r="M10" s="10">
        <f t="shared" si="13"/>
        <v>1381.5789473684208</v>
      </c>
      <c r="N10" s="9">
        <f t="shared" si="14"/>
        <v>81.269349845201219</v>
      </c>
      <c r="O10" s="11">
        <f t="shared" si="15"/>
        <v>0</v>
      </c>
      <c r="P10" s="12">
        <f t="shared" ref="P10:P12" si="17">N10-K10</f>
        <v>-6.9659442724458387</v>
      </c>
      <c r="Q10" s="141">
        <f t="shared" ref="Q10:Q12" si="18">N10/K10</f>
        <v>0.92105263157894712</v>
      </c>
      <c r="R10" s="533"/>
      <c r="S10" s="24">
        <v>0.26527777777777772</v>
      </c>
      <c r="T10" s="24">
        <v>0.37083333333333329</v>
      </c>
      <c r="U10" s="136">
        <f>(S10-T9)*24*60</f>
        <v>36.99999999999995</v>
      </c>
      <c r="V10" s="138">
        <f t="shared" si="16"/>
        <v>152.00000000000003</v>
      </c>
      <c r="W10" s="14"/>
      <c r="X10" s="14"/>
      <c r="Y10" s="528"/>
      <c r="Z10" s="528"/>
      <c r="AA10" s="11">
        <f t="shared" si="2"/>
        <v>-118.42105263157919</v>
      </c>
      <c r="AB10" s="141">
        <f t="shared" ref="AB10:AB27" si="19">M10/J10</f>
        <v>0.92105263157894723</v>
      </c>
      <c r="AC10" s="533"/>
    </row>
    <row r="11" spans="1:29" ht="15.75" customHeight="1">
      <c r="A11" s="531" t="s">
        <v>563</v>
      </c>
      <c r="B11" s="26" t="s">
        <v>15</v>
      </c>
      <c r="C11" s="558" t="s">
        <v>80</v>
      </c>
      <c r="D11" s="559"/>
      <c r="E11" s="26">
        <v>39.29</v>
      </c>
      <c r="F11" s="137">
        <v>3327</v>
      </c>
      <c r="G11" s="136">
        <f t="shared" si="11"/>
        <v>130717.83</v>
      </c>
      <c r="H11" s="76" t="s">
        <v>52</v>
      </c>
      <c r="I11" s="139">
        <v>19</v>
      </c>
      <c r="J11" s="18">
        <v>1500</v>
      </c>
      <c r="K11" s="9">
        <f t="shared" si="12"/>
        <v>78.94736842105263</v>
      </c>
      <c r="L11" s="139">
        <v>19</v>
      </c>
      <c r="M11" s="10">
        <f t="shared" si="13"/>
        <v>1376.6896551724142</v>
      </c>
      <c r="N11" s="9">
        <f t="shared" si="14"/>
        <v>72.457350272232318</v>
      </c>
      <c r="O11" s="11">
        <f t="shared" si="15"/>
        <v>0</v>
      </c>
      <c r="P11" s="12">
        <f t="shared" si="17"/>
        <v>-6.4900181488203117</v>
      </c>
      <c r="Q11" s="141">
        <f t="shared" si="18"/>
        <v>0.91779310344827603</v>
      </c>
      <c r="R11" s="533"/>
      <c r="S11" s="24">
        <v>0.37986111111111104</v>
      </c>
      <c r="T11" s="24">
        <v>0.48055555555555546</v>
      </c>
      <c r="U11" s="136">
        <f t="shared" ref="U11:U12" si="20">(S11-T10)*24*60</f>
        <v>12.999999999999954</v>
      </c>
      <c r="V11" s="138">
        <f t="shared" si="16"/>
        <v>144.99999999999997</v>
      </c>
      <c r="W11" s="14">
        <f>T11</f>
        <v>0.48055555555555546</v>
      </c>
      <c r="X11" s="14">
        <f>S12</f>
        <v>0.52152777777777759</v>
      </c>
      <c r="Y11" s="528"/>
      <c r="Z11" s="528"/>
      <c r="AA11" s="11">
        <f t="shared" si="2"/>
        <v>-123.31034482758582</v>
      </c>
      <c r="AB11" s="141">
        <f t="shared" si="19"/>
        <v>0.91779310344827614</v>
      </c>
      <c r="AC11" s="533"/>
    </row>
    <row r="12" spans="1:29" ht="15.75" customHeight="1">
      <c r="A12" s="531" t="s">
        <v>564</v>
      </c>
      <c r="B12" s="26" t="s">
        <v>15</v>
      </c>
      <c r="C12" s="558" t="s">
        <v>17</v>
      </c>
      <c r="D12" s="559"/>
      <c r="E12" s="26">
        <v>39.799999999999997</v>
      </c>
      <c r="F12" s="137">
        <v>1566</v>
      </c>
      <c r="G12" s="136">
        <f t="shared" si="11"/>
        <v>62326.799999999996</v>
      </c>
      <c r="H12" s="76" t="s">
        <v>52</v>
      </c>
      <c r="I12" s="139">
        <v>17</v>
      </c>
      <c r="J12" s="18">
        <v>1500</v>
      </c>
      <c r="K12" s="9">
        <f t="shared" si="12"/>
        <v>88.235294117647058</v>
      </c>
      <c r="L12" s="139">
        <v>17</v>
      </c>
      <c r="M12" s="10">
        <f t="shared" si="13"/>
        <v>1381.7647058823511</v>
      </c>
      <c r="N12" s="9">
        <f t="shared" si="14"/>
        <v>81.28027681660889</v>
      </c>
      <c r="O12" s="11">
        <f t="shared" si="15"/>
        <v>0</v>
      </c>
      <c r="P12" s="12">
        <f t="shared" si="17"/>
        <v>-6.9550173010381684</v>
      </c>
      <c r="Q12" s="141">
        <f t="shared" si="18"/>
        <v>0.92117647058823404</v>
      </c>
      <c r="R12" s="533"/>
      <c r="S12" s="24">
        <v>0.52152777777777759</v>
      </c>
      <c r="T12" s="24">
        <v>0.56874999999999987</v>
      </c>
      <c r="U12" s="136">
        <f t="shared" si="20"/>
        <v>58.999999999999872</v>
      </c>
      <c r="V12" s="138">
        <f t="shared" si="16"/>
        <v>68.000000000000085</v>
      </c>
      <c r="W12" s="14"/>
      <c r="X12" s="14"/>
      <c r="Y12" s="528"/>
      <c r="Z12" s="528"/>
      <c r="AA12" s="11">
        <f t="shared" si="2"/>
        <v>-118.23529411764889</v>
      </c>
      <c r="AB12" s="141">
        <f t="shared" si="19"/>
        <v>0.92117647058823404</v>
      </c>
      <c r="AC12" s="533"/>
    </row>
    <row r="13" spans="1:29" ht="16.5" customHeight="1">
      <c r="A13" s="531" t="s">
        <v>564</v>
      </c>
      <c r="B13" s="26" t="s">
        <v>561</v>
      </c>
      <c r="C13" s="530"/>
      <c r="D13" s="530"/>
      <c r="E13" s="140"/>
      <c r="F13" s="18"/>
      <c r="G13" s="10"/>
      <c r="H13" s="137"/>
      <c r="I13" s="17">
        <v>18</v>
      </c>
      <c r="J13" s="18">
        <v>1500</v>
      </c>
      <c r="K13" s="9">
        <f>J13/I13</f>
        <v>83.333333333333329</v>
      </c>
      <c r="L13" s="17">
        <v>18</v>
      </c>
      <c r="M13" s="10">
        <f>AVERAGE(M9:M12)</f>
        <v>1380.3833271057965</v>
      </c>
      <c r="N13" s="9">
        <f>M13/L13</f>
        <v>76.687962616988699</v>
      </c>
      <c r="O13" s="11">
        <f>L13-I13</f>
        <v>0</v>
      </c>
      <c r="P13" s="12">
        <f>N13-K13</f>
        <v>-6.6453707163446296</v>
      </c>
      <c r="Q13" s="141">
        <f>N13/K13</f>
        <v>0.92025555140386439</v>
      </c>
      <c r="R13" s="533"/>
      <c r="S13" s="24"/>
      <c r="T13" s="24"/>
      <c r="U13" s="9"/>
      <c r="V13" s="138"/>
      <c r="W13" s="9"/>
      <c r="X13" s="9"/>
      <c r="Y13" s="528"/>
      <c r="Z13" s="528"/>
      <c r="AA13" s="11">
        <f t="shared" si="2"/>
        <v>-119.61667289420348</v>
      </c>
      <c r="AB13" s="141">
        <f t="shared" si="19"/>
        <v>0.92025555140386439</v>
      </c>
      <c r="AC13" s="533"/>
    </row>
    <row r="14" spans="1:29" ht="16.5" customHeight="1">
      <c r="A14" s="556" t="s">
        <v>565</v>
      </c>
      <c r="B14" s="137" t="s">
        <v>21</v>
      </c>
      <c r="C14" s="552" t="s">
        <v>19</v>
      </c>
      <c r="D14" s="552"/>
      <c r="E14" s="26">
        <v>41</v>
      </c>
      <c r="F14" s="137">
        <v>1584</v>
      </c>
      <c r="G14" s="136">
        <f t="shared" ref="G14:G17" si="21">E14*F14</f>
        <v>64944</v>
      </c>
      <c r="H14" s="76" t="s">
        <v>52</v>
      </c>
      <c r="I14" s="139">
        <v>26</v>
      </c>
      <c r="J14" s="18">
        <v>1500</v>
      </c>
      <c r="K14" s="9">
        <f>J14/I14</f>
        <v>57.692307692307693</v>
      </c>
      <c r="L14" s="139">
        <v>26</v>
      </c>
      <c r="M14" s="10">
        <f>F14/V14*60</f>
        <v>1397.6470588235293</v>
      </c>
      <c r="N14" s="9">
        <f t="shared" ref="N14:N26" si="22">M14/L14</f>
        <v>53.755656108597279</v>
      </c>
      <c r="O14" s="11">
        <f t="shared" ref="O14" si="23">L14-I14</f>
        <v>0</v>
      </c>
      <c r="P14" s="12">
        <f t="shared" ref="P14" si="24">N14-K14</f>
        <v>-3.9366515837104146</v>
      </c>
      <c r="Q14" s="141">
        <f>N14/K14</f>
        <v>0.93176470588235283</v>
      </c>
      <c r="R14" s="533">
        <f>Q18</f>
        <v>0.92608282321192914</v>
      </c>
      <c r="S14" s="24">
        <v>0.25</v>
      </c>
      <c r="T14" s="24">
        <v>0.29722222222222222</v>
      </c>
      <c r="U14" s="136"/>
      <c r="V14" s="138">
        <f>(T14-S14)*24*60</f>
        <v>68</v>
      </c>
      <c r="W14" s="15"/>
      <c r="X14" s="15"/>
      <c r="Y14" s="528"/>
      <c r="Z14" s="528"/>
      <c r="AA14" s="11">
        <f t="shared" si="2"/>
        <v>-102.35294117647072</v>
      </c>
      <c r="AB14" s="141">
        <f t="shared" si="19"/>
        <v>0.93176470588235283</v>
      </c>
      <c r="AC14" s="533">
        <f>AB18</f>
        <v>0.92608282321192903</v>
      </c>
    </row>
    <row r="15" spans="1:29" ht="16.5" customHeight="1">
      <c r="A15" s="557" t="s">
        <v>565</v>
      </c>
      <c r="B15" s="137" t="s">
        <v>15</v>
      </c>
      <c r="C15" s="552" t="s">
        <v>49</v>
      </c>
      <c r="D15" s="552"/>
      <c r="E15" s="26">
        <v>39.29</v>
      </c>
      <c r="F15" s="137">
        <v>2793</v>
      </c>
      <c r="G15" s="136">
        <f t="shared" si="21"/>
        <v>109736.97</v>
      </c>
      <c r="H15" s="76" t="s">
        <v>52</v>
      </c>
      <c r="I15" s="139">
        <v>16</v>
      </c>
      <c r="J15" s="18">
        <v>1500</v>
      </c>
      <c r="K15" s="9">
        <f>J15/I15</f>
        <v>93.75</v>
      </c>
      <c r="L15" s="139">
        <v>16</v>
      </c>
      <c r="M15" s="10">
        <f>F15/V15*60</f>
        <v>1384.9586776859508</v>
      </c>
      <c r="N15" s="9">
        <f t="shared" si="22"/>
        <v>86.559917355371923</v>
      </c>
      <c r="O15" s="11">
        <f>L15-I15</f>
        <v>0</v>
      </c>
      <c r="P15" s="12">
        <f>N15-K15</f>
        <v>-7.1900826446280774</v>
      </c>
      <c r="Q15" s="141">
        <f>N15/K15</f>
        <v>0.92330578512396722</v>
      </c>
      <c r="R15" s="533"/>
      <c r="S15" s="24">
        <v>0.30694444444444441</v>
      </c>
      <c r="T15" s="24">
        <v>0.39097222222222217</v>
      </c>
      <c r="U15" s="136">
        <f>IF(S15=TIME(17,0,0),"",(S15-T14)*24*60)</f>
        <v>13.99999999999995</v>
      </c>
      <c r="V15" s="138">
        <f>(T15-S15)*24*60</f>
        <v>120.99999999999997</v>
      </c>
      <c r="W15" s="14"/>
      <c r="X15" s="14"/>
      <c r="Y15" s="528"/>
      <c r="Z15" s="528"/>
      <c r="AA15" s="11">
        <f t="shared" si="2"/>
        <v>-115.04132231404924</v>
      </c>
      <c r="AB15" s="141">
        <f t="shared" si="19"/>
        <v>0.92330578512396722</v>
      </c>
      <c r="AC15" s="533"/>
    </row>
    <row r="16" spans="1:29" ht="16.5" customHeight="1">
      <c r="A16" s="557" t="s">
        <v>565</v>
      </c>
      <c r="B16" s="137" t="s">
        <v>13</v>
      </c>
      <c r="C16" s="552" t="s">
        <v>57</v>
      </c>
      <c r="D16" s="552"/>
      <c r="E16" s="26">
        <v>50.98</v>
      </c>
      <c r="F16" s="137">
        <v>2163</v>
      </c>
      <c r="G16" s="136">
        <f t="shared" si="21"/>
        <v>110269.73999999999</v>
      </c>
      <c r="H16" s="76" t="s">
        <v>52</v>
      </c>
      <c r="I16" s="139">
        <v>17</v>
      </c>
      <c r="J16" s="18">
        <v>2000</v>
      </c>
      <c r="K16" s="9">
        <f t="shared" ref="K16:K17" si="25">J16/I16</f>
        <v>117.64705882352941</v>
      </c>
      <c r="L16" s="139">
        <v>17</v>
      </c>
      <c r="M16" s="10">
        <f t="shared" ref="M16:M17" si="26">F16/V16*60</f>
        <v>1853.9999999999982</v>
      </c>
      <c r="N16" s="9">
        <f t="shared" si="22"/>
        <v>109.05882352941165</v>
      </c>
      <c r="O16" s="11">
        <f t="shared" ref="O16:O17" si="27">L16-I16</f>
        <v>0</v>
      </c>
      <c r="P16" s="12">
        <f t="shared" ref="P16:P17" si="28">N16-K16</f>
        <v>-8.5882352941177516</v>
      </c>
      <c r="Q16" s="141">
        <f t="shared" ref="Q16:Q26" si="29">N16/K16</f>
        <v>0.92699999999999916</v>
      </c>
      <c r="R16" s="533"/>
      <c r="S16" s="24">
        <v>0.70833333333333337</v>
      </c>
      <c r="T16" s="24">
        <v>0.75694444444444453</v>
      </c>
      <c r="U16" s="136" t="str">
        <f t="shared" ref="U16:U17" si="30">IF(S16=TIME(17,0,0),"",(S16-T15)*24*60)</f>
        <v/>
      </c>
      <c r="V16" s="138">
        <f t="shared" ref="V16:V17" si="31">(T16-S16)*24*60</f>
        <v>70.000000000000071</v>
      </c>
      <c r="W16" s="14"/>
      <c r="X16" s="14"/>
      <c r="Y16" s="528"/>
      <c r="Z16" s="528"/>
      <c r="AA16" s="11">
        <f t="shared" si="2"/>
        <v>-146.00000000000182</v>
      </c>
      <c r="AB16" s="141">
        <f t="shared" si="19"/>
        <v>0.92699999999999905</v>
      </c>
      <c r="AC16" s="533"/>
    </row>
    <row r="17" spans="1:29" ht="16.5" customHeight="1">
      <c r="A17" s="557" t="s">
        <v>565</v>
      </c>
      <c r="B17" s="137" t="s">
        <v>13</v>
      </c>
      <c r="C17" s="552" t="s">
        <v>54</v>
      </c>
      <c r="D17" s="552"/>
      <c r="E17" s="26">
        <v>50.92</v>
      </c>
      <c r="F17" s="137">
        <v>2369</v>
      </c>
      <c r="G17" s="136">
        <f t="shared" si="21"/>
        <v>120629.48000000001</v>
      </c>
      <c r="H17" s="76" t="s">
        <v>52</v>
      </c>
      <c r="I17" s="139">
        <v>16</v>
      </c>
      <c r="J17" s="18">
        <v>2000</v>
      </c>
      <c r="K17" s="9">
        <f t="shared" si="25"/>
        <v>125</v>
      </c>
      <c r="L17" s="139">
        <v>16</v>
      </c>
      <c r="M17" s="10">
        <f t="shared" si="26"/>
        <v>1845.9740259740249</v>
      </c>
      <c r="N17" s="9">
        <f t="shared" si="22"/>
        <v>115.37337662337656</v>
      </c>
      <c r="O17" s="11">
        <f t="shared" si="27"/>
        <v>0</v>
      </c>
      <c r="P17" s="12">
        <f t="shared" si="28"/>
        <v>-9.6266233766234421</v>
      </c>
      <c r="Q17" s="141">
        <f t="shared" si="29"/>
        <v>0.92298701298701247</v>
      </c>
      <c r="R17" s="533"/>
      <c r="S17" s="24">
        <v>0.76180555555555562</v>
      </c>
      <c r="T17" s="24">
        <v>0.81527777777777788</v>
      </c>
      <c r="U17" s="136">
        <f t="shared" si="30"/>
        <v>6.9999999999999751</v>
      </c>
      <c r="V17" s="138">
        <f t="shared" si="31"/>
        <v>77.000000000000043</v>
      </c>
      <c r="W17" s="14"/>
      <c r="X17" s="14"/>
      <c r="Y17" s="528"/>
      <c r="Z17" s="528"/>
      <c r="AA17" s="11">
        <f t="shared" si="2"/>
        <v>-154.02597402597507</v>
      </c>
      <c r="AB17" s="141">
        <f t="shared" si="19"/>
        <v>0.92298701298701247</v>
      </c>
      <c r="AC17" s="533"/>
    </row>
    <row r="18" spans="1:29" ht="16.5" customHeight="1">
      <c r="A18" s="557" t="s">
        <v>566</v>
      </c>
      <c r="B18" s="26" t="s">
        <v>567</v>
      </c>
      <c r="C18" s="530"/>
      <c r="D18" s="530"/>
      <c r="E18" s="140"/>
      <c r="F18" s="16"/>
      <c r="G18" s="9"/>
      <c r="H18" s="137"/>
      <c r="I18" s="17">
        <f>AVERAGE(I14:I17)</f>
        <v>18.75</v>
      </c>
      <c r="J18" s="18">
        <v>1750</v>
      </c>
      <c r="K18" s="9">
        <f>J18/I18</f>
        <v>93.333333333333329</v>
      </c>
      <c r="L18" s="17">
        <f>AVERAGE(L14:L17)</f>
        <v>18.75</v>
      </c>
      <c r="M18" s="10">
        <f>AVERAGE(M14:M17)</f>
        <v>1620.6449406208758</v>
      </c>
      <c r="N18" s="9">
        <f t="shared" si="22"/>
        <v>86.434396833113382</v>
      </c>
      <c r="O18" s="11">
        <f>L18-I18</f>
        <v>0</v>
      </c>
      <c r="P18" s="12">
        <f>N18-K18</f>
        <v>-6.8989365002199463</v>
      </c>
      <c r="Q18" s="141">
        <f t="shared" si="29"/>
        <v>0.92608282321192914</v>
      </c>
      <c r="R18" s="533"/>
      <c r="S18" s="24"/>
      <c r="T18" s="24"/>
      <c r="U18" s="136"/>
      <c r="V18" s="138"/>
      <c r="W18" s="9"/>
      <c r="X18" s="9"/>
      <c r="Y18" s="528"/>
      <c r="Z18" s="528"/>
      <c r="AA18" s="11">
        <f t="shared" si="2"/>
        <v>-129.35505937912421</v>
      </c>
      <c r="AB18" s="141">
        <f t="shared" si="19"/>
        <v>0.92608282321192903</v>
      </c>
      <c r="AC18" s="533"/>
    </row>
    <row r="19" spans="1:29" ht="15.75" customHeight="1">
      <c r="A19" s="554" t="s">
        <v>568</v>
      </c>
      <c r="B19" s="26" t="s">
        <v>21</v>
      </c>
      <c r="C19" s="552" t="s">
        <v>22</v>
      </c>
      <c r="D19" s="552"/>
      <c r="E19" s="26">
        <v>43.14</v>
      </c>
      <c r="F19" s="137">
        <v>934</v>
      </c>
      <c r="G19" s="136">
        <f t="shared" ref="G19:G26" si="32">E19*F19</f>
        <v>40292.76</v>
      </c>
      <c r="H19" s="76" t="s">
        <v>52</v>
      </c>
      <c r="I19" s="139">
        <v>17</v>
      </c>
      <c r="J19" s="18">
        <v>2000</v>
      </c>
      <c r="K19" s="9">
        <f t="shared" ref="K19:K27" si="33">J19/I19</f>
        <v>117.64705882352941</v>
      </c>
      <c r="L19" s="139">
        <v>17</v>
      </c>
      <c r="M19" s="10">
        <f t="shared" ref="M19:M26" si="34">F19/V19*60</f>
        <v>1867.9999999999991</v>
      </c>
      <c r="N19" s="9">
        <f t="shared" si="22"/>
        <v>109.88235294117642</v>
      </c>
      <c r="O19" s="11">
        <f t="shared" ref="O19:O26" si="35">L19-I19</f>
        <v>0</v>
      </c>
      <c r="P19" s="12">
        <f t="shared" ref="P19:P26" si="36">N19-K19</f>
        <v>-7.7647058823529846</v>
      </c>
      <c r="Q19" s="141">
        <f t="shared" si="29"/>
        <v>0.93399999999999961</v>
      </c>
      <c r="R19" s="533">
        <f>Q27</f>
        <v>0.93869717483762183</v>
      </c>
      <c r="S19" s="24">
        <v>0.20833333333333334</v>
      </c>
      <c r="T19" s="24">
        <v>0.22916666666666669</v>
      </c>
      <c r="U19" s="136"/>
      <c r="V19" s="138">
        <f>(T19-S19)*24*60</f>
        <v>30.000000000000014</v>
      </c>
      <c r="W19" s="15"/>
      <c r="X19" s="15"/>
      <c r="Y19" s="528"/>
      <c r="Z19" s="528"/>
      <c r="AA19" s="11">
        <f t="shared" si="2"/>
        <v>-132.00000000000091</v>
      </c>
      <c r="AB19" s="141">
        <f t="shared" si="19"/>
        <v>0.9339999999999995</v>
      </c>
      <c r="AC19" s="533">
        <f>AB27</f>
        <v>0.93869717483762194</v>
      </c>
    </row>
    <row r="20" spans="1:29" ht="15.75" customHeight="1">
      <c r="A20" s="555" t="s">
        <v>569</v>
      </c>
      <c r="B20" s="26" t="s">
        <v>13</v>
      </c>
      <c r="C20" s="552" t="s">
        <v>23</v>
      </c>
      <c r="D20" s="552"/>
      <c r="E20" s="26">
        <v>57.73</v>
      </c>
      <c r="F20" s="137">
        <v>2042</v>
      </c>
      <c r="G20" s="136">
        <f t="shared" si="32"/>
        <v>117884.65999999999</v>
      </c>
      <c r="H20" s="76" t="s">
        <v>52</v>
      </c>
      <c r="I20" s="139">
        <v>16</v>
      </c>
      <c r="J20" s="18">
        <v>2000</v>
      </c>
      <c r="K20" s="9">
        <f t="shared" si="33"/>
        <v>125</v>
      </c>
      <c r="L20" s="139">
        <v>16</v>
      </c>
      <c r="M20" s="10">
        <f t="shared" si="34"/>
        <v>1856.3636363636363</v>
      </c>
      <c r="N20" s="9">
        <f t="shared" si="22"/>
        <v>116.02272727272727</v>
      </c>
      <c r="O20" s="11">
        <f t="shared" si="35"/>
        <v>0</v>
      </c>
      <c r="P20" s="12">
        <f t="shared" si="36"/>
        <v>-8.9772727272727337</v>
      </c>
      <c r="Q20" s="141">
        <f t="shared" si="29"/>
        <v>0.92818181818181811</v>
      </c>
      <c r="R20" s="533"/>
      <c r="S20" s="24">
        <v>0.2326388888888889</v>
      </c>
      <c r="T20" s="24">
        <v>0.27847222222222223</v>
      </c>
      <c r="U20" s="136">
        <f>IF(S20=TIME(17,0,0),"",(S20-T19)*24*60)</f>
        <v>4.9999999999999822</v>
      </c>
      <c r="V20" s="138">
        <f t="shared" ref="V20:V26" si="37">(T20-S20)*24*60</f>
        <v>66</v>
      </c>
      <c r="W20" s="14"/>
      <c r="X20" s="136"/>
      <c r="Y20" s="528"/>
      <c r="Z20" s="528"/>
      <c r="AA20" s="11">
        <f t="shared" si="2"/>
        <v>-143.63636363636374</v>
      </c>
      <c r="AB20" s="141">
        <f t="shared" si="19"/>
        <v>0.92818181818181811</v>
      </c>
      <c r="AC20" s="533"/>
    </row>
    <row r="21" spans="1:29" ht="15.75" customHeight="1">
      <c r="A21" s="555" t="s">
        <v>568</v>
      </c>
      <c r="B21" s="26" t="s">
        <v>13</v>
      </c>
      <c r="C21" s="552" t="s">
        <v>14</v>
      </c>
      <c r="D21" s="552"/>
      <c r="E21" s="26">
        <v>53.68</v>
      </c>
      <c r="F21" s="137">
        <v>1418</v>
      </c>
      <c r="G21" s="136">
        <f t="shared" si="32"/>
        <v>76118.240000000005</v>
      </c>
      <c r="H21" s="76" t="s">
        <v>52</v>
      </c>
      <c r="I21" s="139">
        <v>17</v>
      </c>
      <c r="J21" s="18">
        <v>2000</v>
      </c>
      <c r="K21" s="9">
        <f t="shared" si="33"/>
        <v>117.64705882352941</v>
      </c>
      <c r="L21" s="139">
        <v>17</v>
      </c>
      <c r="M21" s="10">
        <f t="shared" si="34"/>
        <v>1849.5652173913043</v>
      </c>
      <c r="N21" s="9">
        <f t="shared" si="22"/>
        <v>108.79795396419436</v>
      </c>
      <c r="O21" s="11">
        <f t="shared" si="35"/>
        <v>0</v>
      </c>
      <c r="P21" s="12">
        <f t="shared" si="36"/>
        <v>-8.8491048593350428</v>
      </c>
      <c r="Q21" s="141">
        <f t="shared" si="29"/>
        <v>0.9247826086956521</v>
      </c>
      <c r="R21" s="533"/>
      <c r="S21" s="24">
        <v>0.28263888888888888</v>
      </c>
      <c r="T21" s="24">
        <v>0.31458333333333333</v>
      </c>
      <c r="U21" s="136">
        <f t="shared" ref="U21:U26" si="38">IF(S21=TIME(17,0,0),"",(S21-T20)*24*60)</f>
        <v>5.9999999999999787</v>
      </c>
      <c r="V21" s="138">
        <f t="shared" si="37"/>
        <v>46</v>
      </c>
      <c r="W21" s="14"/>
      <c r="X21" s="136"/>
      <c r="Y21" s="528"/>
      <c r="Z21" s="528"/>
      <c r="AA21" s="11">
        <f t="shared" si="2"/>
        <v>-150.43478260869574</v>
      </c>
      <c r="AB21" s="141">
        <f t="shared" si="19"/>
        <v>0.9247826086956521</v>
      </c>
      <c r="AC21" s="533"/>
    </row>
    <row r="22" spans="1:29" ht="15.75" customHeight="1">
      <c r="A22" s="555" t="s">
        <v>568</v>
      </c>
      <c r="B22" s="26" t="s">
        <v>13</v>
      </c>
      <c r="C22" s="552" t="s">
        <v>63</v>
      </c>
      <c r="D22" s="552"/>
      <c r="E22" s="26">
        <v>50.67</v>
      </c>
      <c r="F22" s="137">
        <v>851</v>
      </c>
      <c r="G22" s="136">
        <f t="shared" si="32"/>
        <v>43120.17</v>
      </c>
      <c r="H22" s="76" t="s">
        <v>52</v>
      </c>
      <c r="I22" s="139">
        <v>16</v>
      </c>
      <c r="J22" s="18">
        <v>2000</v>
      </c>
      <c r="K22" s="9">
        <f t="shared" si="33"/>
        <v>125</v>
      </c>
      <c r="L22" s="139">
        <v>16</v>
      </c>
      <c r="M22" s="10">
        <f t="shared" si="34"/>
        <v>1891.1111111111122</v>
      </c>
      <c r="N22" s="9">
        <f t="shared" si="22"/>
        <v>118.19444444444451</v>
      </c>
      <c r="O22" s="11">
        <f t="shared" si="35"/>
        <v>0</v>
      </c>
      <c r="P22" s="12">
        <f t="shared" si="36"/>
        <v>-6.8055555555554861</v>
      </c>
      <c r="Q22" s="141">
        <f t="shared" si="29"/>
        <v>0.94555555555555615</v>
      </c>
      <c r="R22" s="533"/>
      <c r="S22" s="24">
        <v>0.31805555555555554</v>
      </c>
      <c r="T22" s="24">
        <v>0.33680555555555552</v>
      </c>
      <c r="U22" s="136">
        <f t="shared" si="38"/>
        <v>4.9999999999999822</v>
      </c>
      <c r="V22" s="138">
        <f t="shared" si="37"/>
        <v>26.999999999999986</v>
      </c>
      <c r="W22" s="14"/>
      <c r="X22" s="136"/>
      <c r="Y22" s="528"/>
      <c r="Z22" s="528"/>
      <c r="AA22" s="11">
        <f t="shared" si="2"/>
        <v>-108.88888888888778</v>
      </c>
      <c r="AB22" s="141">
        <f t="shared" si="19"/>
        <v>0.94555555555555615</v>
      </c>
      <c r="AC22" s="533"/>
    </row>
    <row r="23" spans="1:29" ht="15.75" customHeight="1">
      <c r="A23" s="555" t="s">
        <v>568</v>
      </c>
      <c r="B23" s="26" t="s">
        <v>13</v>
      </c>
      <c r="C23" s="552" t="s">
        <v>81</v>
      </c>
      <c r="D23" s="552"/>
      <c r="E23" s="26">
        <v>58.17</v>
      </c>
      <c r="F23" s="137">
        <v>2043</v>
      </c>
      <c r="G23" s="136">
        <f t="shared" si="32"/>
        <v>118841.31</v>
      </c>
      <c r="H23" s="76" t="s">
        <v>52</v>
      </c>
      <c r="I23" s="139">
        <v>18</v>
      </c>
      <c r="J23" s="18">
        <v>2000</v>
      </c>
      <c r="K23" s="9">
        <f t="shared" si="33"/>
        <v>111.11111111111111</v>
      </c>
      <c r="L23" s="139">
        <v>18</v>
      </c>
      <c r="M23" s="10">
        <f t="shared" si="34"/>
        <v>1857.2727272727273</v>
      </c>
      <c r="N23" s="9">
        <f t="shared" si="22"/>
        <v>103.18181818181819</v>
      </c>
      <c r="O23" s="11">
        <f t="shared" si="35"/>
        <v>0</v>
      </c>
      <c r="P23" s="12">
        <f t="shared" si="36"/>
        <v>-7.9292929292929273</v>
      </c>
      <c r="Q23" s="141">
        <f t="shared" si="29"/>
        <v>0.9286363636363637</v>
      </c>
      <c r="R23" s="533"/>
      <c r="S23" s="24">
        <v>0.34027777777777773</v>
      </c>
      <c r="T23" s="24">
        <v>0.38611111111111107</v>
      </c>
      <c r="U23" s="136">
        <f t="shared" si="38"/>
        <v>4.9999999999999822</v>
      </c>
      <c r="V23" s="138">
        <f t="shared" si="37"/>
        <v>66</v>
      </c>
      <c r="W23" s="14"/>
      <c r="X23" s="136"/>
      <c r="Y23" s="528"/>
      <c r="Z23" s="528"/>
      <c r="AA23" s="11">
        <f t="shared" si="2"/>
        <v>-142.72727272727275</v>
      </c>
      <c r="AB23" s="141">
        <f t="shared" si="19"/>
        <v>0.92863636363636359</v>
      </c>
      <c r="AC23" s="533"/>
    </row>
    <row r="24" spans="1:29" ht="15.75" customHeight="1">
      <c r="A24" s="555" t="s">
        <v>570</v>
      </c>
      <c r="B24" s="26" t="s">
        <v>13</v>
      </c>
      <c r="C24" s="552" t="s">
        <v>85</v>
      </c>
      <c r="D24" s="552"/>
      <c r="E24" s="26">
        <v>54.09</v>
      </c>
      <c r="F24" s="137">
        <v>3509</v>
      </c>
      <c r="G24" s="136">
        <f t="shared" si="32"/>
        <v>189801.81</v>
      </c>
      <c r="H24" s="76" t="s">
        <v>52</v>
      </c>
      <c r="I24" s="139">
        <v>20</v>
      </c>
      <c r="J24" s="18">
        <v>2000</v>
      </c>
      <c r="K24" s="9">
        <f t="shared" si="33"/>
        <v>100</v>
      </c>
      <c r="L24" s="139">
        <v>20</v>
      </c>
      <c r="M24" s="10">
        <f t="shared" si="34"/>
        <v>1846.8421052631566</v>
      </c>
      <c r="N24" s="9">
        <f t="shared" si="22"/>
        <v>92.342105263157833</v>
      </c>
      <c r="O24" s="11">
        <f t="shared" si="35"/>
        <v>0</v>
      </c>
      <c r="P24" s="12">
        <f t="shared" si="36"/>
        <v>-7.6578947368421666</v>
      </c>
      <c r="Q24" s="141">
        <f t="shared" si="29"/>
        <v>0.92342105263157837</v>
      </c>
      <c r="R24" s="533"/>
      <c r="S24" s="24">
        <v>0.70833333333333337</v>
      </c>
      <c r="T24" s="24">
        <v>0.78750000000000009</v>
      </c>
      <c r="U24" s="136" t="str">
        <f t="shared" si="38"/>
        <v/>
      </c>
      <c r="V24" s="138">
        <f t="shared" si="37"/>
        <v>114.00000000000007</v>
      </c>
      <c r="W24" s="14"/>
      <c r="X24" s="15"/>
      <c r="Y24" s="528"/>
      <c r="Z24" s="528"/>
      <c r="AA24" s="11">
        <f t="shared" si="2"/>
        <v>-153.15789473684345</v>
      </c>
      <c r="AB24" s="141">
        <f t="shared" si="19"/>
        <v>0.92342105263157825</v>
      </c>
      <c r="AC24" s="533"/>
    </row>
    <row r="25" spans="1:29" ht="15.75" customHeight="1">
      <c r="A25" s="555" t="s">
        <v>568</v>
      </c>
      <c r="B25" s="26" t="s">
        <v>13</v>
      </c>
      <c r="C25" s="552" t="s">
        <v>56</v>
      </c>
      <c r="D25" s="552"/>
      <c r="E25" s="26">
        <v>53.27</v>
      </c>
      <c r="F25" s="137">
        <v>382</v>
      </c>
      <c r="G25" s="136">
        <f t="shared" si="32"/>
        <v>20349.14</v>
      </c>
      <c r="H25" s="76" t="s">
        <v>52</v>
      </c>
      <c r="I25" s="139">
        <v>15</v>
      </c>
      <c r="J25" s="18">
        <v>2000</v>
      </c>
      <c r="K25" s="9">
        <f t="shared" si="33"/>
        <v>133.33333333333334</v>
      </c>
      <c r="L25" s="139">
        <v>15</v>
      </c>
      <c r="M25" s="10">
        <f t="shared" si="34"/>
        <v>1910.0000000000068</v>
      </c>
      <c r="N25" s="9">
        <f t="shared" si="22"/>
        <v>127.33333333333378</v>
      </c>
      <c r="O25" s="11">
        <f t="shared" si="35"/>
        <v>0</v>
      </c>
      <c r="P25" s="12">
        <f t="shared" si="36"/>
        <v>-5.9999999999995595</v>
      </c>
      <c r="Q25" s="141">
        <f t="shared" si="29"/>
        <v>0.95500000000000329</v>
      </c>
      <c r="R25" s="533"/>
      <c r="S25" s="24">
        <v>0.79236111111111118</v>
      </c>
      <c r="T25" s="24">
        <v>0.80069444444444449</v>
      </c>
      <c r="U25" s="136">
        <f t="shared" si="38"/>
        <v>6.9999999999999751</v>
      </c>
      <c r="V25" s="138">
        <f t="shared" si="37"/>
        <v>11.999999999999957</v>
      </c>
      <c r="W25" s="14"/>
      <c r="X25" s="15"/>
      <c r="Y25" s="536"/>
      <c r="Z25" s="537"/>
      <c r="AA25" s="11">
        <f t="shared" si="2"/>
        <v>-89.999999999993179</v>
      </c>
      <c r="AB25" s="141">
        <f t="shared" si="19"/>
        <v>0.9550000000000034</v>
      </c>
      <c r="AC25" s="533"/>
    </row>
    <row r="26" spans="1:29" ht="15.75" customHeight="1">
      <c r="A26" s="555" t="s">
        <v>568</v>
      </c>
      <c r="B26" s="26" t="s">
        <v>13</v>
      </c>
      <c r="C26" s="584" t="s">
        <v>83</v>
      </c>
      <c r="D26" s="585"/>
      <c r="E26" s="26">
        <v>49.91</v>
      </c>
      <c r="F26" s="137">
        <v>485</v>
      </c>
      <c r="G26" s="136">
        <f t="shared" si="32"/>
        <v>24206.35</v>
      </c>
      <c r="H26" s="76" t="s">
        <v>52</v>
      </c>
      <c r="I26" s="139">
        <v>16</v>
      </c>
      <c r="J26" s="18">
        <v>2000</v>
      </c>
      <c r="K26" s="9">
        <f t="shared" si="33"/>
        <v>125</v>
      </c>
      <c r="L26" s="139">
        <v>16</v>
      </c>
      <c r="M26" s="10">
        <f t="shared" si="34"/>
        <v>1940.000000000007</v>
      </c>
      <c r="N26" s="9">
        <f t="shared" si="22"/>
        <v>121.25000000000044</v>
      </c>
      <c r="O26" s="11">
        <f t="shared" si="35"/>
        <v>0</v>
      </c>
      <c r="P26" s="12">
        <f t="shared" si="36"/>
        <v>-3.7499999999995595</v>
      </c>
      <c r="Q26" s="141">
        <f t="shared" si="29"/>
        <v>0.97000000000000353</v>
      </c>
      <c r="R26" s="533"/>
      <c r="S26" s="24">
        <v>0.80625000000000002</v>
      </c>
      <c r="T26" s="24">
        <v>0.81666666666666665</v>
      </c>
      <c r="U26" s="136">
        <f t="shared" si="38"/>
        <v>7.9999999999999716</v>
      </c>
      <c r="V26" s="138">
        <f t="shared" si="37"/>
        <v>14.999999999999947</v>
      </c>
      <c r="W26" s="14"/>
      <c r="X26" s="14"/>
      <c r="Y26" s="536"/>
      <c r="Z26" s="537"/>
      <c r="AA26" s="11">
        <f t="shared" si="2"/>
        <v>-59.999999999992951</v>
      </c>
      <c r="AB26" s="141">
        <f t="shared" si="19"/>
        <v>0.97000000000000353</v>
      </c>
      <c r="AC26" s="533"/>
    </row>
    <row r="27" spans="1:29" ht="15.75" customHeight="1">
      <c r="A27" s="555" t="s">
        <v>568</v>
      </c>
      <c r="B27" s="26" t="s">
        <v>561</v>
      </c>
      <c r="C27" s="530"/>
      <c r="D27" s="530"/>
      <c r="E27" s="140"/>
      <c r="F27" s="137"/>
      <c r="G27" s="136"/>
      <c r="H27" s="137"/>
      <c r="I27" s="17">
        <v>16.875</v>
      </c>
      <c r="J27" s="18">
        <v>2000</v>
      </c>
      <c r="K27" s="9">
        <f t="shared" si="33"/>
        <v>118.51851851851852</v>
      </c>
      <c r="L27" s="17">
        <v>16.875</v>
      </c>
      <c r="M27" s="10">
        <f>AVERAGE(M19:M26)</f>
        <v>1877.3943496752438</v>
      </c>
      <c r="N27" s="9">
        <f>M27/L27</f>
        <v>111.2529984992737</v>
      </c>
      <c r="O27" s="11">
        <f>L27-I27</f>
        <v>0</v>
      </c>
      <c r="P27" s="12">
        <f>N27-K27</f>
        <v>-7.2655200192448177</v>
      </c>
      <c r="Q27" s="141">
        <f>N27/K27</f>
        <v>0.93869717483762183</v>
      </c>
      <c r="R27" s="533"/>
      <c r="S27" s="24"/>
      <c r="T27" s="24"/>
      <c r="U27" s="9"/>
      <c r="V27" s="138"/>
      <c r="W27" s="9"/>
      <c r="X27" s="9"/>
      <c r="Y27" s="528"/>
      <c r="Z27" s="528"/>
      <c r="AA27" s="11">
        <f t="shared" si="2"/>
        <v>-122.6056503247562</v>
      </c>
      <c r="AB27" s="141">
        <f t="shared" si="19"/>
        <v>0.93869717483762194</v>
      </c>
      <c r="AC27" s="533"/>
    </row>
    <row r="28" spans="1:29" ht="15.75" customHeight="1">
      <c r="A28" s="553" t="s">
        <v>571</v>
      </c>
      <c r="B28" s="26" t="s">
        <v>24</v>
      </c>
      <c r="C28" s="552" t="s">
        <v>26</v>
      </c>
      <c r="D28" s="552"/>
      <c r="E28" s="26">
        <v>26.2</v>
      </c>
      <c r="F28" s="137">
        <v>2958</v>
      </c>
      <c r="G28" s="136">
        <f t="shared" ref="G28:G31" si="39">E28*F28</f>
        <v>77499.599999999991</v>
      </c>
      <c r="H28" s="76" t="s">
        <v>52</v>
      </c>
      <c r="I28" s="139">
        <v>20</v>
      </c>
      <c r="J28" s="18">
        <v>2400</v>
      </c>
      <c r="K28" s="9">
        <f>J28/I28</f>
        <v>120</v>
      </c>
      <c r="L28" s="139">
        <v>20</v>
      </c>
      <c r="M28" s="10">
        <f t="shared" ref="M28:M31" si="40">F28/V28*60</f>
        <v>2218.5</v>
      </c>
      <c r="N28" s="9">
        <f t="shared" ref="N28:N31" si="41">M28/L28</f>
        <v>110.925</v>
      </c>
      <c r="O28" s="11">
        <f t="shared" ref="O28:O31" si="42">L28-I28</f>
        <v>0</v>
      </c>
      <c r="P28" s="12">
        <f t="shared" ref="P28:P31" si="43">N28-K28</f>
        <v>-9.0750000000000028</v>
      </c>
      <c r="Q28" s="141">
        <f t="shared" ref="Q28:Q31" si="44">N28/K28</f>
        <v>0.92437499999999995</v>
      </c>
      <c r="R28" s="533">
        <f>Q32</f>
        <v>0.92125166345954457</v>
      </c>
      <c r="S28" s="24">
        <v>0.125</v>
      </c>
      <c r="T28" s="24">
        <v>0.18055555555555555</v>
      </c>
      <c r="U28" s="136"/>
      <c r="V28" s="138">
        <f t="shared" ref="V28:V31" si="45">(T28-S28)*24*60</f>
        <v>80</v>
      </c>
      <c r="W28" s="14">
        <f>T28</f>
        <v>0.18055555555555555</v>
      </c>
      <c r="X28" s="14">
        <f>S29</f>
        <v>0.1986111111111111</v>
      </c>
      <c r="Y28" s="528"/>
      <c r="Z28" s="528"/>
      <c r="AA28" s="11">
        <f t="shared" si="2"/>
        <v>-181.5</v>
      </c>
      <c r="AB28" s="141">
        <f>M28/J28</f>
        <v>0.92437499999999995</v>
      </c>
      <c r="AC28" s="533">
        <f>AB32</f>
        <v>0.92125166345954446</v>
      </c>
    </row>
    <row r="29" spans="1:29" ht="15.75" customHeight="1">
      <c r="A29" s="553" t="s">
        <v>572</v>
      </c>
      <c r="B29" s="26" t="s">
        <v>24</v>
      </c>
      <c r="C29" s="552" t="s">
        <v>79</v>
      </c>
      <c r="D29" s="552"/>
      <c r="E29" s="26">
        <v>31.29</v>
      </c>
      <c r="F29" s="137">
        <v>5776</v>
      </c>
      <c r="G29" s="136">
        <f t="shared" si="39"/>
        <v>180731.04</v>
      </c>
      <c r="H29" s="76" t="s">
        <v>52</v>
      </c>
      <c r="I29" s="139">
        <v>16</v>
      </c>
      <c r="J29" s="18">
        <v>2400</v>
      </c>
      <c r="K29" s="9">
        <f t="shared" ref="K29:K32" si="46">J29/I29</f>
        <v>150</v>
      </c>
      <c r="L29" s="139">
        <v>16</v>
      </c>
      <c r="M29" s="10">
        <f t="shared" si="40"/>
        <v>2207.3885350318469</v>
      </c>
      <c r="N29" s="9">
        <f t="shared" si="41"/>
        <v>137.96178343949043</v>
      </c>
      <c r="O29" s="11">
        <f t="shared" si="42"/>
        <v>0</v>
      </c>
      <c r="P29" s="12">
        <f t="shared" si="43"/>
        <v>-12.038216560509568</v>
      </c>
      <c r="Q29" s="141">
        <f t="shared" si="44"/>
        <v>0.91974522292993621</v>
      </c>
      <c r="R29" s="533"/>
      <c r="S29" s="24">
        <v>0.1986111111111111</v>
      </c>
      <c r="T29" s="24">
        <v>0.30763888888888891</v>
      </c>
      <c r="U29" s="136">
        <f>(S29-T28)*24*60</f>
        <v>25.999999999999986</v>
      </c>
      <c r="V29" s="138">
        <f t="shared" si="45"/>
        <v>157.00000000000003</v>
      </c>
      <c r="W29" s="14"/>
      <c r="X29" s="14"/>
      <c r="Y29" s="528"/>
      <c r="Z29" s="528"/>
      <c r="AA29" s="11">
        <f t="shared" si="2"/>
        <v>-192.61146496815309</v>
      </c>
      <c r="AB29" s="141">
        <f t="shared" ref="AB29:AB31" si="47">M29/J29</f>
        <v>0.91974522292993621</v>
      </c>
      <c r="AC29" s="533"/>
    </row>
    <row r="30" spans="1:29" ht="15.75" customHeight="1">
      <c r="A30" s="553" t="s">
        <v>572</v>
      </c>
      <c r="B30" s="26" t="s">
        <v>24</v>
      </c>
      <c r="C30" s="552" t="s">
        <v>68</v>
      </c>
      <c r="D30" s="552"/>
      <c r="E30" s="26">
        <v>24.25</v>
      </c>
      <c r="F30" s="137">
        <v>3600</v>
      </c>
      <c r="G30" s="136">
        <f t="shared" si="39"/>
        <v>87300</v>
      </c>
      <c r="H30" s="76" t="s">
        <v>52</v>
      </c>
      <c r="I30" s="139">
        <v>18</v>
      </c>
      <c r="J30" s="18">
        <v>2400</v>
      </c>
      <c r="K30" s="9">
        <f t="shared" si="46"/>
        <v>133.33333333333334</v>
      </c>
      <c r="L30" s="139">
        <v>18</v>
      </c>
      <c r="M30" s="10">
        <f t="shared" si="40"/>
        <v>2204.0816326530617</v>
      </c>
      <c r="N30" s="9">
        <f t="shared" si="41"/>
        <v>122.44897959183676</v>
      </c>
      <c r="O30" s="11">
        <f t="shared" si="42"/>
        <v>0</v>
      </c>
      <c r="P30" s="12">
        <f t="shared" si="43"/>
        <v>-10.884353741496582</v>
      </c>
      <c r="Q30" s="141">
        <f t="shared" si="44"/>
        <v>0.91836734693877564</v>
      </c>
      <c r="R30" s="533"/>
      <c r="S30" s="24">
        <v>0.31180555555555556</v>
      </c>
      <c r="T30" s="24">
        <v>0.37986111111111109</v>
      </c>
      <c r="U30" s="136">
        <f t="shared" ref="U30:U31" si="48">(S30-T29)*24*60</f>
        <v>5.9999999999999787</v>
      </c>
      <c r="V30" s="138">
        <f t="shared" si="45"/>
        <v>97.999999999999972</v>
      </c>
      <c r="W30" s="14"/>
      <c r="X30" s="14"/>
      <c r="Y30" s="528"/>
      <c r="Z30" s="528"/>
      <c r="AA30" s="11">
        <f t="shared" si="2"/>
        <v>-195.91836734693834</v>
      </c>
      <c r="AB30" s="141">
        <f t="shared" si="47"/>
        <v>0.91836734693877564</v>
      </c>
      <c r="AC30" s="533"/>
    </row>
    <row r="31" spans="1:29" ht="15.75" customHeight="1">
      <c r="A31" s="553" t="s">
        <v>572</v>
      </c>
      <c r="B31" s="26" t="s">
        <v>24</v>
      </c>
      <c r="C31" s="552" t="s">
        <v>328</v>
      </c>
      <c r="D31" s="552"/>
      <c r="E31" s="26">
        <v>25.98</v>
      </c>
      <c r="F31" s="137">
        <v>4834</v>
      </c>
      <c r="G31" s="136">
        <f t="shared" si="39"/>
        <v>125587.32</v>
      </c>
      <c r="H31" s="76" t="s">
        <v>52</v>
      </c>
      <c r="I31" s="139">
        <v>17</v>
      </c>
      <c r="J31" s="18">
        <v>2400</v>
      </c>
      <c r="K31" s="9">
        <f t="shared" si="46"/>
        <v>141.1764705882353</v>
      </c>
      <c r="L31" s="139">
        <v>17</v>
      </c>
      <c r="M31" s="10">
        <f t="shared" si="40"/>
        <v>2214.0458015267177</v>
      </c>
      <c r="N31" s="9">
        <f t="shared" si="41"/>
        <v>130.23798832510104</v>
      </c>
      <c r="O31" s="11">
        <f t="shared" si="42"/>
        <v>0</v>
      </c>
      <c r="P31" s="12">
        <f t="shared" si="43"/>
        <v>-10.938482263134262</v>
      </c>
      <c r="Q31" s="141">
        <f t="shared" si="44"/>
        <v>0.92251908396946569</v>
      </c>
      <c r="R31" s="533"/>
      <c r="S31" s="24">
        <v>0.38541666666666663</v>
      </c>
      <c r="T31" s="24">
        <v>0.47638888888888886</v>
      </c>
      <c r="U31" s="136">
        <f t="shared" si="48"/>
        <v>7.9999999999999716</v>
      </c>
      <c r="V31" s="138">
        <f t="shared" si="45"/>
        <v>131</v>
      </c>
      <c r="W31" s="14"/>
      <c r="X31" s="14"/>
      <c r="Y31" s="528"/>
      <c r="Z31" s="528"/>
      <c r="AA31" s="11">
        <f t="shared" si="2"/>
        <v>-185.9541984732823</v>
      </c>
      <c r="AB31" s="141">
        <f t="shared" si="47"/>
        <v>0.92251908396946569</v>
      </c>
      <c r="AC31" s="533"/>
    </row>
    <row r="32" spans="1:29" ht="15.75" customHeight="1">
      <c r="A32" s="553" t="s">
        <v>573</v>
      </c>
      <c r="B32" s="26" t="s">
        <v>561</v>
      </c>
      <c r="C32" s="530"/>
      <c r="D32" s="530"/>
      <c r="E32" s="140"/>
      <c r="F32" s="137"/>
      <c r="G32" s="136"/>
      <c r="H32" s="137"/>
      <c r="I32" s="17">
        <v>17.75</v>
      </c>
      <c r="J32" s="18">
        <v>2400</v>
      </c>
      <c r="K32" s="9">
        <f t="shared" si="46"/>
        <v>135.21126760563379</v>
      </c>
      <c r="L32" s="17">
        <v>17.75</v>
      </c>
      <c r="M32" s="10">
        <f>AVERAGE(M28:M31)</f>
        <v>2211.0039923029067</v>
      </c>
      <c r="N32" s="9">
        <f>M32/L32</f>
        <v>124.56360520016376</v>
      </c>
      <c r="O32" s="11">
        <f>L32-I32</f>
        <v>0</v>
      </c>
      <c r="P32" s="12">
        <f>N32-K32</f>
        <v>-10.64766240547003</v>
      </c>
      <c r="Q32" s="141">
        <f>N32/K32</f>
        <v>0.92125166345954457</v>
      </c>
      <c r="R32" s="533"/>
      <c r="S32" s="24"/>
      <c r="T32" s="24"/>
      <c r="U32" s="136"/>
      <c r="V32" s="138"/>
      <c r="W32" s="136"/>
      <c r="X32" s="136"/>
      <c r="Y32" s="528"/>
      <c r="Z32" s="528"/>
      <c r="AA32" s="11">
        <f t="shared" si="2"/>
        <v>-188.99600769709332</v>
      </c>
      <c r="AB32" s="141">
        <f>M32/J32</f>
        <v>0.92125166345954446</v>
      </c>
      <c r="AC32" s="533"/>
    </row>
    <row r="33" spans="1:29" ht="15.75" customHeight="1">
      <c r="A33" s="550" t="s">
        <v>574</v>
      </c>
      <c r="B33" s="26" t="s">
        <v>24</v>
      </c>
      <c r="C33" s="529" t="s">
        <v>28</v>
      </c>
      <c r="D33" s="529"/>
      <c r="E33" s="26">
        <v>26.2</v>
      </c>
      <c r="F33" s="137">
        <v>4310</v>
      </c>
      <c r="G33" s="136">
        <f t="shared" ref="G33:G39" si="49">E33*F33</f>
        <v>112922</v>
      </c>
      <c r="H33" s="76" t="s">
        <v>52</v>
      </c>
      <c r="I33" s="139">
        <v>18</v>
      </c>
      <c r="J33" s="18">
        <v>2400</v>
      </c>
      <c r="K33" s="9">
        <f>J33/I33</f>
        <v>133.33333333333334</v>
      </c>
      <c r="L33" s="139">
        <v>18</v>
      </c>
      <c r="M33" s="10">
        <f>F33/V33*60</f>
        <v>2210.2564102564102</v>
      </c>
      <c r="N33" s="9">
        <f>M33/L33</f>
        <v>122.79202279202279</v>
      </c>
      <c r="O33" s="11">
        <f t="shared" ref="O33:O39" si="50">L33-I33</f>
        <v>0</v>
      </c>
      <c r="P33" s="12">
        <f t="shared" ref="P33:P47" si="51">N33-K33</f>
        <v>-10.541310541310551</v>
      </c>
      <c r="Q33" s="141">
        <f t="shared" ref="Q33:Q44" si="52">N33/K33</f>
        <v>0.92094017094017089</v>
      </c>
      <c r="R33" s="533">
        <f>Q40</f>
        <v>0.92411386032903897</v>
      </c>
      <c r="S33" s="24">
        <v>8.3333333333333329E-2</v>
      </c>
      <c r="T33" s="24">
        <v>0.16458333333333333</v>
      </c>
      <c r="U33" s="136"/>
      <c r="V33" s="138">
        <f t="shared" ref="V33:V39" si="53">(T33-S33)*24*60</f>
        <v>117.00000000000001</v>
      </c>
      <c r="W33" s="15">
        <f>T33</f>
        <v>0.16458333333333333</v>
      </c>
      <c r="X33" s="15">
        <f>S34</f>
        <v>0.18333333333333332</v>
      </c>
      <c r="Y33" s="528"/>
      <c r="Z33" s="528"/>
      <c r="AA33" s="11">
        <f t="shared" si="2"/>
        <v>-189.74358974358984</v>
      </c>
      <c r="AB33" s="141">
        <f>M33/J33</f>
        <v>0.92094017094017089</v>
      </c>
      <c r="AC33" s="533">
        <f>AB40</f>
        <v>0.92411386032903897</v>
      </c>
    </row>
    <row r="34" spans="1:29" ht="15.75" customHeight="1">
      <c r="A34" s="550" t="s">
        <v>574</v>
      </c>
      <c r="B34" s="26" t="s">
        <v>24</v>
      </c>
      <c r="C34" s="529" t="s">
        <v>30</v>
      </c>
      <c r="D34" s="529"/>
      <c r="E34" s="26">
        <v>24.45</v>
      </c>
      <c r="F34" s="137">
        <v>1649</v>
      </c>
      <c r="G34" s="136">
        <f t="shared" si="49"/>
        <v>40318.049999999996</v>
      </c>
      <c r="H34" s="76" t="s">
        <v>52</v>
      </c>
      <c r="I34" s="139">
        <v>20</v>
      </c>
      <c r="J34" s="18">
        <v>2400</v>
      </c>
      <c r="K34" s="9">
        <f t="shared" ref="K34:K46" si="54">J34/I34</f>
        <v>120</v>
      </c>
      <c r="L34" s="139">
        <v>20</v>
      </c>
      <c r="M34" s="10">
        <f t="shared" ref="M34:M39" si="55">F34/V34*60</f>
        <v>2248.6363636363635</v>
      </c>
      <c r="N34" s="9">
        <f t="shared" ref="N34:N39" si="56">M34/L34</f>
        <v>112.43181818181817</v>
      </c>
      <c r="O34" s="11">
        <f t="shared" si="50"/>
        <v>0</v>
      </c>
      <c r="P34" s="12">
        <f t="shared" si="51"/>
        <v>-7.5681818181818272</v>
      </c>
      <c r="Q34" s="141">
        <f t="shared" si="52"/>
        <v>0.93693181818181814</v>
      </c>
      <c r="R34" s="533"/>
      <c r="S34" s="24">
        <v>0.18333333333333332</v>
      </c>
      <c r="T34" s="24">
        <v>0.21388888888888888</v>
      </c>
      <c r="U34" s="136">
        <f>(S34-T33)*24*60</f>
        <v>26.999999999999986</v>
      </c>
      <c r="V34" s="138">
        <f t="shared" si="53"/>
        <v>44</v>
      </c>
      <c r="W34" s="136"/>
      <c r="X34" s="136"/>
      <c r="Y34" s="528"/>
      <c r="Z34" s="528"/>
      <c r="AA34" s="11">
        <f t="shared" si="2"/>
        <v>-151.36363636363649</v>
      </c>
      <c r="AB34" s="141">
        <f t="shared" ref="AB34:AB60" si="57">M34/J34</f>
        <v>0.93693181818181814</v>
      </c>
      <c r="AC34" s="533"/>
    </row>
    <row r="35" spans="1:29">
      <c r="A35" s="551" t="s">
        <v>574</v>
      </c>
      <c r="B35" s="26" t="s">
        <v>24</v>
      </c>
      <c r="C35" s="529" t="s">
        <v>31</v>
      </c>
      <c r="D35" s="529"/>
      <c r="E35" s="26">
        <v>26.2</v>
      </c>
      <c r="F35" s="137">
        <v>2180</v>
      </c>
      <c r="G35" s="136">
        <f t="shared" si="49"/>
        <v>57116</v>
      </c>
      <c r="H35" s="76" t="s">
        <v>52</v>
      </c>
      <c r="I35" s="139">
        <v>20</v>
      </c>
      <c r="J35" s="18">
        <v>2400</v>
      </c>
      <c r="K35" s="9">
        <f t="shared" si="54"/>
        <v>120</v>
      </c>
      <c r="L35" s="139">
        <v>20</v>
      </c>
      <c r="M35" s="10">
        <f t="shared" si="55"/>
        <v>2216.9491525423732</v>
      </c>
      <c r="N35" s="9">
        <f t="shared" si="56"/>
        <v>110.84745762711866</v>
      </c>
      <c r="O35" s="11">
        <f t="shared" si="50"/>
        <v>0</v>
      </c>
      <c r="P35" s="12">
        <f t="shared" si="51"/>
        <v>-9.1525423728813422</v>
      </c>
      <c r="Q35" s="141">
        <f t="shared" si="52"/>
        <v>0.92372881355932213</v>
      </c>
      <c r="R35" s="533"/>
      <c r="S35" s="24">
        <v>0.21736111111111109</v>
      </c>
      <c r="T35" s="24">
        <v>0.2583333333333333</v>
      </c>
      <c r="U35" s="136">
        <f t="shared" ref="U35:U39" si="58">(S35-T34)*24*60</f>
        <v>4.9999999999999822</v>
      </c>
      <c r="V35" s="138">
        <f t="shared" si="53"/>
        <v>58.999999999999993</v>
      </c>
      <c r="W35" s="136"/>
      <c r="X35" s="136"/>
      <c r="Y35" s="528"/>
      <c r="Z35" s="528"/>
      <c r="AA35" s="11">
        <f t="shared" si="2"/>
        <v>-183.05084745762679</v>
      </c>
      <c r="AB35" s="141">
        <f t="shared" si="57"/>
        <v>0.92372881355932213</v>
      </c>
      <c r="AC35" s="533"/>
    </row>
    <row r="36" spans="1:29">
      <c r="A36" s="551" t="s">
        <v>574</v>
      </c>
      <c r="B36" s="26" t="s">
        <v>24</v>
      </c>
      <c r="C36" s="529" t="s">
        <v>29</v>
      </c>
      <c r="D36" s="529"/>
      <c r="E36" s="26">
        <v>26.39</v>
      </c>
      <c r="F36" s="137">
        <v>3722</v>
      </c>
      <c r="G36" s="136">
        <f t="shared" si="49"/>
        <v>98223.58</v>
      </c>
      <c r="H36" s="76" t="s">
        <v>52</v>
      </c>
      <c r="I36" s="139">
        <v>19</v>
      </c>
      <c r="J36" s="18">
        <v>2400</v>
      </c>
      <c r="K36" s="9">
        <f t="shared" si="54"/>
        <v>126.31578947368421</v>
      </c>
      <c r="L36" s="139">
        <v>19</v>
      </c>
      <c r="M36" s="10">
        <f t="shared" si="55"/>
        <v>2211.0891089108923</v>
      </c>
      <c r="N36" s="9">
        <f t="shared" si="56"/>
        <v>116.37311099531011</v>
      </c>
      <c r="O36" s="11">
        <f t="shared" si="50"/>
        <v>0</v>
      </c>
      <c r="P36" s="12">
        <f t="shared" si="51"/>
        <v>-9.9426784783740914</v>
      </c>
      <c r="Q36" s="141">
        <f t="shared" si="52"/>
        <v>0.92128712871287177</v>
      </c>
      <c r="R36" s="533"/>
      <c r="S36" s="24">
        <v>0.26249999999999996</v>
      </c>
      <c r="T36" s="24">
        <v>0.33263888888888882</v>
      </c>
      <c r="U36" s="136">
        <f t="shared" si="58"/>
        <v>5.9999999999999787</v>
      </c>
      <c r="V36" s="138">
        <f t="shared" si="53"/>
        <v>100.99999999999996</v>
      </c>
      <c r="W36" s="14"/>
      <c r="X36" s="14"/>
      <c r="Y36" s="528"/>
      <c r="Z36" s="528"/>
      <c r="AA36" s="11">
        <f t="shared" si="2"/>
        <v>-188.91089108910774</v>
      </c>
      <c r="AB36" s="141">
        <f t="shared" si="57"/>
        <v>0.92128712871287177</v>
      </c>
      <c r="AC36" s="533"/>
    </row>
    <row r="37" spans="1:29">
      <c r="A37" s="551" t="s">
        <v>574</v>
      </c>
      <c r="B37" s="26" t="s">
        <v>24</v>
      </c>
      <c r="C37" s="529" t="s">
        <v>27</v>
      </c>
      <c r="D37" s="529"/>
      <c r="E37" s="26">
        <v>20.52</v>
      </c>
      <c r="F37" s="137">
        <v>2418</v>
      </c>
      <c r="G37" s="136">
        <f t="shared" si="49"/>
        <v>49617.36</v>
      </c>
      <c r="H37" s="76" t="s">
        <v>52</v>
      </c>
      <c r="I37" s="139">
        <v>18</v>
      </c>
      <c r="J37" s="18">
        <v>2400</v>
      </c>
      <c r="K37" s="9">
        <f t="shared" si="54"/>
        <v>133.33333333333334</v>
      </c>
      <c r="L37" s="139">
        <v>18</v>
      </c>
      <c r="M37" s="10">
        <f t="shared" si="55"/>
        <v>2198.181818181818</v>
      </c>
      <c r="N37" s="9">
        <f t="shared" si="56"/>
        <v>122.12121212121211</v>
      </c>
      <c r="O37" s="11">
        <f t="shared" si="50"/>
        <v>0</v>
      </c>
      <c r="P37" s="12">
        <f t="shared" si="51"/>
        <v>-11.212121212121232</v>
      </c>
      <c r="Q37" s="141">
        <f t="shared" si="52"/>
        <v>0.91590909090909078</v>
      </c>
      <c r="R37" s="533"/>
      <c r="S37" s="24">
        <v>0.33819444444444435</v>
      </c>
      <c r="T37" s="24">
        <v>0.38402777777777769</v>
      </c>
      <c r="U37" s="136">
        <f t="shared" si="58"/>
        <v>7.9999999999999716</v>
      </c>
      <c r="V37" s="138">
        <f t="shared" si="53"/>
        <v>66</v>
      </c>
      <c r="W37" s="14"/>
      <c r="X37" s="14"/>
      <c r="Y37" s="528"/>
      <c r="Z37" s="528"/>
      <c r="AA37" s="11">
        <f t="shared" si="2"/>
        <v>-201.81818181818198</v>
      </c>
      <c r="AB37" s="141">
        <f t="shared" si="57"/>
        <v>0.91590909090909089</v>
      </c>
      <c r="AC37" s="533"/>
    </row>
    <row r="38" spans="1:29">
      <c r="A38" s="551" t="s">
        <v>575</v>
      </c>
      <c r="B38" s="26" t="s">
        <v>24</v>
      </c>
      <c r="C38" s="529" t="s">
        <v>50</v>
      </c>
      <c r="D38" s="529"/>
      <c r="E38" s="26">
        <v>26.2</v>
      </c>
      <c r="F38" s="137">
        <v>3034</v>
      </c>
      <c r="G38" s="136">
        <f t="shared" si="49"/>
        <v>79490.8</v>
      </c>
      <c r="H38" s="76" t="s">
        <v>52</v>
      </c>
      <c r="I38" s="139">
        <v>19</v>
      </c>
      <c r="J38" s="18">
        <v>2400</v>
      </c>
      <c r="K38" s="9">
        <f t="shared" si="54"/>
        <v>126.31578947368421</v>
      </c>
      <c r="L38" s="139">
        <v>19</v>
      </c>
      <c r="M38" s="10">
        <f t="shared" si="55"/>
        <v>2219.9999999999991</v>
      </c>
      <c r="N38" s="9">
        <f t="shared" si="56"/>
        <v>116.84210526315785</v>
      </c>
      <c r="O38" s="11">
        <f t="shared" si="50"/>
        <v>0</v>
      </c>
      <c r="P38" s="12">
        <f t="shared" si="51"/>
        <v>-9.4736842105263577</v>
      </c>
      <c r="Q38" s="141">
        <f t="shared" si="52"/>
        <v>0.92499999999999971</v>
      </c>
      <c r="R38" s="533"/>
      <c r="S38" s="24">
        <v>0.38958333333333323</v>
      </c>
      <c r="T38" s="24">
        <v>0.44652777777777769</v>
      </c>
      <c r="U38" s="136">
        <f t="shared" si="58"/>
        <v>7.9999999999999716</v>
      </c>
      <c r="V38" s="138">
        <f t="shared" si="53"/>
        <v>82.000000000000028</v>
      </c>
      <c r="W38" s="14"/>
      <c r="X38" s="14"/>
      <c r="Y38" s="528"/>
      <c r="Z38" s="528"/>
      <c r="AA38" s="11">
        <f t="shared" si="2"/>
        <v>-180.00000000000091</v>
      </c>
      <c r="AB38" s="141">
        <f t="shared" si="57"/>
        <v>0.9249999999999996</v>
      </c>
      <c r="AC38" s="533"/>
    </row>
    <row r="39" spans="1:29">
      <c r="A39" s="551" t="s">
        <v>574</v>
      </c>
      <c r="B39" s="26" t="s">
        <v>24</v>
      </c>
      <c r="C39" s="529" t="s">
        <v>62</v>
      </c>
      <c r="D39" s="529"/>
      <c r="E39" s="26">
        <v>22.35</v>
      </c>
      <c r="F39" s="137">
        <v>1591</v>
      </c>
      <c r="G39" s="136">
        <f t="shared" si="49"/>
        <v>35558.850000000006</v>
      </c>
      <c r="H39" s="76" t="s">
        <v>52</v>
      </c>
      <c r="I39" s="139">
        <v>16</v>
      </c>
      <c r="J39" s="18">
        <v>2400</v>
      </c>
      <c r="K39" s="9">
        <f t="shared" si="54"/>
        <v>150</v>
      </c>
      <c r="L39" s="139">
        <v>16</v>
      </c>
      <c r="M39" s="10">
        <f t="shared" si="55"/>
        <v>2219.9999999999995</v>
      </c>
      <c r="N39" s="9">
        <f t="shared" si="56"/>
        <v>138.74999999999997</v>
      </c>
      <c r="O39" s="11">
        <f t="shared" si="50"/>
        <v>0</v>
      </c>
      <c r="P39" s="12">
        <f t="shared" si="51"/>
        <v>-11.250000000000028</v>
      </c>
      <c r="Q39" s="141">
        <f t="shared" si="52"/>
        <v>0.92499999999999982</v>
      </c>
      <c r="R39" s="533"/>
      <c r="S39" s="24">
        <v>0.45208333333333323</v>
      </c>
      <c r="T39" s="24">
        <v>0.48194444444444434</v>
      </c>
      <c r="U39" s="136">
        <f t="shared" si="58"/>
        <v>7.9999999999999716</v>
      </c>
      <c r="V39" s="138">
        <f t="shared" si="53"/>
        <v>43.000000000000007</v>
      </c>
      <c r="W39" s="14"/>
      <c r="X39" s="14"/>
      <c r="Y39" s="536"/>
      <c r="Z39" s="537"/>
      <c r="AA39" s="11">
        <f t="shared" si="2"/>
        <v>-180.00000000000045</v>
      </c>
      <c r="AB39" s="141">
        <f t="shared" si="57"/>
        <v>0.92499999999999982</v>
      </c>
      <c r="AC39" s="533"/>
    </row>
    <row r="40" spans="1:29">
      <c r="A40" s="551" t="s">
        <v>574</v>
      </c>
      <c r="B40" s="16" t="s">
        <v>561</v>
      </c>
      <c r="C40" s="530"/>
      <c r="D40" s="530"/>
      <c r="E40" s="140"/>
      <c r="F40" s="16"/>
      <c r="G40" s="9"/>
      <c r="H40" s="137"/>
      <c r="I40" s="17">
        <v>18.571428571428573</v>
      </c>
      <c r="J40" s="18">
        <v>2400</v>
      </c>
      <c r="K40" s="9">
        <f t="shared" si="54"/>
        <v>129.23076923076923</v>
      </c>
      <c r="L40" s="17">
        <v>18.571428571428573</v>
      </c>
      <c r="M40" s="10">
        <f>AVERAGE(M33:M39)</f>
        <v>2217.8732647896936</v>
      </c>
      <c r="N40" s="9">
        <f>M40/L40</f>
        <v>119.42394502713734</v>
      </c>
      <c r="O40" s="11">
        <f>L40-I40</f>
        <v>0</v>
      </c>
      <c r="P40" s="12">
        <f t="shared" si="51"/>
        <v>-9.8068242036318907</v>
      </c>
      <c r="Q40" s="141">
        <f t="shared" si="52"/>
        <v>0.92411386032903897</v>
      </c>
      <c r="R40" s="533"/>
      <c r="S40" s="24"/>
      <c r="T40" s="24"/>
      <c r="U40" s="9"/>
      <c r="V40" s="138"/>
      <c r="W40" s="9"/>
      <c r="X40" s="9"/>
      <c r="Y40" s="528"/>
      <c r="Z40" s="528"/>
      <c r="AA40" s="11">
        <f t="shared" si="2"/>
        <v>-182.12673521030638</v>
      </c>
      <c r="AB40" s="141">
        <f t="shared" si="57"/>
        <v>0.92411386032903897</v>
      </c>
      <c r="AC40" s="533"/>
    </row>
    <row r="41" spans="1:29" ht="15.75" customHeight="1">
      <c r="A41" s="544" t="s">
        <v>576</v>
      </c>
      <c r="B41" s="26" t="s">
        <v>32</v>
      </c>
      <c r="C41" s="534" t="s">
        <v>33</v>
      </c>
      <c r="D41" s="535"/>
      <c r="E41" s="26">
        <v>27.17</v>
      </c>
      <c r="F41" s="137">
        <v>5008</v>
      </c>
      <c r="G41" s="136">
        <f t="shared" ref="G41:G46" si="59">E41*F41</f>
        <v>136067.36000000002</v>
      </c>
      <c r="H41" s="76" t="s">
        <v>52</v>
      </c>
      <c r="I41" s="139">
        <v>10</v>
      </c>
      <c r="J41" s="18">
        <v>3000</v>
      </c>
      <c r="K41" s="9">
        <f t="shared" si="54"/>
        <v>300</v>
      </c>
      <c r="L41" s="139">
        <v>10</v>
      </c>
      <c r="M41" s="10">
        <f t="shared" ref="M41:M42" si="60">F41/V41*60</f>
        <v>2756.6972477064228</v>
      </c>
      <c r="N41" s="10">
        <f t="shared" ref="N41:N47" si="61">M41/L41</f>
        <v>275.66972477064229</v>
      </c>
      <c r="O41" s="11">
        <f t="shared" ref="O41:O47" si="62">L41-I41</f>
        <v>0</v>
      </c>
      <c r="P41" s="12">
        <f t="shared" si="51"/>
        <v>-24.33027522935771</v>
      </c>
      <c r="Q41" s="141">
        <f t="shared" si="52"/>
        <v>0.91889908256880759</v>
      </c>
      <c r="R41" s="547">
        <f>Q47</f>
        <v>0.9239867987610213</v>
      </c>
      <c r="S41" s="24">
        <v>0.20833333333333334</v>
      </c>
      <c r="T41" s="24">
        <v>0.28402777777777777</v>
      </c>
      <c r="U41" s="15"/>
      <c r="V41" s="138">
        <f t="shared" ref="V41:V46" si="63">(T41-S41)*24*60</f>
        <v>108.99999999999997</v>
      </c>
      <c r="W41" s="136"/>
      <c r="X41" s="136"/>
      <c r="Y41" s="536"/>
      <c r="Z41" s="537"/>
      <c r="AA41" s="11">
        <f t="shared" si="2"/>
        <v>-243.30275229357721</v>
      </c>
      <c r="AB41" s="141">
        <f t="shared" si="57"/>
        <v>0.91889908256880759</v>
      </c>
      <c r="AC41" s="547">
        <f>AB47</f>
        <v>0.9239867987610213</v>
      </c>
    </row>
    <row r="42" spans="1:29" ht="15.75" customHeight="1">
      <c r="A42" s="545" t="s">
        <v>576</v>
      </c>
      <c r="B42" s="26" t="s">
        <v>32</v>
      </c>
      <c r="C42" s="534" t="s">
        <v>34</v>
      </c>
      <c r="D42" s="535"/>
      <c r="E42" s="26">
        <v>21.13</v>
      </c>
      <c r="F42" s="137">
        <v>4190</v>
      </c>
      <c r="G42" s="136">
        <f t="shared" si="59"/>
        <v>88534.7</v>
      </c>
      <c r="H42" s="76" t="s">
        <v>52</v>
      </c>
      <c r="I42" s="139">
        <v>10</v>
      </c>
      <c r="J42" s="18">
        <v>3000</v>
      </c>
      <c r="K42" s="9">
        <f t="shared" si="54"/>
        <v>300</v>
      </c>
      <c r="L42" s="139">
        <v>10</v>
      </c>
      <c r="M42" s="10">
        <f t="shared" si="60"/>
        <v>2762.6373626373625</v>
      </c>
      <c r="N42" s="10">
        <f t="shared" si="61"/>
        <v>276.26373626373623</v>
      </c>
      <c r="O42" s="11">
        <f t="shared" si="62"/>
        <v>0</v>
      </c>
      <c r="P42" s="12">
        <f t="shared" si="51"/>
        <v>-23.736263736263766</v>
      </c>
      <c r="Q42" s="141">
        <f t="shared" si="52"/>
        <v>0.92087912087912083</v>
      </c>
      <c r="R42" s="548"/>
      <c r="S42" s="24">
        <v>0.28819444444444442</v>
      </c>
      <c r="T42" s="24">
        <v>0.35138888888888886</v>
      </c>
      <c r="U42" s="136">
        <f>(S42-T41)*24*60</f>
        <v>5.9999999999999787</v>
      </c>
      <c r="V42" s="138">
        <f t="shared" si="63"/>
        <v>91</v>
      </c>
      <c r="W42" s="14"/>
      <c r="X42" s="14"/>
      <c r="Y42" s="536"/>
      <c r="Z42" s="537"/>
      <c r="AA42" s="11">
        <f t="shared" si="2"/>
        <v>-237.36263736263754</v>
      </c>
      <c r="AB42" s="141">
        <f t="shared" si="57"/>
        <v>0.92087912087912083</v>
      </c>
      <c r="AC42" s="548"/>
    </row>
    <row r="43" spans="1:29" ht="15.75" customHeight="1">
      <c r="A43" s="545" t="s">
        <v>576</v>
      </c>
      <c r="B43" s="26" t="s">
        <v>32</v>
      </c>
      <c r="C43" s="534" t="s">
        <v>40</v>
      </c>
      <c r="D43" s="535"/>
      <c r="E43" s="26">
        <v>35.119999999999997</v>
      </c>
      <c r="F43" s="137">
        <v>3777</v>
      </c>
      <c r="G43" s="136">
        <f t="shared" si="59"/>
        <v>132648.24</v>
      </c>
      <c r="H43" s="76" t="s">
        <v>52</v>
      </c>
      <c r="I43" s="139">
        <v>10</v>
      </c>
      <c r="J43" s="18">
        <v>3000</v>
      </c>
      <c r="K43" s="9">
        <f t="shared" si="54"/>
        <v>300</v>
      </c>
      <c r="L43" s="139">
        <v>10</v>
      </c>
      <c r="M43" s="10">
        <f>F43/V43*60</f>
        <v>2763.6585365853653</v>
      </c>
      <c r="N43" s="10">
        <f t="shared" si="61"/>
        <v>276.36585365853654</v>
      </c>
      <c r="O43" s="11">
        <f t="shared" si="62"/>
        <v>0</v>
      </c>
      <c r="P43" s="12">
        <f t="shared" si="51"/>
        <v>-23.634146341463463</v>
      </c>
      <c r="Q43" s="141">
        <f t="shared" si="52"/>
        <v>0.92121951219512177</v>
      </c>
      <c r="R43" s="548"/>
      <c r="S43" s="24">
        <v>0.35555555555555551</v>
      </c>
      <c r="T43" s="24">
        <v>0.41249999999999998</v>
      </c>
      <c r="U43" s="136">
        <f t="shared" ref="U43:U46" si="64">(S43-T42)*24*60</f>
        <v>5.9999999999999787</v>
      </c>
      <c r="V43" s="138">
        <f t="shared" si="63"/>
        <v>82.000000000000028</v>
      </c>
      <c r="W43" s="14"/>
      <c r="X43" s="14"/>
      <c r="Y43" s="536"/>
      <c r="Z43" s="537"/>
      <c r="AA43" s="11">
        <f t="shared" si="2"/>
        <v>-236.34146341463475</v>
      </c>
      <c r="AB43" s="141">
        <f t="shared" si="57"/>
        <v>0.92121951219512177</v>
      </c>
      <c r="AC43" s="548"/>
    </row>
    <row r="44" spans="1:29" ht="15.75" customHeight="1">
      <c r="A44" s="545" t="s">
        <v>576</v>
      </c>
      <c r="B44" s="26" t="s">
        <v>32</v>
      </c>
      <c r="C44" s="534" t="s">
        <v>61</v>
      </c>
      <c r="D44" s="535"/>
      <c r="E44" s="26">
        <v>40.18</v>
      </c>
      <c r="F44" s="137">
        <v>1856</v>
      </c>
      <c r="G44" s="136">
        <f t="shared" si="59"/>
        <v>74574.080000000002</v>
      </c>
      <c r="H44" s="76" t="s">
        <v>52</v>
      </c>
      <c r="I44" s="139">
        <v>10</v>
      </c>
      <c r="J44" s="18">
        <v>3000</v>
      </c>
      <c r="K44" s="9">
        <f t="shared" si="54"/>
        <v>300</v>
      </c>
      <c r="L44" s="139">
        <v>10</v>
      </c>
      <c r="M44" s="10">
        <f t="shared" ref="M44:M46" si="65">F44/V44*60</f>
        <v>2783.9999999999991</v>
      </c>
      <c r="N44" s="10">
        <f t="shared" si="61"/>
        <v>278.39999999999992</v>
      </c>
      <c r="O44" s="11">
        <f t="shared" si="62"/>
        <v>0</v>
      </c>
      <c r="P44" s="12">
        <f t="shared" si="51"/>
        <v>-21.60000000000008</v>
      </c>
      <c r="Q44" s="141">
        <f t="shared" si="52"/>
        <v>0.92799999999999971</v>
      </c>
      <c r="R44" s="548"/>
      <c r="S44" s="24">
        <v>0.41736111111111107</v>
      </c>
      <c r="T44" s="24">
        <v>0.44513888888888886</v>
      </c>
      <c r="U44" s="136">
        <f t="shared" si="64"/>
        <v>6.9999999999999751</v>
      </c>
      <c r="V44" s="138">
        <f t="shared" si="63"/>
        <v>40.000000000000014</v>
      </c>
      <c r="W44" s="14"/>
      <c r="X44" s="14"/>
      <c r="Y44" s="536"/>
      <c r="Z44" s="537"/>
      <c r="AA44" s="11">
        <f t="shared" si="2"/>
        <v>-216.00000000000091</v>
      </c>
      <c r="AB44" s="141">
        <f t="shared" si="57"/>
        <v>0.92799999999999971</v>
      </c>
      <c r="AC44" s="548"/>
    </row>
    <row r="45" spans="1:29" ht="15.75" customHeight="1">
      <c r="A45" s="545" t="s">
        <v>576</v>
      </c>
      <c r="B45" s="26" t="s">
        <v>32</v>
      </c>
      <c r="C45" s="534" t="s">
        <v>64</v>
      </c>
      <c r="D45" s="535"/>
      <c r="E45" s="26">
        <v>28.5</v>
      </c>
      <c r="F45" s="137">
        <v>1215</v>
      </c>
      <c r="G45" s="136">
        <f t="shared" si="59"/>
        <v>34627.5</v>
      </c>
      <c r="H45" s="76" t="s">
        <v>52</v>
      </c>
      <c r="I45" s="139">
        <v>10</v>
      </c>
      <c r="J45" s="18">
        <v>3000</v>
      </c>
      <c r="K45" s="9">
        <f t="shared" si="54"/>
        <v>300</v>
      </c>
      <c r="L45" s="139">
        <v>10</v>
      </c>
      <c r="M45" s="10">
        <f t="shared" si="65"/>
        <v>2803.8461538461552</v>
      </c>
      <c r="N45" s="10">
        <f t="shared" si="61"/>
        <v>280.38461538461553</v>
      </c>
      <c r="O45" s="11">
        <f t="shared" si="62"/>
        <v>0</v>
      </c>
      <c r="P45" s="12">
        <f t="shared" si="51"/>
        <v>-19.615384615384471</v>
      </c>
      <c r="Q45" s="141">
        <f>N45/K45</f>
        <v>0.93461538461538507</v>
      </c>
      <c r="R45" s="548"/>
      <c r="S45" s="24">
        <v>0.4506944444444444</v>
      </c>
      <c r="T45" s="24">
        <v>0.46874999999999994</v>
      </c>
      <c r="U45" s="136">
        <f t="shared" si="64"/>
        <v>7.9999999999999716</v>
      </c>
      <c r="V45" s="138">
        <f t="shared" si="63"/>
        <v>25.999999999999986</v>
      </c>
      <c r="W45" s="14"/>
      <c r="X45" s="14"/>
      <c r="Y45" s="536"/>
      <c r="Z45" s="537"/>
      <c r="AA45" s="11">
        <f t="shared" si="2"/>
        <v>-196.15384615384482</v>
      </c>
      <c r="AB45" s="141">
        <f t="shared" si="57"/>
        <v>0.93461538461538507</v>
      </c>
      <c r="AC45" s="548"/>
    </row>
    <row r="46" spans="1:29" ht="15.75" customHeight="1">
      <c r="A46" s="545" t="s">
        <v>576</v>
      </c>
      <c r="B46" s="26" t="s">
        <v>32</v>
      </c>
      <c r="C46" s="534" t="s">
        <v>78</v>
      </c>
      <c r="D46" s="535"/>
      <c r="E46" s="26">
        <v>35.869999999999997</v>
      </c>
      <c r="F46" s="137">
        <v>2991</v>
      </c>
      <c r="G46" s="136">
        <f t="shared" si="59"/>
        <v>107287.17</v>
      </c>
      <c r="H46" s="76" t="s">
        <v>52</v>
      </c>
      <c r="I46" s="139">
        <v>10</v>
      </c>
      <c r="J46" s="18">
        <v>3000</v>
      </c>
      <c r="K46" s="9">
        <f t="shared" si="54"/>
        <v>300</v>
      </c>
      <c r="L46" s="139">
        <v>10</v>
      </c>
      <c r="M46" s="10">
        <f t="shared" si="65"/>
        <v>2760.9230769230762</v>
      </c>
      <c r="N46" s="10">
        <f t="shared" si="61"/>
        <v>276.0923076923076</v>
      </c>
      <c r="O46" s="11">
        <f t="shared" si="62"/>
        <v>0</v>
      </c>
      <c r="P46" s="12">
        <f t="shared" si="51"/>
        <v>-23.9076923076924</v>
      </c>
      <c r="Q46" s="141">
        <f t="shared" ref="Q46:Q47" si="66">N46/K46</f>
        <v>0.92030769230769205</v>
      </c>
      <c r="R46" s="548"/>
      <c r="S46" s="24">
        <v>0.4729166666666666</v>
      </c>
      <c r="T46" s="24">
        <v>0.51805555555555549</v>
      </c>
      <c r="U46" s="136">
        <f t="shared" si="64"/>
        <v>5.9999999999999787</v>
      </c>
      <c r="V46" s="138">
        <f t="shared" si="63"/>
        <v>65.000000000000014</v>
      </c>
      <c r="W46" s="14"/>
      <c r="X46" s="14"/>
      <c r="Y46" s="536"/>
      <c r="Z46" s="537"/>
      <c r="AA46" s="11">
        <f t="shared" si="2"/>
        <v>-239.07692307692378</v>
      </c>
      <c r="AB46" s="141">
        <f t="shared" si="57"/>
        <v>0.92030769230769205</v>
      </c>
      <c r="AC46" s="548"/>
    </row>
    <row r="47" spans="1:29" ht="15.75" customHeight="1">
      <c r="A47" s="546" t="s">
        <v>576</v>
      </c>
      <c r="B47" s="26" t="s">
        <v>561</v>
      </c>
      <c r="C47" s="540"/>
      <c r="D47" s="541"/>
      <c r="E47" s="146"/>
      <c r="F47" s="137"/>
      <c r="G47" s="136"/>
      <c r="H47" s="137"/>
      <c r="I47" s="17">
        <v>10</v>
      </c>
      <c r="J47" s="18">
        <v>3000</v>
      </c>
      <c r="K47" s="9">
        <f>J47/I47</f>
        <v>300</v>
      </c>
      <c r="L47" s="17">
        <v>10</v>
      </c>
      <c r="M47" s="10">
        <f>AVERAGE(M41:M46)</f>
        <v>2771.9603962830638</v>
      </c>
      <c r="N47" s="9">
        <f t="shared" si="61"/>
        <v>277.19603962830638</v>
      </c>
      <c r="O47" s="11">
        <f t="shared" si="62"/>
        <v>0</v>
      </c>
      <c r="P47" s="12">
        <f t="shared" si="51"/>
        <v>-22.80396037169362</v>
      </c>
      <c r="Q47" s="141">
        <f t="shared" si="66"/>
        <v>0.9239867987610213</v>
      </c>
      <c r="R47" s="549"/>
      <c r="S47" s="24"/>
      <c r="T47" s="24"/>
      <c r="U47" s="136"/>
      <c r="V47" s="138"/>
      <c r="W47" s="14"/>
      <c r="X47" s="14"/>
      <c r="Y47" s="536"/>
      <c r="Z47" s="537"/>
      <c r="AA47" s="11">
        <f t="shared" si="2"/>
        <v>-228.0396037169362</v>
      </c>
      <c r="AB47" s="141">
        <f t="shared" si="57"/>
        <v>0.9239867987610213</v>
      </c>
      <c r="AC47" s="549"/>
    </row>
    <row r="48" spans="1:29" ht="15.75" customHeight="1">
      <c r="A48" s="542" t="s">
        <v>577</v>
      </c>
      <c r="B48" s="26" t="s">
        <v>15</v>
      </c>
      <c r="C48" s="529" t="s">
        <v>20</v>
      </c>
      <c r="D48" s="529"/>
      <c r="E48" s="26">
        <v>46</v>
      </c>
      <c r="F48" s="27">
        <v>2488</v>
      </c>
      <c r="G48" s="136">
        <f t="shared" ref="G48:G52" si="67">E48*F48</f>
        <v>114448</v>
      </c>
      <c r="H48" s="76" t="s">
        <v>52</v>
      </c>
      <c r="I48" s="139">
        <v>17</v>
      </c>
      <c r="J48" s="18">
        <v>2000</v>
      </c>
      <c r="K48" s="9">
        <f t="shared" ref="K48:K52" si="68">J48/I48</f>
        <v>117.64705882352941</v>
      </c>
      <c r="L48" s="139">
        <v>17</v>
      </c>
      <c r="M48" s="10">
        <f t="shared" ref="M48:M52" si="69">F48/V48*60</f>
        <v>1842.9629629629624</v>
      </c>
      <c r="N48" s="10">
        <f>M48/L48</f>
        <v>108.40958605664484</v>
      </c>
      <c r="O48" s="11">
        <f>L48-I48</f>
        <v>0</v>
      </c>
      <c r="P48" s="12">
        <f>N48-K48</f>
        <v>-9.2374727668845651</v>
      </c>
      <c r="Q48" s="141">
        <f>N48/K48</f>
        <v>0.92148148148148123</v>
      </c>
      <c r="R48" s="533">
        <f>Q53</f>
        <v>0.92399891288049174</v>
      </c>
      <c r="S48" s="24">
        <v>0.29166666666666669</v>
      </c>
      <c r="T48" s="24">
        <v>0.34791666666666671</v>
      </c>
      <c r="U48" s="15"/>
      <c r="V48" s="138">
        <f t="shared" ref="V48:V52" si="70">(T48-S48)*24*60</f>
        <v>81.000000000000028</v>
      </c>
      <c r="W48" s="15"/>
      <c r="X48" s="15"/>
      <c r="Y48" s="528"/>
      <c r="Z48" s="528"/>
      <c r="AA48" s="11">
        <f t="shared" si="2"/>
        <v>-157.03703703703763</v>
      </c>
      <c r="AB48" s="141">
        <f t="shared" si="57"/>
        <v>0.92148148148148123</v>
      </c>
      <c r="AC48" s="533">
        <f>AB53</f>
        <v>0.92399891288049174</v>
      </c>
    </row>
    <row r="49" spans="1:29" ht="15.75" customHeight="1">
      <c r="A49" s="542" t="s">
        <v>577</v>
      </c>
      <c r="B49" s="26" t="s">
        <v>15</v>
      </c>
      <c r="C49" s="529" t="s">
        <v>65</v>
      </c>
      <c r="D49" s="529"/>
      <c r="E49" s="26">
        <v>46</v>
      </c>
      <c r="F49" s="27">
        <v>2937</v>
      </c>
      <c r="G49" s="136">
        <f t="shared" si="67"/>
        <v>135102</v>
      </c>
      <c r="H49" s="76" t="s">
        <v>52</v>
      </c>
      <c r="I49" s="139">
        <v>18</v>
      </c>
      <c r="J49" s="18">
        <v>2000</v>
      </c>
      <c r="K49" s="9">
        <f t="shared" si="68"/>
        <v>111.11111111111111</v>
      </c>
      <c r="L49" s="139">
        <v>18</v>
      </c>
      <c r="M49" s="10">
        <f t="shared" si="69"/>
        <v>1835.6250000000007</v>
      </c>
      <c r="N49" s="10">
        <f t="shared" ref="N49:N52" si="71">M49/L49</f>
        <v>101.9791666666667</v>
      </c>
      <c r="O49" s="11">
        <f t="shared" ref="O49:O52" si="72">L49-I49</f>
        <v>0</v>
      </c>
      <c r="P49" s="12">
        <f t="shared" ref="P49:P52" si="73">N49-K49</f>
        <v>-9.1319444444444144</v>
      </c>
      <c r="Q49" s="141">
        <f t="shared" ref="Q49:Q52" si="74">N49/K49</f>
        <v>0.91781250000000025</v>
      </c>
      <c r="R49" s="533"/>
      <c r="S49" s="24">
        <v>0.35208333333333336</v>
      </c>
      <c r="T49" s="24">
        <v>0.41875000000000001</v>
      </c>
      <c r="U49" s="136">
        <f>IF(S49=TIME(17,0,0),"",(S49-T48)*24*60)</f>
        <v>5.9999999999999787</v>
      </c>
      <c r="V49" s="138">
        <f t="shared" si="70"/>
        <v>95.999999999999972</v>
      </c>
      <c r="W49" s="14"/>
      <c r="X49" s="14"/>
      <c r="Y49" s="528"/>
      <c r="Z49" s="528"/>
      <c r="AA49" s="11">
        <f t="shared" si="2"/>
        <v>-164.37499999999932</v>
      </c>
      <c r="AB49" s="141">
        <f t="shared" si="57"/>
        <v>0.91781250000000036</v>
      </c>
      <c r="AC49" s="533"/>
    </row>
    <row r="50" spans="1:29" ht="15.75" customHeight="1">
      <c r="A50" s="542" t="s">
        <v>577</v>
      </c>
      <c r="B50" s="26" t="s">
        <v>13</v>
      </c>
      <c r="C50" s="534" t="s">
        <v>59</v>
      </c>
      <c r="D50" s="535"/>
      <c r="E50" s="26">
        <v>55.56</v>
      </c>
      <c r="F50" s="27">
        <v>1654</v>
      </c>
      <c r="G50" s="136">
        <f t="shared" si="67"/>
        <v>91896.24</v>
      </c>
      <c r="H50" s="76" t="s">
        <v>52</v>
      </c>
      <c r="I50" s="139">
        <v>17</v>
      </c>
      <c r="J50" s="18">
        <v>2000</v>
      </c>
      <c r="K50" s="9">
        <f t="shared" si="68"/>
        <v>117.64705882352941</v>
      </c>
      <c r="L50" s="139">
        <v>17</v>
      </c>
      <c r="M50" s="10">
        <f t="shared" si="69"/>
        <v>1837.7777777777787</v>
      </c>
      <c r="N50" s="10">
        <f t="shared" si="71"/>
        <v>108.10457516339875</v>
      </c>
      <c r="O50" s="11">
        <f t="shared" si="72"/>
        <v>0</v>
      </c>
      <c r="P50" s="12">
        <f t="shared" si="73"/>
        <v>-9.5424836601306566</v>
      </c>
      <c r="Q50" s="141">
        <f t="shared" si="74"/>
        <v>0.91888888888888942</v>
      </c>
      <c r="R50" s="533"/>
      <c r="S50" s="24">
        <v>0.70833333333333337</v>
      </c>
      <c r="T50" s="24">
        <v>0.74583333333333335</v>
      </c>
      <c r="U50" s="136" t="str">
        <f t="shared" ref="U50:U52" si="75">IF(S50=TIME(17,0,0),"",(S50-T49)*24*60)</f>
        <v/>
      </c>
      <c r="V50" s="138">
        <f t="shared" si="70"/>
        <v>53.999999999999972</v>
      </c>
      <c r="W50" s="14"/>
      <c r="X50" s="14"/>
      <c r="Y50" s="142"/>
      <c r="Z50" s="143"/>
      <c r="AA50" s="11">
        <f t="shared" si="2"/>
        <v>-162.22222222222126</v>
      </c>
      <c r="AB50" s="141">
        <f t="shared" si="57"/>
        <v>0.91888888888888942</v>
      </c>
      <c r="AC50" s="533"/>
    </row>
    <row r="51" spans="1:29" ht="15.75" customHeight="1">
      <c r="A51" s="542" t="s">
        <v>577</v>
      </c>
      <c r="B51" s="26" t="s">
        <v>13</v>
      </c>
      <c r="C51" s="144" t="s">
        <v>58</v>
      </c>
      <c r="D51" s="145"/>
      <c r="E51" s="26">
        <v>55.32</v>
      </c>
      <c r="F51" s="27">
        <v>1218</v>
      </c>
      <c r="G51" s="136">
        <f t="shared" si="67"/>
        <v>67379.759999999995</v>
      </c>
      <c r="H51" s="76" t="s">
        <v>52</v>
      </c>
      <c r="I51" s="139">
        <v>15</v>
      </c>
      <c r="J51" s="18">
        <v>2000</v>
      </c>
      <c r="K51" s="9">
        <f t="shared" si="68"/>
        <v>133.33333333333334</v>
      </c>
      <c r="L51" s="139">
        <v>15</v>
      </c>
      <c r="M51" s="10">
        <f t="shared" si="69"/>
        <v>1873.8461538461527</v>
      </c>
      <c r="N51" s="10">
        <f t="shared" si="71"/>
        <v>124.92307692307685</v>
      </c>
      <c r="O51" s="11">
        <f t="shared" si="72"/>
        <v>0</v>
      </c>
      <c r="P51" s="12">
        <f t="shared" si="73"/>
        <v>-8.4102564102564941</v>
      </c>
      <c r="Q51" s="141">
        <f t="shared" si="74"/>
        <v>0.9369230769230763</v>
      </c>
      <c r="R51" s="533"/>
      <c r="S51" s="24">
        <v>0.75069444444444444</v>
      </c>
      <c r="T51" s="24">
        <v>0.77777777777777779</v>
      </c>
      <c r="U51" s="136">
        <f t="shared" si="75"/>
        <v>6.9999999999999751</v>
      </c>
      <c r="V51" s="138">
        <f t="shared" si="70"/>
        <v>39.000000000000021</v>
      </c>
      <c r="W51" s="14"/>
      <c r="X51" s="14"/>
      <c r="Y51" s="142"/>
      <c r="Z51" s="143"/>
      <c r="AA51" s="11">
        <f t="shared" si="2"/>
        <v>-126.15384615384733</v>
      </c>
      <c r="AB51" s="141">
        <f t="shared" si="57"/>
        <v>0.9369230769230763</v>
      </c>
      <c r="AC51" s="533"/>
    </row>
    <row r="52" spans="1:29" ht="15.75" customHeight="1">
      <c r="A52" s="542" t="s">
        <v>577</v>
      </c>
      <c r="B52" s="26" t="s">
        <v>13</v>
      </c>
      <c r="C52" s="144" t="s">
        <v>60</v>
      </c>
      <c r="D52" s="145"/>
      <c r="E52" s="26">
        <v>57.73</v>
      </c>
      <c r="F52" s="27">
        <v>1249</v>
      </c>
      <c r="G52" s="136">
        <f t="shared" si="67"/>
        <v>72104.76999999999</v>
      </c>
      <c r="H52" s="76" t="s">
        <v>52</v>
      </c>
      <c r="I52" s="139">
        <v>16</v>
      </c>
      <c r="J52" s="18">
        <v>1500</v>
      </c>
      <c r="K52" s="9">
        <f t="shared" si="68"/>
        <v>93.75</v>
      </c>
      <c r="L52" s="139">
        <v>16</v>
      </c>
      <c r="M52" s="10">
        <f t="shared" si="69"/>
        <v>1387.7777777777785</v>
      </c>
      <c r="N52" s="10">
        <f t="shared" si="71"/>
        <v>86.736111111111157</v>
      </c>
      <c r="O52" s="11">
        <f t="shared" si="72"/>
        <v>0</v>
      </c>
      <c r="P52" s="12">
        <f t="shared" si="73"/>
        <v>-7.0138888888888431</v>
      </c>
      <c r="Q52" s="141">
        <f t="shared" si="74"/>
        <v>0.92518518518518567</v>
      </c>
      <c r="R52" s="533"/>
      <c r="S52" s="24">
        <v>0.78125</v>
      </c>
      <c r="T52" s="24">
        <v>0.81874999999999998</v>
      </c>
      <c r="U52" s="136">
        <f t="shared" si="75"/>
        <v>4.9999999999999822</v>
      </c>
      <c r="V52" s="138">
        <f t="shared" si="70"/>
        <v>53.999999999999972</v>
      </c>
      <c r="W52" s="14"/>
      <c r="X52" s="14"/>
      <c r="Y52" s="142"/>
      <c r="Z52" s="143"/>
      <c r="AA52" s="11">
        <f t="shared" si="2"/>
        <v>-112.22222222222149</v>
      </c>
      <c r="AB52" s="141">
        <f t="shared" si="57"/>
        <v>0.92518518518518567</v>
      </c>
      <c r="AC52" s="533"/>
    </row>
    <row r="53" spans="1:29">
      <c r="A53" s="543" t="s">
        <v>577</v>
      </c>
      <c r="B53" s="26" t="s">
        <v>561</v>
      </c>
      <c r="C53" s="530"/>
      <c r="D53" s="530"/>
      <c r="E53" s="140"/>
      <c r="F53" s="16"/>
      <c r="G53" s="9"/>
      <c r="H53" s="137"/>
      <c r="I53" s="17">
        <v>16.600000000000001</v>
      </c>
      <c r="J53" s="18">
        <v>1900</v>
      </c>
      <c r="K53" s="9">
        <f>J53/I53</f>
        <v>114.4578313253012</v>
      </c>
      <c r="L53" s="17">
        <v>16.600000000000001</v>
      </c>
      <c r="M53" s="10">
        <f>AVERAGE(M48:M52)</f>
        <v>1755.5979344729344</v>
      </c>
      <c r="N53" s="9">
        <f>M53/L53</f>
        <v>105.75891171523701</v>
      </c>
      <c r="O53" s="11">
        <f>L53-I53</f>
        <v>0</v>
      </c>
      <c r="P53" s="12">
        <f>N53-K53</f>
        <v>-8.6989196100641948</v>
      </c>
      <c r="Q53" s="141">
        <f>N53/K53</f>
        <v>0.92399891288049174</v>
      </c>
      <c r="R53" s="533"/>
      <c r="S53" s="25"/>
      <c r="T53" s="24"/>
      <c r="U53" s="9"/>
      <c r="V53" s="138"/>
      <c r="W53" s="9"/>
      <c r="X53" s="9"/>
      <c r="Y53" s="528"/>
      <c r="Z53" s="528"/>
      <c r="AA53" s="11">
        <f t="shared" si="2"/>
        <v>-144.40206552706559</v>
      </c>
      <c r="AB53" s="141">
        <f t="shared" si="57"/>
        <v>0.92399891288049174</v>
      </c>
      <c r="AC53" s="533"/>
    </row>
    <row r="54" spans="1:29" ht="15.75" customHeight="1">
      <c r="A54" s="538" t="s">
        <v>578</v>
      </c>
      <c r="B54" s="137" t="s">
        <v>32</v>
      </c>
      <c r="C54" s="529" t="s">
        <v>35</v>
      </c>
      <c r="D54" s="529"/>
      <c r="E54" s="26">
        <v>26.78</v>
      </c>
      <c r="F54" s="27">
        <v>2141</v>
      </c>
      <c r="G54" s="136">
        <f t="shared" ref="G54:G59" si="76">E54*F54</f>
        <v>57335.98</v>
      </c>
      <c r="H54" s="76" t="s">
        <v>52</v>
      </c>
      <c r="I54" s="139">
        <v>10</v>
      </c>
      <c r="J54" s="18">
        <v>3000</v>
      </c>
      <c r="K54" s="9">
        <f t="shared" ref="K54:K59" si="77">J54/I54</f>
        <v>300</v>
      </c>
      <c r="L54" s="17">
        <v>10</v>
      </c>
      <c r="M54" s="10">
        <f t="shared" ref="M54:M59" si="78">F54/V54*60</f>
        <v>2792.608695652174</v>
      </c>
      <c r="N54" s="9">
        <f>M54/L54</f>
        <v>279.26086956521738</v>
      </c>
      <c r="O54" s="11">
        <f t="shared" ref="O54:O59" si="79">L54-I54</f>
        <v>0</v>
      </c>
      <c r="P54" s="12">
        <f t="shared" ref="P54:P59" si="80">N54-K54</f>
        <v>-20.739130434782624</v>
      </c>
      <c r="Q54" s="141">
        <f>N54/K54</f>
        <v>0.93086956521739128</v>
      </c>
      <c r="R54" s="533">
        <f>Q60</f>
        <v>0.92300787662939798</v>
      </c>
      <c r="S54" s="24">
        <v>0.20833333333333334</v>
      </c>
      <c r="T54" s="24">
        <v>0.24027777777777778</v>
      </c>
      <c r="U54" s="136"/>
      <c r="V54" s="138">
        <f t="shared" ref="V54:V59" si="81">(T54-S54)*24*60</f>
        <v>46</v>
      </c>
      <c r="W54" s="15"/>
      <c r="X54" s="15"/>
      <c r="Y54" s="528"/>
      <c r="Z54" s="528"/>
      <c r="AA54" s="11">
        <f t="shared" si="2"/>
        <v>-207.39130434782601</v>
      </c>
      <c r="AB54" s="141">
        <f t="shared" si="57"/>
        <v>0.93086956521739128</v>
      </c>
      <c r="AC54" s="533">
        <f>AB60</f>
        <v>0.92300787662939798</v>
      </c>
    </row>
    <row r="55" spans="1:29" ht="15.75" customHeight="1">
      <c r="A55" s="538" t="s">
        <v>578</v>
      </c>
      <c r="B55" s="137" t="s">
        <v>32</v>
      </c>
      <c r="C55" s="529" t="s">
        <v>39</v>
      </c>
      <c r="D55" s="529"/>
      <c r="E55" s="26">
        <v>35.369999999999997</v>
      </c>
      <c r="F55" s="27">
        <v>1336</v>
      </c>
      <c r="G55" s="136">
        <f t="shared" si="76"/>
        <v>47254.32</v>
      </c>
      <c r="H55" s="76" t="s">
        <v>52</v>
      </c>
      <c r="I55" s="139">
        <v>10</v>
      </c>
      <c r="J55" s="18">
        <v>3000</v>
      </c>
      <c r="K55" s="9">
        <f t="shared" si="77"/>
        <v>300</v>
      </c>
      <c r="L55" s="17">
        <v>10</v>
      </c>
      <c r="M55" s="10">
        <f t="shared" si="78"/>
        <v>2764.1379310344851</v>
      </c>
      <c r="N55" s="9">
        <f t="shared" ref="N55:N59" si="82">M55/L55</f>
        <v>276.41379310344848</v>
      </c>
      <c r="O55" s="11">
        <f t="shared" si="79"/>
        <v>0</v>
      </c>
      <c r="P55" s="12">
        <f t="shared" si="80"/>
        <v>-23.586206896551516</v>
      </c>
      <c r="Q55" s="141">
        <f t="shared" ref="Q55:Q59" si="83">N55/K55</f>
        <v>0.92137931034482823</v>
      </c>
      <c r="R55" s="533"/>
      <c r="S55" s="24">
        <v>0.24513888888888891</v>
      </c>
      <c r="T55" s="24">
        <v>0.26527777777777778</v>
      </c>
      <c r="U55" s="136">
        <f>(S55-T54)*24*60</f>
        <v>7.0000000000000151</v>
      </c>
      <c r="V55" s="138">
        <f t="shared" si="81"/>
        <v>28.999999999999979</v>
      </c>
      <c r="W55" s="136"/>
      <c r="X55" s="136"/>
      <c r="Y55" s="528"/>
      <c r="Z55" s="528"/>
      <c r="AA55" s="11">
        <f t="shared" si="2"/>
        <v>-235.86206896551494</v>
      </c>
      <c r="AB55" s="141">
        <f t="shared" si="57"/>
        <v>0.92137931034482834</v>
      </c>
      <c r="AC55" s="533"/>
    </row>
    <row r="56" spans="1:29" ht="15.75" customHeight="1">
      <c r="A56" s="538" t="s">
        <v>578</v>
      </c>
      <c r="B56" s="137" t="s">
        <v>32</v>
      </c>
      <c r="C56" s="529" t="s">
        <v>38</v>
      </c>
      <c r="D56" s="529"/>
      <c r="E56" s="26">
        <v>34.35</v>
      </c>
      <c r="F56" s="27">
        <v>1194</v>
      </c>
      <c r="G56" s="136">
        <f t="shared" si="76"/>
        <v>41013.9</v>
      </c>
      <c r="H56" s="76" t="s">
        <v>52</v>
      </c>
      <c r="I56" s="139">
        <v>10</v>
      </c>
      <c r="J56" s="18">
        <v>3000</v>
      </c>
      <c r="K56" s="9">
        <f t="shared" si="77"/>
        <v>300</v>
      </c>
      <c r="L56" s="17">
        <v>10</v>
      </c>
      <c r="M56" s="10">
        <f t="shared" si="78"/>
        <v>2755.3846153846171</v>
      </c>
      <c r="N56" s="9">
        <f t="shared" si="82"/>
        <v>275.53846153846172</v>
      </c>
      <c r="O56" s="11">
        <f t="shared" si="79"/>
        <v>0</v>
      </c>
      <c r="P56" s="12">
        <f t="shared" si="80"/>
        <v>-24.461538461538282</v>
      </c>
      <c r="Q56" s="141">
        <f t="shared" si="83"/>
        <v>0.91846153846153911</v>
      </c>
      <c r="R56" s="533"/>
      <c r="S56" s="24">
        <v>0.27083333333333331</v>
      </c>
      <c r="T56" s="24">
        <v>0.28888888888888886</v>
      </c>
      <c r="U56" s="136">
        <f t="shared" ref="U56:U59" si="84">(S56-T55)*24*60</f>
        <v>7.9999999999999716</v>
      </c>
      <c r="V56" s="138">
        <f t="shared" si="81"/>
        <v>25.999999999999986</v>
      </c>
      <c r="W56" s="136"/>
      <c r="X56" s="136"/>
      <c r="Y56" s="528"/>
      <c r="Z56" s="528"/>
      <c r="AA56" s="11">
        <f t="shared" si="2"/>
        <v>-244.61538461538294</v>
      </c>
      <c r="AB56" s="141">
        <f t="shared" si="57"/>
        <v>0.918461538461539</v>
      </c>
      <c r="AC56" s="533"/>
    </row>
    <row r="57" spans="1:29" ht="15.75" customHeight="1">
      <c r="A57" s="538" t="s">
        <v>578</v>
      </c>
      <c r="B57" s="137" t="s">
        <v>15</v>
      </c>
      <c r="C57" s="529" t="s">
        <v>36</v>
      </c>
      <c r="D57" s="529"/>
      <c r="E57" s="26">
        <v>26.97</v>
      </c>
      <c r="F57" s="27">
        <v>2746</v>
      </c>
      <c r="G57" s="136">
        <f t="shared" si="76"/>
        <v>74059.62</v>
      </c>
      <c r="H57" s="76" t="s">
        <v>52</v>
      </c>
      <c r="I57" s="139">
        <v>8</v>
      </c>
      <c r="J57" s="18">
        <v>1500</v>
      </c>
      <c r="K57" s="9">
        <f t="shared" si="77"/>
        <v>187.5</v>
      </c>
      <c r="L57" s="17">
        <v>8</v>
      </c>
      <c r="M57" s="10">
        <f t="shared" si="78"/>
        <v>1373.0000000000005</v>
      </c>
      <c r="N57" s="9">
        <f t="shared" si="82"/>
        <v>171.62500000000006</v>
      </c>
      <c r="O57" s="11">
        <f t="shared" si="79"/>
        <v>0</v>
      </c>
      <c r="P57" s="12">
        <f t="shared" si="80"/>
        <v>-15.874999999999943</v>
      </c>
      <c r="Q57" s="141">
        <f t="shared" si="83"/>
        <v>0.91533333333333367</v>
      </c>
      <c r="R57" s="533"/>
      <c r="S57" s="24">
        <v>0.29236111111111107</v>
      </c>
      <c r="T57" s="24">
        <v>0.37569444444444439</v>
      </c>
      <c r="U57" s="136">
        <f t="shared" si="84"/>
        <v>4.9999999999999822</v>
      </c>
      <c r="V57" s="138">
        <f t="shared" si="81"/>
        <v>119.99999999999997</v>
      </c>
      <c r="W57" s="136"/>
      <c r="X57" s="136"/>
      <c r="Y57" s="528"/>
      <c r="Z57" s="528"/>
      <c r="AA57" s="11">
        <f t="shared" si="2"/>
        <v>-126.99999999999955</v>
      </c>
      <c r="AB57" s="141">
        <f t="shared" si="57"/>
        <v>0.91533333333333367</v>
      </c>
      <c r="AC57" s="533"/>
    </row>
    <row r="58" spans="1:29">
      <c r="A58" s="539" t="s">
        <v>578</v>
      </c>
      <c r="B58" s="137" t="s">
        <v>32</v>
      </c>
      <c r="C58" s="529" t="s">
        <v>37</v>
      </c>
      <c r="D58" s="529"/>
      <c r="E58" s="26">
        <v>35.119999999999997</v>
      </c>
      <c r="F58" s="27">
        <v>1133</v>
      </c>
      <c r="G58" s="136">
        <f t="shared" si="76"/>
        <v>39790.959999999999</v>
      </c>
      <c r="H58" s="76" t="s">
        <v>52</v>
      </c>
      <c r="I58" s="139">
        <v>13</v>
      </c>
      <c r="J58" s="18">
        <v>2000</v>
      </c>
      <c r="K58" s="9">
        <f t="shared" si="77"/>
        <v>153.84615384615384</v>
      </c>
      <c r="L58" s="17">
        <v>13</v>
      </c>
      <c r="M58" s="10">
        <f t="shared" si="78"/>
        <v>1837.2972972972959</v>
      </c>
      <c r="N58" s="9">
        <f t="shared" si="82"/>
        <v>141.33056133056124</v>
      </c>
      <c r="O58" s="11">
        <f t="shared" si="79"/>
        <v>0</v>
      </c>
      <c r="P58" s="12">
        <f t="shared" si="80"/>
        <v>-12.515592515592601</v>
      </c>
      <c r="Q58" s="141">
        <f t="shared" si="83"/>
        <v>0.91864864864864804</v>
      </c>
      <c r="R58" s="533"/>
      <c r="S58" s="24">
        <v>0.3791666666666666</v>
      </c>
      <c r="T58" s="24">
        <v>0.40486111111111106</v>
      </c>
      <c r="U58" s="136">
        <f t="shared" si="84"/>
        <v>4.9999999999999822</v>
      </c>
      <c r="V58" s="138">
        <f t="shared" si="81"/>
        <v>37.000000000000028</v>
      </c>
      <c r="W58" s="14"/>
      <c r="X58" s="14"/>
      <c r="Y58" s="528"/>
      <c r="Z58" s="528"/>
      <c r="AA58" s="11">
        <f t="shared" si="2"/>
        <v>-162.70270270270407</v>
      </c>
      <c r="AB58" s="141">
        <f t="shared" si="57"/>
        <v>0.91864864864864793</v>
      </c>
      <c r="AC58" s="533"/>
    </row>
    <row r="59" spans="1:29" ht="15" customHeight="1">
      <c r="A59" s="539" t="s">
        <v>578</v>
      </c>
      <c r="B59" s="137" t="s">
        <v>32</v>
      </c>
      <c r="C59" s="534" t="s">
        <v>84</v>
      </c>
      <c r="D59" s="535"/>
      <c r="E59" s="26">
        <v>35.869999999999997</v>
      </c>
      <c r="F59" s="27">
        <v>2877</v>
      </c>
      <c r="G59" s="136">
        <f t="shared" si="76"/>
        <v>103197.98999999999</v>
      </c>
      <c r="H59" s="76" t="s">
        <v>52</v>
      </c>
      <c r="I59" s="139">
        <v>10</v>
      </c>
      <c r="J59" s="18">
        <v>3000</v>
      </c>
      <c r="K59" s="9">
        <f t="shared" si="77"/>
        <v>300</v>
      </c>
      <c r="L59" s="17">
        <v>10</v>
      </c>
      <c r="M59" s="10">
        <f t="shared" si="78"/>
        <v>2784.1935483870957</v>
      </c>
      <c r="N59" s="9">
        <f t="shared" si="82"/>
        <v>278.41935483870958</v>
      </c>
      <c r="O59" s="11">
        <f t="shared" si="79"/>
        <v>0</v>
      </c>
      <c r="P59" s="12">
        <f t="shared" si="80"/>
        <v>-21.58064516129042</v>
      </c>
      <c r="Q59" s="141">
        <f t="shared" si="83"/>
        <v>0.92806451612903196</v>
      </c>
      <c r="R59" s="533"/>
      <c r="S59" s="24">
        <v>0.4104166666666666</v>
      </c>
      <c r="T59" s="24">
        <v>0.45347222222222217</v>
      </c>
      <c r="U59" s="136">
        <f t="shared" si="84"/>
        <v>7.9999999999999716</v>
      </c>
      <c r="V59" s="138">
        <f t="shared" si="81"/>
        <v>62.000000000000021</v>
      </c>
      <c r="W59" s="136"/>
      <c r="X59" s="136"/>
      <c r="Y59" s="536"/>
      <c r="Z59" s="537"/>
      <c r="AA59" s="11">
        <f t="shared" si="2"/>
        <v>-215.80645161290431</v>
      </c>
      <c r="AB59" s="141">
        <f t="shared" si="57"/>
        <v>0.92806451612903185</v>
      </c>
      <c r="AC59" s="533"/>
    </row>
    <row r="60" spans="1:29">
      <c r="A60" s="539" t="s">
        <v>578</v>
      </c>
      <c r="B60" s="26" t="s">
        <v>561</v>
      </c>
      <c r="C60" s="530"/>
      <c r="D60" s="530"/>
      <c r="E60" s="140"/>
      <c r="F60" s="16"/>
      <c r="G60" s="9"/>
      <c r="H60" s="137"/>
      <c r="I60" s="17">
        <v>10.166666666666666</v>
      </c>
      <c r="J60" s="18">
        <v>2583.3333333333335</v>
      </c>
      <c r="K60" s="9">
        <f>J60/I60</f>
        <v>254.09836065573774</v>
      </c>
      <c r="L60" s="17">
        <v>10.166666666666666</v>
      </c>
      <c r="M60" s="10">
        <f>AVERAGE(M54:M59)</f>
        <v>2384.4370146259448</v>
      </c>
      <c r="N60" s="9">
        <f>M60/L60</f>
        <v>234.53478832386344</v>
      </c>
      <c r="O60" s="11">
        <f>L60-I60</f>
        <v>0</v>
      </c>
      <c r="P60" s="12">
        <f>N60-K60</f>
        <v>-19.563572331874298</v>
      </c>
      <c r="Q60" s="141">
        <f>N60/K60</f>
        <v>0.92300787662939798</v>
      </c>
      <c r="R60" s="533"/>
      <c r="S60" s="24"/>
      <c r="T60" s="24"/>
      <c r="U60" s="9"/>
      <c r="V60" s="138"/>
      <c r="W60" s="9"/>
      <c r="X60" s="9"/>
      <c r="Y60" s="528"/>
      <c r="Z60" s="528"/>
      <c r="AA60" s="11">
        <f t="shared" si="2"/>
        <v>-198.89631870738867</v>
      </c>
      <c r="AB60" s="141">
        <f t="shared" si="57"/>
        <v>0.92300787662939798</v>
      </c>
      <c r="AC60" s="533"/>
    </row>
    <row r="61" spans="1:29" ht="15.75" customHeight="1">
      <c r="A61" s="531" t="s">
        <v>579</v>
      </c>
      <c r="B61" s="137" t="s">
        <v>24</v>
      </c>
      <c r="C61" s="529" t="s">
        <v>67</v>
      </c>
      <c r="D61" s="529"/>
      <c r="E61" s="26">
        <v>32.03</v>
      </c>
      <c r="F61" s="137">
        <v>834</v>
      </c>
      <c r="G61" s="136">
        <f t="shared" ref="G61:G66" si="85">E61*F61</f>
        <v>26713.02</v>
      </c>
      <c r="H61" s="76" t="s">
        <v>52</v>
      </c>
      <c r="I61" s="139">
        <v>19</v>
      </c>
      <c r="J61" s="18">
        <v>2400</v>
      </c>
      <c r="K61" s="9">
        <f t="shared" ref="K61:K63" si="86">J61/I61</f>
        <v>126.31578947368421</v>
      </c>
      <c r="L61" s="17">
        <v>19</v>
      </c>
      <c r="M61" s="10">
        <f>F61/V61*60</f>
        <v>2274.5454545454545</v>
      </c>
      <c r="N61" s="9">
        <f t="shared" ref="N61:N66" si="87">M61/L61</f>
        <v>119.71291866028707</v>
      </c>
      <c r="O61" s="11">
        <f t="shared" ref="O61:O66" si="88">L61-I61</f>
        <v>0</v>
      </c>
      <c r="P61" s="12">
        <f t="shared" ref="P61:P66" si="89">N61-K61</f>
        <v>-6.6028708133971321</v>
      </c>
      <c r="Q61" s="141">
        <f>N61/K61</f>
        <v>0.94772727272727275</v>
      </c>
      <c r="R61" s="533">
        <f>Q67</f>
        <v>0.92325556388056385</v>
      </c>
      <c r="S61" s="24">
        <v>8.3333333333333329E-2</v>
      </c>
      <c r="T61" s="24">
        <v>9.8611111111111108E-2</v>
      </c>
      <c r="U61" s="15"/>
      <c r="V61" s="138">
        <f t="shared" ref="V61:V66" si="90">(T61-S61)*24*60</f>
        <v>22</v>
      </c>
      <c r="W61" s="14">
        <f>T61</f>
        <v>9.8611111111111108E-2</v>
      </c>
      <c r="X61" s="14">
        <f>S62</f>
        <v>0.11597222222222223</v>
      </c>
      <c r="Y61" s="528"/>
      <c r="Z61" s="528"/>
      <c r="AA61" s="11">
        <f t="shared" si="2"/>
        <v>-125.4545454545455</v>
      </c>
      <c r="AB61" s="141">
        <f>M61/J61</f>
        <v>0.94772727272727275</v>
      </c>
      <c r="AC61" s="533">
        <f>AB67</f>
        <v>0.92325556388056385</v>
      </c>
    </row>
    <row r="62" spans="1:29" ht="15.75" customHeight="1">
      <c r="A62" s="531" t="s">
        <v>579</v>
      </c>
      <c r="B62" s="137" t="s">
        <v>24</v>
      </c>
      <c r="C62" s="529" t="s">
        <v>51</v>
      </c>
      <c r="D62" s="529"/>
      <c r="E62" s="26">
        <v>20.2</v>
      </c>
      <c r="F62" s="137">
        <v>1870</v>
      </c>
      <c r="G62" s="136">
        <f t="shared" si="85"/>
        <v>37774</v>
      </c>
      <c r="H62" s="76" t="s">
        <v>52</v>
      </c>
      <c r="I62" s="139">
        <v>19</v>
      </c>
      <c r="J62" s="18">
        <v>2400</v>
      </c>
      <c r="K62" s="9">
        <f t="shared" si="86"/>
        <v>126.31578947368421</v>
      </c>
      <c r="L62" s="17">
        <v>19</v>
      </c>
      <c r="M62" s="10">
        <f t="shared" ref="M62:M66" si="91">F62/V62*60</f>
        <v>2199.9999999999991</v>
      </c>
      <c r="N62" s="9">
        <f t="shared" si="87"/>
        <v>115.78947368421048</v>
      </c>
      <c r="O62" s="11">
        <f t="shared" si="88"/>
        <v>0</v>
      </c>
      <c r="P62" s="12">
        <f t="shared" si="89"/>
        <v>-10.526315789473728</v>
      </c>
      <c r="Q62" s="141">
        <f t="shared" ref="Q62:Q67" si="92">N62/K62</f>
        <v>0.9166666666666663</v>
      </c>
      <c r="R62" s="533"/>
      <c r="S62" s="24">
        <v>0.11597222222222223</v>
      </c>
      <c r="T62" s="24">
        <v>0.15138888888888891</v>
      </c>
      <c r="U62" s="136">
        <f>(S62-T61)*24*60</f>
        <v>25.000000000000011</v>
      </c>
      <c r="V62" s="138">
        <f t="shared" si="90"/>
        <v>51.000000000000021</v>
      </c>
      <c r="W62" s="14"/>
      <c r="X62" s="14"/>
      <c r="Y62" s="528"/>
      <c r="Z62" s="528"/>
      <c r="AA62" s="11">
        <f t="shared" si="2"/>
        <v>-200.00000000000091</v>
      </c>
      <c r="AB62" s="141">
        <f t="shared" ref="AB62:AB67" si="93">M62/J62</f>
        <v>0.9166666666666663</v>
      </c>
      <c r="AC62" s="533"/>
    </row>
    <row r="63" spans="1:29" ht="15.75" customHeight="1">
      <c r="A63" s="531" t="s">
        <v>579</v>
      </c>
      <c r="B63" s="137" t="s">
        <v>24</v>
      </c>
      <c r="C63" s="529" t="s">
        <v>41</v>
      </c>
      <c r="D63" s="529"/>
      <c r="E63" s="26">
        <v>19.02</v>
      </c>
      <c r="F63" s="137">
        <v>8099</v>
      </c>
      <c r="G63" s="136">
        <f t="shared" si="85"/>
        <v>154042.98000000001</v>
      </c>
      <c r="H63" s="76" t="s">
        <v>52</v>
      </c>
      <c r="I63" s="139">
        <v>15</v>
      </c>
      <c r="J63" s="18">
        <v>2400</v>
      </c>
      <c r="K63" s="9">
        <f t="shared" si="86"/>
        <v>160</v>
      </c>
      <c r="L63" s="17">
        <v>15</v>
      </c>
      <c r="M63" s="10">
        <f t="shared" si="91"/>
        <v>2208.818181818182</v>
      </c>
      <c r="N63" s="9">
        <f t="shared" si="87"/>
        <v>147.25454545454548</v>
      </c>
      <c r="O63" s="11">
        <f t="shared" si="88"/>
        <v>0</v>
      </c>
      <c r="P63" s="12">
        <f t="shared" si="89"/>
        <v>-12.745454545454521</v>
      </c>
      <c r="Q63" s="141">
        <f t="shared" si="92"/>
        <v>0.92034090909090926</v>
      </c>
      <c r="R63" s="533"/>
      <c r="S63" s="24">
        <v>0.15555555555555559</v>
      </c>
      <c r="T63" s="24">
        <v>0.30833333333333335</v>
      </c>
      <c r="U63" s="136">
        <f t="shared" ref="U63:U66" si="94">(S63-T62)*24*60</f>
        <v>6.0000000000000187</v>
      </c>
      <c r="V63" s="138">
        <f t="shared" si="90"/>
        <v>219.99999999999997</v>
      </c>
      <c r="W63" s="14"/>
      <c r="X63" s="14"/>
      <c r="Y63" s="528"/>
      <c r="Z63" s="528"/>
      <c r="AA63" s="11">
        <f t="shared" si="2"/>
        <v>-191.18181818181802</v>
      </c>
      <c r="AB63" s="141">
        <f t="shared" si="93"/>
        <v>0.92034090909090915</v>
      </c>
      <c r="AC63" s="533"/>
    </row>
    <row r="64" spans="1:29" ht="15.75" customHeight="1">
      <c r="A64" s="531" t="s">
        <v>579</v>
      </c>
      <c r="B64" s="137" t="s">
        <v>24</v>
      </c>
      <c r="C64" s="529" t="s">
        <v>42</v>
      </c>
      <c r="D64" s="529"/>
      <c r="E64" s="26">
        <v>25</v>
      </c>
      <c r="F64" s="137">
        <v>3342</v>
      </c>
      <c r="G64" s="136">
        <f t="shared" si="85"/>
        <v>83550</v>
      </c>
      <c r="H64" s="76" t="s">
        <v>52</v>
      </c>
      <c r="I64" s="139">
        <v>15</v>
      </c>
      <c r="J64" s="18">
        <v>2400</v>
      </c>
      <c r="K64" s="9">
        <f>J64/I64</f>
        <v>160</v>
      </c>
      <c r="L64" s="17">
        <v>15</v>
      </c>
      <c r="M64" s="10">
        <f t="shared" si="91"/>
        <v>2203.5164835164833</v>
      </c>
      <c r="N64" s="9">
        <f t="shared" si="87"/>
        <v>146.90109890109889</v>
      </c>
      <c r="O64" s="11">
        <f t="shared" si="88"/>
        <v>0</v>
      </c>
      <c r="P64" s="12">
        <f t="shared" si="89"/>
        <v>-13.098901098901109</v>
      </c>
      <c r="Q64" s="141">
        <f t="shared" si="92"/>
        <v>0.91813186813186809</v>
      </c>
      <c r="R64" s="533"/>
      <c r="S64" s="24">
        <v>0.31319444444444444</v>
      </c>
      <c r="T64" s="24">
        <v>0.37638888888888888</v>
      </c>
      <c r="U64" s="136">
        <f t="shared" si="94"/>
        <v>6.9999999999999751</v>
      </c>
      <c r="V64" s="138">
        <f t="shared" si="90"/>
        <v>91</v>
      </c>
      <c r="W64" s="14"/>
      <c r="X64" s="14"/>
      <c r="Y64" s="528"/>
      <c r="Z64" s="528"/>
      <c r="AA64" s="11">
        <f t="shared" si="2"/>
        <v>-196.48351648351672</v>
      </c>
      <c r="AB64" s="141">
        <f t="shared" si="93"/>
        <v>0.91813186813186798</v>
      </c>
      <c r="AC64" s="533"/>
    </row>
    <row r="65" spans="1:29" ht="15.75" customHeight="1">
      <c r="A65" s="531" t="s">
        <v>579</v>
      </c>
      <c r="B65" s="137" t="s">
        <v>24</v>
      </c>
      <c r="C65" s="529" t="s">
        <v>77</v>
      </c>
      <c r="D65" s="529"/>
      <c r="E65" s="26">
        <v>28.51</v>
      </c>
      <c r="F65" s="137">
        <v>3410</v>
      </c>
      <c r="G65" s="136">
        <f t="shared" si="85"/>
        <v>97219.1</v>
      </c>
      <c r="H65" s="76" t="s">
        <v>52</v>
      </c>
      <c r="I65" s="139">
        <v>19</v>
      </c>
      <c r="J65" s="18">
        <v>2400</v>
      </c>
      <c r="K65" s="9">
        <f t="shared" ref="K65:K67" si="95">J65/I65</f>
        <v>126.31578947368421</v>
      </c>
      <c r="L65" s="17">
        <v>19</v>
      </c>
      <c r="M65" s="10">
        <f t="shared" si="91"/>
        <v>2200.0000000000005</v>
      </c>
      <c r="N65" s="9">
        <f t="shared" si="87"/>
        <v>115.78947368421055</v>
      </c>
      <c r="O65" s="11">
        <f t="shared" si="88"/>
        <v>0</v>
      </c>
      <c r="P65" s="12">
        <f t="shared" si="89"/>
        <v>-10.526315789473657</v>
      </c>
      <c r="Q65" s="141">
        <f t="shared" si="92"/>
        <v>0.91666666666666685</v>
      </c>
      <c r="R65" s="533"/>
      <c r="S65" s="24">
        <v>0.38124999999999998</v>
      </c>
      <c r="T65" s="24">
        <v>0.4458333333333333</v>
      </c>
      <c r="U65" s="136">
        <f t="shared" si="94"/>
        <v>6.9999999999999751</v>
      </c>
      <c r="V65" s="138">
        <f t="shared" si="90"/>
        <v>92.999999999999986</v>
      </c>
      <c r="W65" s="14"/>
      <c r="X65" s="14"/>
      <c r="Y65" s="528"/>
      <c r="Z65" s="528"/>
      <c r="AA65" s="11">
        <f t="shared" si="2"/>
        <v>-199.99999999999955</v>
      </c>
      <c r="AB65" s="141">
        <f t="shared" si="93"/>
        <v>0.91666666666666685</v>
      </c>
      <c r="AC65" s="533"/>
    </row>
    <row r="66" spans="1:29" ht="15.75" customHeight="1">
      <c r="A66" s="531" t="s">
        <v>579</v>
      </c>
      <c r="B66" s="137" t="s">
        <v>24</v>
      </c>
      <c r="C66" s="529" t="s">
        <v>25</v>
      </c>
      <c r="D66" s="529"/>
      <c r="E66" s="26">
        <v>20.52</v>
      </c>
      <c r="F66" s="137">
        <v>3128</v>
      </c>
      <c r="G66" s="136">
        <f t="shared" si="85"/>
        <v>64186.559999999998</v>
      </c>
      <c r="H66" s="76" t="s">
        <v>52</v>
      </c>
      <c r="I66" s="139">
        <v>18</v>
      </c>
      <c r="J66" s="18">
        <v>2400</v>
      </c>
      <c r="K66" s="9">
        <f t="shared" si="95"/>
        <v>133.33333333333334</v>
      </c>
      <c r="L66" s="17">
        <v>18</v>
      </c>
      <c r="M66" s="10">
        <f t="shared" si="91"/>
        <v>2208</v>
      </c>
      <c r="N66" s="9">
        <f t="shared" si="87"/>
        <v>122.66666666666667</v>
      </c>
      <c r="O66" s="11">
        <f t="shared" si="88"/>
        <v>0</v>
      </c>
      <c r="P66" s="12">
        <f t="shared" si="89"/>
        <v>-10.666666666666671</v>
      </c>
      <c r="Q66" s="141">
        <f t="shared" si="92"/>
        <v>0.91999999999999993</v>
      </c>
      <c r="R66" s="533"/>
      <c r="S66" s="24">
        <v>0.44999999999999996</v>
      </c>
      <c r="T66" s="24">
        <v>0.50902777777777775</v>
      </c>
      <c r="U66" s="136">
        <f t="shared" si="94"/>
        <v>5.9999999999999787</v>
      </c>
      <c r="V66" s="138">
        <f t="shared" si="90"/>
        <v>85.000000000000014</v>
      </c>
      <c r="W66" s="14"/>
      <c r="X66" s="14"/>
      <c r="Y66" s="528"/>
      <c r="Z66" s="528"/>
      <c r="AA66" s="11">
        <f t="shared" si="2"/>
        <v>-192</v>
      </c>
      <c r="AB66" s="141">
        <f t="shared" si="93"/>
        <v>0.92</v>
      </c>
      <c r="AC66" s="533"/>
    </row>
    <row r="67" spans="1:29" ht="16.5" customHeight="1">
      <c r="A67" s="532" t="s">
        <v>579</v>
      </c>
      <c r="B67" s="26" t="s">
        <v>561</v>
      </c>
      <c r="C67" s="530"/>
      <c r="D67" s="530"/>
      <c r="E67" s="140"/>
      <c r="F67" s="16"/>
      <c r="G67" s="9"/>
      <c r="H67" s="137"/>
      <c r="I67" s="17">
        <v>17.5</v>
      </c>
      <c r="J67" s="18">
        <v>2400</v>
      </c>
      <c r="K67" s="9">
        <f t="shared" si="95"/>
        <v>137.14285714285714</v>
      </c>
      <c r="L67" s="17">
        <v>17.5</v>
      </c>
      <c r="M67" s="10">
        <f>AVERAGE(M61:M66)</f>
        <v>2215.8133533133532</v>
      </c>
      <c r="N67" s="9">
        <f>M67/L67</f>
        <v>126.61790590362018</v>
      </c>
      <c r="O67" s="11">
        <f>L67-I67</f>
        <v>0</v>
      </c>
      <c r="P67" s="12">
        <f>N67-K67</f>
        <v>-10.524951239236955</v>
      </c>
      <c r="Q67" s="141">
        <f t="shared" si="92"/>
        <v>0.92325556388056385</v>
      </c>
      <c r="R67" s="533"/>
      <c r="S67" s="24"/>
      <c r="T67" s="24"/>
      <c r="U67" s="9"/>
      <c r="V67" s="138"/>
      <c r="W67" s="9"/>
      <c r="X67" s="9"/>
      <c r="Y67" s="528"/>
      <c r="Z67" s="528"/>
      <c r="AA67" s="11">
        <f t="shared" si="2"/>
        <v>-184.18664668664678</v>
      </c>
      <c r="AB67" s="141">
        <f t="shared" si="93"/>
        <v>0.92325556388056385</v>
      </c>
      <c r="AC67" s="533"/>
    </row>
    <row r="68" spans="1:29">
      <c r="D68" s="19"/>
      <c r="E68" s="19"/>
    </row>
  </sheetData>
  <mergeCells count="182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3"/>
    <mergeCell ref="C9:D9"/>
    <mergeCell ref="R9:R13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AC9:AC13"/>
    <mergeCell ref="C10:D10"/>
    <mergeCell ref="Y10:Z10"/>
    <mergeCell ref="C11:D11"/>
    <mergeCell ref="Y11:Z11"/>
    <mergeCell ref="C12:D12"/>
    <mergeCell ref="Y12:Z12"/>
    <mergeCell ref="C13:D13"/>
    <mergeCell ref="Y13:Z13"/>
    <mergeCell ref="A14:A18"/>
    <mergeCell ref="C14:D14"/>
    <mergeCell ref="R14:R18"/>
    <mergeCell ref="Y14:Z14"/>
    <mergeCell ref="C26:D26"/>
    <mergeCell ref="Y26:Z26"/>
    <mergeCell ref="C27:D27"/>
    <mergeCell ref="Y27:Z27"/>
    <mergeCell ref="AC14:AC18"/>
    <mergeCell ref="C15:D15"/>
    <mergeCell ref="Y15:Z15"/>
    <mergeCell ref="C16:D16"/>
    <mergeCell ref="Y16:Z16"/>
    <mergeCell ref="C17:D17"/>
    <mergeCell ref="Y17:Z17"/>
    <mergeCell ref="C18:D18"/>
    <mergeCell ref="Y18:Z18"/>
    <mergeCell ref="A28:A32"/>
    <mergeCell ref="C28:D28"/>
    <mergeCell ref="R28:R32"/>
    <mergeCell ref="Y28:Z28"/>
    <mergeCell ref="AC19:AC27"/>
    <mergeCell ref="C20:D20"/>
    <mergeCell ref="Y20:Z20"/>
    <mergeCell ref="C21:D21"/>
    <mergeCell ref="Y21:Z21"/>
    <mergeCell ref="C22:D22"/>
    <mergeCell ref="Y22:Z22"/>
    <mergeCell ref="C23:D23"/>
    <mergeCell ref="Y23:Z23"/>
    <mergeCell ref="C24:D24"/>
    <mergeCell ref="A19:A27"/>
    <mergeCell ref="C19:D19"/>
    <mergeCell ref="R19:R27"/>
    <mergeCell ref="Y19:Z19"/>
    <mergeCell ref="Y24:Z24"/>
    <mergeCell ref="C25:D25"/>
    <mergeCell ref="Y25:Z25"/>
    <mergeCell ref="AC33:AC40"/>
    <mergeCell ref="C34:D34"/>
    <mergeCell ref="Y34:Z34"/>
    <mergeCell ref="C35:D35"/>
    <mergeCell ref="Y35:Z35"/>
    <mergeCell ref="C36:D36"/>
    <mergeCell ref="AC28:AC32"/>
    <mergeCell ref="C29:D29"/>
    <mergeCell ref="Y29:Z29"/>
    <mergeCell ref="C30:D30"/>
    <mergeCell ref="Y30:Z30"/>
    <mergeCell ref="C31:D31"/>
    <mergeCell ref="Y31:Z31"/>
    <mergeCell ref="C32:D32"/>
    <mergeCell ref="Y32:Z32"/>
    <mergeCell ref="Y36:Z36"/>
    <mergeCell ref="C37:D37"/>
    <mergeCell ref="Y37:Z37"/>
    <mergeCell ref="C38:D38"/>
    <mergeCell ref="Y38:Z38"/>
    <mergeCell ref="C39:D39"/>
    <mergeCell ref="Y39:Z39"/>
    <mergeCell ref="A33:A40"/>
    <mergeCell ref="C33:D33"/>
    <mergeCell ref="R33:R40"/>
    <mergeCell ref="Y33:Z33"/>
    <mergeCell ref="C40:D40"/>
    <mergeCell ref="Y40:Z40"/>
    <mergeCell ref="A41:A47"/>
    <mergeCell ref="C41:D41"/>
    <mergeCell ref="R41:R47"/>
    <mergeCell ref="Y41:Z41"/>
    <mergeCell ref="Y46:Z46"/>
    <mergeCell ref="C47:D47"/>
    <mergeCell ref="Y47:Z47"/>
    <mergeCell ref="AC41:AC47"/>
    <mergeCell ref="C42:D42"/>
    <mergeCell ref="Y42:Z42"/>
    <mergeCell ref="C43:D43"/>
    <mergeCell ref="Y43:Z43"/>
    <mergeCell ref="C44:D44"/>
    <mergeCell ref="Y44:Z44"/>
    <mergeCell ref="C45:D45"/>
    <mergeCell ref="Y45:Z45"/>
    <mergeCell ref="C46:D46"/>
    <mergeCell ref="A48:A53"/>
    <mergeCell ref="C48:D48"/>
    <mergeCell ref="R48:R53"/>
    <mergeCell ref="Y48:Z48"/>
    <mergeCell ref="AC48:AC53"/>
    <mergeCell ref="C49:D49"/>
    <mergeCell ref="Y49:Z49"/>
    <mergeCell ref="C50:D50"/>
    <mergeCell ref="C53:D53"/>
    <mergeCell ref="Y53:Z53"/>
    <mergeCell ref="A54:A60"/>
    <mergeCell ref="C54:D54"/>
    <mergeCell ref="R54:R60"/>
    <mergeCell ref="Y54:Z54"/>
    <mergeCell ref="AC54:AC60"/>
    <mergeCell ref="C55:D55"/>
    <mergeCell ref="Y55:Z55"/>
    <mergeCell ref="C56:D56"/>
    <mergeCell ref="Y56:Z56"/>
    <mergeCell ref="C57:D57"/>
    <mergeCell ref="Y57:Z57"/>
    <mergeCell ref="C58:D58"/>
    <mergeCell ref="Y58:Z58"/>
    <mergeCell ref="C59:D59"/>
    <mergeCell ref="Y59:Z59"/>
    <mergeCell ref="C60:D60"/>
    <mergeCell ref="Y60:Z60"/>
    <mergeCell ref="Y64:Z64"/>
    <mergeCell ref="C65:D65"/>
    <mergeCell ref="Y65:Z65"/>
    <mergeCell ref="A61:A67"/>
    <mergeCell ref="C61:D61"/>
    <mergeCell ref="R61:R67"/>
    <mergeCell ref="Y61:Z61"/>
    <mergeCell ref="AC61:AC67"/>
    <mergeCell ref="C62:D62"/>
    <mergeCell ref="Y62:Z62"/>
    <mergeCell ref="C63:D63"/>
    <mergeCell ref="Y63:Z63"/>
    <mergeCell ref="C64:D64"/>
    <mergeCell ref="C66:D66"/>
    <mergeCell ref="Y66:Z66"/>
    <mergeCell ref="C67:D67"/>
    <mergeCell ref="Y67:Z67"/>
  </mergeCells>
  <phoneticPr fontId="3" type="noConversion"/>
  <conditionalFormatting sqref="O57:O67 O5:O9 O13:O15 O18:O54">
    <cfRule type="cellIs" dxfId="491" priority="34" operator="greaterThan">
      <formula>0</formula>
    </cfRule>
  </conditionalFormatting>
  <conditionalFormatting sqref="P5:P7 P57:P59 AA57:AA59 P61:P66 P28:P31 P54 P9 P13:P15 P19:P26 P48:P52 P33:P46 AA5:AA54 AA61:AA67">
    <cfRule type="cellIs" dxfId="490" priority="38" operator="lessThan">
      <formula>0</formula>
    </cfRule>
  </conditionalFormatting>
  <conditionalFormatting sqref="AB57:AB59 Q57:Q67 Q5:Q9 Q13:Q15 Q18:Q54 AB5:AB54 AB61:AB67">
    <cfRule type="cellIs" dxfId="489" priority="35" operator="greaterThan">
      <formula>1</formula>
    </cfRule>
    <cfRule type="cellIs" dxfId="488" priority="36" operator="lessThan">
      <formula>0.8</formula>
    </cfRule>
  </conditionalFormatting>
  <conditionalFormatting sqref="AC14:AC15 R14:R15 AC57 R18:R24 AC18:AC24 R57:R67 AC5:AC9 R5:R9 AC27:AC54 R27:R54">
    <cfRule type="cellIs" dxfId="487" priority="40" operator="lessThan">
      <formula>0.8</formula>
    </cfRule>
  </conditionalFormatting>
  <conditionalFormatting sqref="AC41">
    <cfRule type="cellIs" dxfId="486" priority="42" operator="lessThan">
      <formula>0.8</formula>
    </cfRule>
  </conditionalFormatting>
  <conditionalFormatting sqref="AC19:AC24">
    <cfRule type="cellIs" dxfId="485" priority="39" operator="lessThan">
      <formula>0.8</formula>
    </cfRule>
  </conditionalFormatting>
  <conditionalFormatting sqref="AC28">
    <cfRule type="cellIs" dxfId="484" priority="41" operator="lessThan">
      <formula>0.8</formula>
    </cfRule>
  </conditionalFormatting>
  <conditionalFormatting sqref="AC33:AC39">
    <cfRule type="cellIs" dxfId="483" priority="37" operator="lessThan">
      <formula>0.8</formula>
    </cfRule>
  </conditionalFormatting>
  <conditionalFormatting sqref="AA60">
    <cfRule type="cellIs" dxfId="482" priority="33" operator="lessThan">
      <formula>0</formula>
    </cfRule>
  </conditionalFormatting>
  <conditionalFormatting sqref="AB60">
    <cfRule type="cellIs" dxfId="481" priority="31" operator="greaterThan">
      <formula>1</formula>
    </cfRule>
    <cfRule type="cellIs" dxfId="480" priority="32" operator="lessThan">
      <formula>0.8</formula>
    </cfRule>
  </conditionalFormatting>
  <conditionalFormatting sqref="O16:O17">
    <cfRule type="cellIs" dxfId="479" priority="26" operator="greaterThan">
      <formula>0</formula>
    </cfRule>
  </conditionalFormatting>
  <conditionalFormatting sqref="P16:P17">
    <cfRule type="cellIs" dxfId="478" priority="29" operator="lessThan">
      <formula>0</formula>
    </cfRule>
  </conditionalFormatting>
  <conditionalFormatting sqref="Q16:Q17">
    <cfRule type="cellIs" dxfId="477" priority="27" operator="greaterThan">
      <formula>1</formula>
    </cfRule>
    <cfRule type="cellIs" dxfId="476" priority="28" operator="lessThan">
      <formula>0.8</formula>
    </cfRule>
  </conditionalFormatting>
  <conditionalFormatting sqref="R16:R17 AC16:AC17">
    <cfRule type="cellIs" dxfId="475" priority="30" operator="lessThan">
      <formula>0.8</formula>
    </cfRule>
  </conditionalFormatting>
  <conditionalFormatting sqref="O10:O12">
    <cfRule type="cellIs" dxfId="474" priority="22" operator="greaterThan">
      <formula>0</formula>
    </cfRule>
  </conditionalFormatting>
  <conditionalFormatting sqref="P10:P12">
    <cfRule type="cellIs" dxfId="473" priority="25" operator="lessThan">
      <formula>0</formula>
    </cfRule>
  </conditionalFormatting>
  <conditionalFormatting sqref="Q10:Q12">
    <cfRule type="cellIs" dxfId="472" priority="23" operator="greaterThan">
      <formula>1</formula>
    </cfRule>
    <cfRule type="cellIs" dxfId="471" priority="24" operator="lessThan">
      <formula>0.8</formula>
    </cfRule>
  </conditionalFormatting>
  <conditionalFormatting sqref="AC26 R26">
    <cfRule type="cellIs" dxfId="470" priority="21" operator="lessThan">
      <formula>0.8</formula>
    </cfRule>
  </conditionalFormatting>
  <conditionalFormatting sqref="O56">
    <cfRule type="cellIs" dxfId="469" priority="16" operator="greaterThan">
      <formula>0</formula>
    </cfRule>
  </conditionalFormatting>
  <conditionalFormatting sqref="P56 AA56">
    <cfRule type="cellIs" dxfId="468" priority="19" operator="lessThan">
      <formula>0</formula>
    </cfRule>
  </conditionalFormatting>
  <conditionalFormatting sqref="Q56 AB56">
    <cfRule type="cellIs" dxfId="467" priority="17" operator="greaterThan">
      <formula>1</formula>
    </cfRule>
    <cfRule type="cellIs" dxfId="466" priority="18" operator="lessThan">
      <formula>0.8</formula>
    </cfRule>
  </conditionalFormatting>
  <conditionalFormatting sqref="R56 AC56">
    <cfRule type="cellIs" dxfId="465" priority="20" operator="lessThan">
      <formula>0.8</formula>
    </cfRule>
  </conditionalFormatting>
  <conditionalFormatting sqref="R25 AC25">
    <cfRule type="cellIs" dxfId="464" priority="15" operator="lessThan">
      <formula>0.8</formula>
    </cfRule>
  </conditionalFormatting>
  <conditionalFormatting sqref="AC25">
    <cfRule type="cellIs" dxfId="463" priority="14" operator="lessThan">
      <formula>0.8</formula>
    </cfRule>
  </conditionalFormatting>
  <conditionalFormatting sqref="O55">
    <cfRule type="cellIs" dxfId="462" priority="9" operator="greaterThan">
      <formula>0</formula>
    </cfRule>
  </conditionalFormatting>
  <conditionalFormatting sqref="P55 AA55">
    <cfRule type="cellIs" dxfId="461" priority="12" operator="lessThan">
      <formula>0</formula>
    </cfRule>
  </conditionalFormatting>
  <conditionalFormatting sqref="Q55 AB55">
    <cfRule type="cellIs" dxfId="460" priority="10" operator="greaterThan">
      <formula>1</formula>
    </cfRule>
    <cfRule type="cellIs" dxfId="459" priority="11" operator="lessThan">
      <formula>0.8</formula>
    </cfRule>
  </conditionalFormatting>
  <conditionalFormatting sqref="R55 AC55">
    <cfRule type="cellIs" dxfId="458" priority="13" operator="lessThan">
      <formula>0.8</formula>
    </cfRule>
  </conditionalFormatting>
  <conditionalFormatting sqref="P8">
    <cfRule type="cellIs" dxfId="457" priority="8" operator="lessThan">
      <formula>0</formula>
    </cfRule>
  </conditionalFormatting>
  <conditionalFormatting sqref="P18">
    <cfRule type="cellIs" dxfId="456" priority="7" operator="lessThan">
      <formula>0</formula>
    </cfRule>
  </conditionalFormatting>
  <conditionalFormatting sqref="P27">
    <cfRule type="cellIs" dxfId="455" priority="6" operator="lessThan">
      <formula>0</formula>
    </cfRule>
  </conditionalFormatting>
  <conditionalFormatting sqref="P32">
    <cfRule type="cellIs" dxfId="454" priority="5" operator="lessThan">
      <formula>0</formula>
    </cfRule>
  </conditionalFormatting>
  <conditionalFormatting sqref="P47">
    <cfRule type="cellIs" dxfId="453" priority="4" operator="lessThan">
      <formula>0</formula>
    </cfRule>
  </conditionalFormatting>
  <conditionalFormatting sqref="P53">
    <cfRule type="cellIs" dxfId="452" priority="3" operator="lessThan">
      <formula>0</formula>
    </cfRule>
  </conditionalFormatting>
  <conditionalFormatting sqref="P60">
    <cfRule type="cellIs" dxfId="451" priority="2" operator="lessThan">
      <formula>0</formula>
    </cfRule>
  </conditionalFormatting>
  <conditionalFormatting sqref="P67">
    <cfRule type="cellIs" dxfId="450" priority="1" operator="lessThan">
      <formula>0</formula>
    </cfRule>
  </conditionalFormatting>
  <dataValidations count="1">
    <dataValidation type="list" allowBlank="1" showInputMessage="1" showErrorMessage="1" sqref="Z8 Z58:Z59 Y5:Z7 Y8:Y59 Z10:Z54 Y60:Z67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/>
  <dimension ref="B1:Q28"/>
  <sheetViews>
    <sheetView zoomScale="70" zoomScaleNormal="70" workbookViewId="0"/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521" t="s">
        <v>216</v>
      </c>
      <c r="C1" s="521"/>
      <c r="D1" s="521"/>
      <c r="E1" s="521"/>
      <c r="F1" s="521"/>
      <c r="G1" s="521"/>
      <c r="H1" s="521"/>
      <c r="I1" s="521"/>
      <c r="J1" s="521"/>
      <c r="K1" s="28"/>
      <c r="L1" s="28"/>
      <c r="M1" s="28"/>
      <c r="N1" s="28"/>
      <c r="O1" s="28"/>
      <c r="P1" s="28"/>
    </row>
    <row r="2" spans="2:17" ht="27.75" customHeight="1">
      <c r="B2" s="522"/>
      <c r="C2" s="522"/>
      <c r="D2" s="522"/>
      <c r="E2" s="522"/>
      <c r="F2" s="522"/>
      <c r="G2" s="522"/>
      <c r="H2" s="522"/>
      <c r="I2" s="522"/>
      <c r="J2" s="522"/>
      <c r="K2" s="30"/>
      <c r="L2" s="30"/>
      <c r="M2" s="30"/>
      <c r="N2" s="28"/>
      <c r="O2" s="28"/>
      <c r="P2" s="28"/>
    </row>
    <row r="3" spans="2:17" ht="46.5" customHeight="1">
      <c r="B3" s="120" t="s">
        <v>338</v>
      </c>
      <c r="C3" s="523" t="str">
        <f>TEXT('0807 4度C'!A2,"yyyy.mm.ddaaaa")</f>
        <v>2025.08.07星期四</v>
      </c>
      <c r="D3" s="523"/>
      <c r="E3" s="120" t="s">
        <v>340</v>
      </c>
      <c r="F3" s="524">
        <f>'0807 4度C'!D1</f>
        <v>167846</v>
      </c>
      <c r="G3" s="524"/>
      <c r="H3" s="120" t="s">
        <v>90</v>
      </c>
      <c r="I3" s="581">
        <f>'0807 4度C'!F1</f>
        <v>5578775.71</v>
      </c>
      <c r="J3" s="581"/>
      <c r="K3" s="31"/>
      <c r="L3" s="32"/>
      <c r="M3" s="33"/>
      <c r="N3" s="33"/>
    </row>
    <row r="4" spans="2:17" ht="28.5" customHeight="1">
      <c r="B4" s="516" t="s">
        <v>416</v>
      </c>
      <c r="C4" s="516" t="s">
        <v>105</v>
      </c>
      <c r="D4" s="516"/>
      <c r="E4" s="526" t="s">
        <v>260</v>
      </c>
      <c r="F4" s="526"/>
      <c r="G4" s="526" t="s">
        <v>329</v>
      </c>
      <c r="H4" s="526"/>
      <c r="I4" s="526" t="s">
        <v>108</v>
      </c>
      <c r="J4" s="526"/>
      <c r="L4" s="33"/>
      <c r="M4" s="33"/>
      <c r="N4" s="33"/>
    </row>
    <row r="5" spans="2:17" ht="28.5" customHeight="1">
      <c r="B5" s="516"/>
      <c r="C5" s="516" t="s">
        <v>417</v>
      </c>
      <c r="D5" s="516"/>
      <c r="E5" s="516" t="s">
        <v>418</v>
      </c>
      <c r="F5" s="516"/>
      <c r="G5" s="517" t="s">
        <v>331</v>
      </c>
      <c r="H5" s="517"/>
      <c r="I5" s="582" t="s">
        <v>111</v>
      </c>
      <c r="J5" s="582"/>
      <c r="K5" s="33"/>
      <c r="L5" s="33"/>
      <c r="M5" s="33"/>
      <c r="N5" s="33"/>
    </row>
    <row r="6" spans="2:17" ht="28.5" customHeight="1">
      <c r="B6" s="516"/>
      <c r="C6" s="516" t="s">
        <v>43</v>
      </c>
      <c r="D6" s="516"/>
      <c r="E6" s="519">
        <f>AVERAGE(D13:M13)</f>
        <v>148.86607878377816</v>
      </c>
      <c r="F6" s="516">
        <f>AVERAGE(D27:O27,D13:J13)</f>
        <v>154.48406228425051</v>
      </c>
      <c r="G6" s="520">
        <f>AVERAGE(D13:J13)</f>
        <v>154.48406228425051</v>
      </c>
      <c r="H6" s="520"/>
      <c r="I6" s="520">
        <f>AVERAGE(K13:M13)</f>
        <v>135.75745061600935</v>
      </c>
      <c r="J6" s="520"/>
      <c r="K6" s="33"/>
      <c r="L6" s="33"/>
      <c r="M6" s="33"/>
      <c r="N6" s="33"/>
    </row>
    <row r="7" spans="2:17" ht="28.5" customHeight="1">
      <c r="B7" s="516"/>
      <c r="C7" s="510" t="s">
        <v>44</v>
      </c>
      <c r="D7" s="510"/>
      <c r="E7" s="511">
        <f>AVERAGE(D14:M14)</f>
        <v>137.54741353598598</v>
      </c>
      <c r="F7" s="512">
        <f>AVERAGE(D28:O28,D14:J14)</f>
        <v>142.86754888053784</v>
      </c>
      <c r="G7" s="513">
        <f>AVERAGE(D14:J14)</f>
        <v>142.86754888053784</v>
      </c>
      <c r="H7" s="513"/>
      <c r="I7" s="513">
        <f>AVERAGE(K14:M14)</f>
        <v>125.13376439869835</v>
      </c>
      <c r="J7" s="513"/>
      <c r="K7" s="33"/>
      <c r="L7" s="33"/>
      <c r="M7" s="33"/>
      <c r="N7" s="33"/>
    </row>
    <row r="8" spans="2:17" ht="28.5" customHeight="1">
      <c r="B8" s="516"/>
      <c r="C8" s="510" t="s">
        <v>45</v>
      </c>
      <c r="D8" s="510"/>
      <c r="E8" s="514">
        <f>AVERAGE(D15:M15)</f>
        <v>0.9234630476277127</v>
      </c>
      <c r="F8" s="510">
        <f>AVERAGE(D15:J15,D29:O29)</f>
        <v>0.92420636000697365</v>
      </c>
      <c r="G8" s="515">
        <f>AVERAGE(D15:J15)</f>
        <v>0.92420636000697365</v>
      </c>
      <c r="H8" s="515"/>
      <c r="I8" s="515">
        <f>AVERAGE(K15:M15)</f>
        <v>0.92172865207610355</v>
      </c>
      <c r="J8" s="515"/>
      <c r="K8" s="34" t="s">
        <v>419</v>
      </c>
      <c r="L8" s="33"/>
      <c r="M8" s="33"/>
      <c r="N8" s="33"/>
    </row>
    <row r="9" spans="2:17" ht="28.5" customHeight="1" thickBot="1">
      <c r="H9" s="36"/>
      <c r="N9" s="33"/>
      <c r="O9" s="33"/>
      <c r="P9" s="33"/>
      <c r="Q9" s="33"/>
    </row>
    <row r="10" spans="2:17" ht="30" customHeight="1">
      <c r="B10" s="501" t="s">
        <v>420</v>
      </c>
      <c r="C10" s="502"/>
      <c r="D10" s="503" t="s">
        <v>421</v>
      </c>
      <c r="E10" s="504"/>
      <c r="F10" s="504"/>
      <c r="G10" s="504"/>
      <c r="H10" s="504"/>
      <c r="I10" s="504"/>
      <c r="J10" s="505"/>
      <c r="K10" s="506" t="s">
        <v>422</v>
      </c>
      <c r="L10" s="583"/>
      <c r="M10" s="507"/>
      <c r="P10" s="37"/>
      <c r="Q10" s="37"/>
    </row>
    <row r="11" spans="2:17" ht="17.25" customHeight="1">
      <c r="B11" s="493" t="s">
        <v>423</v>
      </c>
      <c r="C11" s="494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39">
        <v>6</v>
      </c>
      <c r="J11" s="40">
        <v>7</v>
      </c>
      <c r="K11" s="38">
        <v>1</v>
      </c>
      <c r="L11" s="39">
        <v>2</v>
      </c>
      <c r="M11" s="40">
        <v>3</v>
      </c>
      <c r="P11" s="37"/>
      <c r="Q11" s="37"/>
    </row>
    <row r="12" spans="2:17" ht="34.15" customHeight="1">
      <c r="B12" s="493"/>
      <c r="C12" s="494"/>
      <c r="D12" s="41" t="s">
        <v>345</v>
      </c>
      <c r="E12" s="42" t="s">
        <v>346</v>
      </c>
      <c r="F12" s="42" t="s">
        <v>347</v>
      </c>
      <c r="G12" s="42" t="s">
        <v>348</v>
      </c>
      <c r="H12" s="42" t="s">
        <v>349</v>
      </c>
      <c r="I12" s="42" t="s">
        <v>350</v>
      </c>
      <c r="J12" s="43" t="s">
        <v>351</v>
      </c>
      <c r="K12" s="41" t="s">
        <v>352</v>
      </c>
      <c r="L12" s="42" t="s">
        <v>353</v>
      </c>
      <c r="M12" s="43" t="s">
        <v>354</v>
      </c>
    </row>
    <row r="13" spans="2:17" ht="40.15" customHeight="1">
      <c r="B13" s="508" t="s">
        <v>424</v>
      </c>
      <c r="C13" s="44" t="s">
        <v>425</v>
      </c>
      <c r="D13" s="45">
        <f>SUMIFS('0807 4度C'!$K:$K,'0807 4度C'!$A:$A,"新豐6線",'0807 4度C'!$B:$B,"平均")</f>
        <v>117.64705882352941</v>
      </c>
      <c r="E13" s="46">
        <f>SUMIFS('0807 4度C'!$K:$K,'0807 4度C'!$A:$A,"新豐2線",'0807 4度C'!$B:$B,"平均")</f>
        <v>83.333333333333329</v>
      </c>
      <c r="F13" s="47">
        <f>SUMIFS('0807 4度C'!$K:$K,'0807 4度C'!$A:$A,"新豐5線",'0807 4度C'!$B:$B,"平均")</f>
        <v>93.333333333333329</v>
      </c>
      <c r="G13" s="47">
        <f>SUMIFS('0807 4度C'!$K:$K,'0807 4度C'!$A:$A,"新豐7線",'0807 4度C'!$B:$B,"平均")</f>
        <v>118.51851851851852</v>
      </c>
      <c r="H13" s="47">
        <f>SUMIFS('0807 4度C'!$K:$K,'0807 4度C'!$A:$A,"新豐3線",'0807 4度C'!$B:$B,"平均")</f>
        <v>300</v>
      </c>
      <c r="I13" s="47">
        <f>SUMIFS('0807 4度C'!$K:$K,'0807 4度C'!$A:$A,"新豐1線",'0807 4度C'!$B:$B,"平均")</f>
        <v>114.4578313253012</v>
      </c>
      <c r="J13" s="48">
        <f>SUMIFS('0807 4度C'!$K:$K,'0807 4度C'!$A:$A,"新豐10線",'0807 4度C'!$B:$B,"平均")</f>
        <v>254.09836065573774</v>
      </c>
      <c r="K13" s="49">
        <f>SUMIFS('0807 4度C'!$K:$K,'0807 4度C'!$A:$A,"新豐8線",'0807 4度C'!$B:$B,"平均")</f>
        <v>137.93103448275863</v>
      </c>
      <c r="L13" s="50">
        <f>SUMIFS('0807 4度C'!$K:$K,'0807 4度C'!$A:$A,"新豐9線",'0807 4度C'!$B:$B,"平均")</f>
        <v>129.34131736526945</v>
      </c>
      <c r="M13" s="48">
        <f>SUMIFS('0807 4度C'!$K:$K,'0807 4度C'!$A:$A,"新豐4線",'0807 4度C'!$B:$B,"平均")</f>
        <v>140</v>
      </c>
    </row>
    <row r="14" spans="2:17" ht="39.6" customHeight="1">
      <c r="B14" s="508"/>
      <c r="C14" s="51" t="s">
        <v>69</v>
      </c>
      <c r="D14" s="52">
        <f>SUMIFS('0807 4度C'!$N:$N,'0807 4度C'!$A:$A,"新豐6線",'0807 4度C'!$B:$B,"平均")</f>
        <v>109.19621365787691</v>
      </c>
      <c r="E14" s="53">
        <f>SUMIFS('0807 4度C'!$N:$N,'0807 4度C'!$A:$A,"新豐2線",'0807 4度C'!$B:$B,"平均")</f>
        <v>76.486536385673361</v>
      </c>
      <c r="F14" s="53">
        <f>SUMIFS('0807 4度C'!$N:$N,'0807 4度C'!$A:$A,"新豐5線",'0807 4度C'!$B:$B,"平均")</f>
        <v>85.932817478397155</v>
      </c>
      <c r="G14" s="53">
        <f>SUMIFS('0807 4度C'!$N:$N,'0807 4度C'!$A:$A,"新豐7線",'0807 4度C'!$B:$B,"平均")</f>
        <v>110.31429505187165</v>
      </c>
      <c r="H14" s="53">
        <f>SUMIFS('0807 4度C'!$N:$N,'0807 4度C'!$A:$A,"新豐3線",'0807 4度C'!$B:$B,"平均")</f>
        <v>277.04559118739667</v>
      </c>
      <c r="I14" s="53">
        <f>SUMIFS('0807 4度C'!$N:$N,'0807 4度C'!$A:$A,"新豐1線",'0807 4度C'!$B:$B,"平均")</f>
        <v>105.40435539076745</v>
      </c>
      <c r="J14" s="54">
        <f>SUMIFS('0807 4度C'!$N:$N,'0807 4度C'!$A:$A,"新豐10線",'0807 4度C'!$B:$B,"平均")</f>
        <v>235.69303301178161</v>
      </c>
      <c r="K14" s="55">
        <f>SUMIFS('0807 4度C'!$N:$N,'0807 4度C'!$A:$A,"新豐8線",'0807 4度C'!$B:$B,"平均")</f>
        <v>127.11022348244586</v>
      </c>
      <c r="L14" s="56">
        <f>SUMIFS('0807 4度C'!$N:$N,'0807 4度C'!$A:$A,"新豐9線",'0807 4度C'!$B:$B,"平均")</f>
        <v>119.14083493845361</v>
      </c>
      <c r="M14" s="54">
        <f>SUMIFS('0807 4度C'!$N:$N,'0807 4度C'!$A:$A,"新豐4線",'0807 4度C'!$B:$B,"平均")</f>
        <v>129.15023477519551</v>
      </c>
    </row>
    <row r="15" spans="2:17" ht="40.15" customHeight="1">
      <c r="B15" s="508"/>
      <c r="C15" s="57" t="s">
        <v>426</v>
      </c>
      <c r="D15" s="58">
        <f>D14/D13</f>
        <v>0.92816781609195376</v>
      </c>
      <c r="E15" s="59">
        <f t="shared" ref="E15:M15" si="0">E14/E13</f>
        <v>0.9178384366280804</v>
      </c>
      <c r="F15" s="59">
        <f t="shared" si="0"/>
        <v>0.92070875869711244</v>
      </c>
      <c r="G15" s="59">
        <f t="shared" si="0"/>
        <v>0.93077686450016706</v>
      </c>
      <c r="H15" s="59">
        <f>H14/H13</f>
        <v>0.92348530395798889</v>
      </c>
      <c r="I15" s="59">
        <f>I14/I13</f>
        <v>0.92090121025617877</v>
      </c>
      <c r="J15" s="60">
        <f>J14/J13</f>
        <v>0.927566129917334</v>
      </c>
      <c r="K15" s="58">
        <f>K14/K13</f>
        <v>0.92154912024773239</v>
      </c>
      <c r="L15" s="59">
        <f>L14/L13</f>
        <v>0.92113515901489607</v>
      </c>
      <c r="M15" s="60">
        <f t="shared" si="0"/>
        <v>0.92250167696568219</v>
      </c>
    </row>
    <row r="16" spans="2:17" ht="17.25" customHeight="1">
      <c r="B16" s="509" t="s">
        <v>427</v>
      </c>
      <c r="C16" s="119" t="s">
        <v>71</v>
      </c>
      <c r="D16" s="61">
        <f>VLOOKUP("新豐6線",'0807 4度C'!$A:$T,19,0)</f>
        <v>0.70833333333333337</v>
      </c>
      <c r="E16" s="24">
        <f>VLOOKUP("新豐2線",'0807 4度C'!$A:$T,19,0)</f>
        <v>0.12847222222222221</v>
      </c>
      <c r="F16" s="24">
        <f>VLOOKUP("新豐5線",'0807 4度C'!$A:$T,19,0)</f>
        <v>0.25</v>
      </c>
      <c r="G16" s="24">
        <f>VLOOKUP("新豐7線",'0807 4度C'!$A:$T,19,0)</f>
        <v>0.20833333333333334</v>
      </c>
      <c r="H16" s="24">
        <f>VLOOKUP("新豐3線",'0807 4度C'!$A:$T,19,0)</f>
        <v>0.20833333333333334</v>
      </c>
      <c r="I16" s="24">
        <f>VLOOKUP("新豐1線",'0807 4度C'!$A:$T,19,0)</f>
        <v>0.29166666666666669</v>
      </c>
      <c r="J16" s="62">
        <f>VLOOKUP("新豐10線",'0807 4度C'!$A:$T,19,0)</f>
        <v>0.20833333333333334</v>
      </c>
      <c r="K16" s="63">
        <f>VLOOKUP("新豐8線",'0807 4度C'!$A:$T,19,0)</f>
        <v>0.125</v>
      </c>
      <c r="L16" s="64">
        <f>VLOOKUP("新豐9線",'0807 4度C'!$A:$T,19,0)</f>
        <v>8.3333333333333329E-2</v>
      </c>
      <c r="M16" s="65">
        <f>VLOOKUP("新豐4線",'0807 4度C'!$A:$T,19,0)</f>
        <v>8.3333333333333329E-2</v>
      </c>
    </row>
    <row r="17" spans="2:13" ht="17.25" customHeight="1">
      <c r="B17" s="493"/>
      <c r="C17" s="119" t="s">
        <v>355</v>
      </c>
      <c r="D17" s="63">
        <f>LOOKUP(2,1/(('0807 4度C'!$A:$A="新豐6線")*('0807 4度C'!$T:$T&lt;&gt;"")),'0807 4度C'!$T:$T)</f>
        <v>0.81874999999999998</v>
      </c>
      <c r="E17" s="24">
        <f>LOOKUP(2,1/(('0807 4度C'!$A:$A="新豐2線")*('0807 4度C'!$T:$T&lt;&gt;"")),'0807 4度C'!$T:$T)</f>
        <v>0.64027777777777772</v>
      </c>
      <c r="F17" s="24">
        <f>LOOKUP(2,1/(('0807 4度C'!$A:$A="新豐5線")*('0807 4度C'!$T:$T&lt;&gt;"")),'0807 4度C'!$T:$T)</f>
        <v>0.83194444444444449</v>
      </c>
      <c r="G17" s="24">
        <f>LOOKUP(2,1/(('0807 4度C'!$A:$A="新豐7線")*('0807 4度C'!$T:$T&lt;&gt;"")),'0807 4度C'!$T:$T)</f>
        <v>0.81249999999999989</v>
      </c>
      <c r="H17" s="24">
        <f>LOOKUP(2,1/(('0807 4度C'!$A:$A="新豐3線")*('0807 4度C'!$T:$T&lt;&gt;"")),'0807 4度C'!$T:$T)</f>
        <v>0.6416666666666665</v>
      </c>
      <c r="I17" s="24">
        <f>LOOKUP(2,1/(('0807 4度C'!$A:$A="新豐1線")*('0807 4度C'!$T:$T&lt;&gt;"")),'0807 4度C'!$T:$T)</f>
        <v>0.82986111111111105</v>
      </c>
      <c r="J17" s="62">
        <f>LOOKUP(2,1/(('0807 4度C'!$A:$A="新豐10線")*('0807 4度C'!$T:$T&lt;&gt;"")),'0807 4度C'!$T:$T)</f>
        <v>0.49583333333333324</v>
      </c>
      <c r="K17" s="61">
        <f>LOOKUP(2,1/(('0807 4度C'!$A:$A="新豐8線")*('0807 4度C'!$T:$T&lt;&gt;"")),'0807 4度C'!$T:$T)</f>
        <v>0.62569444444444444</v>
      </c>
      <c r="L17" s="24">
        <f>LOOKUP(2,1/(('0807 4度C'!$A:$A="新豐9線")*('0807 4度C'!$T:$T&lt;&gt;"")),'0807 4度C'!$T:$T)</f>
        <v>0.65069444444444435</v>
      </c>
      <c r="M17" s="62">
        <f>LOOKUP(2,1/(('0807 4度C'!$A:$A="新豐4線")*('0807 4度C'!$T:$T&lt;&gt;"")),'0807 4度C'!$T:$T)</f>
        <v>0.68680555555555545</v>
      </c>
    </row>
    <row r="18" spans="2:13" ht="17.25" customHeight="1">
      <c r="B18" s="493" t="s">
        <v>356</v>
      </c>
      <c r="C18" s="494"/>
      <c r="D18" s="66">
        <f>SUMIFS('0807 4度C'!$I:$I,'0807 4度C'!$A:$A,"新豐6線",'0807 4度C'!$B:$B,"平均")</f>
        <v>17</v>
      </c>
      <c r="E18" s="67">
        <f>SUMIFS('0807 4度C'!$I:$I,'0807 4度C'!$A:$A,"新豐2線",'0807 4度C'!$B:$B,"平均")</f>
        <v>18</v>
      </c>
      <c r="F18" s="67">
        <f>SUMIFS('0807 4度C'!$I:$I,'0807 4度C'!$A:$A,"新豐5線",'0807 4度C'!$B:$B,"平均")</f>
        <v>18.75</v>
      </c>
      <c r="G18" s="67">
        <f>SUMIFS('0807 4度C'!$I:$I,'0807 4度C'!$A:$A,"新豐7線",'0807 4度C'!$B:$B,"平均")</f>
        <v>16.875</v>
      </c>
      <c r="H18" s="67">
        <f>SUMIFS('0807 4度C'!$I:$I,'0807 4度C'!$A:$A,"新豐3線",'0807 4度C'!$B:$B,"平均")</f>
        <v>10</v>
      </c>
      <c r="I18" s="67">
        <f>SUMIFS('0807 4度C'!$I:$I,'0807 4度C'!$A:$A,"新豐1線",'0807 4度C'!$B:$B,"平均")</f>
        <v>16.600000000000001</v>
      </c>
      <c r="J18" s="68">
        <f>SUMIFS('0807 4度C'!$I:$I,'0807 4度C'!$A:$A,"新豐10線",'0807 4度C'!$B:$B,"平均")</f>
        <v>10.166666666666666</v>
      </c>
      <c r="K18" s="66">
        <f>SUMIFS('0807 4度C'!$I:$I,'0807 4度C'!$A:$A,"新豐8線",'0807 4度C'!$B:$B,"平均")</f>
        <v>17.399999999999999</v>
      </c>
      <c r="L18" s="67">
        <f>SUMIFS('0807 4度C'!$I:$I,'0807 4度C'!$A:$A,"新豐9線",'0807 4度C'!$B:$B,"平均")</f>
        <v>18.555555555555557</v>
      </c>
      <c r="M18" s="68">
        <f>SUMIFS('0807 4度C'!$I:$I,'0807 4度C'!$A:$A,"新豐4線",'0807 4度C'!$B:$B,"平均")</f>
        <v>17.142857142857142</v>
      </c>
    </row>
    <row r="19" spans="2:13" ht="17.25" customHeight="1">
      <c r="B19" s="495" t="s">
        <v>92</v>
      </c>
      <c r="C19" s="496"/>
      <c r="D19" s="69" t="s">
        <v>46</v>
      </c>
      <c r="E19" s="70" t="s">
        <v>47</v>
      </c>
      <c r="F19" s="70" t="s">
        <v>93</v>
      </c>
      <c r="G19" s="70" t="s">
        <v>93</v>
      </c>
      <c r="H19" s="70" t="s">
        <v>48</v>
      </c>
      <c r="I19" s="70" t="s">
        <v>46</v>
      </c>
      <c r="J19" s="71" t="s">
        <v>48</v>
      </c>
      <c r="K19" s="69" t="s">
        <v>72</v>
      </c>
      <c r="L19" s="70" t="s">
        <v>72</v>
      </c>
      <c r="M19" s="71" t="s">
        <v>357</v>
      </c>
    </row>
    <row r="20" spans="2:13" ht="17.25" customHeight="1">
      <c r="B20" s="495" t="s">
        <v>333</v>
      </c>
      <c r="C20" s="496"/>
      <c r="D20" s="69"/>
      <c r="E20" s="70"/>
      <c r="F20" s="70" t="s">
        <v>334</v>
      </c>
      <c r="G20" s="70" t="s">
        <v>46</v>
      </c>
      <c r="H20" s="70"/>
      <c r="I20" s="70"/>
      <c r="J20" s="71"/>
      <c r="K20" s="69"/>
      <c r="L20" s="70"/>
      <c r="M20" s="71"/>
    </row>
    <row r="21" spans="2:13" ht="17.25" customHeight="1" thickBot="1">
      <c r="B21" s="497" t="s">
        <v>242</v>
      </c>
      <c r="C21" s="498"/>
      <c r="D21" s="72"/>
      <c r="E21" s="73" t="s">
        <v>243</v>
      </c>
      <c r="F21" s="499" t="s">
        <v>335</v>
      </c>
      <c r="G21" s="500"/>
      <c r="H21" s="73" t="s">
        <v>428</v>
      </c>
      <c r="I21" s="73" t="s">
        <v>358</v>
      </c>
      <c r="J21" s="74" t="s">
        <v>73</v>
      </c>
      <c r="K21" s="75"/>
      <c r="L21" s="73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44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>
    <pageSetUpPr fitToPage="1"/>
  </sheetPr>
  <dimension ref="A1:AC74"/>
  <sheetViews>
    <sheetView zoomScale="80" zoomScaleNormal="80" workbookViewId="0">
      <pane ySplit="4" topLeftCell="A5" activePane="bottomLeft" state="frozen"/>
      <selection activeCell="C3" sqref="C3:D3"/>
      <selection pane="bottomLeft" activeCell="I14" sqref="I14:I17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429</v>
      </c>
      <c r="B1" s="1"/>
      <c r="C1" s="2" t="s">
        <v>430</v>
      </c>
      <c r="D1" s="3">
        <f>SUM(F5:F73)</f>
        <v>167846</v>
      </c>
      <c r="E1" s="121" t="s">
        <v>431</v>
      </c>
      <c r="F1" s="1">
        <f>SUM(G5:G73)</f>
        <v>5578775.71</v>
      </c>
      <c r="G1" s="1" t="s">
        <v>432</v>
      </c>
      <c r="H1" s="4">
        <f>L8+L13+L52+L58+L18+L65+L33+L43+L27+L73</f>
        <v>160.49007936507937</v>
      </c>
      <c r="I1" s="572" t="s">
        <v>433</v>
      </c>
      <c r="J1" s="572"/>
      <c r="K1" s="572"/>
      <c r="L1" s="572" t="s">
        <v>434</v>
      </c>
      <c r="M1" s="572"/>
      <c r="N1" s="572"/>
      <c r="O1" s="572" t="s">
        <v>435</v>
      </c>
      <c r="P1" s="572"/>
      <c r="Q1" s="572"/>
      <c r="R1" s="572"/>
      <c r="S1" s="572" t="s">
        <v>436</v>
      </c>
      <c r="T1" s="572"/>
      <c r="U1" s="572"/>
      <c r="V1" s="572"/>
      <c r="W1" s="572"/>
      <c r="X1" s="572"/>
      <c r="Y1" s="572" t="s">
        <v>437</v>
      </c>
      <c r="Z1" s="572"/>
      <c r="AA1" s="572" t="s">
        <v>438</v>
      </c>
      <c r="AB1" s="573"/>
      <c r="AC1" s="573"/>
    </row>
    <row r="2" spans="1:29" ht="26.25" customHeight="1">
      <c r="A2" s="22">
        <v>45876</v>
      </c>
      <c r="B2" s="23" t="s">
        <v>337</v>
      </c>
      <c r="C2" s="2" t="s">
        <v>439</v>
      </c>
      <c r="D2" s="6">
        <f>AVERAGE(N8,N13,N52,N58,N18,N65,N27,N33,N43,N73)</f>
        <v>137.54741353598598</v>
      </c>
      <c r="E2" s="7" t="s">
        <v>0</v>
      </c>
      <c r="F2" s="8">
        <f>F1/D1</f>
        <v>33.23746595093121</v>
      </c>
      <c r="G2" s="1" t="s">
        <v>440</v>
      </c>
      <c r="H2" s="132">
        <f>COUNT(H5:H73)</f>
        <v>7</v>
      </c>
      <c r="I2" s="572"/>
      <c r="J2" s="572"/>
      <c r="K2" s="572"/>
      <c r="L2" s="572"/>
      <c r="M2" s="572"/>
      <c r="N2" s="572"/>
      <c r="O2" s="572"/>
      <c r="P2" s="572"/>
      <c r="Q2" s="572"/>
      <c r="R2" s="572"/>
      <c r="S2" s="572"/>
      <c r="T2" s="572"/>
      <c r="U2" s="572"/>
      <c r="V2" s="572"/>
      <c r="W2" s="572"/>
      <c r="X2" s="572"/>
      <c r="Y2" s="572"/>
      <c r="Z2" s="572"/>
      <c r="AA2" s="573"/>
      <c r="AB2" s="573"/>
      <c r="AC2" s="573"/>
    </row>
    <row r="3" spans="1:29" ht="23.25" customHeight="1">
      <c r="A3" s="528" t="s">
        <v>441</v>
      </c>
      <c r="B3" s="528" t="s">
        <v>442</v>
      </c>
      <c r="C3" s="528" t="s">
        <v>443</v>
      </c>
      <c r="D3" s="528"/>
      <c r="E3" s="570" t="s">
        <v>444</v>
      </c>
      <c r="F3" s="528" t="s">
        <v>445</v>
      </c>
      <c r="G3" s="570" t="s">
        <v>446</v>
      </c>
      <c r="H3" s="563" t="s">
        <v>447</v>
      </c>
      <c r="I3" s="561" t="s">
        <v>448</v>
      </c>
      <c r="J3" s="566" t="s">
        <v>449</v>
      </c>
      <c r="K3" s="568" t="s">
        <v>424</v>
      </c>
      <c r="L3" s="561" t="s">
        <v>450</v>
      </c>
      <c r="M3" s="566" t="s">
        <v>451</v>
      </c>
      <c r="N3" s="568" t="s">
        <v>439</v>
      </c>
      <c r="O3" s="561" t="s">
        <v>452</v>
      </c>
      <c r="P3" s="568" t="s">
        <v>439</v>
      </c>
      <c r="Q3" s="567" t="s">
        <v>453</v>
      </c>
      <c r="R3" s="542" t="s">
        <v>454</v>
      </c>
      <c r="S3" s="569" t="s">
        <v>1</v>
      </c>
      <c r="T3" s="569"/>
      <c r="U3" s="563" t="s">
        <v>2</v>
      </c>
      <c r="V3" s="563" t="s">
        <v>455</v>
      </c>
      <c r="W3" s="528" t="s">
        <v>456</v>
      </c>
      <c r="X3" s="528"/>
      <c r="Y3" s="564" t="s">
        <v>457</v>
      </c>
      <c r="Z3" s="565"/>
      <c r="AA3" s="566" t="s">
        <v>449</v>
      </c>
      <c r="AB3" s="567" t="s">
        <v>453</v>
      </c>
      <c r="AC3" s="542" t="s">
        <v>458</v>
      </c>
    </row>
    <row r="4" spans="1:29">
      <c r="A4" s="528"/>
      <c r="B4" s="528"/>
      <c r="C4" s="528"/>
      <c r="D4" s="528"/>
      <c r="E4" s="571"/>
      <c r="F4" s="528"/>
      <c r="G4" s="571"/>
      <c r="H4" s="563"/>
      <c r="I4" s="561"/>
      <c r="J4" s="566"/>
      <c r="K4" s="568"/>
      <c r="L4" s="561"/>
      <c r="M4" s="566"/>
      <c r="N4" s="568"/>
      <c r="O4" s="561"/>
      <c r="P4" s="568"/>
      <c r="Q4" s="567"/>
      <c r="R4" s="542"/>
      <c r="S4" s="131" t="s">
        <v>3</v>
      </c>
      <c r="T4" s="131" t="s">
        <v>4</v>
      </c>
      <c r="U4" s="563"/>
      <c r="V4" s="563"/>
      <c r="W4" s="121" t="s">
        <v>459</v>
      </c>
      <c r="X4" s="121" t="s">
        <v>460</v>
      </c>
      <c r="Y4" s="565"/>
      <c r="Z4" s="565"/>
      <c r="AA4" s="566"/>
      <c r="AB4" s="567"/>
      <c r="AC4" s="542"/>
    </row>
    <row r="5" spans="1:29">
      <c r="A5" s="560" t="s">
        <v>461</v>
      </c>
      <c r="B5" s="26" t="s">
        <v>13</v>
      </c>
      <c r="C5" s="562" t="s">
        <v>53</v>
      </c>
      <c r="D5" s="562"/>
      <c r="E5" s="26">
        <v>46.93</v>
      </c>
      <c r="F5" s="131">
        <v>782</v>
      </c>
      <c r="G5" s="121">
        <f>E5*F5</f>
        <v>36699.26</v>
      </c>
      <c r="H5" s="76" t="s">
        <v>52</v>
      </c>
      <c r="I5" s="129">
        <v>17</v>
      </c>
      <c r="J5" s="18">
        <v>2000</v>
      </c>
      <c r="K5" s="9">
        <f>J5/I5</f>
        <v>117.64705882352941</v>
      </c>
      <c r="L5" s="129">
        <v>17</v>
      </c>
      <c r="M5" s="10">
        <f>F5/V5*60</f>
        <v>1876.7999999999947</v>
      </c>
      <c r="N5" s="9">
        <f>M5/L5</f>
        <v>110.39999999999969</v>
      </c>
      <c r="O5" s="11">
        <f t="shared" ref="O5:O7" si="0">L5-I5</f>
        <v>0</v>
      </c>
      <c r="P5" s="12">
        <f t="shared" ref="P5:P7" si="1">N5-K5</f>
        <v>-7.2470588235297129</v>
      </c>
      <c r="Q5" s="123">
        <f>N5/K5</f>
        <v>0.93839999999999746</v>
      </c>
      <c r="R5" s="533">
        <f>Q8</f>
        <v>0.92816781609195376</v>
      </c>
      <c r="S5" s="24">
        <v>0.70833333333333337</v>
      </c>
      <c r="T5" s="24">
        <v>0.72569444444444453</v>
      </c>
      <c r="U5" s="121"/>
      <c r="V5" s="130">
        <f>(T5-S5)*24*60</f>
        <v>25.000000000000071</v>
      </c>
      <c r="W5" s="14"/>
      <c r="X5" s="13"/>
      <c r="Y5" s="528"/>
      <c r="Z5" s="528"/>
      <c r="AA5" s="11">
        <f t="shared" ref="AA5:AA68" si="2">M5-J5</f>
        <v>-123.20000000000528</v>
      </c>
      <c r="AB5" s="123">
        <f t="shared" ref="AB5:AB7" si="3">M5/J5</f>
        <v>0.93839999999999735</v>
      </c>
      <c r="AC5" s="533">
        <f>AB8</f>
        <v>0.92816781609195365</v>
      </c>
    </row>
    <row r="6" spans="1:29">
      <c r="A6" s="561" t="s">
        <v>461</v>
      </c>
      <c r="B6" s="26" t="s">
        <v>13</v>
      </c>
      <c r="C6" s="562" t="s">
        <v>55</v>
      </c>
      <c r="D6" s="562"/>
      <c r="E6" s="26">
        <v>50.49</v>
      </c>
      <c r="F6" s="131">
        <v>1775</v>
      </c>
      <c r="G6" s="121">
        <f t="shared" ref="G6:G7" si="4">E6*F6</f>
        <v>89619.75</v>
      </c>
      <c r="H6" s="76" t="s">
        <v>52</v>
      </c>
      <c r="I6" s="129">
        <v>16</v>
      </c>
      <c r="J6" s="18">
        <v>2000</v>
      </c>
      <c r="K6" s="9">
        <f t="shared" ref="K6:K7" si="5">J6/I6</f>
        <v>125</v>
      </c>
      <c r="L6" s="129">
        <v>16</v>
      </c>
      <c r="M6" s="10">
        <f>F6/V6*60</f>
        <v>1836.2068965517255</v>
      </c>
      <c r="N6" s="9">
        <f t="shared" ref="N6:N7" si="6">M6/L6</f>
        <v>114.76293103448285</v>
      </c>
      <c r="O6" s="11">
        <f t="shared" si="0"/>
        <v>0</v>
      </c>
      <c r="P6" s="12">
        <f t="shared" si="1"/>
        <v>-10.237068965517153</v>
      </c>
      <c r="Q6" s="123">
        <f t="shared" ref="Q6:Q7" si="7">N6/K6</f>
        <v>0.91810344827586277</v>
      </c>
      <c r="R6" s="533"/>
      <c r="S6" s="24">
        <v>0.73125000000000007</v>
      </c>
      <c r="T6" s="24">
        <v>0.77152777777777781</v>
      </c>
      <c r="U6" s="121">
        <f>(S6-T5)*24*60</f>
        <v>7.9999999999999716</v>
      </c>
      <c r="V6" s="130">
        <f>(T6-S6)*24*60</f>
        <v>57.999999999999957</v>
      </c>
      <c r="W6" s="14"/>
      <c r="X6" s="14"/>
      <c r="Y6" s="528"/>
      <c r="Z6" s="528"/>
      <c r="AA6" s="11">
        <f t="shared" si="2"/>
        <v>-163.79310344827445</v>
      </c>
      <c r="AB6" s="123">
        <f t="shared" si="3"/>
        <v>0.91810344827586277</v>
      </c>
      <c r="AC6" s="533"/>
    </row>
    <row r="7" spans="1:29">
      <c r="A7" s="561" t="s">
        <v>462</v>
      </c>
      <c r="B7" s="26" t="s">
        <v>13</v>
      </c>
      <c r="C7" s="558" t="s">
        <v>76</v>
      </c>
      <c r="D7" s="559"/>
      <c r="E7" s="26">
        <v>50.67</v>
      </c>
      <c r="F7" s="131">
        <v>1856</v>
      </c>
      <c r="G7" s="121">
        <f t="shared" si="4"/>
        <v>94043.520000000004</v>
      </c>
      <c r="H7" s="76" t="s">
        <v>52</v>
      </c>
      <c r="I7" s="129">
        <v>18</v>
      </c>
      <c r="J7" s="18">
        <v>2000</v>
      </c>
      <c r="K7" s="9">
        <f t="shared" si="5"/>
        <v>111.11111111111111</v>
      </c>
      <c r="L7" s="129">
        <v>18</v>
      </c>
      <c r="M7" s="10">
        <f t="shared" ref="M7" si="8">F7/V7*60</f>
        <v>1856.0000000000018</v>
      </c>
      <c r="N7" s="9">
        <f t="shared" si="6"/>
        <v>103.11111111111121</v>
      </c>
      <c r="O7" s="11">
        <f t="shared" si="0"/>
        <v>0</v>
      </c>
      <c r="P7" s="12">
        <f t="shared" si="1"/>
        <v>-7.9999999999999005</v>
      </c>
      <c r="Q7" s="123">
        <f t="shared" si="7"/>
        <v>0.92800000000000094</v>
      </c>
      <c r="R7" s="533"/>
      <c r="S7" s="24">
        <v>0.77708333333333335</v>
      </c>
      <c r="T7" s="24">
        <v>0.81874999999999998</v>
      </c>
      <c r="U7" s="121">
        <f t="shared" ref="U7" si="9">(S7-T6)*24*60</f>
        <v>7.9999999999999716</v>
      </c>
      <c r="V7" s="130">
        <f t="shared" ref="V7" si="10">(T7-S7)*24*60</f>
        <v>59.999999999999943</v>
      </c>
      <c r="W7" s="14"/>
      <c r="X7" s="14"/>
      <c r="Y7" s="536"/>
      <c r="Z7" s="537"/>
      <c r="AA7" s="11">
        <f t="shared" si="2"/>
        <v>-143.99999999999818</v>
      </c>
      <c r="AB7" s="123">
        <f t="shared" si="3"/>
        <v>0.92800000000000094</v>
      </c>
      <c r="AC7" s="533"/>
    </row>
    <row r="8" spans="1:29">
      <c r="A8" s="561" t="s">
        <v>461</v>
      </c>
      <c r="B8" s="26" t="s">
        <v>463</v>
      </c>
      <c r="C8" s="530"/>
      <c r="D8" s="530"/>
      <c r="E8" s="122"/>
      <c r="F8" s="16"/>
      <c r="G8" s="9"/>
      <c r="H8" s="131"/>
      <c r="I8" s="17">
        <v>17</v>
      </c>
      <c r="J8" s="18">
        <v>2000</v>
      </c>
      <c r="K8" s="9">
        <f>J8/I8</f>
        <v>117.64705882352941</v>
      </c>
      <c r="L8" s="17">
        <v>17</v>
      </c>
      <c r="M8" s="10">
        <f>AVERAGE(M5:M7)</f>
        <v>1856.3356321839074</v>
      </c>
      <c r="N8" s="9">
        <f>M8/L8</f>
        <v>109.19621365787691</v>
      </c>
      <c r="O8" s="11">
        <f>L8-I8</f>
        <v>0</v>
      </c>
      <c r="P8" s="12">
        <f>N8-K8</f>
        <v>-8.4508451656524954</v>
      </c>
      <c r="Q8" s="123">
        <f>N8/K8</f>
        <v>0.92816781609195376</v>
      </c>
      <c r="R8" s="533"/>
      <c r="S8" s="24"/>
      <c r="T8" s="24"/>
      <c r="U8" s="121"/>
      <c r="V8" s="130"/>
      <c r="W8" s="9"/>
      <c r="X8" s="9"/>
      <c r="Y8" s="528"/>
      <c r="Z8" s="528"/>
      <c r="AA8" s="11">
        <f t="shared" si="2"/>
        <v>-143.66436781609264</v>
      </c>
      <c r="AB8" s="123">
        <f>M8/J8</f>
        <v>0.92816781609195365</v>
      </c>
      <c r="AC8" s="533"/>
    </row>
    <row r="9" spans="1:29" ht="15.75" customHeight="1">
      <c r="A9" s="531" t="s">
        <v>464</v>
      </c>
      <c r="B9" s="26" t="s">
        <v>15</v>
      </c>
      <c r="C9" s="558" t="s">
        <v>16</v>
      </c>
      <c r="D9" s="559"/>
      <c r="E9" s="26">
        <v>39.619999999999997</v>
      </c>
      <c r="F9" s="131">
        <v>4403</v>
      </c>
      <c r="G9" s="121">
        <f t="shared" ref="G9:G12" si="11">E9*F9</f>
        <v>174446.86</v>
      </c>
      <c r="H9" s="76" t="s">
        <v>52</v>
      </c>
      <c r="I9" s="129">
        <v>19</v>
      </c>
      <c r="J9" s="18">
        <v>1500</v>
      </c>
      <c r="K9" s="9">
        <f t="shared" ref="K9:K12" si="12">J9/I9</f>
        <v>78.94736842105263</v>
      </c>
      <c r="L9" s="129">
        <v>19</v>
      </c>
      <c r="M9" s="10">
        <f t="shared" ref="M9:M12" si="13">F9/V9*60</f>
        <v>1375.9375000000005</v>
      </c>
      <c r="N9" s="9">
        <f t="shared" ref="N9:N12" si="14">M9/L9</f>
        <v>72.417763157894754</v>
      </c>
      <c r="O9" s="11">
        <f t="shared" ref="O9:O12" si="15">L9-I9</f>
        <v>0</v>
      </c>
      <c r="P9" s="12">
        <f>N9-K9</f>
        <v>-6.529605263157876</v>
      </c>
      <c r="Q9" s="123">
        <f>N9/K9</f>
        <v>0.91729166666666695</v>
      </c>
      <c r="R9" s="533">
        <f>Q13</f>
        <v>0.9178384366280804</v>
      </c>
      <c r="S9" s="24">
        <v>0.12847222222222221</v>
      </c>
      <c r="T9" s="24">
        <v>0.26180555555555551</v>
      </c>
      <c r="U9" s="121"/>
      <c r="V9" s="130">
        <f t="shared" ref="V9:V12" si="16">(T9-S9)*24*60</f>
        <v>191.99999999999994</v>
      </c>
      <c r="W9" s="14">
        <f>T9</f>
        <v>0.26180555555555551</v>
      </c>
      <c r="X9" s="14">
        <f>S10</f>
        <v>0.28680555555555548</v>
      </c>
      <c r="Y9" s="528"/>
      <c r="Z9" s="528"/>
      <c r="AA9" s="11">
        <f t="shared" si="2"/>
        <v>-124.06249999999955</v>
      </c>
      <c r="AB9" s="123">
        <f>M9/J9</f>
        <v>0.91729166666666695</v>
      </c>
      <c r="AC9" s="533">
        <f>AB13</f>
        <v>0.9178384366280804</v>
      </c>
    </row>
    <row r="10" spans="1:29" ht="15.75" customHeight="1">
      <c r="A10" s="531" t="s">
        <v>465</v>
      </c>
      <c r="B10" s="26" t="s">
        <v>15</v>
      </c>
      <c r="C10" s="558" t="s">
        <v>17</v>
      </c>
      <c r="D10" s="559"/>
      <c r="E10" s="26">
        <v>39.799999999999997</v>
      </c>
      <c r="F10" s="131">
        <v>2500</v>
      </c>
      <c r="G10" s="121">
        <f t="shared" si="11"/>
        <v>99500</v>
      </c>
      <c r="H10" s="76">
        <v>2</v>
      </c>
      <c r="I10" s="129">
        <v>17</v>
      </c>
      <c r="J10" s="18">
        <v>1500</v>
      </c>
      <c r="K10" s="9">
        <f t="shared" si="12"/>
        <v>88.235294117647058</v>
      </c>
      <c r="L10" s="129">
        <v>17</v>
      </c>
      <c r="M10" s="10">
        <f t="shared" si="13"/>
        <v>1376.1467889908254</v>
      </c>
      <c r="N10" s="9">
        <f t="shared" si="14"/>
        <v>80.949811117107373</v>
      </c>
      <c r="O10" s="11">
        <f t="shared" si="15"/>
        <v>0</v>
      </c>
      <c r="P10" s="12">
        <f t="shared" ref="P10:P12" si="17">N10-K10</f>
        <v>-7.2854830005396849</v>
      </c>
      <c r="Q10" s="123">
        <f t="shared" ref="Q10:Q12" si="18">N10/K10</f>
        <v>0.91743119266055029</v>
      </c>
      <c r="R10" s="533"/>
      <c r="S10" s="24">
        <v>0.28680555555555548</v>
      </c>
      <c r="T10" s="24">
        <v>0.36249999999999993</v>
      </c>
      <c r="U10" s="121">
        <f>(S10-T9)*24*60</f>
        <v>35.99999999999995</v>
      </c>
      <c r="V10" s="130">
        <f t="shared" si="16"/>
        <v>109.00000000000001</v>
      </c>
      <c r="W10" s="14"/>
      <c r="X10" s="14"/>
      <c r="Y10" s="528"/>
      <c r="Z10" s="528"/>
      <c r="AA10" s="11">
        <f t="shared" si="2"/>
        <v>-123.85321100917463</v>
      </c>
      <c r="AB10" s="123">
        <f t="shared" ref="AB10:AB27" si="19">M10/J10</f>
        <v>0.91743119266055029</v>
      </c>
      <c r="AC10" s="533"/>
    </row>
    <row r="11" spans="1:29" ht="15.75" customHeight="1">
      <c r="A11" s="531" t="s">
        <v>465</v>
      </c>
      <c r="B11" s="26" t="s">
        <v>15</v>
      </c>
      <c r="C11" s="558" t="s">
        <v>80</v>
      </c>
      <c r="D11" s="559"/>
      <c r="E11" s="26">
        <v>39.29</v>
      </c>
      <c r="F11" s="131">
        <v>3798</v>
      </c>
      <c r="G11" s="121">
        <f t="shared" si="11"/>
        <v>149223.41999999998</v>
      </c>
      <c r="H11" s="76" t="s">
        <v>52</v>
      </c>
      <c r="I11" s="129">
        <v>19</v>
      </c>
      <c r="J11" s="18">
        <v>1500</v>
      </c>
      <c r="K11" s="9">
        <f t="shared" si="12"/>
        <v>78.94736842105263</v>
      </c>
      <c r="L11" s="129">
        <v>19</v>
      </c>
      <c r="M11" s="10">
        <f t="shared" si="13"/>
        <v>1381.0909090909095</v>
      </c>
      <c r="N11" s="9">
        <f t="shared" si="14"/>
        <v>72.688995215311024</v>
      </c>
      <c r="O11" s="11">
        <f t="shared" si="15"/>
        <v>0</v>
      </c>
      <c r="P11" s="12">
        <f t="shared" si="17"/>
        <v>-6.2583732057416057</v>
      </c>
      <c r="Q11" s="123">
        <f t="shared" si="18"/>
        <v>0.92072727272727295</v>
      </c>
      <c r="R11" s="533"/>
      <c r="S11" s="24">
        <v>0.36944444444444435</v>
      </c>
      <c r="T11" s="24">
        <v>0.48402777777777767</v>
      </c>
      <c r="U11" s="121">
        <f t="shared" ref="U11:U12" si="20">(S11-T10)*24*60</f>
        <v>9.9999999999999645</v>
      </c>
      <c r="V11" s="130">
        <f t="shared" si="16"/>
        <v>164.99999999999997</v>
      </c>
      <c r="W11" s="14">
        <f>T11</f>
        <v>0.48402777777777767</v>
      </c>
      <c r="X11" s="14">
        <f>S12</f>
        <v>0.52499999999999991</v>
      </c>
      <c r="Y11" s="528"/>
      <c r="Z11" s="528"/>
      <c r="AA11" s="11">
        <f t="shared" si="2"/>
        <v>-118.90909090909054</v>
      </c>
      <c r="AB11" s="123">
        <f t="shared" si="19"/>
        <v>0.92072727272727295</v>
      </c>
      <c r="AC11" s="533"/>
    </row>
    <row r="12" spans="1:29" ht="15.75" customHeight="1">
      <c r="A12" s="531" t="s">
        <v>466</v>
      </c>
      <c r="B12" s="26" t="s">
        <v>15</v>
      </c>
      <c r="C12" s="558" t="s">
        <v>17</v>
      </c>
      <c r="D12" s="559"/>
      <c r="E12" s="26">
        <v>39.799999999999997</v>
      </c>
      <c r="F12" s="131">
        <v>3801</v>
      </c>
      <c r="G12" s="121">
        <f t="shared" si="11"/>
        <v>151279.79999999999</v>
      </c>
      <c r="H12" s="76" t="s">
        <v>52</v>
      </c>
      <c r="I12" s="129">
        <v>17</v>
      </c>
      <c r="J12" s="18">
        <v>1500</v>
      </c>
      <c r="K12" s="9">
        <f t="shared" si="12"/>
        <v>88.235294117647058</v>
      </c>
      <c r="L12" s="129">
        <v>17</v>
      </c>
      <c r="M12" s="10">
        <f t="shared" si="13"/>
        <v>1373.8554216867465</v>
      </c>
      <c r="N12" s="9">
        <f t="shared" si="14"/>
        <v>80.815024805102738</v>
      </c>
      <c r="O12" s="11">
        <f t="shared" si="15"/>
        <v>0</v>
      </c>
      <c r="P12" s="12">
        <f t="shared" si="17"/>
        <v>-7.4202693125443204</v>
      </c>
      <c r="Q12" s="123">
        <f t="shared" si="18"/>
        <v>0.91590361445783108</v>
      </c>
      <c r="R12" s="533"/>
      <c r="S12" s="24">
        <v>0.52499999999999991</v>
      </c>
      <c r="T12" s="24">
        <v>0.64027777777777772</v>
      </c>
      <c r="U12" s="121">
        <f t="shared" si="20"/>
        <v>59.000000000000028</v>
      </c>
      <c r="V12" s="130">
        <f t="shared" si="16"/>
        <v>166.00000000000006</v>
      </c>
      <c r="W12" s="14"/>
      <c r="X12" s="14"/>
      <c r="Y12" s="528"/>
      <c r="Z12" s="528"/>
      <c r="AA12" s="11">
        <f t="shared" si="2"/>
        <v>-126.14457831325353</v>
      </c>
      <c r="AB12" s="123">
        <f t="shared" si="19"/>
        <v>0.91590361445783097</v>
      </c>
      <c r="AC12" s="533"/>
    </row>
    <row r="13" spans="1:29" ht="16.5" customHeight="1">
      <c r="A13" s="531" t="s">
        <v>466</v>
      </c>
      <c r="B13" s="26" t="s">
        <v>467</v>
      </c>
      <c r="C13" s="530"/>
      <c r="D13" s="530"/>
      <c r="E13" s="122"/>
      <c r="F13" s="18"/>
      <c r="G13" s="10"/>
      <c r="H13" s="131"/>
      <c r="I13" s="17">
        <v>18</v>
      </c>
      <c r="J13" s="18">
        <v>1500</v>
      </c>
      <c r="K13" s="9">
        <f>J13/I13</f>
        <v>83.333333333333329</v>
      </c>
      <c r="L13" s="17">
        <v>18</v>
      </c>
      <c r="M13" s="10">
        <f>AVERAGE(M9:M12)</f>
        <v>1376.7576549421206</v>
      </c>
      <c r="N13" s="9">
        <f>M13/L13</f>
        <v>76.486536385673361</v>
      </c>
      <c r="O13" s="11">
        <f>L13-I13</f>
        <v>0</v>
      </c>
      <c r="P13" s="12">
        <f>N13-K13</f>
        <v>-6.8467969476599677</v>
      </c>
      <c r="Q13" s="123">
        <f>N13/K13</f>
        <v>0.9178384366280804</v>
      </c>
      <c r="R13" s="533"/>
      <c r="S13" s="24"/>
      <c r="T13" s="24"/>
      <c r="U13" s="9"/>
      <c r="V13" s="130"/>
      <c r="W13" s="9"/>
      <c r="X13" s="9"/>
      <c r="Y13" s="528"/>
      <c r="Z13" s="528"/>
      <c r="AA13" s="11">
        <f t="shared" si="2"/>
        <v>-123.24234505787945</v>
      </c>
      <c r="AB13" s="123">
        <f t="shared" si="19"/>
        <v>0.9178384366280804</v>
      </c>
      <c r="AC13" s="533"/>
    </row>
    <row r="14" spans="1:29" ht="16.5" customHeight="1">
      <c r="A14" s="556" t="s">
        <v>468</v>
      </c>
      <c r="B14" s="131" t="s">
        <v>21</v>
      </c>
      <c r="C14" s="552" t="s">
        <v>19</v>
      </c>
      <c r="D14" s="552"/>
      <c r="E14" s="26">
        <v>41</v>
      </c>
      <c r="F14" s="131">
        <v>1780</v>
      </c>
      <c r="G14" s="121">
        <f t="shared" ref="G14:G17" si="21">E14*F14</f>
        <v>72980</v>
      </c>
      <c r="H14" s="76" t="s">
        <v>52</v>
      </c>
      <c r="I14" s="129">
        <v>26</v>
      </c>
      <c r="J14" s="18">
        <v>1500</v>
      </c>
      <c r="K14" s="9">
        <f>J14/I14</f>
        <v>57.692307692307693</v>
      </c>
      <c r="L14" s="129">
        <v>26</v>
      </c>
      <c r="M14" s="10">
        <f>F14/V14*60</f>
        <v>1387.0129870129863</v>
      </c>
      <c r="N14" s="9">
        <f t="shared" ref="N14:N26" si="22">M14/L14</f>
        <v>53.346653346653319</v>
      </c>
      <c r="O14" s="11">
        <f t="shared" ref="O14" si="23">L14-I14</f>
        <v>0</v>
      </c>
      <c r="P14" s="12">
        <f t="shared" ref="P14" si="24">N14-K14</f>
        <v>-4.3456543456543741</v>
      </c>
      <c r="Q14" s="123">
        <f>N14/K14</f>
        <v>0.92467532467532421</v>
      </c>
      <c r="R14" s="533">
        <f>Q18</f>
        <v>0.92070875869711244</v>
      </c>
      <c r="S14" s="24">
        <v>0.25</v>
      </c>
      <c r="T14" s="24">
        <v>0.30347222222222225</v>
      </c>
      <c r="U14" s="121"/>
      <c r="V14" s="130">
        <f>(T14-S14)*24*60</f>
        <v>77.000000000000043</v>
      </c>
      <c r="W14" s="15"/>
      <c r="X14" s="15"/>
      <c r="Y14" s="528"/>
      <c r="Z14" s="528"/>
      <c r="AA14" s="11">
        <f t="shared" si="2"/>
        <v>-112.98701298701371</v>
      </c>
      <c r="AB14" s="123">
        <f t="shared" si="19"/>
        <v>0.92467532467532421</v>
      </c>
      <c r="AC14" s="533">
        <f>AB18</f>
        <v>0.92070875869711233</v>
      </c>
    </row>
    <row r="15" spans="1:29" ht="16.5" customHeight="1">
      <c r="A15" s="557" t="s">
        <v>468</v>
      </c>
      <c r="B15" s="131" t="s">
        <v>15</v>
      </c>
      <c r="C15" s="552" t="s">
        <v>49</v>
      </c>
      <c r="D15" s="552"/>
      <c r="E15" s="26">
        <v>39.29</v>
      </c>
      <c r="F15" s="131">
        <v>3361</v>
      </c>
      <c r="G15" s="121">
        <f t="shared" si="21"/>
        <v>132053.69</v>
      </c>
      <c r="H15" s="76" t="s">
        <v>52</v>
      </c>
      <c r="I15" s="129">
        <v>16</v>
      </c>
      <c r="J15" s="18">
        <v>1500</v>
      </c>
      <c r="K15" s="9">
        <f>J15/I15</f>
        <v>93.75</v>
      </c>
      <c r="L15" s="129">
        <v>16</v>
      </c>
      <c r="M15" s="10">
        <f>F15/V15*60</f>
        <v>1381.232876712329</v>
      </c>
      <c r="N15" s="9">
        <f t="shared" si="22"/>
        <v>86.327054794520564</v>
      </c>
      <c r="O15" s="11">
        <f>L15-I15</f>
        <v>0</v>
      </c>
      <c r="P15" s="12">
        <f>N15-K15</f>
        <v>-7.4229452054794365</v>
      </c>
      <c r="Q15" s="123">
        <f>N15/K15</f>
        <v>0.92082191780821931</v>
      </c>
      <c r="R15" s="533"/>
      <c r="S15" s="24">
        <v>0.3125</v>
      </c>
      <c r="T15" s="24">
        <v>0.41388888888888886</v>
      </c>
      <c r="U15" s="121">
        <f>IF(S15=TIME(17,0,0),"",(S15-T14)*24*60)</f>
        <v>12.999999999999954</v>
      </c>
      <c r="V15" s="130">
        <f>(T15-S15)*24*60</f>
        <v>145.99999999999997</v>
      </c>
      <c r="W15" s="14"/>
      <c r="X15" s="14"/>
      <c r="Y15" s="528"/>
      <c r="Z15" s="528"/>
      <c r="AA15" s="11">
        <f t="shared" si="2"/>
        <v>-118.76712328767098</v>
      </c>
      <c r="AB15" s="123">
        <f t="shared" si="19"/>
        <v>0.92082191780821931</v>
      </c>
      <c r="AC15" s="533"/>
    </row>
    <row r="16" spans="1:29" ht="16.5" customHeight="1">
      <c r="A16" s="557" t="s">
        <v>468</v>
      </c>
      <c r="B16" s="131" t="s">
        <v>13</v>
      </c>
      <c r="C16" s="552" t="s">
        <v>57</v>
      </c>
      <c r="D16" s="552"/>
      <c r="E16" s="26">
        <v>50.98</v>
      </c>
      <c r="F16" s="131">
        <v>2512</v>
      </c>
      <c r="G16" s="121">
        <f t="shared" si="21"/>
        <v>128061.75999999999</v>
      </c>
      <c r="H16" s="76" t="s">
        <v>52</v>
      </c>
      <c r="I16" s="129">
        <v>17</v>
      </c>
      <c r="J16" s="18">
        <v>2000</v>
      </c>
      <c r="K16" s="9">
        <f t="shared" ref="K16:K17" si="25">J16/I16</f>
        <v>117.64705882352941</v>
      </c>
      <c r="L16" s="129">
        <v>17</v>
      </c>
      <c r="M16" s="10">
        <f t="shared" ref="M16:M17" si="26">F16/V16*60</f>
        <v>1838.0487804878042</v>
      </c>
      <c r="N16" s="9">
        <f t="shared" si="22"/>
        <v>108.1205164992826</v>
      </c>
      <c r="O16" s="11">
        <f t="shared" ref="O16:O17" si="27">L16-I16</f>
        <v>0</v>
      </c>
      <c r="P16" s="12">
        <f t="shared" ref="P16:P17" si="28">N16-K16</f>
        <v>-9.5265423242468046</v>
      </c>
      <c r="Q16" s="123">
        <f t="shared" ref="Q16:Q26" si="29">N16/K16</f>
        <v>0.91902439024390215</v>
      </c>
      <c r="R16" s="533"/>
      <c r="S16" s="24">
        <v>0.70833333333333337</v>
      </c>
      <c r="T16" s="24">
        <v>0.76527777777777783</v>
      </c>
      <c r="U16" s="121" t="str">
        <f t="shared" ref="U16:U17" si="30">IF(S16=TIME(17,0,0),"",(S16-T15)*24*60)</f>
        <v/>
      </c>
      <c r="V16" s="130">
        <f t="shared" ref="V16:V17" si="31">(T16-S16)*24*60</f>
        <v>82.000000000000028</v>
      </c>
      <c r="W16" s="14"/>
      <c r="X16" s="14"/>
      <c r="Y16" s="528"/>
      <c r="Z16" s="528"/>
      <c r="AA16" s="11">
        <f t="shared" si="2"/>
        <v>-161.95121951219585</v>
      </c>
      <c r="AB16" s="123">
        <f t="shared" si="19"/>
        <v>0.91902439024390203</v>
      </c>
      <c r="AC16" s="533"/>
    </row>
    <row r="17" spans="1:29" ht="16.5" customHeight="1">
      <c r="A17" s="557" t="s">
        <v>468</v>
      </c>
      <c r="B17" s="131" t="s">
        <v>13</v>
      </c>
      <c r="C17" s="552" t="s">
        <v>54</v>
      </c>
      <c r="D17" s="552"/>
      <c r="E17" s="26">
        <v>50.92</v>
      </c>
      <c r="F17" s="131">
        <v>2758</v>
      </c>
      <c r="G17" s="121">
        <f t="shared" si="21"/>
        <v>140437.36000000002</v>
      </c>
      <c r="H17" s="76" t="s">
        <v>52</v>
      </c>
      <c r="I17" s="129">
        <v>16</v>
      </c>
      <c r="J17" s="18">
        <v>2000</v>
      </c>
      <c r="K17" s="9">
        <f t="shared" si="25"/>
        <v>125</v>
      </c>
      <c r="L17" s="129">
        <v>16</v>
      </c>
      <c r="M17" s="10">
        <f t="shared" si="26"/>
        <v>1838.6666666666667</v>
      </c>
      <c r="N17" s="9">
        <f t="shared" si="22"/>
        <v>114.91666666666667</v>
      </c>
      <c r="O17" s="11">
        <f t="shared" si="27"/>
        <v>0</v>
      </c>
      <c r="P17" s="12">
        <f t="shared" si="28"/>
        <v>-10.083333333333329</v>
      </c>
      <c r="Q17" s="123">
        <f t="shared" si="29"/>
        <v>0.91933333333333334</v>
      </c>
      <c r="R17" s="533"/>
      <c r="S17" s="24">
        <v>0.76944444444444449</v>
      </c>
      <c r="T17" s="24">
        <v>0.83194444444444449</v>
      </c>
      <c r="U17" s="121">
        <f t="shared" si="30"/>
        <v>5.9999999999999787</v>
      </c>
      <c r="V17" s="130">
        <f t="shared" si="31"/>
        <v>90</v>
      </c>
      <c r="W17" s="14"/>
      <c r="X17" s="14"/>
      <c r="Y17" s="528"/>
      <c r="Z17" s="528"/>
      <c r="AA17" s="11">
        <f t="shared" si="2"/>
        <v>-161.33333333333326</v>
      </c>
      <c r="AB17" s="123">
        <f t="shared" si="19"/>
        <v>0.91933333333333334</v>
      </c>
      <c r="AC17" s="533"/>
    </row>
    <row r="18" spans="1:29" ht="16.5" customHeight="1">
      <c r="A18" s="557" t="s">
        <v>468</v>
      </c>
      <c r="B18" s="26" t="s">
        <v>467</v>
      </c>
      <c r="C18" s="530"/>
      <c r="D18" s="530"/>
      <c r="E18" s="122"/>
      <c r="F18" s="16"/>
      <c r="G18" s="9"/>
      <c r="H18" s="131"/>
      <c r="I18" s="17">
        <f>AVERAGE(I14:I17)</f>
        <v>18.75</v>
      </c>
      <c r="J18" s="18">
        <v>1750</v>
      </c>
      <c r="K18" s="9">
        <f>J18/I18</f>
        <v>93.333333333333329</v>
      </c>
      <c r="L18" s="17">
        <f>AVERAGE(L14:L17)</f>
        <v>18.75</v>
      </c>
      <c r="M18" s="10">
        <f>AVERAGE(M14:M17)</f>
        <v>1611.2403277199467</v>
      </c>
      <c r="N18" s="9">
        <f t="shared" si="22"/>
        <v>85.932817478397155</v>
      </c>
      <c r="O18" s="11">
        <f>L18-I18</f>
        <v>0</v>
      </c>
      <c r="P18" s="12">
        <f>N18-K18</f>
        <v>-7.4005158549361738</v>
      </c>
      <c r="Q18" s="123">
        <f t="shared" si="29"/>
        <v>0.92070875869711244</v>
      </c>
      <c r="R18" s="533"/>
      <c r="S18" s="24"/>
      <c r="T18" s="24"/>
      <c r="U18" s="121"/>
      <c r="V18" s="130"/>
      <c r="W18" s="9"/>
      <c r="X18" s="9"/>
      <c r="Y18" s="528"/>
      <c r="Z18" s="528"/>
      <c r="AA18" s="11">
        <f t="shared" si="2"/>
        <v>-138.75967228005334</v>
      </c>
      <c r="AB18" s="123">
        <f t="shared" si="19"/>
        <v>0.92070875869711233</v>
      </c>
      <c r="AC18" s="533"/>
    </row>
    <row r="19" spans="1:29" ht="15.75" customHeight="1">
      <c r="A19" s="554" t="s">
        <v>469</v>
      </c>
      <c r="B19" s="26" t="s">
        <v>21</v>
      </c>
      <c r="C19" s="552" t="s">
        <v>22</v>
      </c>
      <c r="D19" s="552"/>
      <c r="E19" s="26">
        <v>43.14</v>
      </c>
      <c r="F19" s="131">
        <v>1144</v>
      </c>
      <c r="G19" s="121">
        <f t="shared" ref="G19:G26" si="32">E19*F19</f>
        <v>49352.160000000003</v>
      </c>
      <c r="H19" s="76" t="s">
        <v>52</v>
      </c>
      <c r="I19" s="129">
        <v>17</v>
      </c>
      <c r="J19" s="18">
        <v>2000</v>
      </c>
      <c r="K19" s="9">
        <f t="shared" ref="K19:K27" si="33">J19/I19</f>
        <v>117.64705882352941</v>
      </c>
      <c r="L19" s="129">
        <v>17</v>
      </c>
      <c r="M19" s="10">
        <f t="shared" ref="M19:M26" si="34">F19/V19*60</f>
        <v>1855.1351351351359</v>
      </c>
      <c r="N19" s="9">
        <f t="shared" si="22"/>
        <v>109.12559618441976</v>
      </c>
      <c r="O19" s="11">
        <f t="shared" ref="O19:O26" si="35">L19-I19</f>
        <v>0</v>
      </c>
      <c r="P19" s="12">
        <f t="shared" ref="P19:P26" si="36">N19-K19</f>
        <v>-8.5214626391096431</v>
      </c>
      <c r="Q19" s="123">
        <f t="shared" si="29"/>
        <v>0.92756756756756809</v>
      </c>
      <c r="R19" s="533">
        <f>Q27</f>
        <v>0.93077686450016706</v>
      </c>
      <c r="S19" s="24">
        <v>0.20833333333333334</v>
      </c>
      <c r="T19" s="24">
        <v>0.23402777777777778</v>
      </c>
      <c r="U19" s="121"/>
      <c r="V19" s="130">
        <f>(T19-S19)*24*60</f>
        <v>36.999999999999986</v>
      </c>
      <c r="W19" s="15"/>
      <c r="X19" s="15"/>
      <c r="Y19" s="528"/>
      <c r="Z19" s="528"/>
      <c r="AA19" s="11">
        <f t="shared" si="2"/>
        <v>-144.8648648648641</v>
      </c>
      <c r="AB19" s="123">
        <f t="shared" si="19"/>
        <v>0.92756756756756797</v>
      </c>
      <c r="AC19" s="533">
        <f>AB27</f>
        <v>0.93077686450016706</v>
      </c>
    </row>
    <row r="20" spans="1:29" ht="15.75" customHeight="1">
      <c r="A20" s="555" t="s">
        <v>470</v>
      </c>
      <c r="B20" s="26" t="s">
        <v>13</v>
      </c>
      <c r="C20" s="552" t="s">
        <v>23</v>
      </c>
      <c r="D20" s="552"/>
      <c r="E20" s="26">
        <v>57.73</v>
      </c>
      <c r="F20" s="131">
        <v>2630</v>
      </c>
      <c r="G20" s="121">
        <f t="shared" si="32"/>
        <v>151829.9</v>
      </c>
      <c r="H20" s="76" t="s">
        <v>52</v>
      </c>
      <c r="I20" s="129">
        <v>16</v>
      </c>
      <c r="J20" s="18">
        <v>2000</v>
      </c>
      <c r="K20" s="9">
        <f t="shared" si="33"/>
        <v>125</v>
      </c>
      <c r="L20" s="129">
        <v>16</v>
      </c>
      <c r="M20" s="10">
        <f t="shared" si="34"/>
        <v>1834.8837209302333</v>
      </c>
      <c r="N20" s="9">
        <f t="shared" si="22"/>
        <v>114.68023255813958</v>
      </c>
      <c r="O20" s="11">
        <f t="shared" si="35"/>
        <v>0</v>
      </c>
      <c r="P20" s="12">
        <f t="shared" si="36"/>
        <v>-10.319767441860421</v>
      </c>
      <c r="Q20" s="123">
        <f t="shared" si="29"/>
        <v>0.91744186046511667</v>
      </c>
      <c r="R20" s="533"/>
      <c r="S20" s="24">
        <v>0.2388888888888889</v>
      </c>
      <c r="T20" s="24">
        <v>0.2986111111111111</v>
      </c>
      <c r="U20" s="121">
        <f>IF(S20=TIME(17,0,0),"",(S20-T19)*24*60)</f>
        <v>7.0000000000000151</v>
      </c>
      <c r="V20" s="130">
        <f t="shared" ref="V20:V26" si="37">(T20-S20)*24*60</f>
        <v>85.999999999999972</v>
      </c>
      <c r="W20" s="14"/>
      <c r="X20" s="121"/>
      <c r="Y20" s="528"/>
      <c r="Z20" s="528"/>
      <c r="AA20" s="11">
        <f t="shared" si="2"/>
        <v>-165.11627906976673</v>
      </c>
      <c r="AB20" s="123">
        <f t="shared" si="19"/>
        <v>0.91744186046511667</v>
      </c>
      <c r="AC20" s="533"/>
    </row>
    <row r="21" spans="1:29" ht="15.75" customHeight="1">
      <c r="A21" s="555" t="s">
        <v>471</v>
      </c>
      <c r="B21" s="26" t="s">
        <v>13</v>
      </c>
      <c r="C21" s="552" t="s">
        <v>14</v>
      </c>
      <c r="D21" s="552"/>
      <c r="E21" s="26">
        <v>53.68</v>
      </c>
      <c r="F21" s="131">
        <v>1746</v>
      </c>
      <c r="G21" s="121">
        <f t="shared" si="32"/>
        <v>93725.28</v>
      </c>
      <c r="H21" s="76" t="s">
        <v>52</v>
      </c>
      <c r="I21" s="129">
        <v>17</v>
      </c>
      <c r="J21" s="18">
        <v>2000</v>
      </c>
      <c r="K21" s="9">
        <f t="shared" si="33"/>
        <v>117.64705882352941</v>
      </c>
      <c r="L21" s="129">
        <v>17</v>
      </c>
      <c r="M21" s="10">
        <f t="shared" si="34"/>
        <v>1837.8947368421043</v>
      </c>
      <c r="N21" s="9">
        <f t="shared" si="22"/>
        <v>108.11145510835908</v>
      </c>
      <c r="O21" s="11">
        <f t="shared" si="35"/>
        <v>0</v>
      </c>
      <c r="P21" s="12">
        <f t="shared" si="36"/>
        <v>-9.5356037151703248</v>
      </c>
      <c r="Q21" s="123">
        <f t="shared" si="29"/>
        <v>0.91894736842105218</v>
      </c>
      <c r="R21" s="533"/>
      <c r="S21" s="24">
        <v>0.3034722222222222</v>
      </c>
      <c r="T21" s="24">
        <v>0.34305555555555556</v>
      </c>
      <c r="U21" s="121">
        <f t="shared" ref="U21:U26" si="38">IF(S21=TIME(17,0,0),"",(S21-T20)*24*60)</f>
        <v>6.9999999999999751</v>
      </c>
      <c r="V21" s="130">
        <f t="shared" si="37"/>
        <v>57.000000000000036</v>
      </c>
      <c r="W21" s="14"/>
      <c r="X21" s="121"/>
      <c r="Y21" s="528"/>
      <c r="Z21" s="528"/>
      <c r="AA21" s="11">
        <f t="shared" si="2"/>
        <v>-162.10526315789571</v>
      </c>
      <c r="AB21" s="123">
        <f t="shared" si="19"/>
        <v>0.91894736842105218</v>
      </c>
      <c r="AC21" s="533"/>
    </row>
    <row r="22" spans="1:29" ht="15.75" customHeight="1">
      <c r="A22" s="555" t="s">
        <v>472</v>
      </c>
      <c r="B22" s="26" t="s">
        <v>13</v>
      </c>
      <c r="C22" s="552" t="s">
        <v>63</v>
      </c>
      <c r="D22" s="552"/>
      <c r="E22" s="26">
        <v>50.67</v>
      </c>
      <c r="F22" s="131">
        <v>1009</v>
      </c>
      <c r="G22" s="121">
        <f t="shared" si="32"/>
        <v>51126.03</v>
      </c>
      <c r="H22" s="76" t="s">
        <v>52</v>
      </c>
      <c r="I22" s="129">
        <v>16</v>
      </c>
      <c r="J22" s="18">
        <v>2000</v>
      </c>
      <c r="K22" s="9">
        <f t="shared" si="33"/>
        <v>125</v>
      </c>
      <c r="L22" s="129">
        <v>16</v>
      </c>
      <c r="M22" s="10">
        <f t="shared" si="34"/>
        <v>1834.5454545454522</v>
      </c>
      <c r="N22" s="9">
        <f t="shared" si="22"/>
        <v>114.65909090909076</v>
      </c>
      <c r="O22" s="11">
        <f t="shared" si="35"/>
        <v>0</v>
      </c>
      <c r="P22" s="12">
        <f t="shared" si="36"/>
        <v>-10.340909090909236</v>
      </c>
      <c r="Q22" s="123">
        <f t="shared" si="29"/>
        <v>0.91727272727272613</v>
      </c>
      <c r="R22" s="533"/>
      <c r="S22" s="24">
        <v>0.34722222222222221</v>
      </c>
      <c r="T22" s="24">
        <v>0.37013888888888891</v>
      </c>
      <c r="U22" s="121">
        <f t="shared" si="38"/>
        <v>5.9999999999999787</v>
      </c>
      <c r="V22" s="130">
        <f t="shared" si="37"/>
        <v>33.000000000000043</v>
      </c>
      <c r="W22" s="14"/>
      <c r="X22" s="121"/>
      <c r="Y22" s="528"/>
      <c r="Z22" s="528"/>
      <c r="AA22" s="11">
        <f t="shared" si="2"/>
        <v>-165.45454545454777</v>
      </c>
      <c r="AB22" s="123">
        <f t="shared" si="19"/>
        <v>0.91727272727272613</v>
      </c>
      <c r="AC22" s="533"/>
    </row>
    <row r="23" spans="1:29" ht="15.75" customHeight="1">
      <c r="A23" s="555" t="s">
        <v>469</v>
      </c>
      <c r="B23" s="26" t="s">
        <v>13</v>
      </c>
      <c r="C23" s="552" t="s">
        <v>81</v>
      </c>
      <c r="D23" s="552"/>
      <c r="E23" s="26">
        <v>58.17</v>
      </c>
      <c r="F23" s="131">
        <v>2341</v>
      </c>
      <c r="G23" s="121">
        <f t="shared" si="32"/>
        <v>136175.97</v>
      </c>
      <c r="H23" s="76" t="s">
        <v>52</v>
      </c>
      <c r="I23" s="129">
        <v>18</v>
      </c>
      <c r="J23" s="18">
        <v>2000</v>
      </c>
      <c r="K23" s="9">
        <f t="shared" si="33"/>
        <v>111.11111111111111</v>
      </c>
      <c r="L23" s="129">
        <v>18</v>
      </c>
      <c r="M23" s="10">
        <f t="shared" si="34"/>
        <v>1848.1578947368428</v>
      </c>
      <c r="N23" s="9">
        <f t="shared" si="22"/>
        <v>102.67543859649126</v>
      </c>
      <c r="O23" s="11">
        <f t="shared" si="35"/>
        <v>0</v>
      </c>
      <c r="P23" s="12">
        <f t="shared" si="36"/>
        <v>-8.4356725146198528</v>
      </c>
      <c r="Q23" s="123">
        <f t="shared" si="29"/>
        <v>0.92407894736842133</v>
      </c>
      <c r="R23" s="533"/>
      <c r="S23" s="24">
        <v>0.37361111111111112</v>
      </c>
      <c r="T23" s="24">
        <v>0.42638888888888887</v>
      </c>
      <c r="U23" s="121">
        <f t="shared" si="38"/>
        <v>4.9999999999999822</v>
      </c>
      <c r="V23" s="130">
        <f t="shared" si="37"/>
        <v>75.999999999999972</v>
      </c>
      <c r="W23" s="14"/>
      <c r="X23" s="121"/>
      <c r="Y23" s="528"/>
      <c r="Z23" s="528"/>
      <c r="AA23" s="11">
        <f t="shared" si="2"/>
        <v>-151.84210526315724</v>
      </c>
      <c r="AB23" s="123">
        <f t="shared" si="19"/>
        <v>0.92407894736842133</v>
      </c>
      <c r="AC23" s="533"/>
    </row>
    <row r="24" spans="1:29" ht="15.75" customHeight="1">
      <c r="A24" s="555" t="s">
        <v>473</v>
      </c>
      <c r="B24" s="26" t="s">
        <v>13</v>
      </c>
      <c r="C24" s="552" t="s">
        <v>85</v>
      </c>
      <c r="D24" s="552"/>
      <c r="E24" s="26">
        <v>54.09</v>
      </c>
      <c r="F24" s="131">
        <v>3425</v>
      </c>
      <c r="G24" s="121">
        <f t="shared" si="32"/>
        <v>185258.25</v>
      </c>
      <c r="H24" s="76" t="s">
        <v>52</v>
      </c>
      <c r="I24" s="129">
        <v>20</v>
      </c>
      <c r="J24" s="18">
        <v>2000</v>
      </c>
      <c r="K24" s="9">
        <f t="shared" si="33"/>
        <v>100</v>
      </c>
      <c r="L24" s="129">
        <v>20</v>
      </c>
      <c r="M24" s="10">
        <f t="shared" si="34"/>
        <v>1851.3513513513526</v>
      </c>
      <c r="N24" s="9">
        <f t="shared" si="22"/>
        <v>92.567567567567636</v>
      </c>
      <c r="O24" s="11">
        <f t="shared" si="35"/>
        <v>0</v>
      </c>
      <c r="P24" s="12">
        <f t="shared" si="36"/>
        <v>-7.4324324324323641</v>
      </c>
      <c r="Q24" s="123">
        <f t="shared" si="29"/>
        <v>0.92567567567567632</v>
      </c>
      <c r="R24" s="533"/>
      <c r="S24" s="24">
        <v>0.70833333333333337</v>
      </c>
      <c r="T24" s="24">
        <v>0.78541666666666665</v>
      </c>
      <c r="U24" s="121" t="str">
        <f t="shared" si="38"/>
        <v/>
      </c>
      <c r="V24" s="130">
        <f t="shared" si="37"/>
        <v>110.99999999999993</v>
      </c>
      <c r="W24" s="14"/>
      <c r="X24" s="15"/>
      <c r="Y24" s="528"/>
      <c r="Z24" s="528"/>
      <c r="AA24" s="11">
        <f t="shared" si="2"/>
        <v>-148.6486486486474</v>
      </c>
      <c r="AB24" s="123">
        <f t="shared" si="19"/>
        <v>0.92567567567567632</v>
      </c>
      <c r="AC24" s="533"/>
    </row>
    <row r="25" spans="1:29" ht="15.75" customHeight="1">
      <c r="A25" s="555" t="s">
        <v>474</v>
      </c>
      <c r="B25" s="26" t="s">
        <v>13</v>
      </c>
      <c r="C25" s="552" t="s">
        <v>56</v>
      </c>
      <c r="D25" s="552"/>
      <c r="E25" s="26">
        <v>53.27</v>
      </c>
      <c r="F25" s="131">
        <v>420</v>
      </c>
      <c r="G25" s="121">
        <f t="shared" si="32"/>
        <v>22373.4</v>
      </c>
      <c r="H25" s="76" t="s">
        <v>52</v>
      </c>
      <c r="I25" s="129">
        <v>15</v>
      </c>
      <c r="J25" s="18">
        <v>2000</v>
      </c>
      <c r="K25" s="9">
        <f t="shared" si="33"/>
        <v>133.33333333333334</v>
      </c>
      <c r="L25" s="129">
        <v>15</v>
      </c>
      <c r="M25" s="10">
        <f t="shared" si="34"/>
        <v>1938.4615384615452</v>
      </c>
      <c r="N25" s="9">
        <f t="shared" si="22"/>
        <v>129.23076923076968</v>
      </c>
      <c r="O25" s="11">
        <f t="shared" si="35"/>
        <v>0</v>
      </c>
      <c r="P25" s="12">
        <f t="shared" si="36"/>
        <v>-4.1025641025636617</v>
      </c>
      <c r="Q25" s="123">
        <f t="shared" si="29"/>
        <v>0.96923076923077256</v>
      </c>
      <c r="R25" s="533"/>
      <c r="S25" s="24">
        <v>0.7895833333333333</v>
      </c>
      <c r="T25" s="24">
        <v>0.79861111111111105</v>
      </c>
      <c r="U25" s="121">
        <f t="shared" si="38"/>
        <v>5.9999999999999787</v>
      </c>
      <c r="V25" s="130">
        <f t="shared" si="37"/>
        <v>12.999999999999954</v>
      </c>
      <c r="W25" s="14"/>
      <c r="X25" s="15"/>
      <c r="Y25" s="536"/>
      <c r="Z25" s="537"/>
      <c r="AA25" s="11">
        <f t="shared" si="2"/>
        <v>-61.53846153845484</v>
      </c>
      <c r="AB25" s="123">
        <f t="shared" si="19"/>
        <v>0.96923076923077256</v>
      </c>
      <c r="AC25" s="533"/>
    </row>
    <row r="26" spans="1:29" ht="15.75" customHeight="1">
      <c r="A26" s="555" t="s">
        <v>469</v>
      </c>
      <c r="B26" s="26" t="s">
        <v>13</v>
      </c>
      <c r="C26" s="584" t="s">
        <v>83</v>
      </c>
      <c r="D26" s="585"/>
      <c r="E26" s="26">
        <v>49.91</v>
      </c>
      <c r="F26" s="131">
        <v>473</v>
      </c>
      <c r="G26" s="121">
        <f t="shared" si="32"/>
        <v>23607.429999999997</v>
      </c>
      <c r="H26" s="76" t="s">
        <v>52</v>
      </c>
      <c r="I26" s="129">
        <v>16</v>
      </c>
      <c r="J26" s="18">
        <v>2000</v>
      </c>
      <c r="K26" s="9">
        <f t="shared" si="33"/>
        <v>125</v>
      </c>
      <c r="L26" s="129">
        <v>16</v>
      </c>
      <c r="M26" s="10">
        <f t="shared" si="34"/>
        <v>1892.0000000000068</v>
      </c>
      <c r="N26" s="9">
        <f t="shared" si="22"/>
        <v>118.25000000000043</v>
      </c>
      <c r="O26" s="11">
        <f t="shared" si="35"/>
        <v>0</v>
      </c>
      <c r="P26" s="12">
        <f t="shared" si="36"/>
        <v>-6.7499999999995737</v>
      </c>
      <c r="Q26" s="123">
        <f t="shared" si="29"/>
        <v>0.94600000000000339</v>
      </c>
      <c r="R26" s="533"/>
      <c r="S26" s="24">
        <v>0.80208333333333326</v>
      </c>
      <c r="T26" s="24">
        <v>0.81249999999999989</v>
      </c>
      <c r="U26" s="121">
        <f t="shared" si="38"/>
        <v>4.9999999999999822</v>
      </c>
      <c r="V26" s="130">
        <f t="shared" si="37"/>
        <v>14.999999999999947</v>
      </c>
      <c r="W26" s="14"/>
      <c r="X26" s="14"/>
      <c r="Y26" s="536"/>
      <c r="Z26" s="537"/>
      <c r="AA26" s="11">
        <f t="shared" si="2"/>
        <v>-107.99999999999318</v>
      </c>
      <c r="AB26" s="123">
        <f t="shared" si="19"/>
        <v>0.94600000000000339</v>
      </c>
      <c r="AC26" s="533"/>
    </row>
    <row r="27" spans="1:29" ht="15.75" customHeight="1">
      <c r="A27" s="555" t="s">
        <v>469</v>
      </c>
      <c r="B27" s="26" t="s">
        <v>475</v>
      </c>
      <c r="C27" s="530"/>
      <c r="D27" s="530"/>
      <c r="E27" s="122"/>
      <c r="F27" s="131"/>
      <c r="G27" s="121"/>
      <c r="H27" s="131"/>
      <c r="I27" s="17">
        <v>16.875</v>
      </c>
      <c r="J27" s="18">
        <v>2000</v>
      </c>
      <c r="K27" s="9">
        <f t="shared" si="33"/>
        <v>118.51851851851852</v>
      </c>
      <c r="L27" s="17">
        <v>16.875</v>
      </c>
      <c r="M27" s="10">
        <f>AVERAGE(M19:M26)</f>
        <v>1861.5537290003342</v>
      </c>
      <c r="N27" s="9">
        <f>M27/L27</f>
        <v>110.31429505187165</v>
      </c>
      <c r="O27" s="11">
        <f>L27-I27</f>
        <v>0</v>
      </c>
      <c r="P27" s="12">
        <f>N27-K27</f>
        <v>-8.2042234666468659</v>
      </c>
      <c r="Q27" s="123">
        <f>N27/K27</f>
        <v>0.93077686450016706</v>
      </c>
      <c r="R27" s="533"/>
      <c r="S27" s="24"/>
      <c r="T27" s="24"/>
      <c r="U27" s="9"/>
      <c r="V27" s="130"/>
      <c r="W27" s="9"/>
      <c r="X27" s="9"/>
      <c r="Y27" s="528"/>
      <c r="Z27" s="528"/>
      <c r="AA27" s="11">
        <f t="shared" si="2"/>
        <v>-138.44627099966578</v>
      </c>
      <c r="AB27" s="123">
        <f t="shared" si="19"/>
        <v>0.93077686450016706</v>
      </c>
      <c r="AC27" s="533"/>
    </row>
    <row r="28" spans="1:29" ht="15.75" customHeight="1">
      <c r="A28" s="553" t="s">
        <v>476</v>
      </c>
      <c r="B28" s="26" t="s">
        <v>24</v>
      </c>
      <c r="C28" s="552" t="s">
        <v>26</v>
      </c>
      <c r="D28" s="552"/>
      <c r="E28" s="26">
        <v>26.2</v>
      </c>
      <c r="F28" s="131">
        <v>3957</v>
      </c>
      <c r="G28" s="121">
        <f t="shared" ref="G28:G32" si="39">E28*F28</f>
        <v>103673.4</v>
      </c>
      <c r="H28" s="76" t="s">
        <v>52</v>
      </c>
      <c r="I28" s="129">
        <v>20</v>
      </c>
      <c r="J28" s="18">
        <v>2400</v>
      </c>
      <c r="K28" s="9">
        <f>J28/I28</f>
        <v>120</v>
      </c>
      <c r="L28" s="129">
        <v>20</v>
      </c>
      <c r="M28" s="10">
        <f t="shared" ref="M28:M32" si="40">F28/V28*60</f>
        <v>2218.8785046728967</v>
      </c>
      <c r="N28" s="9">
        <f t="shared" ref="N28:N32" si="41">M28/L28</f>
        <v>110.94392523364483</v>
      </c>
      <c r="O28" s="11">
        <f t="shared" ref="O28:O32" si="42">L28-I28</f>
        <v>0</v>
      </c>
      <c r="P28" s="12">
        <f t="shared" ref="P28:P32" si="43">N28-K28</f>
        <v>-9.0560747663551666</v>
      </c>
      <c r="Q28" s="123">
        <f t="shared" ref="Q28:Q32" si="44">N28/K28</f>
        <v>0.92453271028037365</v>
      </c>
      <c r="R28" s="533">
        <f>Q33</f>
        <v>0.92154912024773239</v>
      </c>
      <c r="S28" s="24">
        <v>0.125</v>
      </c>
      <c r="T28" s="24">
        <v>0.19930555555555557</v>
      </c>
      <c r="U28" s="121"/>
      <c r="V28" s="130">
        <f t="shared" ref="V28:V32" si="45">(T28-S28)*24*60</f>
        <v>107.00000000000001</v>
      </c>
      <c r="W28" s="14">
        <f>T28</f>
        <v>0.19930555555555557</v>
      </c>
      <c r="X28" s="14">
        <f>S29</f>
        <v>0.21666666666666665</v>
      </c>
      <c r="Y28" s="528"/>
      <c r="Z28" s="528"/>
      <c r="AA28" s="11">
        <f t="shared" si="2"/>
        <v>-181.12149532710328</v>
      </c>
      <c r="AB28" s="123">
        <f>M28/J28</f>
        <v>0.92453271028037365</v>
      </c>
      <c r="AC28" s="533">
        <f>AB33</f>
        <v>0.92154912024773239</v>
      </c>
    </row>
    <row r="29" spans="1:29" ht="15.75" customHeight="1">
      <c r="A29" s="553" t="s">
        <v>477</v>
      </c>
      <c r="B29" s="26" t="s">
        <v>24</v>
      </c>
      <c r="C29" s="552" t="s">
        <v>79</v>
      </c>
      <c r="D29" s="552"/>
      <c r="E29" s="26">
        <v>31.29</v>
      </c>
      <c r="F29" s="131">
        <v>3500</v>
      </c>
      <c r="G29" s="121">
        <f t="shared" si="39"/>
        <v>109515</v>
      </c>
      <c r="H29" s="76">
        <v>2</v>
      </c>
      <c r="I29" s="129">
        <v>16</v>
      </c>
      <c r="J29" s="18">
        <v>2400</v>
      </c>
      <c r="K29" s="9">
        <f t="shared" ref="K29:K33" si="46">J29/I29</f>
        <v>150</v>
      </c>
      <c r="L29" s="129">
        <v>16</v>
      </c>
      <c r="M29" s="10">
        <f t="shared" si="40"/>
        <v>2210.5263157894728</v>
      </c>
      <c r="N29" s="9">
        <f t="shared" si="41"/>
        <v>138.15789473684205</v>
      </c>
      <c r="O29" s="11">
        <f t="shared" si="42"/>
        <v>0</v>
      </c>
      <c r="P29" s="12">
        <f t="shared" si="43"/>
        <v>-11.842105263157947</v>
      </c>
      <c r="Q29" s="123">
        <f t="shared" si="44"/>
        <v>0.92105263157894701</v>
      </c>
      <c r="R29" s="533"/>
      <c r="S29" s="24">
        <v>0.21666666666666665</v>
      </c>
      <c r="T29" s="24">
        <v>0.28263888888888888</v>
      </c>
      <c r="U29" s="121">
        <f>(S29-T28)*24*60</f>
        <v>24.99999999999995</v>
      </c>
      <c r="V29" s="130">
        <f t="shared" si="45"/>
        <v>95.000000000000028</v>
      </c>
      <c r="W29" s="14"/>
      <c r="X29" s="14"/>
      <c r="Y29" s="528"/>
      <c r="Z29" s="528"/>
      <c r="AA29" s="11">
        <f t="shared" si="2"/>
        <v>-189.47368421052715</v>
      </c>
      <c r="AB29" s="123">
        <f t="shared" ref="AB29:AB32" si="47">M29/J29</f>
        <v>0.92105263157894701</v>
      </c>
      <c r="AC29" s="533"/>
    </row>
    <row r="30" spans="1:29" ht="15.75" customHeight="1">
      <c r="A30" s="553" t="s">
        <v>478</v>
      </c>
      <c r="B30" s="26" t="s">
        <v>24</v>
      </c>
      <c r="C30" s="552" t="s">
        <v>68</v>
      </c>
      <c r="D30" s="552"/>
      <c r="E30" s="26">
        <v>24.25</v>
      </c>
      <c r="F30" s="131">
        <v>4678</v>
      </c>
      <c r="G30" s="121">
        <f t="shared" si="39"/>
        <v>113441.5</v>
      </c>
      <c r="H30" s="76" t="s">
        <v>52</v>
      </c>
      <c r="I30" s="129">
        <v>18</v>
      </c>
      <c r="J30" s="18">
        <v>2400</v>
      </c>
      <c r="K30" s="9">
        <f t="shared" si="46"/>
        <v>133.33333333333334</v>
      </c>
      <c r="L30" s="129">
        <v>18</v>
      </c>
      <c r="M30" s="10">
        <f t="shared" si="40"/>
        <v>2210.0787401574798</v>
      </c>
      <c r="N30" s="9">
        <f t="shared" si="41"/>
        <v>122.78215223097111</v>
      </c>
      <c r="O30" s="11">
        <f t="shared" si="42"/>
        <v>0</v>
      </c>
      <c r="P30" s="12">
        <f t="shared" si="43"/>
        <v>-10.551181102362236</v>
      </c>
      <c r="Q30" s="123">
        <f t="shared" si="44"/>
        <v>0.92086614173228321</v>
      </c>
      <c r="R30" s="533"/>
      <c r="S30" s="24">
        <v>0.28819444444444442</v>
      </c>
      <c r="T30" s="24">
        <v>0.37638888888888888</v>
      </c>
      <c r="U30" s="121">
        <f t="shared" ref="U30:U32" si="48">(S30-T29)*24*60</f>
        <v>7.9999999999999716</v>
      </c>
      <c r="V30" s="130">
        <f t="shared" si="45"/>
        <v>127.00000000000003</v>
      </c>
      <c r="W30" s="14"/>
      <c r="X30" s="14"/>
      <c r="Y30" s="528"/>
      <c r="Z30" s="528"/>
      <c r="AA30" s="11">
        <f t="shared" si="2"/>
        <v>-189.92125984252016</v>
      </c>
      <c r="AB30" s="123">
        <f t="shared" si="47"/>
        <v>0.92086614173228332</v>
      </c>
      <c r="AC30" s="533"/>
    </row>
    <row r="31" spans="1:29" ht="15.75" customHeight="1">
      <c r="A31" s="553" t="s">
        <v>476</v>
      </c>
      <c r="B31" s="26" t="s">
        <v>24</v>
      </c>
      <c r="C31" s="552" t="s">
        <v>328</v>
      </c>
      <c r="D31" s="552"/>
      <c r="E31" s="26">
        <v>24.82</v>
      </c>
      <c r="F31" s="131">
        <v>6442</v>
      </c>
      <c r="G31" s="121">
        <f t="shared" si="39"/>
        <v>159890.44</v>
      </c>
      <c r="H31" s="76" t="s">
        <v>52</v>
      </c>
      <c r="I31" s="129">
        <v>17</v>
      </c>
      <c r="J31" s="18">
        <v>2400</v>
      </c>
      <c r="K31" s="9">
        <f t="shared" si="46"/>
        <v>141.1764705882353</v>
      </c>
      <c r="L31" s="129">
        <v>17</v>
      </c>
      <c r="M31" s="10">
        <f t="shared" si="40"/>
        <v>2208.6857142857139</v>
      </c>
      <c r="N31" s="9">
        <f t="shared" si="41"/>
        <v>129.92268907563022</v>
      </c>
      <c r="O31" s="11">
        <f t="shared" si="42"/>
        <v>0</v>
      </c>
      <c r="P31" s="12">
        <f t="shared" si="43"/>
        <v>-11.253781512605087</v>
      </c>
      <c r="Q31" s="123">
        <f t="shared" si="44"/>
        <v>0.92028571428571393</v>
      </c>
      <c r="R31" s="533"/>
      <c r="S31" s="24">
        <v>0.38124999999999998</v>
      </c>
      <c r="T31" s="24">
        <v>0.50277777777777777</v>
      </c>
      <c r="U31" s="121">
        <f t="shared" si="48"/>
        <v>6.9999999999999751</v>
      </c>
      <c r="V31" s="130">
        <f t="shared" si="45"/>
        <v>175.00000000000003</v>
      </c>
      <c r="W31" s="14">
        <f>T31</f>
        <v>0.50277777777777777</v>
      </c>
      <c r="X31" s="14">
        <f>S32</f>
        <v>0.54305555555555551</v>
      </c>
      <c r="Y31" s="528"/>
      <c r="Z31" s="528"/>
      <c r="AA31" s="11">
        <f t="shared" si="2"/>
        <v>-191.31428571428614</v>
      </c>
      <c r="AB31" s="123">
        <f t="shared" si="47"/>
        <v>0.92028571428571415</v>
      </c>
      <c r="AC31" s="533"/>
    </row>
    <row r="32" spans="1:29" ht="15.75" customHeight="1">
      <c r="A32" s="553" t="s">
        <v>479</v>
      </c>
      <c r="B32" s="26" t="s">
        <v>24</v>
      </c>
      <c r="C32" s="552" t="s">
        <v>79</v>
      </c>
      <c r="D32" s="552"/>
      <c r="E32" s="26">
        <v>31.29</v>
      </c>
      <c r="F32" s="131">
        <v>4384</v>
      </c>
      <c r="G32" s="121">
        <f t="shared" si="39"/>
        <v>137175.35999999999</v>
      </c>
      <c r="H32" s="76" t="s">
        <v>52</v>
      </c>
      <c r="I32" s="129">
        <v>16</v>
      </c>
      <c r="J32" s="18">
        <v>2400</v>
      </c>
      <c r="K32" s="9">
        <f t="shared" si="46"/>
        <v>150</v>
      </c>
      <c r="L32" s="129">
        <v>16</v>
      </c>
      <c r="M32" s="10">
        <f t="shared" si="40"/>
        <v>2210.4201680672259</v>
      </c>
      <c r="N32" s="9">
        <f t="shared" si="41"/>
        <v>138.15126050420162</v>
      </c>
      <c r="O32" s="11">
        <f t="shared" si="42"/>
        <v>0</v>
      </c>
      <c r="P32" s="12">
        <f t="shared" si="43"/>
        <v>-11.848739495798384</v>
      </c>
      <c r="Q32" s="123">
        <f t="shared" si="44"/>
        <v>0.92100840336134415</v>
      </c>
      <c r="R32" s="533"/>
      <c r="S32" s="24">
        <v>0.54305555555555551</v>
      </c>
      <c r="T32" s="24">
        <v>0.62569444444444444</v>
      </c>
      <c r="U32" s="121">
        <f t="shared" si="48"/>
        <v>57.999999999999957</v>
      </c>
      <c r="V32" s="130">
        <f t="shared" si="45"/>
        <v>119.00000000000006</v>
      </c>
      <c r="W32" s="14"/>
      <c r="X32" s="14"/>
      <c r="Y32" s="528"/>
      <c r="Z32" s="528"/>
      <c r="AA32" s="11">
        <f t="shared" si="2"/>
        <v>-189.57983193277414</v>
      </c>
      <c r="AB32" s="123">
        <f t="shared" si="47"/>
        <v>0.92100840336134415</v>
      </c>
      <c r="AC32" s="533"/>
    </row>
    <row r="33" spans="1:29" ht="15.75" customHeight="1">
      <c r="A33" s="553" t="s">
        <v>478</v>
      </c>
      <c r="B33" s="26" t="s">
        <v>467</v>
      </c>
      <c r="C33" s="530"/>
      <c r="D33" s="530"/>
      <c r="E33" s="122"/>
      <c r="F33" s="131"/>
      <c r="G33" s="121"/>
      <c r="H33" s="131"/>
      <c r="I33" s="17">
        <v>17.399999999999999</v>
      </c>
      <c r="J33" s="18">
        <v>2400</v>
      </c>
      <c r="K33" s="9">
        <f t="shared" si="46"/>
        <v>137.93103448275863</v>
      </c>
      <c r="L33" s="17">
        <v>17.399999999999999</v>
      </c>
      <c r="M33" s="10">
        <f>AVERAGE(M28:M32)</f>
        <v>2211.7178885945577</v>
      </c>
      <c r="N33" s="9">
        <f>M33/L33</f>
        <v>127.11022348244586</v>
      </c>
      <c r="O33" s="11">
        <f>L33-I33</f>
        <v>0</v>
      </c>
      <c r="P33" s="12">
        <f>N33-K33</f>
        <v>-10.820811000312773</v>
      </c>
      <c r="Q33" s="123">
        <f>N33/K33</f>
        <v>0.92154912024773239</v>
      </c>
      <c r="R33" s="533"/>
      <c r="S33" s="24"/>
      <c r="T33" s="24"/>
      <c r="U33" s="121"/>
      <c r="V33" s="130"/>
      <c r="W33" s="121"/>
      <c r="X33" s="121"/>
      <c r="Y33" s="528"/>
      <c r="Z33" s="528"/>
      <c r="AA33" s="11">
        <f t="shared" si="2"/>
        <v>-188.28211140544227</v>
      </c>
      <c r="AB33" s="123">
        <f>M33/J33</f>
        <v>0.92154912024773239</v>
      </c>
      <c r="AC33" s="533"/>
    </row>
    <row r="34" spans="1:29" ht="15.75" customHeight="1">
      <c r="A34" s="550" t="s">
        <v>480</v>
      </c>
      <c r="B34" s="26" t="s">
        <v>24</v>
      </c>
      <c r="C34" s="529" t="s">
        <v>28</v>
      </c>
      <c r="D34" s="529"/>
      <c r="E34" s="26">
        <v>26.2</v>
      </c>
      <c r="F34" s="131">
        <v>2700</v>
      </c>
      <c r="G34" s="121">
        <f t="shared" ref="G34:G42" si="49">E34*F34</f>
        <v>70740</v>
      </c>
      <c r="H34" s="76">
        <v>2</v>
      </c>
      <c r="I34" s="129">
        <v>18</v>
      </c>
      <c r="J34" s="18">
        <v>2400</v>
      </c>
      <c r="K34" s="9">
        <f>J34/I34</f>
        <v>133.33333333333334</v>
      </c>
      <c r="L34" s="129">
        <v>18</v>
      </c>
      <c r="M34" s="10">
        <f>F34/V34*60</f>
        <v>2219.178082191781</v>
      </c>
      <c r="N34" s="9">
        <f>M34/L34</f>
        <v>123.28767123287672</v>
      </c>
      <c r="O34" s="11">
        <f t="shared" ref="O34:O42" si="50">L34-I34</f>
        <v>0</v>
      </c>
      <c r="P34" s="12">
        <f t="shared" ref="P34:P52" si="51">N34-K34</f>
        <v>-10.045662100456624</v>
      </c>
      <c r="Q34" s="123">
        <f t="shared" ref="Q34:Q47" si="52">N34/K34</f>
        <v>0.92465753424657537</v>
      </c>
      <c r="R34" s="533">
        <f>Q43</f>
        <v>0.92113515901489607</v>
      </c>
      <c r="S34" s="24">
        <v>8.3333333333333329E-2</v>
      </c>
      <c r="T34" s="24">
        <v>0.13402777777777777</v>
      </c>
      <c r="U34" s="121"/>
      <c r="V34" s="130">
        <f t="shared" ref="V34:V42" si="53">(T34-S34)*24*60</f>
        <v>73</v>
      </c>
      <c r="W34" s="15">
        <f>T34</f>
        <v>0.13402777777777777</v>
      </c>
      <c r="X34" s="15">
        <f>S35</f>
        <v>0.15416666666666667</v>
      </c>
      <c r="Y34" s="528"/>
      <c r="Z34" s="528"/>
      <c r="AA34" s="11">
        <f t="shared" si="2"/>
        <v>-180.82191780821904</v>
      </c>
      <c r="AB34" s="123">
        <f>M34/J34</f>
        <v>0.92465753424657537</v>
      </c>
      <c r="AC34" s="533">
        <f>AB43</f>
        <v>0.92113515901489607</v>
      </c>
    </row>
    <row r="35" spans="1:29" ht="15.75" customHeight="1">
      <c r="A35" s="550" t="s">
        <v>481</v>
      </c>
      <c r="B35" s="26" t="s">
        <v>24</v>
      </c>
      <c r="C35" s="529" t="s">
        <v>30</v>
      </c>
      <c r="D35" s="529"/>
      <c r="E35" s="26">
        <v>24.45</v>
      </c>
      <c r="F35" s="131">
        <v>2091</v>
      </c>
      <c r="G35" s="121">
        <f t="shared" si="49"/>
        <v>51124.95</v>
      </c>
      <c r="H35" s="76" t="s">
        <v>52</v>
      </c>
      <c r="I35" s="129">
        <v>20</v>
      </c>
      <c r="J35" s="18">
        <v>2400</v>
      </c>
      <c r="K35" s="9">
        <f t="shared" ref="K35:K51" si="54">J35/I35</f>
        <v>120</v>
      </c>
      <c r="L35" s="129">
        <v>20</v>
      </c>
      <c r="M35" s="10">
        <f t="shared" ref="M35:M42" si="55">F35/V35*60</f>
        <v>2201.0526315789471</v>
      </c>
      <c r="N35" s="9">
        <f t="shared" ref="N35:N42" si="56">M35/L35</f>
        <v>110.05263157894736</v>
      </c>
      <c r="O35" s="11">
        <f t="shared" si="50"/>
        <v>0</v>
      </c>
      <c r="P35" s="12">
        <f t="shared" si="51"/>
        <v>-9.9473684210526443</v>
      </c>
      <c r="Q35" s="123">
        <f t="shared" si="52"/>
        <v>0.91710526315789465</v>
      </c>
      <c r="R35" s="533"/>
      <c r="S35" s="24">
        <v>0.15416666666666667</v>
      </c>
      <c r="T35" s="24">
        <v>0.19375000000000001</v>
      </c>
      <c r="U35" s="121">
        <f>(S35-T34)*24*60</f>
        <v>29.000000000000018</v>
      </c>
      <c r="V35" s="130">
        <f t="shared" si="53"/>
        <v>57</v>
      </c>
      <c r="W35" s="121"/>
      <c r="X35" s="121"/>
      <c r="Y35" s="528"/>
      <c r="Z35" s="528"/>
      <c r="AA35" s="11">
        <f t="shared" si="2"/>
        <v>-198.94736842105294</v>
      </c>
      <c r="AB35" s="123">
        <f t="shared" ref="AB35:AB65" si="57">M35/J35</f>
        <v>0.91710526315789465</v>
      </c>
      <c r="AC35" s="533"/>
    </row>
    <row r="36" spans="1:29">
      <c r="A36" s="551" t="s">
        <v>482</v>
      </c>
      <c r="B36" s="26" t="s">
        <v>24</v>
      </c>
      <c r="C36" s="529" t="s">
        <v>31</v>
      </c>
      <c r="D36" s="529"/>
      <c r="E36" s="26">
        <v>26.2</v>
      </c>
      <c r="F36" s="131">
        <v>3008</v>
      </c>
      <c r="G36" s="121">
        <f t="shared" si="49"/>
        <v>78809.599999999991</v>
      </c>
      <c r="H36" s="76" t="s">
        <v>52</v>
      </c>
      <c r="I36" s="129">
        <v>20</v>
      </c>
      <c r="J36" s="18">
        <v>2400</v>
      </c>
      <c r="K36" s="9">
        <f t="shared" si="54"/>
        <v>120</v>
      </c>
      <c r="L36" s="129">
        <v>20</v>
      </c>
      <c r="M36" s="10">
        <f t="shared" si="55"/>
        <v>2200.9756097560976</v>
      </c>
      <c r="N36" s="9">
        <f t="shared" si="56"/>
        <v>110.04878048780488</v>
      </c>
      <c r="O36" s="11">
        <f t="shared" si="50"/>
        <v>0</v>
      </c>
      <c r="P36" s="12">
        <f t="shared" si="51"/>
        <v>-9.9512195121951237</v>
      </c>
      <c r="Q36" s="123">
        <f t="shared" si="52"/>
        <v>0.91707317073170735</v>
      </c>
      <c r="R36" s="533"/>
      <c r="S36" s="24">
        <v>0.19722222222222222</v>
      </c>
      <c r="T36" s="24">
        <v>0.25416666666666665</v>
      </c>
      <c r="U36" s="121">
        <f t="shared" ref="U36:U42" si="58">(S36-T35)*24*60</f>
        <v>4.9999999999999822</v>
      </c>
      <c r="V36" s="130">
        <f t="shared" si="53"/>
        <v>81.999999999999986</v>
      </c>
      <c r="W36" s="121"/>
      <c r="X36" s="121"/>
      <c r="Y36" s="528"/>
      <c r="Z36" s="528"/>
      <c r="AA36" s="11">
        <f t="shared" si="2"/>
        <v>-199.02439024390242</v>
      </c>
      <c r="AB36" s="123">
        <f t="shared" si="57"/>
        <v>0.91707317073170735</v>
      </c>
      <c r="AC36" s="533"/>
    </row>
    <row r="37" spans="1:29">
      <c r="A37" s="551" t="s">
        <v>481</v>
      </c>
      <c r="B37" s="26" t="s">
        <v>24</v>
      </c>
      <c r="C37" s="529" t="s">
        <v>29</v>
      </c>
      <c r="D37" s="529"/>
      <c r="E37" s="26">
        <v>26.39</v>
      </c>
      <c r="F37" s="131">
        <v>3400</v>
      </c>
      <c r="G37" s="121">
        <f t="shared" si="49"/>
        <v>89726</v>
      </c>
      <c r="H37" s="76">
        <v>2</v>
      </c>
      <c r="I37" s="129">
        <v>19</v>
      </c>
      <c r="J37" s="18">
        <v>2400</v>
      </c>
      <c r="K37" s="9">
        <f t="shared" si="54"/>
        <v>126.31578947368421</v>
      </c>
      <c r="L37" s="129">
        <v>19</v>
      </c>
      <c r="M37" s="10">
        <f t="shared" si="55"/>
        <v>2217.391304347826</v>
      </c>
      <c r="N37" s="9">
        <f t="shared" si="56"/>
        <v>116.70480549199084</v>
      </c>
      <c r="O37" s="11">
        <f t="shared" si="50"/>
        <v>0</v>
      </c>
      <c r="P37" s="12">
        <f t="shared" si="51"/>
        <v>-9.6109839816933658</v>
      </c>
      <c r="Q37" s="123">
        <f t="shared" si="52"/>
        <v>0.92391304347826086</v>
      </c>
      <c r="R37" s="533"/>
      <c r="S37" s="24">
        <v>0.25763888888888886</v>
      </c>
      <c r="T37" s="24">
        <v>0.32152777777777775</v>
      </c>
      <c r="U37" s="121">
        <f t="shared" si="58"/>
        <v>4.9999999999999822</v>
      </c>
      <c r="V37" s="130">
        <f t="shared" si="53"/>
        <v>92</v>
      </c>
      <c r="W37" s="14"/>
      <c r="X37" s="14"/>
      <c r="Y37" s="528"/>
      <c r="Z37" s="528"/>
      <c r="AA37" s="11">
        <f t="shared" si="2"/>
        <v>-182.60869565217399</v>
      </c>
      <c r="AB37" s="123">
        <f t="shared" si="57"/>
        <v>0.92391304347826086</v>
      </c>
      <c r="AC37" s="533"/>
    </row>
    <row r="38" spans="1:29">
      <c r="A38" s="551" t="s">
        <v>482</v>
      </c>
      <c r="B38" s="26" t="s">
        <v>24</v>
      </c>
      <c r="C38" s="529" t="s">
        <v>27</v>
      </c>
      <c r="D38" s="529"/>
      <c r="E38" s="26">
        <v>20.52</v>
      </c>
      <c r="F38" s="131">
        <v>2996</v>
      </c>
      <c r="G38" s="121">
        <f t="shared" si="49"/>
        <v>61477.919999999998</v>
      </c>
      <c r="H38" s="76" t="s">
        <v>52</v>
      </c>
      <c r="I38" s="129">
        <v>18</v>
      </c>
      <c r="J38" s="18">
        <v>2400</v>
      </c>
      <c r="K38" s="9">
        <f t="shared" si="54"/>
        <v>133.33333333333334</v>
      </c>
      <c r="L38" s="129">
        <v>18</v>
      </c>
      <c r="M38" s="10">
        <f t="shared" si="55"/>
        <v>2219.2592592592587</v>
      </c>
      <c r="N38" s="9">
        <f t="shared" si="56"/>
        <v>123.29218106995881</v>
      </c>
      <c r="O38" s="11">
        <f t="shared" si="50"/>
        <v>0</v>
      </c>
      <c r="P38" s="12">
        <f t="shared" si="51"/>
        <v>-10.041152263374528</v>
      </c>
      <c r="Q38" s="123">
        <f t="shared" si="52"/>
        <v>0.92469135802469105</v>
      </c>
      <c r="R38" s="533"/>
      <c r="S38" s="24">
        <v>0.32499999999999996</v>
      </c>
      <c r="T38" s="24">
        <v>0.38124999999999998</v>
      </c>
      <c r="U38" s="121">
        <f t="shared" si="58"/>
        <v>4.9999999999999822</v>
      </c>
      <c r="V38" s="130">
        <f t="shared" si="53"/>
        <v>81.000000000000028</v>
      </c>
      <c r="W38" s="14"/>
      <c r="X38" s="14"/>
      <c r="Y38" s="528"/>
      <c r="Z38" s="528"/>
      <c r="AA38" s="11">
        <f t="shared" si="2"/>
        <v>-180.74074074074133</v>
      </c>
      <c r="AB38" s="123">
        <f t="shared" si="57"/>
        <v>0.92469135802469116</v>
      </c>
      <c r="AC38" s="533"/>
    </row>
    <row r="39" spans="1:29">
      <c r="A39" s="551" t="s">
        <v>481</v>
      </c>
      <c r="B39" s="26" t="s">
        <v>24</v>
      </c>
      <c r="C39" s="529" t="s">
        <v>50</v>
      </c>
      <c r="D39" s="529"/>
      <c r="E39" s="26">
        <v>26.2</v>
      </c>
      <c r="F39" s="131">
        <v>4004</v>
      </c>
      <c r="G39" s="121">
        <f t="shared" si="49"/>
        <v>104904.8</v>
      </c>
      <c r="H39" s="76" t="s">
        <v>52</v>
      </c>
      <c r="I39" s="129">
        <v>19</v>
      </c>
      <c r="J39" s="18">
        <v>2400</v>
      </c>
      <c r="K39" s="9">
        <f t="shared" si="54"/>
        <v>126.31578947368421</v>
      </c>
      <c r="L39" s="129">
        <v>19</v>
      </c>
      <c r="M39" s="10">
        <f t="shared" si="55"/>
        <v>2204.0366972477059</v>
      </c>
      <c r="N39" s="9">
        <f t="shared" si="56"/>
        <v>116.00193143408978</v>
      </c>
      <c r="O39" s="11">
        <f t="shared" si="50"/>
        <v>0</v>
      </c>
      <c r="P39" s="12">
        <f t="shared" si="51"/>
        <v>-10.313858039594422</v>
      </c>
      <c r="Q39" s="123">
        <f t="shared" si="52"/>
        <v>0.91834862385321081</v>
      </c>
      <c r="R39" s="533"/>
      <c r="S39" s="24">
        <v>0.38611111111111107</v>
      </c>
      <c r="T39" s="24">
        <v>0.46180555555555552</v>
      </c>
      <c r="U39" s="121">
        <f t="shared" si="58"/>
        <v>6.9999999999999751</v>
      </c>
      <c r="V39" s="130">
        <f t="shared" si="53"/>
        <v>109.00000000000001</v>
      </c>
      <c r="W39" s="14"/>
      <c r="X39" s="14"/>
      <c r="Y39" s="528"/>
      <c r="Z39" s="528"/>
      <c r="AA39" s="11">
        <f t="shared" si="2"/>
        <v>-195.96330275229411</v>
      </c>
      <c r="AB39" s="123">
        <f t="shared" si="57"/>
        <v>0.91834862385321081</v>
      </c>
      <c r="AC39" s="533"/>
    </row>
    <row r="40" spans="1:29">
      <c r="A40" s="551" t="s">
        <v>481</v>
      </c>
      <c r="B40" s="26" t="s">
        <v>24</v>
      </c>
      <c r="C40" s="529" t="s">
        <v>62</v>
      </c>
      <c r="D40" s="529"/>
      <c r="E40" s="26">
        <v>22.35</v>
      </c>
      <c r="F40" s="131">
        <v>2001</v>
      </c>
      <c r="G40" s="121">
        <f t="shared" si="49"/>
        <v>44722.350000000006</v>
      </c>
      <c r="H40" s="76" t="s">
        <v>52</v>
      </c>
      <c r="I40" s="129">
        <v>16</v>
      </c>
      <c r="J40" s="18">
        <v>2400</v>
      </c>
      <c r="K40" s="9">
        <f t="shared" si="54"/>
        <v>150</v>
      </c>
      <c r="L40" s="129">
        <v>16</v>
      </c>
      <c r="M40" s="10">
        <f t="shared" si="55"/>
        <v>2223.3333333333312</v>
      </c>
      <c r="N40" s="9">
        <f t="shared" si="56"/>
        <v>138.9583333333332</v>
      </c>
      <c r="O40" s="11">
        <f t="shared" si="50"/>
        <v>0</v>
      </c>
      <c r="P40" s="12">
        <f t="shared" si="51"/>
        <v>-11.041666666666799</v>
      </c>
      <c r="Q40" s="123">
        <f t="shared" si="52"/>
        <v>0.92638888888888804</v>
      </c>
      <c r="R40" s="533"/>
      <c r="S40" s="24">
        <v>0.46666666666666662</v>
      </c>
      <c r="T40" s="24">
        <v>0.50416666666666665</v>
      </c>
      <c r="U40" s="121">
        <f t="shared" si="58"/>
        <v>6.9999999999999751</v>
      </c>
      <c r="V40" s="130">
        <f t="shared" si="53"/>
        <v>54.00000000000005</v>
      </c>
      <c r="W40" s="14">
        <f>T40</f>
        <v>0.50416666666666665</v>
      </c>
      <c r="X40" s="14">
        <f>S41</f>
        <v>0.5444444444444444</v>
      </c>
      <c r="Y40" s="536"/>
      <c r="Z40" s="537"/>
      <c r="AA40" s="11">
        <f t="shared" si="2"/>
        <v>-176.66666666666879</v>
      </c>
      <c r="AB40" s="123">
        <f t="shared" si="57"/>
        <v>0.92638888888888804</v>
      </c>
      <c r="AC40" s="533"/>
    </row>
    <row r="41" spans="1:29">
      <c r="A41" s="551" t="s">
        <v>483</v>
      </c>
      <c r="B41" s="26" t="s">
        <v>24</v>
      </c>
      <c r="C41" s="529" t="s">
        <v>28</v>
      </c>
      <c r="D41" s="529"/>
      <c r="E41" s="26">
        <v>26.2</v>
      </c>
      <c r="F41" s="131">
        <v>3652</v>
      </c>
      <c r="G41" s="121">
        <f t="shared" si="49"/>
        <v>95682.4</v>
      </c>
      <c r="H41" s="76" t="s">
        <v>52</v>
      </c>
      <c r="I41" s="129">
        <v>18</v>
      </c>
      <c r="J41" s="18">
        <v>2400</v>
      </c>
      <c r="K41" s="9">
        <f t="shared" si="54"/>
        <v>133.33333333333334</v>
      </c>
      <c r="L41" s="129">
        <v>18</v>
      </c>
      <c r="M41" s="10">
        <f t="shared" si="55"/>
        <v>2213.3333333333339</v>
      </c>
      <c r="N41" s="9">
        <f t="shared" si="56"/>
        <v>122.96296296296299</v>
      </c>
      <c r="O41" s="11">
        <f t="shared" si="50"/>
        <v>0</v>
      </c>
      <c r="P41" s="12">
        <f t="shared" si="51"/>
        <v>-10.370370370370352</v>
      </c>
      <c r="Q41" s="123">
        <f t="shared" si="52"/>
        <v>0.92222222222222239</v>
      </c>
      <c r="R41" s="533"/>
      <c r="S41" s="24">
        <v>0.5444444444444444</v>
      </c>
      <c r="T41" s="24">
        <v>0.61319444444444438</v>
      </c>
      <c r="U41" s="121">
        <f t="shared" si="58"/>
        <v>57.999999999999957</v>
      </c>
      <c r="V41" s="130">
        <f t="shared" si="53"/>
        <v>98.999999999999972</v>
      </c>
      <c r="W41" s="14"/>
      <c r="X41" s="14"/>
      <c r="Y41" s="536"/>
      <c r="Z41" s="537"/>
      <c r="AA41" s="11">
        <f t="shared" si="2"/>
        <v>-186.66666666666606</v>
      </c>
      <c r="AB41" s="123">
        <f t="shared" si="57"/>
        <v>0.9222222222222225</v>
      </c>
      <c r="AC41" s="533"/>
    </row>
    <row r="42" spans="1:29">
      <c r="A42" s="551" t="s">
        <v>481</v>
      </c>
      <c r="B42" s="26" t="s">
        <v>24</v>
      </c>
      <c r="C42" s="529" t="s">
        <v>29</v>
      </c>
      <c r="D42" s="529"/>
      <c r="E42" s="26">
        <v>26.39</v>
      </c>
      <c r="F42" s="131">
        <v>1795</v>
      </c>
      <c r="G42" s="121">
        <f t="shared" si="49"/>
        <v>47370.05</v>
      </c>
      <c r="H42" s="76" t="s">
        <v>52</v>
      </c>
      <c r="I42" s="129">
        <v>19</v>
      </c>
      <c r="J42" s="18">
        <v>2400</v>
      </c>
      <c r="K42" s="9">
        <f t="shared" si="54"/>
        <v>126.31578947368421</v>
      </c>
      <c r="L42" s="129">
        <v>19</v>
      </c>
      <c r="M42" s="10">
        <f t="shared" si="55"/>
        <v>2197.9591836734703</v>
      </c>
      <c r="N42" s="9">
        <f t="shared" si="56"/>
        <v>115.6820622986037</v>
      </c>
      <c r="O42" s="11">
        <f t="shared" si="50"/>
        <v>0</v>
      </c>
      <c r="P42" s="12">
        <f t="shared" si="51"/>
        <v>-10.633727175080509</v>
      </c>
      <c r="Q42" s="123">
        <f t="shared" si="52"/>
        <v>0.91581632653061262</v>
      </c>
      <c r="R42" s="533"/>
      <c r="S42" s="24">
        <v>0.61666666666666659</v>
      </c>
      <c r="T42" s="24">
        <v>0.65069444444444435</v>
      </c>
      <c r="U42" s="121">
        <f t="shared" si="58"/>
        <v>4.9999999999999822</v>
      </c>
      <c r="V42" s="130">
        <f t="shared" si="53"/>
        <v>48.999999999999986</v>
      </c>
      <c r="W42" s="14"/>
      <c r="X42" s="14"/>
      <c r="Y42" s="536"/>
      <c r="Z42" s="537"/>
      <c r="AA42" s="11">
        <f t="shared" si="2"/>
        <v>-202.04081632652969</v>
      </c>
      <c r="AB42" s="123">
        <f t="shared" si="57"/>
        <v>0.91581632653061262</v>
      </c>
      <c r="AC42" s="533"/>
    </row>
    <row r="43" spans="1:29">
      <c r="A43" s="551" t="s">
        <v>481</v>
      </c>
      <c r="B43" s="16" t="s">
        <v>484</v>
      </c>
      <c r="C43" s="530"/>
      <c r="D43" s="530"/>
      <c r="E43" s="122"/>
      <c r="F43" s="16"/>
      <c r="G43" s="9"/>
      <c r="H43" s="131"/>
      <c r="I43" s="17">
        <v>18.555555555555557</v>
      </c>
      <c r="J43" s="18">
        <v>2400</v>
      </c>
      <c r="K43" s="9">
        <f t="shared" si="54"/>
        <v>129.34131736526945</v>
      </c>
      <c r="L43" s="17">
        <v>18.555555555555557</v>
      </c>
      <c r="M43" s="10">
        <f>AVERAGE(M34:M42)</f>
        <v>2210.7243816357504</v>
      </c>
      <c r="N43" s="9">
        <f>M43/L43</f>
        <v>119.14083493845361</v>
      </c>
      <c r="O43" s="11">
        <f>L43-I43</f>
        <v>0</v>
      </c>
      <c r="P43" s="12">
        <f t="shared" si="51"/>
        <v>-10.200482426815839</v>
      </c>
      <c r="Q43" s="123">
        <f t="shared" si="52"/>
        <v>0.92113515901489607</v>
      </c>
      <c r="R43" s="533"/>
      <c r="S43" s="24"/>
      <c r="T43" s="24"/>
      <c r="U43" s="9"/>
      <c r="V43" s="130"/>
      <c r="W43" s="9"/>
      <c r="X43" s="9"/>
      <c r="Y43" s="528"/>
      <c r="Z43" s="528"/>
      <c r="AA43" s="11">
        <f t="shared" si="2"/>
        <v>-189.27561836424957</v>
      </c>
      <c r="AB43" s="123">
        <f t="shared" si="57"/>
        <v>0.92113515901489607</v>
      </c>
      <c r="AC43" s="533"/>
    </row>
    <row r="44" spans="1:29" ht="15.75" customHeight="1">
      <c r="A44" s="544" t="s">
        <v>485</v>
      </c>
      <c r="B44" s="26" t="s">
        <v>32</v>
      </c>
      <c r="C44" s="534" t="s">
        <v>33</v>
      </c>
      <c r="D44" s="535"/>
      <c r="E44" s="26">
        <v>27.17</v>
      </c>
      <c r="F44" s="131">
        <v>3000</v>
      </c>
      <c r="G44" s="121">
        <f t="shared" ref="G44:G51" si="59">E44*F44</f>
        <v>81510</v>
      </c>
      <c r="H44" s="76">
        <v>2</v>
      </c>
      <c r="I44" s="129">
        <v>10</v>
      </c>
      <c r="J44" s="18">
        <v>3000</v>
      </c>
      <c r="K44" s="9">
        <f t="shared" si="54"/>
        <v>300</v>
      </c>
      <c r="L44" s="129">
        <v>10</v>
      </c>
      <c r="M44" s="10">
        <f t="shared" ref="M44:M45" si="60">F44/V44*60</f>
        <v>2769.2307692307704</v>
      </c>
      <c r="N44" s="10">
        <f t="shared" ref="N44:N52" si="61">M44/L44</f>
        <v>276.92307692307702</v>
      </c>
      <c r="O44" s="11">
        <f t="shared" ref="O44:O52" si="62">L44-I44</f>
        <v>0</v>
      </c>
      <c r="P44" s="12">
        <f t="shared" si="51"/>
        <v>-23.076923076922981</v>
      </c>
      <c r="Q44" s="123">
        <f t="shared" si="52"/>
        <v>0.92307692307692335</v>
      </c>
      <c r="R44" s="547">
        <f>Q52</f>
        <v>0.92348530395798889</v>
      </c>
      <c r="S44" s="24">
        <v>0.20833333333333334</v>
      </c>
      <c r="T44" s="24">
        <v>0.25347222222222221</v>
      </c>
      <c r="U44" s="15"/>
      <c r="V44" s="130">
        <f t="shared" ref="V44:V51" si="63">(T44-S44)*24*60</f>
        <v>64.999999999999972</v>
      </c>
      <c r="W44" s="121"/>
      <c r="X44" s="121"/>
      <c r="Y44" s="536"/>
      <c r="Z44" s="537"/>
      <c r="AA44" s="11">
        <f t="shared" si="2"/>
        <v>-230.76923076922958</v>
      </c>
      <c r="AB44" s="123">
        <f t="shared" si="57"/>
        <v>0.92307692307692346</v>
      </c>
      <c r="AC44" s="547">
        <f>AB52</f>
        <v>0.92348530395798889</v>
      </c>
    </row>
    <row r="45" spans="1:29" ht="15.75" customHeight="1">
      <c r="A45" s="545" t="s">
        <v>486</v>
      </c>
      <c r="B45" s="26" t="s">
        <v>32</v>
      </c>
      <c r="C45" s="534" t="s">
        <v>34</v>
      </c>
      <c r="D45" s="535"/>
      <c r="E45" s="26">
        <v>21.13</v>
      </c>
      <c r="F45" s="131">
        <v>3200</v>
      </c>
      <c r="G45" s="121">
        <f t="shared" si="59"/>
        <v>67616</v>
      </c>
      <c r="H45" s="76">
        <v>2</v>
      </c>
      <c r="I45" s="129">
        <v>10</v>
      </c>
      <c r="J45" s="18">
        <v>3000</v>
      </c>
      <c r="K45" s="9">
        <f t="shared" si="54"/>
        <v>300</v>
      </c>
      <c r="L45" s="129">
        <v>10</v>
      </c>
      <c r="M45" s="10">
        <f t="shared" si="60"/>
        <v>2782.608695652174</v>
      </c>
      <c r="N45" s="10">
        <f t="shared" si="61"/>
        <v>278.26086956521738</v>
      </c>
      <c r="O45" s="11">
        <f t="shared" si="62"/>
        <v>0</v>
      </c>
      <c r="P45" s="12">
        <f t="shared" si="51"/>
        <v>-21.739130434782624</v>
      </c>
      <c r="Q45" s="123">
        <f t="shared" si="52"/>
        <v>0.92753623188405787</v>
      </c>
      <c r="R45" s="548"/>
      <c r="S45" s="24">
        <v>0.25902777777777775</v>
      </c>
      <c r="T45" s="24">
        <v>0.30694444444444441</v>
      </c>
      <c r="U45" s="121">
        <f>(S45-T44)*24*60</f>
        <v>7.9999999999999716</v>
      </c>
      <c r="V45" s="130">
        <f t="shared" si="63"/>
        <v>69</v>
      </c>
      <c r="W45" s="14"/>
      <c r="X45" s="14"/>
      <c r="Y45" s="536"/>
      <c r="Z45" s="537"/>
      <c r="AA45" s="11">
        <f t="shared" si="2"/>
        <v>-217.39130434782601</v>
      </c>
      <c r="AB45" s="123">
        <f t="shared" si="57"/>
        <v>0.92753623188405798</v>
      </c>
      <c r="AC45" s="548"/>
    </row>
    <row r="46" spans="1:29" ht="15.75" customHeight="1">
      <c r="A46" s="545" t="s">
        <v>486</v>
      </c>
      <c r="B46" s="26" t="s">
        <v>32</v>
      </c>
      <c r="C46" s="534" t="s">
        <v>40</v>
      </c>
      <c r="D46" s="535"/>
      <c r="E46" s="26">
        <v>35.119999999999997</v>
      </c>
      <c r="F46" s="131">
        <v>4983</v>
      </c>
      <c r="G46" s="121">
        <f t="shared" si="59"/>
        <v>175002.96</v>
      </c>
      <c r="H46" s="76" t="s">
        <v>52</v>
      </c>
      <c r="I46" s="129">
        <v>10</v>
      </c>
      <c r="J46" s="18">
        <v>3000</v>
      </c>
      <c r="K46" s="9">
        <f t="shared" si="54"/>
        <v>300</v>
      </c>
      <c r="L46" s="129">
        <v>10</v>
      </c>
      <c r="M46" s="10">
        <f>F46/V46*60</f>
        <v>2768.333333333333</v>
      </c>
      <c r="N46" s="10">
        <f t="shared" si="61"/>
        <v>276.83333333333331</v>
      </c>
      <c r="O46" s="11">
        <f t="shared" si="62"/>
        <v>0</v>
      </c>
      <c r="P46" s="12">
        <f t="shared" si="51"/>
        <v>-23.166666666666686</v>
      </c>
      <c r="Q46" s="123">
        <f t="shared" si="52"/>
        <v>0.9227777777777777</v>
      </c>
      <c r="R46" s="548"/>
      <c r="S46" s="24">
        <v>0.31111111111111106</v>
      </c>
      <c r="T46" s="24">
        <v>0.38611111111111107</v>
      </c>
      <c r="U46" s="121">
        <f t="shared" ref="U46:U51" si="64">(S46-T45)*24*60</f>
        <v>5.9999999999999787</v>
      </c>
      <c r="V46" s="130">
        <f t="shared" si="63"/>
        <v>108.00000000000001</v>
      </c>
      <c r="W46" s="14"/>
      <c r="X46" s="14"/>
      <c r="Y46" s="536"/>
      <c r="Z46" s="537"/>
      <c r="AA46" s="11">
        <f t="shared" si="2"/>
        <v>-231.66666666666697</v>
      </c>
      <c r="AB46" s="123">
        <f t="shared" si="57"/>
        <v>0.9227777777777777</v>
      </c>
      <c r="AC46" s="548"/>
    </row>
    <row r="47" spans="1:29" ht="15.75" customHeight="1">
      <c r="A47" s="545" t="s">
        <v>486</v>
      </c>
      <c r="B47" s="26" t="s">
        <v>32</v>
      </c>
      <c r="C47" s="534" t="s">
        <v>61</v>
      </c>
      <c r="D47" s="535"/>
      <c r="E47" s="26">
        <v>40.18</v>
      </c>
      <c r="F47" s="131">
        <v>1988</v>
      </c>
      <c r="G47" s="121">
        <f t="shared" si="59"/>
        <v>79877.84</v>
      </c>
      <c r="H47" s="76" t="s">
        <v>52</v>
      </c>
      <c r="I47" s="129">
        <v>10</v>
      </c>
      <c r="J47" s="18">
        <v>3000</v>
      </c>
      <c r="K47" s="9">
        <f t="shared" si="54"/>
        <v>300</v>
      </c>
      <c r="L47" s="129">
        <v>10</v>
      </c>
      <c r="M47" s="10">
        <f t="shared" ref="M47:M51" si="65">F47/V47*60</f>
        <v>2773.9534883720926</v>
      </c>
      <c r="N47" s="10">
        <f t="shared" si="61"/>
        <v>277.39534883720927</v>
      </c>
      <c r="O47" s="11">
        <f t="shared" si="62"/>
        <v>0</v>
      </c>
      <c r="P47" s="12">
        <f t="shared" si="51"/>
        <v>-22.604651162790731</v>
      </c>
      <c r="Q47" s="123">
        <f t="shared" si="52"/>
        <v>0.92465116279069759</v>
      </c>
      <c r="R47" s="548"/>
      <c r="S47" s="24">
        <v>0.39097222222222217</v>
      </c>
      <c r="T47" s="24">
        <v>0.42083333333333328</v>
      </c>
      <c r="U47" s="121">
        <f t="shared" si="64"/>
        <v>6.9999999999999751</v>
      </c>
      <c r="V47" s="130">
        <f t="shared" si="63"/>
        <v>43.000000000000007</v>
      </c>
      <c r="W47" s="14"/>
      <c r="X47" s="14"/>
      <c r="Y47" s="536"/>
      <c r="Z47" s="537"/>
      <c r="AA47" s="11">
        <f t="shared" si="2"/>
        <v>-226.04651162790742</v>
      </c>
      <c r="AB47" s="123">
        <f t="shared" si="57"/>
        <v>0.92465116279069748</v>
      </c>
      <c r="AC47" s="548"/>
    </row>
    <row r="48" spans="1:29" ht="15.75" customHeight="1">
      <c r="A48" s="545" t="s">
        <v>486</v>
      </c>
      <c r="B48" s="26" t="s">
        <v>32</v>
      </c>
      <c r="C48" s="534" t="s">
        <v>64</v>
      </c>
      <c r="D48" s="535"/>
      <c r="E48" s="26">
        <v>28.5</v>
      </c>
      <c r="F48" s="131">
        <v>1311</v>
      </c>
      <c r="G48" s="121">
        <f t="shared" si="59"/>
        <v>37363.5</v>
      </c>
      <c r="H48" s="76" t="s">
        <v>52</v>
      </c>
      <c r="I48" s="129">
        <v>10</v>
      </c>
      <c r="J48" s="18">
        <v>3000</v>
      </c>
      <c r="K48" s="9">
        <f t="shared" si="54"/>
        <v>300</v>
      </c>
      <c r="L48" s="129">
        <v>10</v>
      </c>
      <c r="M48" s="10">
        <f t="shared" si="65"/>
        <v>2809.2857142857165</v>
      </c>
      <c r="N48" s="10">
        <f t="shared" si="61"/>
        <v>280.92857142857167</v>
      </c>
      <c r="O48" s="11">
        <f t="shared" si="62"/>
        <v>0</v>
      </c>
      <c r="P48" s="12">
        <f t="shared" si="51"/>
        <v>-19.071428571428328</v>
      </c>
      <c r="Q48" s="123">
        <f>N48/K48</f>
        <v>0.93642857142857228</v>
      </c>
      <c r="R48" s="548"/>
      <c r="S48" s="24">
        <v>0.42430555555555549</v>
      </c>
      <c r="T48" s="24">
        <v>0.44374999999999992</v>
      </c>
      <c r="U48" s="121">
        <f t="shared" si="64"/>
        <v>4.9999999999999822</v>
      </c>
      <c r="V48" s="130">
        <f t="shared" si="63"/>
        <v>27.999999999999979</v>
      </c>
      <c r="W48" s="14"/>
      <c r="X48" s="14"/>
      <c r="Y48" s="536"/>
      <c r="Z48" s="537"/>
      <c r="AA48" s="11">
        <f t="shared" si="2"/>
        <v>-190.71428571428351</v>
      </c>
      <c r="AB48" s="123">
        <f t="shared" si="57"/>
        <v>0.93642857142857217</v>
      </c>
      <c r="AC48" s="548"/>
    </row>
    <row r="49" spans="1:29" ht="15.75" customHeight="1">
      <c r="A49" s="545" t="s">
        <v>487</v>
      </c>
      <c r="B49" s="26" t="s">
        <v>32</v>
      </c>
      <c r="C49" s="534" t="s">
        <v>78</v>
      </c>
      <c r="D49" s="535"/>
      <c r="E49" s="26">
        <v>35.869999999999997</v>
      </c>
      <c r="F49" s="131">
        <v>3663</v>
      </c>
      <c r="G49" s="121">
        <f t="shared" si="59"/>
        <v>131391.81</v>
      </c>
      <c r="H49" s="76" t="s">
        <v>52</v>
      </c>
      <c r="I49" s="129">
        <v>10</v>
      </c>
      <c r="J49" s="18">
        <v>3000</v>
      </c>
      <c r="K49" s="9">
        <f t="shared" si="54"/>
        <v>300</v>
      </c>
      <c r="L49" s="129">
        <v>10</v>
      </c>
      <c r="M49" s="10">
        <f t="shared" si="65"/>
        <v>2747.2500000000014</v>
      </c>
      <c r="N49" s="10">
        <f t="shared" si="61"/>
        <v>274.72500000000014</v>
      </c>
      <c r="O49" s="11">
        <f t="shared" si="62"/>
        <v>0</v>
      </c>
      <c r="P49" s="12">
        <f t="shared" si="51"/>
        <v>-25.274999999999864</v>
      </c>
      <c r="Q49" s="123">
        <f t="shared" ref="Q49:Q52" si="66">N49/K49</f>
        <v>0.91575000000000051</v>
      </c>
      <c r="R49" s="548"/>
      <c r="S49" s="24">
        <v>0.44791666666666657</v>
      </c>
      <c r="T49" s="24">
        <v>0.5034722222222221</v>
      </c>
      <c r="U49" s="121">
        <f t="shared" si="64"/>
        <v>5.9999999999999787</v>
      </c>
      <c r="V49" s="130">
        <f t="shared" si="63"/>
        <v>79.999999999999957</v>
      </c>
      <c r="W49" s="14">
        <f>T49</f>
        <v>0.5034722222222221</v>
      </c>
      <c r="X49" s="14">
        <f>S50</f>
        <v>0.54583333333333317</v>
      </c>
      <c r="Y49" s="536"/>
      <c r="Z49" s="537"/>
      <c r="AA49" s="11">
        <f t="shared" si="2"/>
        <v>-252.74999999999864</v>
      </c>
      <c r="AB49" s="123">
        <f t="shared" si="57"/>
        <v>0.91575000000000051</v>
      </c>
      <c r="AC49" s="548"/>
    </row>
    <row r="50" spans="1:29" ht="15.75" customHeight="1">
      <c r="A50" s="545" t="s">
        <v>488</v>
      </c>
      <c r="B50" s="26" t="s">
        <v>32</v>
      </c>
      <c r="C50" s="534" t="s">
        <v>33</v>
      </c>
      <c r="D50" s="535"/>
      <c r="E50" s="26">
        <v>27.17</v>
      </c>
      <c r="F50" s="131">
        <v>3916</v>
      </c>
      <c r="G50" s="121">
        <f t="shared" si="59"/>
        <v>106397.72</v>
      </c>
      <c r="H50" s="76" t="s">
        <v>52</v>
      </c>
      <c r="I50" s="129">
        <v>10</v>
      </c>
      <c r="J50" s="18">
        <v>3000</v>
      </c>
      <c r="K50" s="9">
        <f t="shared" si="54"/>
        <v>300</v>
      </c>
      <c r="L50" s="129">
        <v>10</v>
      </c>
      <c r="M50" s="10">
        <f t="shared" si="65"/>
        <v>2764.2352941176468</v>
      </c>
      <c r="N50" s="10">
        <f t="shared" si="61"/>
        <v>276.42352941176466</v>
      </c>
      <c r="O50" s="11">
        <f t="shared" si="62"/>
        <v>0</v>
      </c>
      <c r="P50" s="12">
        <f t="shared" si="51"/>
        <v>-23.576470588235338</v>
      </c>
      <c r="Q50" s="123">
        <f t="shared" si="66"/>
        <v>0.92141176470588215</v>
      </c>
      <c r="R50" s="548"/>
      <c r="S50" s="24">
        <v>0.54583333333333317</v>
      </c>
      <c r="T50" s="24">
        <v>0.60486111111111096</v>
      </c>
      <c r="U50" s="121">
        <f t="shared" si="64"/>
        <v>60.999999999999943</v>
      </c>
      <c r="V50" s="130">
        <f t="shared" si="63"/>
        <v>85.000000000000014</v>
      </c>
      <c r="W50" s="14"/>
      <c r="X50" s="14"/>
      <c r="Y50" s="536"/>
      <c r="Z50" s="537"/>
      <c r="AA50" s="11">
        <f t="shared" si="2"/>
        <v>-235.76470588235316</v>
      </c>
      <c r="AB50" s="123">
        <f t="shared" si="57"/>
        <v>0.92141176470588226</v>
      </c>
      <c r="AC50" s="548"/>
    </row>
    <row r="51" spans="1:29" ht="15.75" customHeight="1">
      <c r="A51" s="545" t="s">
        <v>488</v>
      </c>
      <c r="B51" s="26" t="s">
        <v>32</v>
      </c>
      <c r="C51" s="534" t="s">
        <v>34</v>
      </c>
      <c r="D51" s="535"/>
      <c r="E51" s="26">
        <v>21.13</v>
      </c>
      <c r="F51" s="131">
        <v>2199</v>
      </c>
      <c r="G51" s="121">
        <f t="shared" si="59"/>
        <v>46464.869999999995</v>
      </c>
      <c r="H51" s="76" t="s">
        <v>52</v>
      </c>
      <c r="I51" s="129">
        <v>10</v>
      </c>
      <c r="J51" s="18">
        <v>3000</v>
      </c>
      <c r="K51" s="9">
        <f t="shared" si="54"/>
        <v>300</v>
      </c>
      <c r="L51" s="129">
        <v>10</v>
      </c>
      <c r="M51" s="10">
        <f t="shared" si="65"/>
        <v>2748.7500000000009</v>
      </c>
      <c r="N51" s="10">
        <f t="shared" si="61"/>
        <v>274.87500000000011</v>
      </c>
      <c r="O51" s="11">
        <f t="shared" si="62"/>
        <v>0</v>
      </c>
      <c r="P51" s="12">
        <f t="shared" si="51"/>
        <v>-25.124999999999886</v>
      </c>
      <c r="Q51" s="123">
        <f t="shared" si="66"/>
        <v>0.91625000000000034</v>
      </c>
      <c r="R51" s="548"/>
      <c r="S51" s="24">
        <v>0.60833333333333317</v>
      </c>
      <c r="T51" s="24">
        <v>0.6416666666666665</v>
      </c>
      <c r="U51" s="121">
        <f t="shared" si="64"/>
        <v>4.9999999999999822</v>
      </c>
      <c r="V51" s="130">
        <f t="shared" si="63"/>
        <v>47.999999999999986</v>
      </c>
      <c r="W51" s="14"/>
      <c r="X51" s="14"/>
      <c r="Y51" s="536"/>
      <c r="Z51" s="537"/>
      <c r="AA51" s="11">
        <f t="shared" si="2"/>
        <v>-251.24999999999909</v>
      </c>
      <c r="AB51" s="123">
        <f t="shared" si="57"/>
        <v>0.91625000000000034</v>
      </c>
      <c r="AC51" s="548"/>
    </row>
    <row r="52" spans="1:29" ht="15.75" customHeight="1">
      <c r="A52" s="546" t="s">
        <v>486</v>
      </c>
      <c r="B52" s="26" t="s">
        <v>467</v>
      </c>
      <c r="C52" s="540"/>
      <c r="D52" s="541"/>
      <c r="E52" s="128"/>
      <c r="F52" s="131"/>
      <c r="G52" s="121"/>
      <c r="H52" s="131"/>
      <c r="I52" s="17">
        <v>10</v>
      </c>
      <c r="J52" s="18">
        <v>3000</v>
      </c>
      <c r="K52" s="9">
        <f>J52/I52</f>
        <v>300</v>
      </c>
      <c r="L52" s="17">
        <v>10</v>
      </c>
      <c r="M52" s="10">
        <f>AVERAGE(M44:M51)</f>
        <v>2770.4559118739667</v>
      </c>
      <c r="N52" s="9">
        <f t="shared" si="61"/>
        <v>277.04559118739667</v>
      </c>
      <c r="O52" s="11">
        <f t="shared" si="62"/>
        <v>0</v>
      </c>
      <c r="P52" s="12">
        <f t="shared" si="51"/>
        <v>-22.954408812603333</v>
      </c>
      <c r="Q52" s="123">
        <f t="shared" si="66"/>
        <v>0.92348530395798889</v>
      </c>
      <c r="R52" s="549"/>
      <c r="S52" s="24"/>
      <c r="T52" s="24"/>
      <c r="U52" s="121"/>
      <c r="V52" s="130"/>
      <c r="W52" s="14"/>
      <c r="X52" s="14"/>
      <c r="Y52" s="536"/>
      <c r="Z52" s="537"/>
      <c r="AA52" s="11">
        <f t="shared" si="2"/>
        <v>-229.54408812603333</v>
      </c>
      <c r="AB52" s="123">
        <f t="shared" si="57"/>
        <v>0.92348530395798889</v>
      </c>
      <c r="AC52" s="549"/>
    </row>
    <row r="53" spans="1:29" ht="15.75" customHeight="1">
      <c r="A53" s="542" t="s">
        <v>489</v>
      </c>
      <c r="B53" s="26" t="s">
        <v>15</v>
      </c>
      <c r="C53" s="529" t="s">
        <v>20</v>
      </c>
      <c r="D53" s="529"/>
      <c r="E53" s="26">
        <v>46</v>
      </c>
      <c r="F53" s="27">
        <v>3089</v>
      </c>
      <c r="G53" s="121">
        <f t="shared" ref="G53:G57" si="67">E53*F53</f>
        <v>142094</v>
      </c>
      <c r="H53" s="76" t="s">
        <v>52</v>
      </c>
      <c r="I53" s="129">
        <v>17</v>
      </c>
      <c r="J53" s="18">
        <v>2000</v>
      </c>
      <c r="K53" s="9">
        <f t="shared" ref="K53:K57" si="68">J53/I53</f>
        <v>117.64705882352941</v>
      </c>
      <c r="L53" s="129">
        <v>17</v>
      </c>
      <c r="M53" s="10">
        <f t="shared" ref="M53:M57" si="69">F53/V53*60</f>
        <v>1835.0495049504943</v>
      </c>
      <c r="N53" s="10">
        <f>M53/L53</f>
        <v>107.94408852649967</v>
      </c>
      <c r="O53" s="11">
        <f>L53-I53</f>
        <v>0</v>
      </c>
      <c r="P53" s="12">
        <f>N53-K53</f>
        <v>-9.7029702970297365</v>
      </c>
      <c r="Q53" s="123">
        <f>N53/K53</f>
        <v>0.91752475247524723</v>
      </c>
      <c r="R53" s="533">
        <f>Q58</f>
        <v>0.92090121025617877</v>
      </c>
      <c r="S53" s="24">
        <v>0.29166666666666669</v>
      </c>
      <c r="T53" s="24">
        <v>0.3618055555555556</v>
      </c>
      <c r="U53" s="15"/>
      <c r="V53" s="130">
        <f t="shared" ref="V53:V57" si="70">(T53-S53)*24*60</f>
        <v>101.00000000000004</v>
      </c>
      <c r="W53" s="15"/>
      <c r="X53" s="15"/>
      <c r="Y53" s="528"/>
      <c r="Z53" s="528"/>
      <c r="AA53" s="11">
        <f t="shared" si="2"/>
        <v>-164.95049504950566</v>
      </c>
      <c r="AB53" s="123">
        <f t="shared" si="57"/>
        <v>0.91752475247524712</v>
      </c>
      <c r="AC53" s="533">
        <f>AB58</f>
        <v>0.92090121025617877</v>
      </c>
    </row>
    <row r="54" spans="1:29" ht="15.75" customHeight="1">
      <c r="A54" s="542" t="s">
        <v>490</v>
      </c>
      <c r="B54" s="26" t="s">
        <v>15</v>
      </c>
      <c r="C54" s="529" t="s">
        <v>65</v>
      </c>
      <c r="D54" s="529"/>
      <c r="E54" s="26">
        <v>46</v>
      </c>
      <c r="F54" s="27">
        <v>3495</v>
      </c>
      <c r="G54" s="121">
        <f t="shared" si="67"/>
        <v>160770</v>
      </c>
      <c r="H54" s="76" t="s">
        <v>52</v>
      </c>
      <c r="I54" s="129">
        <v>18</v>
      </c>
      <c r="J54" s="18">
        <v>2000</v>
      </c>
      <c r="K54" s="9">
        <f t="shared" si="68"/>
        <v>111.11111111111111</v>
      </c>
      <c r="L54" s="129">
        <v>18</v>
      </c>
      <c r="M54" s="10">
        <f t="shared" si="69"/>
        <v>1839.4736842105265</v>
      </c>
      <c r="N54" s="10">
        <f t="shared" ref="N54:N57" si="71">M54/L54</f>
        <v>102.19298245614036</v>
      </c>
      <c r="O54" s="11">
        <f t="shared" ref="O54:O57" si="72">L54-I54</f>
        <v>0</v>
      </c>
      <c r="P54" s="12">
        <f t="shared" ref="P54:P57" si="73">N54-K54</f>
        <v>-8.9181286549707579</v>
      </c>
      <c r="Q54" s="123">
        <f t="shared" ref="Q54:Q57" si="74">N54/K54</f>
        <v>0.91973684210526319</v>
      </c>
      <c r="R54" s="533"/>
      <c r="S54" s="24">
        <v>0.36527777777777781</v>
      </c>
      <c r="T54" s="24">
        <v>0.44444444444444448</v>
      </c>
      <c r="U54" s="121">
        <f>IF(S54=TIME(17,0,0),"",(S54-T53)*24*60)</f>
        <v>4.9999999999999822</v>
      </c>
      <c r="V54" s="130">
        <f t="shared" si="70"/>
        <v>114</v>
      </c>
      <c r="W54" s="14"/>
      <c r="X54" s="14"/>
      <c r="Y54" s="528"/>
      <c r="Z54" s="528"/>
      <c r="AA54" s="11">
        <f t="shared" si="2"/>
        <v>-160.52631578947353</v>
      </c>
      <c r="AB54" s="123">
        <f t="shared" si="57"/>
        <v>0.91973684210526319</v>
      </c>
      <c r="AC54" s="533"/>
    </row>
    <row r="55" spans="1:29" ht="15.75" customHeight="1">
      <c r="A55" s="542" t="s">
        <v>491</v>
      </c>
      <c r="B55" s="26" t="s">
        <v>13</v>
      </c>
      <c r="C55" s="534" t="s">
        <v>59</v>
      </c>
      <c r="D55" s="535"/>
      <c r="E55" s="26">
        <v>55.56</v>
      </c>
      <c r="F55" s="27">
        <v>1832</v>
      </c>
      <c r="G55" s="121">
        <f t="shared" si="67"/>
        <v>101785.92</v>
      </c>
      <c r="H55" s="76" t="s">
        <v>52</v>
      </c>
      <c r="I55" s="129">
        <v>17</v>
      </c>
      <c r="J55" s="18">
        <v>2000</v>
      </c>
      <c r="K55" s="9">
        <f t="shared" si="68"/>
        <v>117.64705882352941</v>
      </c>
      <c r="L55" s="129">
        <v>17</v>
      </c>
      <c r="M55" s="10">
        <f t="shared" si="69"/>
        <v>1863.0508474576288</v>
      </c>
      <c r="N55" s="10">
        <f t="shared" si="71"/>
        <v>109.59122632103698</v>
      </c>
      <c r="O55" s="11">
        <f t="shared" si="72"/>
        <v>0</v>
      </c>
      <c r="P55" s="12">
        <f t="shared" si="73"/>
        <v>-8.0558325024924216</v>
      </c>
      <c r="Q55" s="123">
        <f t="shared" si="74"/>
        <v>0.93152542372881442</v>
      </c>
      <c r="R55" s="533"/>
      <c r="S55" s="24">
        <v>0.70833333333333337</v>
      </c>
      <c r="T55" s="24">
        <v>0.74930555555555556</v>
      </c>
      <c r="U55" s="121" t="str">
        <f t="shared" ref="U55:U57" si="75">IF(S55=TIME(17,0,0),"",(S55-T54)*24*60)</f>
        <v/>
      </c>
      <c r="V55" s="130">
        <f t="shared" si="70"/>
        <v>58.99999999999995</v>
      </c>
      <c r="W55" s="14"/>
      <c r="X55" s="14"/>
      <c r="Y55" s="126"/>
      <c r="Z55" s="127"/>
      <c r="AA55" s="11">
        <f t="shared" si="2"/>
        <v>-136.94915254237117</v>
      </c>
      <c r="AB55" s="123">
        <f t="shared" si="57"/>
        <v>0.93152542372881442</v>
      </c>
      <c r="AC55" s="533"/>
    </row>
    <row r="56" spans="1:29" ht="15.75" customHeight="1">
      <c r="A56" s="542" t="s">
        <v>492</v>
      </c>
      <c r="B56" s="26" t="s">
        <v>13</v>
      </c>
      <c r="C56" s="124" t="s">
        <v>58</v>
      </c>
      <c r="D56" s="125"/>
      <c r="E56" s="26">
        <v>55.32</v>
      </c>
      <c r="F56" s="27">
        <v>1345</v>
      </c>
      <c r="G56" s="121">
        <f t="shared" si="67"/>
        <v>74405.399999999994</v>
      </c>
      <c r="H56" s="76" t="s">
        <v>52</v>
      </c>
      <c r="I56" s="129">
        <v>15</v>
      </c>
      <c r="J56" s="18">
        <v>2000</v>
      </c>
      <c r="K56" s="9">
        <f t="shared" si="68"/>
        <v>133.33333333333334</v>
      </c>
      <c r="L56" s="129">
        <v>15</v>
      </c>
      <c r="M56" s="10">
        <f t="shared" si="69"/>
        <v>1834.090909090909</v>
      </c>
      <c r="N56" s="10">
        <f t="shared" si="71"/>
        <v>122.27272727272727</v>
      </c>
      <c r="O56" s="11">
        <f t="shared" si="72"/>
        <v>0</v>
      </c>
      <c r="P56" s="12">
        <f t="shared" si="73"/>
        <v>-11.060606060606077</v>
      </c>
      <c r="Q56" s="123">
        <f t="shared" si="74"/>
        <v>0.91704545454545439</v>
      </c>
      <c r="R56" s="533"/>
      <c r="S56" s="24">
        <v>0.75347222222222221</v>
      </c>
      <c r="T56" s="24">
        <v>0.78402777777777777</v>
      </c>
      <c r="U56" s="121">
        <f t="shared" si="75"/>
        <v>5.9999999999999787</v>
      </c>
      <c r="V56" s="130">
        <f t="shared" si="70"/>
        <v>44</v>
      </c>
      <c r="W56" s="14"/>
      <c r="X56" s="14"/>
      <c r="Y56" s="126"/>
      <c r="Z56" s="127"/>
      <c r="AA56" s="11">
        <f t="shared" si="2"/>
        <v>-165.90909090909099</v>
      </c>
      <c r="AB56" s="123">
        <f t="shared" si="57"/>
        <v>0.9170454545454545</v>
      </c>
      <c r="AC56" s="533"/>
    </row>
    <row r="57" spans="1:29" ht="15.75" customHeight="1">
      <c r="A57" s="542" t="s">
        <v>490</v>
      </c>
      <c r="B57" s="26" t="s">
        <v>13</v>
      </c>
      <c r="C57" s="124" t="s">
        <v>60</v>
      </c>
      <c r="D57" s="125"/>
      <c r="E57" s="26">
        <v>57.73</v>
      </c>
      <c r="F57" s="27">
        <v>1331</v>
      </c>
      <c r="G57" s="121">
        <f t="shared" si="67"/>
        <v>76838.62999999999</v>
      </c>
      <c r="H57" s="76" t="s">
        <v>52</v>
      </c>
      <c r="I57" s="129">
        <v>16</v>
      </c>
      <c r="J57" s="18">
        <v>1500</v>
      </c>
      <c r="K57" s="9">
        <f t="shared" si="68"/>
        <v>93.75</v>
      </c>
      <c r="L57" s="129">
        <v>16</v>
      </c>
      <c r="M57" s="10">
        <f t="shared" si="69"/>
        <v>1376.896551724139</v>
      </c>
      <c r="N57" s="10">
        <f t="shared" si="71"/>
        <v>86.05603448275869</v>
      </c>
      <c r="O57" s="11">
        <f t="shared" si="72"/>
        <v>0</v>
      </c>
      <c r="P57" s="12">
        <f t="shared" si="73"/>
        <v>-7.6939655172413097</v>
      </c>
      <c r="Q57" s="123">
        <f t="shared" si="74"/>
        <v>0.91793103448275937</v>
      </c>
      <c r="R57" s="533"/>
      <c r="S57" s="24">
        <v>0.7895833333333333</v>
      </c>
      <c r="T57" s="24">
        <v>0.82986111111111105</v>
      </c>
      <c r="U57" s="121">
        <f t="shared" si="75"/>
        <v>7.9999999999999716</v>
      </c>
      <c r="V57" s="130">
        <f t="shared" si="70"/>
        <v>57.999999999999957</v>
      </c>
      <c r="W57" s="14"/>
      <c r="X57" s="14"/>
      <c r="Y57" s="126"/>
      <c r="Z57" s="127"/>
      <c r="AA57" s="11">
        <f t="shared" si="2"/>
        <v>-123.10344827586096</v>
      </c>
      <c r="AB57" s="123">
        <f t="shared" si="57"/>
        <v>0.91793103448275937</v>
      </c>
      <c r="AC57" s="533"/>
    </row>
    <row r="58" spans="1:29">
      <c r="A58" s="543" t="s">
        <v>489</v>
      </c>
      <c r="B58" s="26" t="s">
        <v>467</v>
      </c>
      <c r="C58" s="530"/>
      <c r="D58" s="530"/>
      <c r="E58" s="122"/>
      <c r="F58" s="16"/>
      <c r="G58" s="9"/>
      <c r="H58" s="131"/>
      <c r="I58" s="17">
        <v>16.600000000000001</v>
      </c>
      <c r="J58" s="18">
        <v>1900</v>
      </c>
      <c r="K58" s="9">
        <f>J58/I58</f>
        <v>114.4578313253012</v>
      </c>
      <c r="L58" s="17">
        <v>16.600000000000001</v>
      </c>
      <c r="M58" s="10">
        <f>AVERAGE(M53:M57)</f>
        <v>1749.7122994867398</v>
      </c>
      <c r="N58" s="9">
        <f>M58/L58</f>
        <v>105.40435539076745</v>
      </c>
      <c r="O58" s="11">
        <f>L58-I58</f>
        <v>0</v>
      </c>
      <c r="P58" s="12">
        <f>N58-K58</f>
        <v>-9.0534759345337505</v>
      </c>
      <c r="Q58" s="123">
        <f>N58/K58</f>
        <v>0.92090121025617877</v>
      </c>
      <c r="R58" s="533"/>
      <c r="S58" s="25"/>
      <c r="T58" s="24"/>
      <c r="U58" s="9"/>
      <c r="V58" s="130"/>
      <c r="W58" s="9"/>
      <c r="X58" s="9"/>
      <c r="Y58" s="528"/>
      <c r="Z58" s="528"/>
      <c r="AA58" s="11">
        <f t="shared" si="2"/>
        <v>-150.28770051326023</v>
      </c>
      <c r="AB58" s="123">
        <f t="shared" si="57"/>
        <v>0.92090121025617877</v>
      </c>
      <c r="AC58" s="533"/>
    </row>
    <row r="59" spans="1:29" ht="15.75" customHeight="1">
      <c r="A59" s="538" t="s">
        <v>493</v>
      </c>
      <c r="B59" s="131" t="s">
        <v>32</v>
      </c>
      <c r="C59" s="529" t="s">
        <v>35</v>
      </c>
      <c r="D59" s="529"/>
      <c r="E59" s="26">
        <v>26.78</v>
      </c>
      <c r="F59" s="27">
        <v>2577</v>
      </c>
      <c r="G59" s="121">
        <f t="shared" ref="G59:G64" si="76">E59*F59</f>
        <v>69012.06</v>
      </c>
      <c r="H59" s="76" t="s">
        <v>52</v>
      </c>
      <c r="I59" s="129">
        <v>10</v>
      </c>
      <c r="J59" s="18">
        <v>3000</v>
      </c>
      <c r="K59" s="9">
        <f t="shared" ref="K59:K64" si="77">J59/I59</f>
        <v>300</v>
      </c>
      <c r="L59" s="17">
        <v>10</v>
      </c>
      <c r="M59" s="10">
        <f t="shared" ref="M59:M64" si="78">F59/V59*60</f>
        <v>2761.0714285714289</v>
      </c>
      <c r="N59" s="9">
        <f>M59/L59</f>
        <v>276.10714285714289</v>
      </c>
      <c r="O59" s="11">
        <f t="shared" ref="O59:O64" si="79">L59-I59</f>
        <v>0</v>
      </c>
      <c r="P59" s="12">
        <f t="shared" ref="P59:P64" si="80">N59-K59</f>
        <v>-23.89285714285711</v>
      </c>
      <c r="Q59" s="123">
        <f>N59/K59</f>
        <v>0.92035714285714298</v>
      </c>
      <c r="R59" s="533">
        <f>Q65</f>
        <v>0.927566129917334</v>
      </c>
      <c r="S59" s="24">
        <v>0.20833333333333334</v>
      </c>
      <c r="T59" s="24">
        <v>0.24722222222222223</v>
      </c>
      <c r="U59" s="121"/>
      <c r="V59" s="130">
        <f t="shared" ref="V59:V64" si="81">(T59-S59)*24*60</f>
        <v>56</v>
      </c>
      <c r="W59" s="15"/>
      <c r="X59" s="15"/>
      <c r="Y59" s="528"/>
      <c r="Z59" s="528"/>
      <c r="AA59" s="11">
        <f t="shared" si="2"/>
        <v>-238.9285714285711</v>
      </c>
      <c r="AB59" s="123">
        <f t="shared" si="57"/>
        <v>0.92035714285714298</v>
      </c>
      <c r="AC59" s="533">
        <f>AB65</f>
        <v>0.92756612991733389</v>
      </c>
    </row>
    <row r="60" spans="1:29" ht="15.75" customHeight="1">
      <c r="A60" s="538" t="s">
        <v>494</v>
      </c>
      <c r="B60" s="131" t="s">
        <v>32</v>
      </c>
      <c r="C60" s="529" t="s">
        <v>39</v>
      </c>
      <c r="D60" s="529"/>
      <c r="E60" s="26">
        <v>35.369999999999997</v>
      </c>
      <c r="F60" s="27">
        <v>1598</v>
      </c>
      <c r="G60" s="121">
        <f t="shared" si="76"/>
        <v>56521.259999999995</v>
      </c>
      <c r="H60" s="76" t="s">
        <v>52</v>
      </c>
      <c r="I60" s="129">
        <v>10</v>
      </c>
      <c r="J60" s="18">
        <v>3000</v>
      </c>
      <c r="K60" s="9">
        <f t="shared" si="77"/>
        <v>300</v>
      </c>
      <c r="L60" s="17">
        <v>10</v>
      </c>
      <c r="M60" s="10">
        <f t="shared" si="78"/>
        <v>2819.9999999999964</v>
      </c>
      <c r="N60" s="9">
        <f t="shared" ref="N60:N64" si="82">M60/L60</f>
        <v>281.99999999999966</v>
      </c>
      <c r="O60" s="11">
        <f t="shared" si="79"/>
        <v>0</v>
      </c>
      <c r="P60" s="12">
        <f t="shared" si="80"/>
        <v>-18.000000000000341</v>
      </c>
      <c r="Q60" s="123">
        <f t="shared" ref="Q60:Q64" si="83">N60/K60</f>
        <v>0.93999999999999884</v>
      </c>
      <c r="R60" s="533"/>
      <c r="S60" s="24">
        <v>0.25138888888888888</v>
      </c>
      <c r="T60" s="24">
        <v>0.27500000000000002</v>
      </c>
      <c r="U60" s="121">
        <f>(S60-T59)*24*60</f>
        <v>5.9999999999999787</v>
      </c>
      <c r="V60" s="130">
        <f t="shared" si="81"/>
        <v>34.000000000000043</v>
      </c>
      <c r="W60" s="121"/>
      <c r="X60" s="121"/>
      <c r="Y60" s="528"/>
      <c r="Z60" s="528"/>
      <c r="AA60" s="11">
        <f t="shared" si="2"/>
        <v>-180.00000000000364</v>
      </c>
      <c r="AB60" s="123">
        <f t="shared" si="57"/>
        <v>0.93999999999999884</v>
      </c>
      <c r="AC60" s="533"/>
    </row>
    <row r="61" spans="1:29" ht="15.75" customHeight="1">
      <c r="A61" s="538" t="s">
        <v>495</v>
      </c>
      <c r="B61" s="131" t="s">
        <v>32</v>
      </c>
      <c r="C61" s="529" t="s">
        <v>38</v>
      </c>
      <c r="D61" s="529"/>
      <c r="E61" s="26">
        <v>34.35</v>
      </c>
      <c r="F61" s="27">
        <v>1504</v>
      </c>
      <c r="G61" s="121">
        <f t="shared" si="76"/>
        <v>51662.400000000001</v>
      </c>
      <c r="H61" s="76" t="s">
        <v>52</v>
      </c>
      <c r="I61" s="129">
        <v>10</v>
      </c>
      <c r="J61" s="18">
        <v>3000</v>
      </c>
      <c r="K61" s="9">
        <f t="shared" si="77"/>
        <v>300</v>
      </c>
      <c r="L61" s="17">
        <v>10</v>
      </c>
      <c r="M61" s="10">
        <f t="shared" si="78"/>
        <v>2820.0000000000032</v>
      </c>
      <c r="N61" s="9">
        <f t="shared" si="82"/>
        <v>282.00000000000034</v>
      </c>
      <c r="O61" s="11">
        <f t="shared" si="79"/>
        <v>0</v>
      </c>
      <c r="P61" s="12">
        <f t="shared" si="80"/>
        <v>-17.999999999999659</v>
      </c>
      <c r="Q61" s="123">
        <f t="shared" si="83"/>
        <v>0.94000000000000117</v>
      </c>
      <c r="R61" s="533"/>
      <c r="S61" s="24">
        <v>0.27916666666666667</v>
      </c>
      <c r="T61" s="24">
        <v>0.30138888888888887</v>
      </c>
      <c r="U61" s="121">
        <f t="shared" ref="U61:U64" si="84">(S61-T60)*24*60</f>
        <v>5.9999999999999787</v>
      </c>
      <c r="V61" s="130">
        <f t="shared" si="81"/>
        <v>31.999999999999964</v>
      </c>
      <c r="W61" s="121"/>
      <c r="X61" s="121"/>
      <c r="Y61" s="528"/>
      <c r="Z61" s="528"/>
      <c r="AA61" s="11">
        <f t="shared" si="2"/>
        <v>-179.99999999999682</v>
      </c>
      <c r="AB61" s="123">
        <f t="shared" si="57"/>
        <v>0.94000000000000106</v>
      </c>
      <c r="AC61" s="533"/>
    </row>
    <row r="62" spans="1:29" ht="15.75" customHeight="1">
      <c r="A62" s="538" t="s">
        <v>496</v>
      </c>
      <c r="B62" s="131" t="s">
        <v>15</v>
      </c>
      <c r="C62" s="529" t="s">
        <v>36</v>
      </c>
      <c r="D62" s="529"/>
      <c r="E62" s="26">
        <v>26.97</v>
      </c>
      <c r="F62" s="27">
        <v>3271</v>
      </c>
      <c r="G62" s="121">
        <f t="shared" si="76"/>
        <v>88218.87</v>
      </c>
      <c r="H62" s="76" t="s">
        <v>52</v>
      </c>
      <c r="I62" s="129">
        <v>8</v>
      </c>
      <c r="J62" s="18">
        <v>1500</v>
      </c>
      <c r="K62" s="9">
        <f t="shared" si="77"/>
        <v>187.5</v>
      </c>
      <c r="L62" s="17">
        <v>8</v>
      </c>
      <c r="M62" s="10">
        <f t="shared" si="78"/>
        <v>1382.1126760563384</v>
      </c>
      <c r="N62" s="9">
        <f t="shared" si="82"/>
        <v>172.7640845070423</v>
      </c>
      <c r="O62" s="11">
        <f t="shared" si="79"/>
        <v>0</v>
      </c>
      <c r="P62" s="12">
        <f t="shared" si="80"/>
        <v>-14.735915492957702</v>
      </c>
      <c r="Q62" s="123">
        <f t="shared" si="83"/>
        <v>0.92140845070422561</v>
      </c>
      <c r="R62" s="533"/>
      <c r="S62" s="24">
        <v>0.30624999999999997</v>
      </c>
      <c r="T62" s="24">
        <v>0.40486111111111106</v>
      </c>
      <c r="U62" s="121">
        <f t="shared" si="84"/>
        <v>6.9999999999999751</v>
      </c>
      <c r="V62" s="130">
        <f t="shared" si="81"/>
        <v>141.99999999999997</v>
      </c>
      <c r="W62" s="121"/>
      <c r="X62" s="121"/>
      <c r="Y62" s="528"/>
      <c r="Z62" s="528"/>
      <c r="AA62" s="11">
        <f t="shared" si="2"/>
        <v>-117.88732394366161</v>
      </c>
      <c r="AB62" s="123">
        <f t="shared" si="57"/>
        <v>0.92140845070422561</v>
      </c>
      <c r="AC62" s="533"/>
    </row>
    <row r="63" spans="1:29">
      <c r="A63" s="539" t="s">
        <v>494</v>
      </c>
      <c r="B63" s="131" t="s">
        <v>32</v>
      </c>
      <c r="C63" s="529" t="s">
        <v>37</v>
      </c>
      <c r="D63" s="529"/>
      <c r="E63" s="26">
        <v>35.119999999999997</v>
      </c>
      <c r="F63" s="27">
        <v>1345</v>
      </c>
      <c r="G63" s="121">
        <f t="shared" si="76"/>
        <v>47236.399999999994</v>
      </c>
      <c r="H63" s="76" t="s">
        <v>52</v>
      </c>
      <c r="I63" s="129">
        <v>13</v>
      </c>
      <c r="J63" s="18">
        <v>2000</v>
      </c>
      <c r="K63" s="9">
        <f t="shared" si="77"/>
        <v>153.84615384615384</v>
      </c>
      <c r="L63" s="17">
        <v>13</v>
      </c>
      <c r="M63" s="10">
        <f t="shared" si="78"/>
        <v>1834.090909090909</v>
      </c>
      <c r="N63" s="9">
        <f t="shared" si="82"/>
        <v>141.08391608391608</v>
      </c>
      <c r="O63" s="11">
        <f t="shared" si="79"/>
        <v>0</v>
      </c>
      <c r="P63" s="12">
        <f t="shared" si="80"/>
        <v>-12.76223776223776</v>
      </c>
      <c r="Q63" s="123">
        <f t="shared" si="83"/>
        <v>0.91704545454545461</v>
      </c>
      <c r="R63" s="533"/>
      <c r="S63" s="24">
        <v>0.40972222222222215</v>
      </c>
      <c r="T63" s="24">
        <v>0.44027777777777771</v>
      </c>
      <c r="U63" s="121">
        <f t="shared" si="84"/>
        <v>6.9999999999999751</v>
      </c>
      <c r="V63" s="130">
        <f t="shared" si="81"/>
        <v>44</v>
      </c>
      <c r="W63" s="14"/>
      <c r="X63" s="14"/>
      <c r="Y63" s="528"/>
      <c r="Z63" s="528"/>
      <c r="AA63" s="11">
        <f t="shared" si="2"/>
        <v>-165.90909090909099</v>
      </c>
      <c r="AB63" s="123">
        <f t="shared" si="57"/>
        <v>0.9170454545454545</v>
      </c>
      <c r="AC63" s="533"/>
    </row>
    <row r="64" spans="1:29" ht="15" customHeight="1">
      <c r="A64" s="539" t="s">
        <v>494</v>
      </c>
      <c r="B64" s="131" t="s">
        <v>32</v>
      </c>
      <c r="C64" s="534" t="s">
        <v>84</v>
      </c>
      <c r="D64" s="535"/>
      <c r="E64" s="26">
        <v>35.869999999999997</v>
      </c>
      <c r="F64" s="27">
        <v>3358</v>
      </c>
      <c r="G64" s="121">
        <f t="shared" si="76"/>
        <v>120451.45999999999</v>
      </c>
      <c r="H64" s="76" t="s">
        <v>52</v>
      </c>
      <c r="I64" s="129">
        <v>10</v>
      </c>
      <c r="J64" s="18">
        <v>3000</v>
      </c>
      <c r="K64" s="9">
        <f t="shared" si="77"/>
        <v>300</v>
      </c>
      <c r="L64" s="17">
        <v>10</v>
      </c>
      <c r="M64" s="10">
        <f t="shared" si="78"/>
        <v>2760.0000000000005</v>
      </c>
      <c r="N64" s="9">
        <f t="shared" si="82"/>
        <v>276.00000000000006</v>
      </c>
      <c r="O64" s="11">
        <f t="shared" si="79"/>
        <v>0</v>
      </c>
      <c r="P64" s="12">
        <f t="shared" si="80"/>
        <v>-23.999999999999943</v>
      </c>
      <c r="Q64" s="123">
        <f t="shared" si="83"/>
        <v>0.92000000000000015</v>
      </c>
      <c r="R64" s="533"/>
      <c r="S64" s="24">
        <v>0.44513888888888881</v>
      </c>
      <c r="T64" s="24">
        <v>0.49583333333333324</v>
      </c>
      <c r="U64" s="121">
        <f t="shared" si="84"/>
        <v>6.9999999999999751</v>
      </c>
      <c r="V64" s="130">
        <f t="shared" si="81"/>
        <v>72.999999999999986</v>
      </c>
      <c r="W64" s="121"/>
      <c r="X64" s="121"/>
      <c r="Y64" s="536"/>
      <c r="Z64" s="537"/>
      <c r="AA64" s="11">
        <f t="shared" si="2"/>
        <v>-239.99999999999955</v>
      </c>
      <c r="AB64" s="123">
        <f t="shared" si="57"/>
        <v>0.92000000000000015</v>
      </c>
      <c r="AC64" s="533"/>
    </row>
    <row r="65" spans="1:29">
      <c r="A65" s="539" t="s">
        <v>497</v>
      </c>
      <c r="B65" s="26" t="s">
        <v>498</v>
      </c>
      <c r="C65" s="530"/>
      <c r="D65" s="530"/>
      <c r="E65" s="122"/>
      <c r="F65" s="16"/>
      <c r="G65" s="9"/>
      <c r="H65" s="131"/>
      <c r="I65" s="17">
        <v>10.166666666666666</v>
      </c>
      <c r="J65" s="18">
        <v>2583.3333333333335</v>
      </c>
      <c r="K65" s="9">
        <f>J65/I65</f>
        <v>254.09836065573774</v>
      </c>
      <c r="L65" s="17">
        <v>10.166666666666666</v>
      </c>
      <c r="M65" s="10">
        <f>AVERAGE(M59:M64)</f>
        <v>2396.2125022864461</v>
      </c>
      <c r="N65" s="9">
        <f>M65/L65</f>
        <v>235.69303301178161</v>
      </c>
      <c r="O65" s="11">
        <f>L65-I65</f>
        <v>0</v>
      </c>
      <c r="P65" s="12">
        <f>N65-K65</f>
        <v>-18.405327643956127</v>
      </c>
      <c r="Q65" s="123">
        <f>N65/K65</f>
        <v>0.927566129917334</v>
      </c>
      <c r="R65" s="533"/>
      <c r="S65" s="24"/>
      <c r="T65" s="24"/>
      <c r="U65" s="9"/>
      <c r="V65" s="130"/>
      <c r="W65" s="9"/>
      <c r="X65" s="9"/>
      <c r="Y65" s="528"/>
      <c r="Z65" s="528"/>
      <c r="AA65" s="11">
        <f t="shared" si="2"/>
        <v>-187.12083104688736</v>
      </c>
      <c r="AB65" s="123">
        <f t="shared" si="57"/>
        <v>0.92756612991733389</v>
      </c>
      <c r="AC65" s="533"/>
    </row>
    <row r="66" spans="1:29" ht="15.75" customHeight="1">
      <c r="A66" s="531" t="s">
        <v>499</v>
      </c>
      <c r="B66" s="131" t="s">
        <v>24</v>
      </c>
      <c r="C66" s="529" t="s">
        <v>67</v>
      </c>
      <c r="D66" s="529"/>
      <c r="E66" s="26">
        <v>32.03</v>
      </c>
      <c r="F66" s="131">
        <v>1046</v>
      </c>
      <c r="G66" s="121">
        <f t="shared" ref="G66:G72" si="85">E66*F66</f>
        <v>33503.380000000005</v>
      </c>
      <c r="H66" s="76" t="s">
        <v>52</v>
      </c>
      <c r="I66" s="129">
        <v>19</v>
      </c>
      <c r="J66" s="18">
        <v>2400</v>
      </c>
      <c r="K66" s="9">
        <f t="shared" ref="K66:K68" si="86">J66/I66</f>
        <v>126.31578947368421</v>
      </c>
      <c r="L66" s="17">
        <v>19</v>
      </c>
      <c r="M66" s="10">
        <f>F66/V66*60</f>
        <v>2241.4285714285711</v>
      </c>
      <c r="N66" s="9">
        <f t="shared" ref="N66:N72" si="87">M66/L66</f>
        <v>117.96992481203006</v>
      </c>
      <c r="O66" s="11">
        <f t="shared" ref="O66:O72" si="88">L66-I66</f>
        <v>0</v>
      </c>
      <c r="P66" s="12">
        <f t="shared" ref="P66:P72" si="89">N66-K66</f>
        <v>-8.3458646616541472</v>
      </c>
      <c r="Q66" s="123">
        <f>N66/K66</f>
        <v>0.93392857142857133</v>
      </c>
      <c r="R66" s="533">
        <f>Q73</f>
        <v>0.92250167696568219</v>
      </c>
      <c r="S66" s="24">
        <v>8.3333333333333329E-2</v>
      </c>
      <c r="T66" s="24">
        <v>0.10277777777777777</v>
      </c>
      <c r="U66" s="15"/>
      <c r="V66" s="130">
        <f t="shared" ref="V66:V72" si="90">(T66-S66)*24*60</f>
        <v>28</v>
      </c>
      <c r="W66" s="14">
        <f>T66</f>
        <v>0.10277777777777777</v>
      </c>
      <c r="X66" s="14">
        <f>S67</f>
        <v>0.12291666666666666</v>
      </c>
      <c r="Y66" s="528"/>
      <c r="Z66" s="528"/>
      <c r="AA66" s="11">
        <f t="shared" si="2"/>
        <v>-158.5714285714289</v>
      </c>
      <c r="AB66" s="123">
        <f>M66/J66</f>
        <v>0.93392857142857133</v>
      </c>
      <c r="AC66" s="533">
        <f>AB73</f>
        <v>0.92250167696568208</v>
      </c>
    </row>
    <row r="67" spans="1:29" ht="15.75" customHeight="1">
      <c r="A67" s="531" t="s">
        <v>500</v>
      </c>
      <c r="B67" s="131" t="s">
        <v>24</v>
      </c>
      <c r="C67" s="529" t="s">
        <v>51</v>
      </c>
      <c r="D67" s="529"/>
      <c r="E67" s="26">
        <v>20.2</v>
      </c>
      <c r="F67" s="131">
        <v>2595</v>
      </c>
      <c r="G67" s="121">
        <f t="shared" si="85"/>
        <v>52419</v>
      </c>
      <c r="H67" s="76" t="s">
        <v>52</v>
      </c>
      <c r="I67" s="129">
        <v>19</v>
      </c>
      <c r="J67" s="18">
        <v>2400</v>
      </c>
      <c r="K67" s="9">
        <f t="shared" si="86"/>
        <v>126.31578947368421</v>
      </c>
      <c r="L67" s="17">
        <v>19</v>
      </c>
      <c r="M67" s="10">
        <f t="shared" ref="M67:M72" si="91">F67/V67*60</f>
        <v>2224.2857142857138</v>
      </c>
      <c r="N67" s="9">
        <f t="shared" si="87"/>
        <v>117.0676691729323</v>
      </c>
      <c r="O67" s="11">
        <f t="shared" si="88"/>
        <v>0</v>
      </c>
      <c r="P67" s="12">
        <f t="shared" si="89"/>
        <v>-9.2481203007519071</v>
      </c>
      <c r="Q67" s="123">
        <f t="shared" ref="Q67:Q73" si="92">N67/K67</f>
        <v>0.9267857142857141</v>
      </c>
      <c r="R67" s="533"/>
      <c r="S67" s="24">
        <v>0.12291666666666666</v>
      </c>
      <c r="T67" s="24">
        <v>0.17152777777777778</v>
      </c>
      <c r="U67" s="121">
        <f>(S67-T66)*24*60</f>
        <v>28.999999999999996</v>
      </c>
      <c r="V67" s="130">
        <f t="shared" si="90"/>
        <v>70.000000000000014</v>
      </c>
      <c r="W67" s="14"/>
      <c r="X67" s="14"/>
      <c r="Y67" s="528"/>
      <c r="Z67" s="528"/>
      <c r="AA67" s="11">
        <f t="shared" si="2"/>
        <v>-175.71428571428623</v>
      </c>
      <c r="AB67" s="123">
        <f t="shared" ref="AB67:AB73" si="93">M67/J67</f>
        <v>0.9267857142857141</v>
      </c>
      <c r="AC67" s="533"/>
    </row>
    <row r="68" spans="1:29" ht="15.75" customHeight="1">
      <c r="A68" s="531" t="s">
        <v>500</v>
      </c>
      <c r="B68" s="131" t="s">
        <v>24</v>
      </c>
      <c r="C68" s="529" t="s">
        <v>41</v>
      </c>
      <c r="D68" s="529"/>
      <c r="E68" s="26">
        <v>19.02</v>
      </c>
      <c r="F68" s="131">
        <v>4300</v>
      </c>
      <c r="G68" s="121">
        <f t="shared" si="85"/>
        <v>81786</v>
      </c>
      <c r="H68" s="76">
        <v>2</v>
      </c>
      <c r="I68" s="129">
        <v>15</v>
      </c>
      <c r="J68" s="18">
        <v>2400</v>
      </c>
      <c r="K68" s="9">
        <f t="shared" si="86"/>
        <v>160</v>
      </c>
      <c r="L68" s="17">
        <v>15</v>
      </c>
      <c r="M68" s="10">
        <f t="shared" si="91"/>
        <v>2205.1282051282046</v>
      </c>
      <c r="N68" s="9">
        <f t="shared" si="87"/>
        <v>147.00854700854697</v>
      </c>
      <c r="O68" s="11">
        <f t="shared" si="88"/>
        <v>0</v>
      </c>
      <c r="P68" s="12">
        <f t="shared" si="89"/>
        <v>-12.991452991453031</v>
      </c>
      <c r="Q68" s="123">
        <f t="shared" si="92"/>
        <v>0.91880341880341854</v>
      </c>
      <c r="R68" s="533"/>
      <c r="S68" s="24">
        <v>0.17708333333333334</v>
      </c>
      <c r="T68" s="24">
        <v>0.25833333333333336</v>
      </c>
      <c r="U68" s="121">
        <f t="shared" ref="U68:U72" si="94">(S68-T67)*24*60</f>
        <v>8.0000000000000107</v>
      </c>
      <c r="V68" s="130">
        <f t="shared" si="90"/>
        <v>117.00000000000003</v>
      </c>
      <c r="W68" s="14"/>
      <c r="X68" s="14"/>
      <c r="Y68" s="528"/>
      <c r="Z68" s="528"/>
      <c r="AA68" s="11">
        <f t="shared" si="2"/>
        <v>-194.87179487179537</v>
      </c>
      <c r="AB68" s="123">
        <f t="shared" si="93"/>
        <v>0.91880341880341865</v>
      </c>
      <c r="AC68" s="533"/>
    </row>
    <row r="69" spans="1:29" ht="15.75" customHeight="1">
      <c r="A69" s="531" t="s">
        <v>500</v>
      </c>
      <c r="B69" s="131" t="s">
        <v>24</v>
      </c>
      <c r="C69" s="529" t="s">
        <v>42</v>
      </c>
      <c r="D69" s="529"/>
      <c r="E69" s="26">
        <v>25</v>
      </c>
      <c r="F69" s="131">
        <v>3969</v>
      </c>
      <c r="G69" s="121">
        <f t="shared" si="85"/>
        <v>99225</v>
      </c>
      <c r="H69" s="76" t="s">
        <v>52</v>
      </c>
      <c r="I69" s="129">
        <v>15</v>
      </c>
      <c r="J69" s="18">
        <v>2400</v>
      </c>
      <c r="K69" s="9">
        <f>J69/I69</f>
        <v>160</v>
      </c>
      <c r="L69" s="17">
        <v>15</v>
      </c>
      <c r="M69" s="10">
        <f t="shared" si="91"/>
        <v>2204.9999999999995</v>
      </c>
      <c r="N69" s="9">
        <f t="shared" si="87"/>
        <v>146.99999999999997</v>
      </c>
      <c r="O69" s="11">
        <f t="shared" si="88"/>
        <v>0</v>
      </c>
      <c r="P69" s="12">
        <f t="shared" si="89"/>
        <v>-13.000000000000028</v>
      </c>
      <c r="Q69" s="123">
        <f t="shared" si="92"/>
        <v>0.91874999999999984</v>
      </c>
      <c r="R69" s="533"/>
      <c r="S69" s="24">
        <v>0.26250000000000001</v>
      </c>
      <c r="T69" s="24">
        <v>0.33750000000000002</v>
      </c>
      <c r="U69" s="121">
        <f t="shared" si="94"/>
        <v>5.9999999999999787</v>
      </c>
      <c r="V69" s="130">
        <f t="shared" si="90"/>
        <v>108.00000000000001</v>
      </c>
      <c r="W69" s="14"/>
      <c r="X69" s="14"/>
      <c r="Y69" s="528"/>
      <c r="Z69" s="528"/>
      <c r="AA69" s="11">
        <f t="shared" ref="AA69:AA73" si="95">M69-J69</f>
        <v>-195.00000000000045</v>
      </c>
      <c r="AB69" s="123">
        <f t="shared" si="93"/>
        <v>0.91874999999999984</v>
      </c>
      <c r="AC69" s="533"/>
    </row>
    <row r="70" spans="1:29" ht="15.75" customHeight="1">
      <c r="A70" s="531" t="s">
        <v>500</v>
      </c>
      <c r="B70" s="131" t="s">
        <v>24</v>
      </c>
      <c r="C70" s="529" t="s">
        <v>77</v>
      </c>
      <c r="D70" s="529"/>
      <c r="E70" s="26">
        <v>28.51</v>
      </c>
      <c r="F70" s="131">
        <v>4206</v>
      </c>
      <c r="G70" s="121">
        <f t="shared" si="85"/>
        <v>119913.06000000001</v>
      </c>
      <c r="H70" s="76" t="s">
        <v>52</v>
      </c>
      <c r="I70" s="129">
        <v>19</v>
      </c>
      <c r="J70" s="18">
        <v>2400</v>
      </c>
      <c r="K70" s="9">
        <f t="shared" ref="K70:K73" si="96">J70/I70</f>
        <v>126.31578947368421</v>
      </c>
      <c r="L70" s="17">
        <v>19</v>
      </c>
      <c r="M70" s="10">
        <f t="shared" si="91"/>
        <v>2213.6842105263158</v>
      </c>
      <c r="N70" s="9">
        <f t="shared" si="87"/>
        <v>116.50969529085873</v>
      </c>
      <c r="O70" s="11">
        <f t="shared" si="88"/>
        <v>0</v>
      </c>
      <c r="P70" s="12">
        <f t="shared" si="89"/>
        <v>-9.8060941828254755</v>
      </c>
      <c r="Q70" s="123">
        <f t="shared" si="92"/>
        <v>0.92236842105263162</v>
      </c>
      <c r="R70" s="533"/>
      <c r="S70" s="24">
        <v>0.34166666666666667</v>
      </c>
      <c r="T70" s="24">
        <v>0.42083333333333334</v>
      </c>
      <c r="U70" s="121">
        <f t="shared" si="94"/>
        <v>5.9999999999999787</v>
      </c>
      <c r="V70" s="130">
        <f t="shared" si="90"/>
        <v>114</v>
      </c>
      <c r="W70" s="14"/>
      <c r="X70" s="14"/>
      <c r="Y70" s="528"/>
      <c r="Z70" s="528"/>
      <c r="AA70" s="11">
        <f t="shared" si="95"/>
        <v>-186.31578947368416</v>
      </c>
      <c r="AB70" s="123">
        <f t="shared" si="93"/>
        <v>0.92236842105263162</v>
      </c>
      <c r="AC70" s="533"/>
    </row>
    <row r="71" spans="1:29" ht="15.75" customHeight="1">
      <c r="A71" s="531" t="s">
        <v>500</v>
      </c>
      <c r="B71" s="131" t="s">
        <v>24</v>
      </c>
      <c r="C71" s="529" t="s">
        <v>25</v>
      </c>
      <c r="D71" s="529"/>
      <c r="E71" s="26">
        <v>20.52</v>
      </c>
      <c r="F71" s="131">
        <v>4381</v>
      </c>
      <c r="G71" s="121">
        <f t="shared" si="85"/>
        <v>89898.12</v>
      </c>
      <c r="H71" s="76" t="s">
        <v>52</v>
      </c>
      <c r="I71" s="129">
        <v>18</v>
      </c>
      <c r="J71" s="18">
        <v>2400</v>
      </c>
      <c r="K71" s="9">
        <f t="shared" si="96"/>
        <v>133.33333333333334</v>
      </c>
      <c r="L71" s="17">
        <v>18</v>
      </c>
      <c r="M71" s="10">
        <f t="shared" si="91"/>
        <v>2208.9075630252105</v>
      </c>
      <c r="N71" s="9">
        <f t="shared" si="87"/>
        <v>122.71708683473392</v>
      </c>
      <c r="O71" s="11">
        <f t="shared" si="88"/>
        <v>0</v>
      </c>
      <c r="P71" s="12">
        <f t="shared" si="89"/>
        <v>-10.616246498599423</v>
      </c>
      <c r="Q71" s="123">
        <f t="shared" si="92"/>
        <v>0.92037815126050437</v>
      </c>
      <c r="R71" s="533"/>
      <c r="S71" s="24">
        <v>0.42569444444444443</v>
      </c>
      <c r="T71" s="24">
        <v>0.5083333333333333</v>
      </c>
      <c r="U71" s="121">
        <f t="shared" si="94"/>
        <v>6.9999999999999751</v>
      </c>
      <c r="V71" s="130">
        <f t="shared" si="90"/>
        <v>118.99999999999997</v>
      </c>
      <c r="W71" s="14">
        <f>T71</f>
        <v>0.5083333333333333</v>
      </c>
      <c r="X71" s="14">
        <f>S72</f>
        <v>0.54999999999999993</v>
      </c>
      <c r="Y71" s="528"/>
      <c r="Z71" s="528"/>
      <c r="AA71" s="11">
        <f t="shared" si="95"/>
        <v>-191.09243697478951</v>
      </c>
      <c r="AB71" s="123">
        <f t="shared" si="93"/>
        <v>0.92037815126050437</v>
      </c>
      <c r="AC71" s="533"/>
    </row>
    <row r="72" spans="1:29" ht="15.75" customHeight="1">
      <c r="A72" s="531" t="s">
        <v>501</v>
      </c>
      <c r="B72" s="131" t="s">
        <v>24</v>
      </c>
      <c r="C72" s="534" t="s">
        <v>41</v>
      </c>
      <c r="D72" s="535"/>
      <c r="E72" s="26">
        <v>19.02</v>
      </c>
      <c r="F72" s="131">
        <v>7222</v>
      </c>
      <c r="G72" s="121">
        <f t="shared" si="85"/>
        <v>137362.44</v>
      </c>
      <c r="H72" s="76" t="s">
        <v>52</v>
      </c>
      <c r="I72" s="129">
        <v>15</v>
      </c>
      <c r="J72" s="18">
        <v>2400</v>
      </c>
      <c r="K72" s="9">
        <f t="shared" si="96"/>
        <v>160</v>
      </c>
      <c r="L72" s="17">
        <v>15</v>
      </c>
      <c r="M72" s="10">
        <f t="shared" si="91"/>
        <v>2199.593908629442</v>
      </c>
      <c r="N72" s="9">
        <f t="shared" si="87"/>
        <v>146.63959390862948</v>
      </c>
      <c r="O72" s="11">
        <f t="shared" si="88"/>
        <v>0</v>
      </c>
      <c r="P72" s="12">
        <f t="shared" si="89"/>
        <v>-13.360406091370521</v>
      </c>
      <c r="Q72" s="123">
        <f t="shared" si="92"/>
        <v>0.91649746192893422</v>
      </c>
      <c r="R72" s="533"/>
      <c r="S72" s="24">
        <v>0.54999999999999993</v>
      </c>
      <c r="T72" s="24">
        <v>0.68680555555555545</v>
      </c>
      <c r="U72" s="121">
        <f t="shared" si="94"/>
        <v>59.999999999999943</v>
      </c>
      <c r="V72" s="130">
        <f t="shared" si="90"/>
        <v>196.99999999999994</v>
      </c>
      <c r="W72" s="14"/>
      <c r="X72" s="14"/>
      <c r="Y72" s="536"/>
      <c r="Z72" s="537"/>
      <c r="AA72" s="11">
        <f t="shared" si="95"/>
        <v>-200.40609137055799</v>
      </c>
      <c r="AB72" s="123">
        <f t="shared" si="93"/>
        <v>0.91649746192893422</v>
      </c>
      <c r="AC72" s="533"/>
    </row>
    <row r="73" spans="1:29" ht="16.5" customHeight="1">
      <c r="A73" s="532" t="s">
        <v>500</v>
      </c>
      <c r="B73" s="26" t="s">
        <v>467</v>
      </c>
      <c r="C73" s="530"/>
      <c r="D73" s="530"/>
      <c r="E73" s="122"/>
      <c r="F73" s="16"/>
      <c r="G73" s="9"/>
      <c r="H73" s="131"/>
      <c r="I73" s="17">
        <v>17.142857142857142</v>
      </c>
      <c r="J73" s="18">
        <v>2400</v>
      </c>
      <c r="K73" s="9">
        <f t="shared" si="96"/>
        <v>140</v>
      </c>
      <c r="L73" s="17">
        <v>17.142857142857142</v>
      </c>
      <c r="M73" s="10">
        <f>AVERAGE(M66:M72)</f>
        <v>2214.0040247176371</v>
      </c>
      <c r="N73" s="9">
        <f>M73/L73</f>
        <v>129.15023477519551</v>
      </c>
      <c r="O73" s="11">
        <f>L73-I73</f>
        <v>0</v>
      </c>
      <c r="P73" s="12">
        <f>N73-K73</f>
        <v>-10.849765224804486</v>
      </c>
      <c r="Q73" s="123">
        <f t="shared" si="92"/>
        <v>0.92250167696568219</v>
      </c>
      <c r="R73" s="533"/>
      <c r="S73" s="24"/>
      <c r="T73" s="24"/>
      <c r="U73" s="9"/>
      <c r="V73" s="130"/>
      <c r="W73" s="9"/>
      <c r="X73" s="9"/>
      <c r="Y73" s="528"/>
      <c r="Z73" s="528"/>
      <c r="AA73" s="11">
        <f t="shared" si="95"/>
        <v>-185.99597528236291</v>
      </c>
      <c r="AB73" s="123">
        <f t="shared" si="93"/>
        <v>0.92250167696568208</v>
      </c>
      <c r="AC73" s="533"/>
    </row>
    <row r="74" spans="1:29">
      <c r="D74" s="19"/>
      <c r="E74" s="19"/>
    </row>
  </sheetData>
  <mergeCells count="194">
    <mergeCell ref="A66:A73"/>
    <mergeCell ref="C66:D66"/>
    <mergeCell ref="R66:R73"/>
    <mergeCell ref="Y66:Z66"/>
    <mergeCell ref="AC66:AC73"/>
    <mergeCell ref="C67:D67"/>
    <mergeCell ref="Y67:Z67"/>
    <mergeCell ref="C68:D68"/>
    <mergeCell ref="Y68:Z68"/>
    <mergeCell ref="C69:D69"/>
    <mergeCell ref="C73:D73"/>
    <mergeCell ref="Y73:Z73"/>
    <mergeCell ref="Y69:Z69"/>
    <mergeCell ref="C70:D70"/>
    <mergeCell ref="Y70:Z70"/>
    <mergeCell ref="C71:D71"/>
    <mergeCell ref="Y71:Z71"/>
    <mergeCell ref="C72:D72"/>
    <mergeCell ref="Y72:Z72"/>
    <mergeCell ref="AC53:AC58"/>
    <mergeCell ref="C54:D54"/>
    <mergeCell ref="Y54:Z54"/>
    <mergeCell ref="C55:D55"/>
    <mergeCell ref="C58:D58"/>
    <mergeCell ref="Y58:Z58"/>
    <mergeCell ref="Y62:Z62"/>
    <mergeCell ref="A59:A65"/>
    <mergeCell ref="C59:D59"/>
    <mergeCell ref="R59:R65"/>
    <mergeCell ref="Y59:Z59"/>
    <mergeCell ref="AC59:AC65"/>
    <mergeCell ref="C63:D63"/>
    <mergeCell ref="Y63:Z63"/>
    <mergeCell ref="C64:D64"/>
    <mergeCell ref="Y64:Z64"/>
    <mergeCell ref="C65:D65"/>
    <mergeCell ref="Y65:Z65"/>
    <mergeCell ref="A53:A58"/>
    <mergeCell ref="C53:D53"/>
    <mergeCell ref="R53:R58"/>
    <mergeCell ref="Y53:Z53"/>
    <mergeCell ref="C60:D60"/>
    <mergeCell ref="Y60:Z60"/>
    <mergeCell ref="C61:D61"/>
    <mergeCell ref="Y61:Z61"/>
    <mergeCell ref="C62:D62"/>
    <mergeCell ref="Y47:Z47"/>
    <mergeCell ref="C48:D48"/>
    <mergeCell ref="Y48:Z48"/>
    <mergeCell ref="C49:D49"/>
    <mergeCell ref="Y49:Z49"/>
    <mergeCell ref="C50:D50"/>
    <mergeCell ref="Y50:Z50"/>
    <mergeCell ref="A44:A52"/>
    <mergeCell ref="C44:D44"/>
    <mergeCell ref="R44:R52"/>
    <mergeCell ref="Y44:Z44"/>
    <mergeCell ref="AC44:AC52"/>
    <mergeCell ref="C45:D45"/>
    <mergeCell ref="Y45:Z45"/>
    <mergeCell ref="C46:D46"/>
    <mergeCell ref="Y46:Z46"/>
    <mergeCell ref="C47:D47"/>
    <mergeCell ref="C52:D52"/>
    <mergeCell ref="Y52:Z52"/>
    <mergeCell ref="AC34:AC43"/>
    <mergeCell ref="C51:D51"/>
    <mergeCell ref="Y51:Z51"/>
    <mergeCell ref="Y37:Z37"/>
    <mergeCell ref="C38:D38"/>
    <mergeCell ref="Y38:Z38"/>
    <mergeCell ref="C39:D39"/>
    <mergeCell ref="Y39:Z39"/>
    <mergeCell ref="C40:D40"/>
    <mergeCell ref="Y40:Z40"/>
    <mergeCell ref="A34:A43"/>
    <mergeCell ref="C34:D34"/>
    <mergeCell ref="R34:R43"/>
    <mergeCell ref="Y34:Z34"/>
    <mergeCell ref="C35:D35"/>
    <mergeCell ref="Y35:Z35"/>
    <mergeCell ref="C36:D36"/>
    <mergeCell ref="Y36:Z36"/>
    <mergeCell ref="C37:D37"/>
    <mergeCell ref="C41:D41"/>
    <mergeCell ref="Y41:Z41"/>
    <mergeCell ref="C42:D42"/>
    <mergeCell ref="Y42:Z42"/>
    <mergeCell ref="C43:D43"/>
    <mergeCell ref="Y43:Z43"/>
    <mergeCell ref="A28:A33"/>
    <mergeCell ref="C28:D28"/>
    <mergeCell ref="R28:R33"/>
    <mergeCell ref="Y28:Z28"/>
    <mergeCell ref="Y33:Z33"/>
    <mergeCell ref="AC28:AC33"/>
    <mergeCell ref="C29:D29"/>
    <mergeCell ref="Y29:Z29"/>
    <mergeCell ref="C30:D30"/>
    <mergeCell ref="Y30:Z30"/>
    <mergeCell ref="C31:D31"/>
    <mergeCell ref="Y31:Z31"/>
    <mergeCell ref="C32:D32"/>
    <mergeCell ref="Y32:Z32"/>
    <mergeCell ref="C33:D33"/>
    <mergeCell ref="AC19:AC27"/>
    <mergeCell ref="C20:D20"/>
    <mergeCell ref="Y20:Z20"/>
    <mergeCell ref="C21:D21"/>
    <mergeCell ref="Y21:Z21"/>
    <mergeCell ref="C22:D22"/>
    <mergeCell ref="Y22:Z22"/>
    <mergeCell ref="C23:D23"/>
    <mergeCell ref="Y23:Z23"/>
    <mergeCell ref="C24:D24"/>
    <mergeCell ref="C26:D26"/>
    <mergeCell ref="Y26:Z26"/>
    <mergeCell ref="C27:D27"/>
    <mergeCell ref="Y27:Z27"/>
    <mergeCell ref="A19:A27"/>
    <mergeCell ref="C19:D19"/>
    <mergeCell ref="R19:R27"/>
    <mergeCell ref="Y19:Z19"/>
    <mergeCell ref="Y24:Z24"/>
    <mergeCell ref="C25:D25"/>
    <mergeCell ref="Y25:Z25"/>
    <mergeCell ref="A14:A18"/>
    <mergeCell ref="C14:D14"/>
    <mergeCell ref="R14:R18"/>
    <mergeCell ref="Y14:Z14"/>
    <mergeCell ref="AC14:AC18"/>
    <mergeCell ref="C15:D15"/>
    <mergeCell ref="Y15:Z15"/>
    <mergeCell ref="C16:D16"/>
    <mergeCell ref="Y16:Z16"/>
    <mergeCell ref="C17:D17"/>
    <mergeCell ref="AC9:AC13"/>
    <mergeCell ref="C10:D10"/>
    <mergeCell ref="Y10:Z10"/>
    <mergeCell ref="C11:D11"/>
    <mergeCell ref="Y11:Z11"/>
    <mergeCell ref="C12:D12"/>
    <mergeCell ref="Y12:Z12"/>
    <mergeCell ref="C13:D13"/>
    <mergeCell ref="Y13:Z13"/>
    <mergeCell ref="Y17:Z17"/>
    <mergeCell ref="C18:D18"/>
    <mergeCell ref="Y18:Z18"/>
    <mergeCell ref="C8:D8"/>
    <mergeCell ref="Y8:Z8"/>
    <mergeCell ref="A9:A13"/>
    <mergeCell ref="C9:D9"/>
    <mergeCell ref="R9:R13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62:O71 O73 O5:O9 O13:O15 O52:O59 O18:O49">
    <cfRule type="cellIs" dxfId="448" priority="53" operator="greaterThan">
      <formula>0</formula>
    </cfRule>
  </conditionalFormatting>
  <conditionalFormatting sqref="P5:P7 P62:P64 AA62:AA64 P66:P71 P28:P32 P59 P9 P13:P15 P19:P26 P53:P57 P34:P49 AA5:AA59 AA66:AA73">
    <cfRule type="cellIs" dxfId="447" priority="57" operator="lessThan">
      <formula>0</formula>
    </cfRule>
  </conditionalFormatting>
  <conditionalFormatting sqref="AB62:AB64 Q62:Q71 Q73 Q5:Q9 Q13:Q15 Q52:Q59 Q18:Q49 AB5:AB59 AB66:AB73">
    <cfRule type="cellIs" dxfId="446" priority="54" operator="greaterThan">
      <formula>1</formula>
    </cfRule>
    <cfRule type="cellIs" dxfId="445" priority="55" operator="lessThan">
      <formula>0.8</formula>
    </cfRule>
  </conditionalFormatting>
  <conditionalFormatting sqref="AC14:AC15 R14:R15 AC62 R62:R71 R18:R24 AC18:AC24 R27:R41 AC27:AC41 R73 AC5:AC9 R5:R9 R43:R49 AC43:AC49 AC52:AC59 R52:R59">
    <cfRule type="cellIs" dxfId="444" priority="59" operator="lessThan">
      <formula>0.8</formula>
    </cfRule>
  </conditionalFormatting>
  <conditionalFormatting sqref="AC44">
    <cfRule type="cellIs" dxfId="443" priority="61" operator="lessThan">
      <formula>0.8</formula>
    </cfRule>
  </conditionalFormatting>
  <conditionalFormatting sqref="AC19:AC24">
    <cfRule type="cellIs" dxfId="442" priority="58" operator="lessThan">
      <formula>0.8</formula>
    </cfRule>
  </conditionalFormatting>
  <conditionalFormatting sqref="AC28">
    <cfRule type="cellIs" dxfId="441" priority="60" operator="lessThan">
      <formula>0.8</formula>
    </cfRule>
  </conditionalFormatting>
  <conditionalFormatting sqref="AC34:AC41">
    <cfRule type="cellIs" dxfId="440" priority="56" operator="lessThan">
      <formula>0.8</formula>
    </cfRule>
  </conditionalFormatting>
  <conditionalFormatting sqref="AA65">
    <cfRule type="cellIs" dxfId="439" priority="52" operator="lessThan">
      <formula>0</formula>
    </cfRule>
  </conditionalFormatting>
  <conditionalFormatting sqref="AB65">
    <cfRule type="cellIs" dxfId="438" priority="50" operator="greaterThan">
      <formula>1</formula>
    </cfRule>
    <cfRule type="cellIs" dxfId="437" priority="51" operator="lessThan">
      <formula>0.8</formula>
    </cfRule>
  </conditionalFormatting>
  <conditionalFormatting sqref="O16:O17">
    <cfRule type="cellIs" dxfId="436" priority="45" operator="greaterThan">
      <formula>0</formula>
    </cfRule>
  </conditionalFormatting>
  <conditionalFormatting sqref="P16:P17">
    <cfRule type="cellIs" dxfId="435" priority="48" operator="lessThan">
      <formula>0</formula>
    </cfRule>
  </conditionalFormatting>
  <conditionalFormatting sqref="Q16:Q17">
    <cfRule type="cellIs" dxfId="434" priority="46" operator="greaterThan">
      <formula>1</formula>
    </cfRule>
    <cfRule type="cellIs" dxfId="433" priority="47" operator="lessThan">
      <formula>0.8</formula>
    </cfRule>
  </conditionalFormatting>
  <conditionalFormatting sqref="R16:R17 AC16:AC17">
    <cfRule type="cellIs" dxfId="432" priority="49" operator="lessThan">
      <formula>0.8</formula>
    </cfRule>
  </conditionalFormatting>
  <conditionalFormatting sqref="O10:O12">
    <cfRule type="cellIs" dxfId="431" priority="41" operator="greaterThan">
      <formula>0</formula>
    </cfRule>
  </conditionalFormatting>
  <conditionalFormatting sqref="P10:P12">
    <cfRule type="cellIs" dxfId="430" priority="44" operator="lessThan">
      <formula>0</formula>
    </cfRule>
  </conditionalFormatting>
  <conditionalFormatting sqref="Q10:Q12">
    <cfRule type="cellIs" dxfId="429" priority="42" operator="greaterThan">
      <formula>1</formula>
    </cfRule>
    <cfRule type="cellIs" dxfId="428" priority="43" operator="lessThan">
      <formula>0.8</formula>
    </cfRule>
  </conditionalFormatting>
  <conditionalFormatting sqref="AC26 R26">
    <cfRule type="cellIs" dxfId="427" priority="40" operator="lessThan">
      <formula>0.8</formula>
    </cfRule>
  </conditionalFormatting>
  <conditionalFormatting sqref="R42 AC42">
    <cfRule type="cellIs" dxfId="426" priority="39" operator="lessThan">
      <formula>0.8</formula>
    </cfRule>
  </conditionalFormatting>
  <conditionalFormatting sqref="AC42">
    <cfRule type="cellIs" dxfId="425" priority="38" operator="lessThan">
      <formula>0.8</formula>
    </cfRule>
  </conditionalFormatting>
  <conditionalFormatting sqref="O61">
    <cfRule type="cellIs" dxfId="424" priority="33" operator="greaterThan">
      <formula>0</formula>
    </cfRule>
  </conditionalFormatting>
  <conditionalFormatting sqref="P61 AA61">
    <cfRule type="cellIs" dxfId="423" priority="36" operator="lessThan">
      <formula>0</formula>
    </cfRule>
  </conditionalFormatting>
  <conditionalFormatting sqref="Q61 AB61">
    <cfRule type="cellIs" dxfId="422" priority="34" operator="greaterThan">
      <formula>1</formula>
    </cfRule>
    <cfRule type="cellIs" dxfId="421" priority="35" operator="lessThan">
      <formula>0.8</formula>
    </cfRule>
  </conditionalFormatting>
  <conditionalFormatting sqref="R61 AC61">
    <cfRule type="cellIs" dxfId="420" priority="37" operator="lessThan">
      <formula>0.8</formula>
    </cfRule>
  </conditionalFormatting>
  <conditionalFormatting sqref="O72">
    <cfRule type="cellIs" dxfId="419" priority="28" operator="greaterThan">
      <formula>0</formula>
    </cfRule>
  </conditionalFormatting>
  <conditionalFormatting sqref="P72">
    <cfRule type="cellIs" dxfId="418" priority="31" operator="lessThan">
      <formula>0</formula>
    </cfRule>
  </conditionalFormatting>
  <conditionalFormatting sqref="Q72">
    <cfRule type="cellIs" dxfId="417" priority="29" operator="greaterThan">
      <formula>1</formula>
    </cfRule>
    <cfRule type="cellIs" dxfId="416" priority="30" operator="lessThan">
      <formula>0.8</formula>
    </cfRule>
  </conditionalFormatting>
  <conditionalFormatting sqref="R72">
    <cfRule type="cellIs" dxfId="415" priority="32" operator="lessThan">
      <formula>0.8</formula>
    </cfRule>
  </conditionalFormatting>
  <conditionalFormatting sqref="O50">
    <cfRule type="cellIs" dxfId="414" priority="22" operator="greaterThan">
      <formula>0</formula>
    </cfRule>
  </conditionalFormatting>
  <conditionalFormatting sqref="P50">
    <cfRule type="cellIs" dxfId="413" priority="26" operator="lessThan">
      <formula>0</formula>
    </cfRule>
  </conditionalFormatting>
  <conditionalFormatting sqref="Q50">
    <cfRule type="cellIs" dxfId="412" priority="23" operator="greaterThan">
      <formula>1</formula>
    </cfRule>
    <cfRule type="cellIs" dxfId="411" priority="24" operator="lessThan">
      <formula>0.8</formula>
    </cfRule>
  </conditionalFormatting>
  <conditionalFormatting sqref="R50 AC50">
    <cfRule type="cellIs" dxfId="410" priority="27" operator="lessThan">
      <formula>0.8</formula>
    </cfRule>
  </conditionalFormatting>
  <conditionalFormatting sqref="AC50">
    <cfRule type="cellIs" dxfId="409" priority="25" operator="lessThan">
      <formula>0.8</formula>
    </cfRule>
  </conditionalFormatting>
  <conditionalFormatting sqref="O51">
    <cfRule type="cellIs" dxfId="408" priority="16" operator="greaterThan">
      <formula>0</formula>
    </cfRule>
  </conditionalFormatting>
  <conditionalFormatting sqref="P51">
    <cfRule type="cellIs" dxfId="407" priority="20" operator="lessThan">
      <formula>0</formula>
    </cfRule>
  </conditionalFormatting>
  <conditionalFormatting sqref="Q51">
    <cfRule type="cellIs" dxfId="406" priority="17" operator="greaterThan">
      <formula>1</formula>
    </cfRule>
    <cfRule type="cellIs" dxfId="405" priority="18" operator="lessThan">
      <formula>0.8</formula>
    </cfRule>
  </conditionalFormatting>
  <conditionalFormatting sqref="R51 AC51">
    <cfRule type="cellIs" dxfId="404" priority="21" operator="lessThan">
      <formula>0.8</formula>
    </cfRule>
  </conditionalFormatting>
  <conditionalFormatting sqref="AC51">
    <cfRule type="cellIs" dxfId="403" priority="19" operator="lessThan">
      <formula>0.8</formula>
    </cfRule>
  </conditionalFormatting>
  <conditionalFormatting sqref="R25 AC25">
    <cfRule type="cellIs" dxfId="402" priority="15" operator="lessThan">
      <formula>0.8</formula>
    </cfRule>
  </conditionalFormatting>
  <conditionalFormatting sqref="AC25">
    <cfRule type="cellIs" dxfId="401" priority="14" operator="lessThan">
      <formula>0.8</formula>
    </cfRule>
  </conditionalFormatting>
  <conditionalFormatting sqref="O60">
    <cfRule type="cellIs" dxfId="400" priority="9" operator="greaterThan">
      <formula>0</formula>
    </cfRule>
  </conditionalFormatting>
  <conditionalFormatting sqref="P60 AA60">
    <cfRule type="cellIs" dxfId="399" priority="12" operator="lessThan">
      <formula>0</formula>
    </cfRule>
  </conditionalFormatting>
  <conditionalFormatting sqref="Q60 AB60">
    <cfRule type="cellIs" dxfId="398" priority="10" operator="greaterThan">
      <formula>1</formula>
    </cfRule>
    <cfRule type="cellIs" dxfId="397" priority="11" operator="lessThan">
      <formula>0.8</formula>
    </cfRule>
  </conditionalFormatting>
  <conditionalFormatting sqref="R60 AC60">
    <cfRule type="cellIs" dxfId="396" priority="13" operator="lessThan">
      <formula>0.8</formula>
    </cfRule>
  </conditionalFormatting>
  <conditionalFormatting sqref="P8">
    <cfRule type="cellIs" dxfId="395" priority="8" operator="lessThan">
      <formula>0</formula>
    </cfRule>
  </conditionalFormatting>
  <conditionalFormatting sqref="P18">
    <cfRule type="cellIs" dxfId="394" priority="7" operator="lessThan">
      <formula>0</formula>
    </cfRule>
  </conditionalFormatting>
  <conditionalFormatting sqref="P27">
    <cfRule type="cellIs" dxfId="393" priority="6" operator="lessThan">
      <formula>0</formula>
    </cfRule>
  </conditionalFormatting>
  <conditionalFormatting sqref="P33">
    <cfRule type="cellIs" dxfId="392" priority="5" operator="lessThan">
      <formula>0</formula>
    </cfRule>
  </conditionalFormatting>
  <conditionalFormatting sqref="P52">
    <cfRule type="cellIs" dxfId="391" priority="4" operator="lessThan">
      <formula>0</formula>
    </cfRule>
  </conditionalFormatting>
  <conditionalFormatting sqref="P58">
    <cfRule type="cellIs" dxfId="390" priority="3" operator="lessThan">
      <formula>0</formula>
    </cfRule>
  </conditionalFormatting>
  <conditionalFormatting sqref="P65">
    <cfRule type="cellIs" dxfId="389" priority="2" operator="lessThan">
      <formula>0</formula>
    </cfRule>
  </conditionalFormatting>
  <conditionalFormatting sqref="P73">
    <cfRule type="cellIs" dxfId="388" priority="1" operator="lessThan">
      <formula>0</formula>
    </cfRule>
  </conditionalFormatting>
  <dataValidations count="1">
    <dataValidation type="list" allowBlank="1" showInputMessage="1" showErrorMessage="1" sqref="Z8 Z63:Z64 Y5:Z7 Y8:Y64 Z10:Z59 Y65:Z73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/>
  <dimension ref="B1:Q28"/>
  <sheetViews>
    <sheetView zoomScale="70" zoomScaleNormal="70" workbookViewId="0">
      <selection activeCell="C6" sqref="C6:D6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521" t="s">
        <v>216</v>
      </c>
      <c r="C1" s="521"/>
      <c r="D1" s="521"/>
      <c r="E1" s="521"/>
      <c r="F1" s="521"/>
      <c r="G1" s="521"/>
      <c r="H1" s="521"/>
      <c r="I1" s="521"/>
      <c r="J1" s="521"/>
      <c r="K1" s="28"/>
      <c r="L1" s="28"/>
      <c r="M1" s="28"/>
      <c r="N1" s="28"/>
      <c r="O1" s="28"/>
      <c r="P1" s="28"/>
    </row>
    <row r="2" spans="2:17" ht="27.75" customHeight="1">
      <c r="B2" s="522"/>
      <c r="C2" s="522"/>
      <c r="D2" s="522"/>
      <c r="E2" s="522"/>
      <c r="F2" s="522"/>
      <c r="G2" s="522"/>
      <c r="H2" s="522"/>
      <c r="I2" s="522"/>
      <c r="J2" s="522"/>
      <c r="K2" s="30"/>
      <c r="L2" s="30"/>
      <c r="M2" s="30"/>
      <c r="N2" s="28"/>
      <c r="O2" s="28"/>
      <c r="P2" s="28"/>
    </row>
    <row r="3" spans="2:17" ht="46.5" customHeight="1">
      <c r="B3" s="120" t="s">
        <v>389</v>
      </c>
      <c r="C3" s="523" t="str">
        <f>TEXT('0806 4度C'!A2,"yyyy.mm.ddaaaa")</f>
        <v>2025.08.06星期三</v>
      </c>
      <c r="D3" s="523"/>
      <c r="E3" s="120" t="s">
        <v>340</v>
      </c>
      <c r="F3" s="524">
        <f>'0806 4度C'!D1</f>
        <v>179806</v>
      </c>
      <c r="G3" s="524"/>
      <c r="H3" s="120" t="s">
        <v>390</v>
      </c>
      <c r="I3" s="581">
        <f>'0806 4度C'!F1</f>
        <v>6008483.6099999985</v>
      </c>
      <c r="J3" s="581"/>
      <c r="K3" s="31"/>
      <c r="L3" s="32"/>
      <c r="M3" s="33"/>
      <c r="N3" s="33"/>
    </row>
    <row r="4" spans="2:17" ht="28.5" customHeight="1">
      <c r="B4" s="516" t="s">
        <v>391</v>
      </c>
      <c r="C4" s="516" t="s">
        <v>105</v>
      </c>
      <c r="D4" s="516"/>
      <c r="E4" s="526" t="s">
        <v>392</v>
      </c>
      <c r="F4" s="526"/>
      <c r="G4" s="526" t="s">
        <v>329</v>
      </c>
      <c r="H4" s="526"/>
      <c r="I4" s="526" t="s">
        <v>393</v>
      </c>
      <c r="J4" s="526"/>
      <c r="L4" s="33"/>
      <c r="M4" s="33"/>
      <c r="N4" s="33"/>
    </row>
    <row r="5" spans="2:17" ht="28.5" customHeight="1">
      <c r="B5" s="516"/>
      <c r="C5" s="516" t="s">
        <v>394</v>
      </c>
      <c r="D5" s="516"/>
      <c r="E5" s="516" t="s">
        <v>330</v>
      </c>
      <c r="F5" s="516"/>
      <c r="G5" s="517" t="s">
        <v>395</v>
      </c>
      <c r="H5" s="517"/>
      <c r="I5" s="582" t="s">
        <v>396</v>
      </c>
      <c r="J5" s="582"/>
      <c r="K5" s="33"/>
      <c r="L5" s="33"/>
      <c r="M5" s="33"/>
      <c r="N5" s="33"/>
    </row>
    <row r="6" spans="2:17" ht="28.5" customHeight="1">
      <c r="B6" s="516"/>
      <c r="C6" s="516" t="s">
        <v>43</v>
      </c>
      <c r="D6" s="516"/>
      <c r="E6" s="519">
        <f>AVERAGE(D13:M13)</f>
        <v>148.77912226203904</v>
      </c>
      <c r="F6" s="516">
        <f>AVERAGE(D27:O27,D13:J13)</f>
        <v>154.48406228425051</v>
      </c>
      <c r="G6" s="520">
        <f>AVERAGE(D13:J13)</f>
        <v>154.48406228425051</v>
      </c>
      <c r="H6" s="520"/>
      <c r="I6" s="520">
        <f>AVERAGE(K13:M13)</f>
        <v>135.46759554354557</v>
      </c>
      <c r="J6" s="520"/>
      <c r="K6" s="33"/>
      <c r="L6" s="33"/>
      <c r="M6" s="33"/>
      <c r="N6" s="33"/>
    </row>
    <row r="7" spans="2:17" ht="28.5" customHeight="1">
      <c r="B7" s="516"/>
      <c r="C7" s="510" t="s">
        <v>44</v>
      </c>
      <c r="D7" s="510"/>
      <c r="E7" s="511">
        <f>AVERAGE(D14:M14)</f>
        <v>137.30453423482945</v>
      </c>
      <c r="F7" s="512">
        <f>AVERAGE(D28:O28,D14:J14)</f>
        <v>142.72549113620272</v>
      </c>
      <c r="G7" s="513">
        <f>AVERAGE(D14:J14)</f>
        <v>142.72549113620272</v>
      </c>
      <c r="H7" s="513"/>
      <c r="I7" s="513">
        <f>AVERAGE(K14:M14)</f>
        <v>124.65563479829184</v>
      </c>
      <c r="J7" s="513"/>
      <c r="K7" s="33"/>
      <c r="L7" s="33"/>
      <c r="M7" s="33"/>
      <c r="N7" s="33"/>
    </row>
    <row r="8" spans="2:17" ht="28.5" customHeight="1">
      <c r="B8" s="516"/>
      <c r="C8" s="510" t="s">
        <v>45</v>
      </c>
      <c r="D8" s="510"/>
      <c r="E8" s="514">
        <f>AVERAGE(D15:M15)</f>
        <v>0.92270127868875795</v>
      </c>
      <c r="F8" s="510">
        <f>AVERAGE(D15:J15,D29:O29)</f>
        <v>0.92377368929967363</v>
      </c>
      <c r="G8" s="515">
        <f>AVERAGE(D15:J15)</f>
        <v>0.92377368929967363</v>
      </c>
      <c r="H8" s="515"/>
      <c r="I8" s="515">
        <f>AVERAGE(K15:M15)</f>
        <v>0.92019898726328797</v>
      </c>
      <c r="J8" s="515"/>
      <c r="K8" s="34" t="s">
        <v>397</v>
      </c>
      <c r="L8" s="33"/>
      <c r="M8" s="33"/>
      <c r="N8" s="33"/>
    </row>
    <row r="9" spans="2:17" ht="28.5" customHeight="1" thickBot="1">
      <c r="H9" s="36"/>
      <c r="N9" s="33"/>
      <c r="O9" s="33"/>
      <c r="P9" s="33"/>
      <c r="Q9" s="33"/>
    </row>
    <row r="10" spans="2:17" ht="30" customHeight="1">
      <c r="B10" s="501" t="s">
        <v>398</v>
      </c>
      <c r="C10" s="502"/>
      <c r="D10" s="503" t="s">
        <v>399</v>
      </c>
      <c r="E10" s="504"/>
      <c r="F10" s="504"/>
      <c r="G10" s="504"/>
      <c r="H10" s="504"/>
      <c r="I10" s="504"/>
      <c r="J10" s="505"/>
      <c r="K10" s="506" t="s">
        <v>400</v>
      </c>
      <c r="L10" s="583"/>
      <c r="M10" s="507"/>
      <c r="P10" s="37"/>
      <c r="Q10" s="37"/>
    </row>
    <row r="11" spans="2:17" ht="17.25" customHeight="1">
      <c r="B11" s="493" t="s">
        <v>227</v>
      </c>
      <c r="C11" s="494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39">
        <v>6</v>
      </c>
      <c r="J11" s="40">
        <v>7</v>
      </c>
      <c r="K11" s="38">
        <v>1</v>
      </c>
      <c r="L11" s="39">
        <v>2</v>
      </c>
      <c r="M11" s="40">
        <v>3</v>
      </c>
      <c r="P11" s="37"/>
      <c r="Q11" s="37"/>
    </row>
    <row r="12" spans="2:17" ht="34.15" customHeight="1">
      <c r="B12" s="493"/>
      <c r="C12" s="494"/>
      <c r="D12" s="41" t="s">
        <v>345</v>
      </c>
      <c r="E12" s="42" t="s">
        <v>346</v>
      </c>
      <c r="F12" s="42" t="s">
        <v>347</v>
      </c>
      <c r="G12" s="42" t="s">
        <v>348</v>
      </c>
      <c r="H12" s="42" t="s">
        <v>349</v>
      </c>
      <c r="I12" s="42" t="s">
        <v>350</v>
      </c>
      <c r="J12" s="43" t="s">
        <v>351</v>
      </c>
      <c r="K12" s="41" t="s">
        <v>352</v>
      </c>
      <c r="L12" s="42" t="s">
        <v>353</v>
      </c>
      <c r="M12" s="43" t="s">
        <v>354</v>
      </c>
    </row>
    <row r="13" spans="2:17" ht="40.15" customHeight="1">
      <c r="B13" s="508" t="s">
        <v>116</v>
      </c>
      <c r="C13" s="44" t="s">
        <v>141</v>
      </c>
      <c r="D13" s="45">
        <f>SUMIFS('0806 4度C'!$K:$K,'0806 4度C'!$A:$A,"新豐6線",'0806 4度C'!$B:$B,"平均")</f>
        <v>117.64705882352941</v>
      </c>
      <c r="E13" s="46">
        <f>SUMIFS('0806 4度C'!$K:$K,'0806 4度C'!$A:$A,"新豐2線",'0806 4度C'!$B:$B,"平均")</f>
        <v>83.333333333333329</v>
      </c>
      <c r="F13" s="47">
        <f>SUMIFS('0806 4度C'!$K:$K,'0806 4度C'!$A:$A,"新豐5線",'0806 4度C'!$B:$B,"平均")</f>
        <v>93.333333333333329</v>
      </c>
      <c r="G13" s="47">
        <f>SUMIFS('0806 4度C'!$K:$K,'0806 4度C'!$A:$A,"新豐7線",'0806 4度C'!$B:$B,"平均")</f>
        <v>118.51851851851852</v>
      </c>
      <c r="H13" s="47">
        <f>SUMIFS('0806 4度C'!$K:$K,'0806 4度C'!$A:$A,"新豐3線",'0806 4度C'!$B:$B,"平均")</f>
        <v>300</v>
      </c>
      <c r="I13" s="47">
        <f>SUMIFS('0806 4度C'!$K:$K,'0806 4度C'!$A:$A,"新豐1線",'0806 4度C'!$B:$B,"平均")</f>
        <v>114.4578313253012</v>
      </c>
      <c r="J13" s="48">
        <f>SUMIFS('0806 4度C'!$K:$K,'0806 4度C'!$A:$A,"新豐10線",'0806 4度C'!$B:$B,"平均")</f>
        <v>254.09836065573774</v>
      </c>
      <c r="K13" s="49">
        <f>SUMIFS('0806 4度C'!$K:$K,'0806 4度C'!$A:$A,"新豐8線",'0806 4度C'!$B:$B,"平均")</f>
        <v>137.93103448275863</v>
      </c>
      <c r="L13" s="50">
        <f>SUMIFS('0806 4度C'!$K:$K,'0806 4度C'!$A:$A,"新豐9線",'0806 4度C'!$B:$B,"平均")</f>
        <v>129.34131736526945</v>
      </c>
      <c r="M13" s="48">
        <f>SUMIFS('0806 4度C'!$K:$K,'0806 4度C'!$A:$A,"新豐4線",'0806 4度C'!$B:$B,"平均")</f>
        <v>139.13043478260869</v>
      </c>
    </row>
    <row r="14" spans="2:17" ht="39.6" customHeight="1">
      <c r="B14" s="508"/>
      <c r="C14" s="51" t="s">
        <v>69</v>
      </c>
      <c r="D14" s="52">
        <f>SUMIFS('0806 4度C'!$N:$N,'0806 4度C'!$A:$A,"新豐6線",'0806 4度C'!$B:$B,"平均")</f>
        <v>108.92249491769955</v>
      </c>
      <c r="E14" s="53">
        <f>SUMIFS('0806 4度C'!$N:$N,'0806 4度C'!$A:$A,"新豐2線",'0806 4度C'!$B:$B,"平均")</f>
        <v>76.765926983695238</v>
      </c>
      <c r="F14" s="53">
        <f>SUMIFS('0806 4度C'!$N:$N,'0806 4度C'!$A:$A,"新豐5線",'0806 4度C'!$B:$B,"平均")</f>
        <v>86.110069634247054</v>
      </c>
      <c r="G14" s="53">
        <f>SUMIFS('0806 4度C'!$N:$N,'0806 4度C'!$A:$A,"新豐7線",'0806 4度C'!$B:$B,"平均")</f>
        <v>109.8651818706888</v>
      </c>
      <c r="H14" s="53">
        <f>SUMIFS('0806 4度C'!$N:$N,'0806 4度C'!$A:$A,"新豐3線",'0806 4度C'!$B:$B,"平均")</f>
        <v>276.98482183162503</v>
      </c>
      <c r="I14" s="53">
        <f>SUMIFS('0806 4度C'!$N:$N,'0806 4度C'!$A:$A,"新豐1線",'0806 4度C'!$B:$B,"平均")</f>
        <v>105.54281113853679</v>
      </c>
      <c r="J14" s="54">
        <f>SUMIFS('0806 4度C'!$N:$N,'0806 4度C'!$A:$A,"新豐10線",'0806 4度C'!$B:$B,"平均")</f>
        <v>234.88713157692661</v>
      </c>
      <c r="K14" s="55">
        <f>SUMIFS('0806 4度C'!$N:$N,'0806 4度C'!$A:$A,"新豐8線",'0806 4度C'!$B:$B,"平均")</f>
        <v>126.78354016519917</v>
      </c>
      <c r="L14" s="56">
        <f>SUMIFS('0806 4度C'!$N:$N,'0806 4度C'!$A:$A,"新豐9線",'0806 4度C'!$B:$B,"平均")</f>
        <v>119.09571813903088</v>
      </c>
      <c r="M14" s="54">
        <f>SUMIFS('0806 4度C'!$N:$N,'0806 4度C'!$A:$A,"新豐4線",'0806 4度C'!$B:$B,"平均")</f>
        <v>128.08764609064545</v>
      </c>
    </row>
    <row r="15" spans="2:17" ht="40.15" customHeight="1">
      <c r="B15" s="508"/>
      <c r="C15" s="57" t="s">
        <v>401</v>
      </c>
      <c r="D15" s="58">
        <f>D14/D13</f>
        <v>0.92584120680044624</v>
      </c>
      <c r="E15" s="59">
        <f t="shared" ref="E15:M15" si="0">E14/E13</f>
        <v>0.92119112380434287</v>
      </c>
      <c r="F15" s="59">
        <f t="shared" si="0"/>
        <v>0.92260788893836132</v>
      </c>
      <c r="G15" s="59">
        <f t="shared" si="0"/>
        <v>0.92698747203393672</v>
      </c>
      <c r="H15" s="59">
        <f>H14/H13</f>
        <v>0.92328273943875006</v>
      </c>
      <c r="I15" s="59">
        <f>I14/I13</f>
        <v>0.9221108762630057</v>
      </c>
      <c r="J15" s="60">
        <f>J14/J13</f>
        <v>0.92439451781887239</v>
      </c>
      <c r="K15" s="58">
        <f>K14/K13</f>
        <v>0.9191806661976939</v>
      </c>
      <c r="L15" s="59">
        <f>L14/L13</f>
        <v>0.92078633931565546</v>
      </c>
      <c r="M15" s="60">
        <f t="shared" si="0"/>
        <v>0.92062995627651423</v>
      </c>
    </row>
    <row r="16" spans="2:17" ht="17.25" customHeight="1">
      <c r="B16" s="509" t="s">
        <v>332</v>
      </c>
      <c r="C16" s="119" t="s">
        <v>402</v>
      </c>
      <c r="D16" s="61">
        <f>VLOOKUP("新豐6線",'0806 4度C'!$A:$T,19,0)</f>
        <v>0.70833333333333337</v>
      </c>
      <c r="E16" s="24">
        <f>VLOOKUP("新豐2線",'0806 4度C'!$A:$T,19,0)</f>
        <v>0.13055555555555556</v>
      </c>
      <c r="F16" s="24">
        <f>VLOOKUP("新豐5線",'0806 4度C'!$A:$T,19,0)</f>
        <v>0.25</v>
      </c>
      <c r="G16" s="24">
        <f>VLOOKUP("新豐7線",'0806 4度C'!$A:$T,19,0)</f>
        <v>0.20833333333333334</v>
      </c>
      <c r="H16" s="24">
        <f>VLOOKUP("新豐3線",'0806 4度C'!$A:$T,19,0)</f>
        <v>0.20833333333333334</v>
      </c>
      <c r="I16" s="24">
        <f>VLOOKUP("新豐1線",'0806 4度C'!$A:$T,19,0)</f>
        <v>0.29166666666666669</v>
      </c>
      <c r="J16" s="62">
        <f>VLOOKUP("新豐10線",'0806 4度C'!$A:$T,19,0)</f>
        <v>0.20833333333333334</v>
      </c>
      <c r="K16" s="63">
        <f>VLOOKUP("新豐8線",'0806 4度C'!$A:$T,19,0)</f>
        <v>0.125</v>
      </c>
      <c r="L16" s="64">
        <f>VLOOKUP("新豐9線",'0806 4度C'!$A:$T,19,0)</f>
        <v>8.3333333333333329E-2</v>
      </c>
      <c r="M16" s="65">
        <f>VLOOKUP("新豐4線",'0806 4度C'!$A:$T,19,0)</f>
        <v>8.3333333333333329E-2</v>
      </c>
    </row>
    <row r="17" spans="2:13" ht="17.25" customHeight="1">
      <c r="B17" s="493"/>
      <c r="C17" s="119" t="s">
        <v>403</v>
      </c>
      <c r="D17" s="63">
        <f>LOOKUP(2,1/(('0806 4度C'!$A:$A="新豐6線")*('0806 4度C'!$T:$T&lt;&gt;"")),'0806 4度C'!$T:$T)</f>
        <v>0.83472222222222214</v>
      </c>
      <c r="E17" s="24">
        <f>LOOKUP(2,1/(('0806 4度C'!$A:$A="新豐2線")*('0806 4度C'!$T:$T&lt;&gt;"")),'0806 4度C'!$T:$T)</f>
        <v>0.65555555555555556</v>
      </c>
      <c r="F17" s="24">
        <f>LOOKUP(2,1/(('0806 4度C'!$A:$A="新豐5線")*('0806 4度C'!$T:$T&lt;&gt;"")),'0806 4度C'!$T:$T)</f>
        <v>0.84305555555555556</v>
      </c>
      <c r="G17" s="24">
        <f>LOOKUP(2,1/(('0806 4度C'!$A:$A="新豐7線")*('0806 4度C'!$T:$T&lt;&gt;"")),'0806 4度C'!$T:$T)</f>
        <v>0.83611111111111103</v>
      </c>
      <c r="H17" s="24">
        <f>LOOKUP(2,1/(('0806 4度C'!$A:$A="新豐3線")*('0806 4度C'!$T:$T&lt;&gt;"")),'0806 4度C'!$T:$T)</f>
        <v>0.66458333333333308</v>
      </c>
      <c r="I17" s="24">
        <f>LOOKUP(2,1/(('0806 4度C'!$A:$A="新豐1線")*('0806 4度C'!$T:$T&lt;&gt;"")),'0806 4度C'!$T:$T)</f>
        <v>0.84791666666666665</v>
      </c>
      <c r="J17" s="62">
        <f>LOOKUP(2,1/(('0806 4度C'!$A:$A="新豐10線")*('0806 4度C'!$T:$T&lt;&gt;"")),'0806 4度C'!$T:$T)</f>
        <v>0.50902777777777775</v>
      </c>
      <c r="K17" s="61">
        <f>LOOKUP(2,1/(('0806 4度C'!$A:$A="新豐8線")*('0806 4度C'!$T:$T&lt;&gt;"")),'0806 4度C'!$T:$T)</f>
        <v>0.65555555555555556</v>
      </c>
      <c r="L17" s="24">
        <f>LOOKUP(2,1/(('0806 4度C'!$A:$A="新豐9線")*('0806 4度C'!$T:$T&lt;&gt;"")),'0806 4度C'!$T:$T)</f>
        <v>0.69236111111111098</v>
      </c>
      <c r="M17" s="62">
        <f>LOOKUP(2,1/(('0806 4度C'!$A:$A="新豐4線")*('0806 4度C'!$T:$T&lt;&gt;"")),'0806 4度C'!$T:$T)</f>
        <v>0.71388888888888868</v>
      </c>
    </row>
    <row r="18" spans="2:13" ht="17.25" customHeight="1">
      <c r="B18" s="493" t="s">
        <v>404</v>
      </c>
      <c r="C18" s="494"/>
      <c r="D18" s="66">
        <f>SUMIFS('0806 4度C'!$I:$I,'0806 4度C'!$A:$A,"新豐6線",'0806 4度C'!$B:$B,"平均")</f>
        <v>17</v>
      </c>
      <c r="E18" s="67">
        <f>SUMIFS('0806 4度C'!$I:$I,'0806 4度C'!$A:$A,"新豐2線",'0806 4度C'!$B:$B,"平均")</f>
        <v>18</v>
      </c>
      <c r="F18" s="67">
        <f>SUMIFS('0806 4度C'!$I:$I,'0806 4度C'!$A:$A,"新豐5線",'0806 4度C'!$B:$B,"平均")</f>
        <v>18.75</v>
      </c>
      <c r="G18" s="67">
        <f>SUMIFS('0806 4度C'!$I:$I,'0806 4度C'!$A:$A,"新豐7線",'0806 4度C'!$B:$B,"平均")</f>
        <v>16.875</v>
      </c>
      <c r="H18" s="67">
        <f>SUMIFS('0806 4度C'!$I:$I,'0806 4度C'!$A:$A,"新豐3線",'0806 4度C'!$B:$B,"平均")</f>
        <v>10</v>
      </c>
      <c r="I18" s="67">
        <f>SUMIFS('0806 4度C'!$I:$I,'0806 4度C'!$A:$A,"新豐1線",'0806 4度C'!$B:$B,"平均")</f>
        <v>16.600000000000001</v>
      </c>
      <c r="J18" s="68">
        <f>SUMIFS('0806 4度C'!$I:$I,'0806 4度C'!$A:$A,"新豐10線",'0806 4度C'!$B:$B,"平均")</f>
        <v>10.166666666666666</v>
      </c>
      <c r="K18" s="66">
        <f>SUMIFS('0806 4度C'!$I:$I,'0806 4度C'!$A:$A,"新豐8線",'0806 4度C'!$B:$B,"平均")</f>
        <v>17.399999999999999</v>
      </c>
      <c r="L18" s="67">
        <f>SUMIFS('0806 4度C'!$I:$I,'0806 4度C'!$A:$A,"新豐9線",'0806 4度C'!$B:$B,"平均")</f>
        <v>18.555555555555557</v>
      </c>
      <c r="M18" s="68">
        <f>SUMIFS('0806 4度C'!$I:$I,'0806 4度C'!$A:$A,"新豐4線",'0806 4度C'!$B:$B,"平均")</f>
        <v>17.25</v>
      </c>
    </row>
    <row r="19" spans="2:13" ht="17.25" customHeight="1">
      <c r="B19" s="495" t="s">
        <v>405</v>
      </c>
      <c r="C19" s="496"/>
      <c r="D19" s="69" t="s">
        <v>46</v>
      </c>
      <c r="E19" s="70" t="s">
        <v>47</v>
      </c>
      <c r="F19" s="70" t="s">
        <v>406</v>
      </c>
      <c r="G19" s="70" t="s">
        <v>93</v>
      </c>
      <c r="H19" s="70" t="s">
        <v>48</v>
      </c>
      <c r="I19" s="70" t="s">
        <v>46</v>
      </c>
      <c r="J19" s="71" t="s">
        <v>48</v>
      </c>
      <c r="K19" s="69" t="s">
        <v>407</v>
      </c>
      <c r="L19" s="70" t="s">
        <v>408</v>
      </c>
      <c r="M19" s="71" t="s">
        <v>72</v>
      </c>
    </row>
    <row r="20" spans="2:13" ht="17.25" customHeight="1">
      <c r="B20" s="495" t="s">
        <v>409</v>
      </c>
      <c r="C20" s="496"/>
      <c r="D20" s="69"/>
      <c r="E20" s="70"/>
      <c r="F20" s="70" t="s">
        <v>410</v>
      </c>
      <c r="G20" s="70" t="s">
        <v>46</v>
      </c>
      <c r="H20" s="70"/>
      <c r="I20" s="70"/>
      <c r="J20" s="71"/>
      <c r="K20" s="69"/>
      <c r="L20" s="70"/>
      <c r="M20" s="71"/>
    </row>
    <row r="21" spans="2:13" ht="17.25" customHeight="1" thickBot="1">
      <c r="B21" s="497" t="s">
        <v>411</v>
      </c>
      <c r="C21" s="498"/>
      <c r="D21" s="72"/>
      <c r="E21" s="73" t="s">
        <v>243</v>
      </c>
      <c r="F21" s="499" t="s">
        <v>412</v>
      </c>
      <c r="G21" s="500"/>
      <c r="H21" s="73" t="s">
        <v>413</v>
      </c>
      <c r="I21" s="73" t="s">
        <v>414</v>
      </c>
      <c r="J21" s="74" t="s">
        <v>73</v>
      </c>
      <c r="K21" s="75"/>
      <c r="L21" s="73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38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>
    <pageSetUpPr fitToPage="1"/>
  </sheetPr>
  <dimension ref="A1:AC75"/>
  <sheetViews>
    <sheetView zoomScale="80" zoomScaleNormal="80" workbookViewId="0">
      <pane ySplit="4" topLeftCell="A5" activePane="bottomLeft" state="frozen"/>
      <selection activeCell="C6" sqref="C6:D6"/>
      <selection pane="bottomLeft" activeCell="I18" sqref="I18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320</v>
      </c>
      <c r="B1" s="1"/>
      <c r="C1" s="2" t="s">
        <v>96</v>
      </c>
      <c r="D1" s="3">
        <f>SUM(F5:F74)</f>
        <v>179806</v>
      </c>
      <c r="E1" s="121" t="s">
        <v>113</v>
      </c>
      <c r="F1" s="1">
        <f>SUM(G5:G74)</f>
        <v>6008483.6099999985</v>
      </c>
      <c r="G1" s="1" t="s">
        <v>153</v>
      </c>
      <c r="H1" s="4">
        <f>L8+L13+L52+L58+L18+L65+L33+L43+L27+L74</f>
        <v>160.59722222222223</v>
      </c>
      <c r="I1" s="572" t="s">
        <v>210</v>
      </c>
      <c r="J1" s="572"/>
      <c r="K1" s="572"/>
      <c r="L1" s="572" t="s">
        <v>154</v>
      </c>
      <c r="M1" s="572"/>
      <c r="N1" s="572"/>
      <c r="O1" s="572" t="s">
        <v>97</v>
      </c>
      <c r="P1" s="572"/>
      <c r="Q1" s="572"/>
      <c r="R1" s="572"/>
      <c r="S1" s="572" t="s">
        <v>321</v>
      </c>
      <c r="T1" s="572"/>
      <c r="U1" s="572"/>
      <c r="V1" s="572"/>
      <c r="W1" s="572"/>
      <c r="X1" s="572"/>
      <c r="Y1" s="572" t="s">
        <v>115</v>
      </c>
      <c r="Z1" s="572"/>
      <c r="AA1" s="572" t="s">
        <v>155</v>
      </c>
      <c r="AB1" s="573"/>
      <c r="AC1" s="573"/>
    </row>
    <row r="2" spans="1:29" ht="26.25" customHeight="1">
      <c r="A2" s="22">
        <v>45875</v>
      </c>
      <c r="B2" s="23" t="s">
        <v>336</v>
      </c>
      <c r="C2" s="2" t="s">
        <v>116</v>
      </c>
      <c r="D2" s="6">
        <f>AVERAGE(N8,N13,N52,N58,N18,N65,N27,N33,N43,N74)</f>
        <v>137.30453423482945</v>
      </c>
      <c r="E2" s="7" t="s">
        <v>0</v>
      </c>
      <c r="F2" s="8">
        <f>F1/D1</f>
        <v>33.416480039598227</v>
      </c>
      <c r="G2" s="1" t="s">
        <v>117</v>
      </c>
      <c r="H2" s="132">
        <f>COUNT(H5:H74)</f>
        <v>8</v>
      </c>
      <c r="I2" s="572"/>
      <c r="J2" s="572"/>
      <c r="K2" s="572"/>
      <c r="L2" s="572"/>
      <c r="M2" s="572"/>
      <c r="N2" s="572"/>
      <c r="O2" s="572"/>
      <c r="P2" s="572"/>
      <c r="Q2" s="572"/>
      <c r="R2" s="572"/>
      <c r="S2" s="572"/>
      <c r="T2" s="572"/>
      <c r="U2" s="572"/>
      <c r="V2" s="572"/>
      <c r="W2" s="572"/>
      <c r="X2" s="572"/>
      <c r="Y2" s="572"/>
      <c r="Z2" s="572"/>
      <c r="AA2" s="573"/>
      <c r="AB2" s="573"/>
      <c r="AC2" s="573"/>
    </row>
    <row r="3" spans="1:29" ht="23.25" customHeight="1">
      <c r="A3" s="528" t="s">
        <v>323</v>
      </c>
      <c r="B3" s="528" t="s">
        <v>118</v>
      </c>
      <c r="C3" s="528" t="s">
        <v>119</v>
      </c>
      <c r="D3" s="528"/>
      <c r="E3" s="570" t="s">
        <v>324</v>
      </c>
      <c r="F3" s="528" t="s">
        <v>325</v>
      </c>
      <c r="G3" s="570" t="s">
        <v>215</v>
      </c>
      <c r="H3" s="563" t="s">
        <v>326</v>
      </c>
      <c r="I3" s="561" t="s">
        <v>101</v>
      </c>
      <c r="J3" s="566" t="s">
        <v>294</v>
      </c>
      <c r="K3" s="568" t="s">
        <v>116</v>
      </c>
      <c r="L3" s="561" t="s">
        <v>101</v>
      </c>
      <c r="M3" s="566" t="s">
        <v>294</v>
      </c>
      <c r="N3" s="568" t="s">
        <v>116</v>
      </c>
      <c r="O3" s="561" t="s">
        <v>101</v>
      </c>
      <c r="P3" s="568" t="s">
        <v>116</v>
      </c>
      <c r="Q3" s="567" t="s">
        <v>296</v>
      </c>
      <c r="R3" s="542" t="s">
        <v>86</v>
      </c>
      <c r="S3" s="569" t="s">
        <v>1</v>
      </c>
      <c r="T3" s="569"/>
      <c r="U3" s="563" t="s">
        <v>2</v>
      </c>
      <c r="V3" s="563" t="s">
        <v>66</v>
      </c>
      <c r="W3" s="528" t="s">
        <v>299</v>
      </c>
      <c r="X3" s="528"/>
      <c r="Y3" s="564" t="s">
        <v>252</v>
      </c>
      <c r="Z3" s="565"/>
      <c r="AA3" s="566" t="s">
        <v>294</v>
      </c>
      <c r="AB3" s="567" t="s">
        <v>296</v>
      </c>
      <c r="AC3" s="542" t="s">
        <v>86</v>
      </c>
    </row>
    <row r="4" spans="1:29">
      <c r="A4" s="528"/>
      <c r="B4" s="528"/>
      <c r="C4" s="528"/>
      <c r="D4" s="528"/>
      <c r="E4" s="571"/>
      <c r="F4" s="528"/>
      <c r="G4" s="571"/>
      <c r="H4" s="563"/>
      <c r="I4" s="561"/>
      <c r="J4" s="566"/>
      <c r="K4" s="568"/>
      <c r="L4" s="561"/>
      <c r="M4" s="566"/>
      <c r="N4" s="568"/>
      <c r="O4" s="561"/>
      <c r="P4" s="568"/>
      <c r="Q4" s="567"/>
      <c r="R4" s="542"/>
      <c r="S4" s="131" t="s">
        <v>3</v>
      </c>
      <c r="T4" s="131" t="s">
        <v>4</v>
      </c>
      <c r="U4" s="563"/>
      <c r="V4" s="563"/>
      <c r="W4" s="121" t="s">
        <v>327</v>
      </c>
      <c r="X4" s="121" t="s">
        <v>75</v>
      </c>
      <c r="Y4" s="565"/>
      <c r="Z4" s="565"/>
      <c r="AA4" s="566"/>
      <c r="AB4" s="567"/>
      <c r="AC4" s="542"/>
    </row>
    <row r="5" spans="1:29">
      <c r="A5" s="560" t="s">
        <v>415</v>
      </c>
      <c r="B5" s="26" t="s">
        <v>13</v>
      </c>
      <c r="C5" s="562" t="s">
        <v>53</v>
      </c>
      <c r="D5" s="562"/>
      <c r="E5" s="26">
        <v>46.93</v>
      </c>
      <c r="F5" s="131">
        <v>997</v>
      </c>
      <c r="G5" s="121">
        <f>E5*F5</f>
        <v>46789.21</v>
      </c>
      <c r="H5" s="76" t="s">
        <v>52</v>
      </c>
      <c r="I5" s="129">
        <v>17</v>
      </c>
      <c r="J5" s="18">
        <v>2000</v>
      </c>
      <c r="K5" s="9">
        <f>J5/I5</f>
        <v>117.64705882352941</v>
      </c>
      <c r="L5" s="129">
        <v>17</v>
      </c>
      <c r="M5" s="10">
        <f>F5/V5*60</f>
        <v>1869.3749999999975</v>
      </c>
      <c r="N5" s="9">
        <f>M5/L5</f>
        <v>109.9632352941175</v>
      </c>
      <c r="O5" s="11">
        <f t="shared" ref="O5:O7" si="0">L5-I5</f>
        <v>0</v>
      </c>
      <c r="P5" s="12">
        <f t="shared" ref="P5:P7" si="1">N5-K5</f>
        <v>-7.6838235294119102</v>
      </c>
      <c r="Q5" s="123">
        <f>N5/K5</f>
        <v>0.93468749999999878</v>
      </c>
      <c r="R5" s="533">
        <f>Q8</f>
        <v>0.92584120680044624</v>
      </c>
      <c r="S5" s="24">
        <v>0.70833333333333337</v>
      </c>
      <c r="T5" s="24">
        <v>0.73055555555555562</v>
      </c>
      <c r="U5" s="121"/>
      <c r="V5" s="130">
        <f>(T5-S5)*24*60</f>
        <v>32.000000000000043</v>
      </c>
      <c r="W5" s="14"/>
      <c r="X5" s="13"/>
      <c r="Y5" s="528"/>
      <c r="Z5" s="528"/>
      <c r="AA5" s="11">
        <f t="shared" ref="AA5:AA68" si="2">M5-J5</f>
        <v>-130.6250000000025</v>
      </c>
      <c r="AB5" s="123">
        <f t="shared" ref="AB5:AB7" si="3">M5/J5</f>
        <v>0.93468749999999878</v>
      </c>
      <c r="AC5" s="533">
        <f>AB8</f>
        <v>0.92584120680044624</v>
      </c>
    </row>
    <row r="6" spans="1:29">
      <c r="A6" s="561" t="s">
        <v>415</v>
      </c>
      <c r="B6" s="26" t="s">
        <v>13</v>
      </c>
      <c r="C6" s="562" t="s">
        <v>55</v>
      </c>
      <c r="D6" s="562"/>
      <c r="E6" s="26">
        <v>50.49</v>
      </c>
      <c r="F6" s="131">
        <v>1991</v>
      </c>
      <c r="G6" s="121">
        <f t="shared" ref="G6:G7" si="4">E6*F6</f>
        <v>100525.59000000001</v>
      </c>
      <c r="H6" s="76" t="s">
        <v>52</v>
      </c>
      <c r="I6" s="129">
        <v>16</v>
      </c>
      <c r="J6" s="18">
        <v>2000</v>
      </c>
      <c r="K6" s="9">
        <f t="shared" ref="K6:K7" si="5">J6/I6</f>
        <v>125</v>
      </c>
      <c r="L6" s="129">
        <v>16</v>
      </c>
      <c r="M6" s="10">
        <f>F6/V6*60</f>
        <v>1837.8461538461559</v>
      </c>
      <c r="N6" s="9">
        <f t="shared" ref="N6:N7" si="6">M6/L6</f>
        <v>114.86538461538474</v>
      </c>
      <c r="O6" s="11">
        <f t="shared" si="0"/>
        <v>0</v>
      </c>
      <c r="P6" s="12">
        <f t="shared" si="1"/>
        <v>-10.134615384615259</v>
      </c>
      <c r="Q6" s="123">
        <f t="shared" ref="Q6:Q7" si="7">N6/K6</f>
        <v>0.91892307692307795</v>
      </c>
      <c r="R6" s="533"/>
      <c r="S6" s="24">
        <v>0.73611111111111116</v>
      </c>
      <c r="T6" s="24">
        <v>0.78125</v>
      </c>
      <c r="U6" s="121">
        <f>(S6-T5)*24*60</f>
        <v>7.9999999999999716</v>
      </c>
      <c r="V6" s="130">
        <f>(T6-S6)*24*60</f>
        <v>64.999999999999929</v>
      </c>
      <c r="W6" s="14"/>
      <c r="X6" s="14"/>
      <c r="Y6" s="528"/>
      <c r="Z6" s="528"/>
      <c r="AA6" s="11">
        <f t="shared" si="2"/>
        <v>-162.15384615384414</v>
      </c>
      <c r="AB6" s="123">
        <f t="shared" si="3"/>
        <v>0.91892307692307795</v>
      </c>
      <c r="AC6" s="533"/>
    </row>
    <row r="7" spans="1:29">
      <c r="A7" s="561" t="s">
        <v>415</v>
      </c>
      <c r="B7" s="26" t="s">
        <v>13</v>
      </c>
      <c r="C7" s="558" t="s">
        <v>76</v>
      </c>
      <c r="D7" s="559"/>
      <c r="E7" s="26">
        <v>50.67</v>
      </c>
      <c r="F7" s="131">
        <v>2125</v>
      </c>
      <c r="G7" s="121">
        <f t="shared" si="4"/>
        <v>107673.75</v>
      </c>
      <c r="H7" s="76" t="s">
        <v>52</v>
      </c>
      <c r="I7" s="129">
        <v>18</v>
      </c>
      <c r="J7" s="18">
        <v>2000</v>
      </c>
      <c r="K7" s="9">
        <f t="shared" si="5"/>
        <v>111.11111111111111</v>
      </c>
      <c r="L7" s="129">
        <v>18</v>
      </c>
      <c r="M7" s="10">
        <f t="shared" ref="M7" si="8">F7/V7*60</f>
        <v>1847.826086956524</v>
      </c>
      <c r="N7" s="9">
        <f t="shared" si="6"/>
        <v>102.657004830918</v>
      </c>
      <c r="O7" s="11">
        <f t="shared" si="0"/>
        <v>0</v>
      </c>
      <c r="P7" s="12">
        <f t="shared" si="1"/>
        <v>-8.4541062801931162</v>
      </c>
      <c r="Q7" s="123">
        <f t="shared" si="7"/>
        <v>0.92391304347826197</v>
      </c>
      <c r="R7" s="533"/>
      <c r="S7" s="24">
        <v>0.78680555555555554</v>
      </c>
      <c r="T7" s="24">
        <v>0.83472222222222214</v>
      </c>
      <c r="U7" s="121">
        <f t="shared" ref="U7" si="9">(S7-T6)*24*60</f>
        <v>7.9999999999999716</v>
      </c>
      <c r="V7" s="130">
        <f t="shared" ref="V7" si="10">(T7-S7)*24*60</f>
        <v>68.999999999999915</v>
      </c>
      <c r="W7" s="14"/>
      <c r="X7" s="14"/>
      <c r="Y7" s="536"/>
      <c r="Z7" s="537"/>
      <c r="AA7" s="11">
        <f t="shared" si="2"/>
        <v>-152.17391304347598</v>
      </c>
      <c r="AB7" s="123">
        <f t="shared" si="3"/>
        <v>0.92391304347826197</v>
      </c>
      <c r="AC7" s="533"/>
    </row>
    <row r="8" spans="1:29">
      <c r="A8" s="561" t="s">
        <v>415</v>
      </c>
      <c r="B8" s="26" t="s">
        <v>82</v>
      </c>
      <c r="C8" s="530"/>
      <c r="D8" s="530"/>
      <c r="E8" s="122"/>
      <c r="F8" s="16"/>
      <c r="G8" s="9"/>
      <c r="H8" s="131"/>
      <c r="I8" s="17">
        <v>17</v>
      </c>
      <c r="J8" s="18">
        <v>2000</v>
      </c>
      <c r="K8" s="9">
        <f>J8/I8</f>
        <v>117.64705882352941</v>
      </c>
      <c r="L8" s="17">
        <v>17</v>
      </c>
      <c r="M8" s="10">
        <f>AVERAGE(M5:M7)</f>
        <v>1851.6824136008925</v>
      </c>
      <c r="N8" s="9">
        <f>M8/L8</f>
        <v>108.92249491769955</v>
      </c>
      <c r="O8" s="11">
        <f>L8-I8</f>
        <v>0</v>
      </c>
      <c r="P8" s="12">
        <f>N8-K8</f>
        <v>-8.7245639058298536</v>
      </c>
      <c r="Q8" s="123">
        <f>N8/K8</f>
        <v>0.92584120680044624</v>
      </c>
      <c r="R8" s="533"/>
      <c r="S8" s="24"/>
      <c r="T8" s="24"/>
      <c r="U8" s="121"/>
      <c r="V8" s="130"/>
      <c r="W8" s="9"/>
      <c r="X8" s="9"/>
      <c r="Y8" s="528"/>
      <c r="Z8" s="528"/>
      <c r="AA8" s="11">
        <f t="shared" si="2"/>
        <v>-148.31758639910754</v>
      </c>
      <c r="AB8" s="123">
        <f>M8/J8</f>
        <v>0.92584120680044624</v>
      </c>
      <c r="AC8" s="533"/>
    </row>
    <row r="9" spans="1:29" ht="15.75" customHeight="1">
      <c r="A9" s="531" t="s">
        <v>371</v>
      </c>
      <c r="B9" s="26" t="s">
        <v>15</v>
      </c>
      <c r="C9" s="558" t="s">
        <v>16</v>
      </c>
      <c r="D9" s="559"/>
      <c r="E9" s="26">
        <v>39.619999999999997</v>
      </c>
      <c r="F9" s="131">
        <v>4577</v>
      </c>
      <c r="G9" s="121">
        <f t="shared" ref="G9:G12" si="11">E9*F9</f>
        <v>181340.74</v>
      </c>
      <c r="H9" s="76" t="s">
        <v>52</v>
      </c>
      <c r="I9" s="129">
        <v>19</v>
      </c>
      <c r="J9" s="18">
        <v>1500</v>
      </c>
      <c r="K9" s="9">
        <f t="shared" ref="K9:K12" si="12">J9/I9</f>
        <v>78.94736842105263</v>
      </c>
      <c r="L9" s="129">
        <v>19</v>
      </c>
      <c r="M9" s="10">
        <f t="shared" ref="M9:M12" si="13">F9/V9*60</f>
        <v>1379.9999999999998</v>
      </c>
      <c r="N9" s="9">
        <f t="shared" ref="N9:N12" si="14">M9/L9</f>
        <v>72.631578947368411</v>
      </c>
      <c r="O9" s="11">
        <f t="shared" ref="O9:O12" si="15">L9-I9</f>
        <v>0</v>
      </c>
      <c r="P9" s="12">
        <f>N9-K9</f>
        <v>-6.3157894736842195</v>
      </c>
      <c r="Q9" s="123">
        <f>N9/K9</f>
        <v>0.91999999999999993</v>
      </c>
      <c r="R9" s="533">
        <f>Q13</f>
        <v>0.92119112380434287</v>
      </c>
      <c r="S9" s="24">
        <v>0.13055555555555556</v>
      </c>
      <c r="T9" s="24">
        <v>0.26875000000000004</v>
      </c>
      <c r="U9" s="121"/>
      <c r="V9" s="130">
        <f t="shared" ref="V9:V12" si="16">(T9-S9)*24*60</f>
        <v>199.00000000000003</v>
      </c>
      <c r="W9" s="14">
        <f>T9</f>
        <v>0.26875000000000004</v>
      </c>
      <c r="X9" s="14">
        <f>S10</f>
        <v>0.29375000000000001</v>
      </c>
      <c r="Y9" s="528"/>
      <c r="Z9" s="528"/>
      <c r="AA9" s="11">
        <f t="shared" si="2"/>
        <v>-120.00000000000023</v>
      </c>
      <c r="AB9" s="123">
        <f>M9/J9</f>
        <v>0.91999999999999982</v>
      </c>
      <c r="AC9" s="533">
        <f>AB13</f>
        <v>0.92119112380434298</v>
      </c>
    </row>
    <row r="10" spans="1:29" ht="15.75" customHeight="1">
      <c r="A10" s="531" t="s">
        <v>371</v>
      </c>
      <c r="B10" s="26" t="s">
        <v>15</v>
      </c>
      <c r="C10" s="558" t="s">
        <v>17</v>
      </c>
      <c r="D10" s="559"/>
      <c r="E10" s="26">
        <v>39.799999999999997</v>
      </c>
      <c r="F10" s="131">
        <v>2500</v>
      </c>
      <c r="G10" s="121">
        <f t="shared" si="11"/>
        <v>99500</v>
      </c>
      <c r="H10" s="76">
        <v>2</v>
      </c>
      <c r="I10" s="129">
        <v>17</v>
      </c>
      <c r="J10" s="18">
        <v>1500</v>
      </c>
      <c r="K10" s="9">
        <f t="shared" si="12"/>
        <v>88.235294117647058</v>
      </c>
      <c r="L10" s="129">
        <v>17</v>
      </c>
      <c r="M10" s="10">
        <f t="shared" si="13"/>
        <v>1388.8888888888887</v>
      </c>
      <c r="N10" s="9">
        <f t="shared" si="14"/>
        <v>81.699346405228752</v>
      </c>
      <c r="O10" s="11">
        <f t="shared" si="15"/>
        <v>0</v>
      </c>
      <c r="P10" s="12">
        <f t="shared" ref="P10:P12" si="17">N10-K10</f>
        <v>-6.5359477124183059</v>
      </c>
      <c r="Q10" s="123">
        <f t="shared" ref="Q10:Q12" si="18">N10/K10</f>
        <v>0.92592592592592582</v>
      </c>
      <c r="R10" s="533"/>
      <c r="S10" s="24">
        <v>0.29375000000000001</v>
      </c>
      <c r="T10" s="24">
        <v>0.36875000000000002</v>
      </c>
      <c r="U10" s="121">
        <f>(S10-T9)*24*60</f>
        <v>35.99999999999995</v>
      </c>
      <c r="V10" s="130">
        <f t="shared" si="16"/>
        <v>108.00000000000001</v>
      </c>
      <c r="W10" s="14"/>
      <c r="X10" s="14"/>
      <c r="Y10" s="528"/>
      <c r="Z10" s="528"/>
      <c r="AA10" s="11">
        <f t="shared" si="2"/>
        <v>-111.11111111111131</v>
      </c>
      <c r="AB10" s="123">
        <f t="shared" ref="AB10:AB27" si="19">M10/J10</f>
        <v>0.92592592592592582</v>
      </c>
      <c r="AC10" s="533"/>
    </row>
    <row r="11" spans="1:29" ht="15.75" customHeight="1">
      <c r="A11" s="531" t="s">
        <v>371</v>
      </c>
      <c r="B11" s="26" t="s">
        <v>15</v>
      </c>
      <c r="C11" s="558" t="s">
        <v>80</v>
      </c>
      <c r="D11" s="559"/>
      <c r="E11" s="26">
        <v>39.29</v>
      </c>
      <c r="F11" s="131">
        <v>3934</v>
      </c>
      <c r="G11" s="121">
        <f t="shared" si="11"/>
        <v>154566.85999999999</v>
      </c>
      <c r="H11" s="76" t="s">
        <v>52</v>
      </c>
      <c r="I11" s="129">
        <v>19</v>
      </c>
      <c r="J11" s="18">
        <v>1500</v>
      </c>
      <c r="K11" s="9">
        <f t="shared" si="12"/>
        <v>78.94736842105263</v>
      </c>
      <c r="L11" s="129">
        <v>19</v>
      </c>
      <c r="M11" s="10">
        <f t="shared" si="13"/>
        <v>1380.3508771929824</v>
      </c>
      <c r="N11" s="9">
        <f t="shared" si="14"/>
        <v>72.650046168051702</v>
      </c>
      <c r="O11" s="11">
        <f t="shared" si="15"/>
        <v>0</v>
      </c>
      <c r="P11" s="12">
        <f t="shared" si="17"/>
        <v>-6.2973222530009281</v>
      </c>
      <c r="Q11" s="123">
        <f t="shared" si="18"/>
        <v>0.92023391812865496</v>
      </c>
      <c r="R11" s="533"/>
      <c r="S11" s="24">
        <v>0.37916666666666665</v>
      </c>
      <c r="T11" s="24">
        <v>0.49791666666666667</v>
      </c>
      <c r="U11" s="121">
        <f t="shared" ref="U11:U12" si="20">(S11-T10)*24*60</f>
        <v>14.999999999999947</v>
      </c>
      <c r="V11" s="130">
        <f t="shared" si="16"/>
        <v>171.00000000000003</v>
      </c>
      <c r="W11" s="14">
        <f>T11</f>
        <v>0.49791666666666667</v>
      </c>
      <c r="X11" s="14">
        <f>S12</f>
        <v>0.53611111111111109</v>
      </c>
      <c r="Y11" s="528"/>
      <c r="Z11" s="528"/>
      <c r="AA11" s="11">
        <f t="shared" si="2"/>
        <v>-119.64912280701765</v>
      </c>
      <c r="AB11" s="123">
        <f t="shared" si="19"/>
        <v>0.92023391812865485</v>
      </c>
      <c r="AC11" s="533"/>
    </row>
    <row r="12" spans="1:29" ht="15.75" customHeight="1">
      <c r="A12" s="531" t="s">
        <v>371</v>
      </c>
      <c r="B12" s="26" t="s">
        <v>15</v>
      </c>
      <c r="C12" s="558" t="s">
        <v>17</v>
      </c>
      <c r="D12" s="559"/>
      <c r="E12" s="26">
        <v>39.799999999999997</v>
      </c>
      <c r="F12" s="131">
        <v>3950</v>
      </c>
      <c r="G12" s="121">
        <f t="shared" si="11"/>
        <v>157210</v>
      </c>
      <c r="H12" s="76" t="s">
        <v>52</v>
      </c>
      <c r="I12" s="129">
        <v>17</v>
      </c>
      <c r="J12" s="18">
        <v>1500</v>
      </c>
      <c r="K12" s="9">
        <f t="shared" si="12"/>
        <v>88.235294117647058</v>
      </c>
      <c r="L12" s="129">
        <v>17</v>
      </c>
      <c r="M12" s="10">
        <f t="shared" si="13"/>
        <v>1377.9069767441858</v>
      </c>
      <c r="N12" s="9">
        <f t="shared" si="14"/>
        <v>81.053351573187399</v>
      </c>
      <c r="O12" s="11">
        <f t="shared" si="15"/>
        <v>0</v>
      </c>
      <c r="P12" s="12">
        <f t="shared" si="17"/>
        <v>-7.181942544459659</v>
      </c>
      <c r="Q12" s="123">
        <f t="shared" si="18"/>
        <v>0.91860465116279055</v>
      </c>
      <c r="R12" s="533"/>
      <c r="S12" s="24">
        <v>0.53611111111111109</v>
      </c>
      <c r="T12" s="24">
        <v>0.65555555555555556</v>
      </c>
      <c r="U12" s="121">
        <f t="shared" si="20"/>
        <v>54.999999999999964</v>
      </c>
      <c r="V12" s="130">
        <f t="shared" si="16"/>
        <v>172.00000000000003</v>
      </c>
      <c r="W12" s="14"/>
      <c r="X12" s="14"/>
      <c r="Y12" s="528"/>
      <c r="Z12" s="528"/>
      <c r="AA12" s="11">
        <f t="shared" si="2"/>
        <v>-122.09302325581416</v>
      </c>
      <c r="AB12" s="123">
        <f t="shared" si="19"/>
        <v>0.91860465116279055</v>
      </c>
      <c r="AC12" s="533"/>
    </row>
    <row r="13" spans="1:29" ht="16.5" customHeight="1">
      <c r="A13" s="531" t="s">
        <v>371</v>
      </c>
      <c r="B13" s="26" t="s">
        <v>82</v>
      </c>
      <c r="C13" s="530"/>
      <c r="D13" s="530"/>
      <c r="E13" s="122"/>
      <c r="F13" s="18"/>
      <c r="G13" s="10"/>
      <c r="H13" s="131"/>
      <c r="I13" s="17">
        <v>18</v>
      </c>
      <c r="J13" s="18">
        <v>1500</v>
      </c>
      <c r="K13" s="9">
        <f>J13/I13</f>
        <v>83.333333333333329</v>
      </c>
      <c r="L13" s="17">
        <v>18</v>
      </c>
      <c r="M13" s="10">
        <f>AVERAGE(M9:M12)</f>
        <v>1381.7866857065144</v>
      </c>
      <c r="N13" s="9">
        <f>M13/L13</f>
        <v>76.765926983695238</v>
      </c>
      <c r="O13" s="11">
        <f>L13-I13</f>
        <v>0</v>
      </c>
      <c r="P13" s="12">
        <f>N13-K13</f>
        <v>-6.567406349638091</v>
      </c>
      <c r="Q13" s="123">
        <f>N13/K13</f>
        <v>0.92119112380434287</v>
      </c>
      <c r="R13" s="533"/>
      <c r="S13" s="24"/>
      <c r="T13" s="24"/>
      <c r="U13" s="9"/>
      <c r="V13" s="130"/>
      <c r="W13" s="9"/>
      <c r="X13" s="9"/>
      <c r="Y13" s="528"/>
      <c r="Z13" s="528"/>
      <c r="AA13" s="11">
        <f t="shared" si="2"/>
        <v>-118.21331429348561</v>
      </c>
      <c r="AB13" s="123">
        <f t="shared" si="19"/>
        <v>0.92119112380434298</v>
      </c>
      <c r="AC13" s="533"/>
    </row>
    <row r="14" spans="1:29" ht="16.5" customHeight="1">
      <c r="A14" s="556" t="s">
        <v>373</v>
      </c>
      <c r="B14" s="131" t="s">
        <v>21</v>
      </c>
      <c r="C14" s="552" t="s">
        <v>19</v>
      </c>
      <c r="D14" s="552"/>
      <c r="E14" s="26">
        <v>41</v>
      </c>
      <c r="F14" s="131">
        <v>1981</v>
      </c>
      <c r="G14" s="121">
        <f t="shared" ref="G14:G17" si="21">E14*F14</f>
        <v>81221</v>
      </c>
      <c r="H14" s="76" t="s">
        <v>52</v>
      </c>
      <c r="I14" s="129">
        <v>26</v>
      </c>
      <c r="J14" s="18">
        <v>1500</v>
      </c>
      <c r="K14" s="9">
        <f>J14/I14</f>
        <v>57.692307692307693</v>
      </c>
      <c r="L14" s="129">
        <v>26</v>
      </c>
      <c r="M14" s="10">
        <f>F14/V14*60</f>
        <v>1382.0930232558137</v>
      </c>
      <c r="N14" s="9">
        <f t="shared" ref="N14:N26" si="22">M14/L14</f>
        <v>53.157423971377447</v>
      </c>
      <c r="O14" s="11">
        <f t="shared" ref="O14" si="23">L14-I14</f>
        <v>0</v>
      </c>
      <c r="P14" s="12">
        <f t="shared" ref="P14" si="24">N14-K14</f>
        <v>-4.5348837209302459</v>
      </c>
      <c r="Q14" s="123">
        <f>N14/K14</f>
        <v>0.92139534883720908</v>
      </c>
      <c r="R14" s="533">
        <f>Q18</f>
        <v>0.92260788893836132</v>
      </c>
      <c r="S14" s="24">
        <v>0.25</v>
      </c>
      <c r="T14" s="24">
        <v>0.30972222222222223</v>
      </c>
      <c r="U14" s="121"/>
      <c r="V14" s="130">
        <f>(T14-S14)*24*60</f>
        <v>86.000000000000014</v>
      </c>
      <c r="W14" s="15"/>
      <c r="X14" s="15"/>
      <c r="Y14" s="528"/>
      <c r="Z14" s="528"/>
      <c r="AA14" s="11">
        <f t="shared" si="2"/>
        <v>-117.9069767441863</v>
      </c>
      <c r="AB14" s="123">
        <f t="shared" si="19"/>
        <v>0.92139534883720908</v>
      </c>
      <c r="AC14" s="533">
        <f>AB18</f>
        <v>0.92260788893836121</v>
      </c>
    </row>
    <row r="15" spans="1:29" ht="16.5" customHeight="1">
      <c r="A15" s="557" t="s">
        <v>373</v>
      </c>
      <c r="B15" s="131" t="s">
        <v>15</v>
      </c>
      <c r="C15" s="552" t="s">
        <v>49</v>
      </c>
      <c r="D15" s="552"/>
      <c r="E15" s="26">
        <v>39.29</v>
      </c>
      <c r="F15" s="131">
        <v>3448</v>
      </c>
      <c r="G15" s="121">
        <f t="shared" si="21"/>
        <v>135471.91999999998</v>
      </c>
      <c r="H15" s="76" t="s">
        <v>52</v>
      </c>
      <c r="I15" s="129">
        <v>16</v>
      </c>
      <c r="J15" s="18">
        <v>1500</v>
      </c>
      <c r="K15" s="9">
        <f>J15/I15</f>
        <v>93.75</v>
      </c>
      <c r="L15" s="129">
        <v>16</v>
      </c>
      <c r="M15" s="10">
        <f>F15/V15*60</f>
        <v>1379.1999999999996</v>
      </c>
      <c r="N15" s="9">
        <f t="shared" si="22"/>
        <v>86.199999999999974</v>
      </c>
      <c r="O15" s="11">
        <f>L15-I15</f>
        <v>0</v>
      </c>
      <c r="P15" s="12">
        <f>N15-K15</f>
        <v>-7.5500000000000256</v>
      </c>
      <c r="Q15" s="123">
        <f>N15/K15</f>
        <v>0.91946666666666643</v>
      </c>
      <c r="R15" s="533"/>
      <c r="S15" s="24">
        <v>0.3208333333333333</v>
      </c>
      <c r="T15" s="24">
        <v>0.42499999999999999</v>
      </c>
      <c r="U15" s="121">
        <f>IF(S15=TIME(17,0,0),"",(S15-T14)*24*60)</f>
        <v>15.999999999999943</v>
      </c>
      <c r="V15" s="130">
        <f>(T15-S15)*24*60</f>
        <v>150.00000000000003</v>
      </c>
      <c r="W15" s="14"/>
      <c r="X15" s="14"/>
      <c r="Y15" s="528"/>
      <c r="Z15" s="528"/>
      <c r="AA15" s="11">
        <f t="shared" si="2"/>
        <v>-120.80000000000041</v>
      </c>
      <c r="AB15" s="123">
        <f t="shared" si="19"/>
        <v>0.91946666666666643</v>
      </c>
      <c r="AC15" s="533"/>
    </row>
    <row r="16" spans="1:29" ht="16.5" customHeight="1">
      <c r="A16" s="557" t="s">
        <v>373</v>
      </c>
      <c r="B16" s="131" t="s">
        <v>13</v>
      </c>
      <c r="C16" s="552" t="s">
        <v>57</v>
      </c>
      <c r="D16" s="552"/>
      <c r="E16" s="26">
        <v>50.98</v>
      </c>
      <c r="F16" s="131">
        <v>2774</v>
      </c>
      <c r="G16" s="121">
        <f t="shared" si="21"/>
        <v>141418.51999999999</v>
      </c>
      <c r="H16" s="76" t="s">
        <v>52</v>
      </c>
      <c r="I16" s="129">
        <v>17</v>
      </c>
      <c r="J16" s="18">
        <v>2000</v>
      </c>
      <c r="K16" s="9">
        <f t="shared" ref="K16:K17" si="25">J16/I16</f>
        <v>117.64705882352941</v>
      </c>
      <c r="L16" s="129">
        <v>17</v>
      </c>
      <c r="M16" s="10">
        <f t="shared" ref="M16:M17" si="26">F16/V16*60</f>
        <v>1849.3333333333335</v>
      </c>
      <c r="N16" s="9">
        <f t="shared" si="22"/>
        <v>108.78431372549021</v>
      </c>
      <c r="O16" s="11">
        <f t="shared" ref="O16:O17" si="27">L16-I16</f>
        <v>0</v>
      </c>
      <c r="P16" s="12">
        <f t="shared" ref="P16:P17" si="28">N16-K16</f>
        <v>-8.8627450980391984</v>
      </c>
      <c r="Q16" s="123">
        <f t="shared" ref="Q16:Q26" si="29">N16/K16</f>
        <v>0.92466666666666686</v>
      </c>
      <c r="R16" s="533"/>
      <c r="S16" s="24">
        <v>0.70833333333333337</v>
      </c>
      <c r="T16" s="24">
        <v>0.77083333333333337</v>
      </c>
      <c r="U16" s="121" t="str">
        <f t="shared" ref="U16:U17" si="30">IF(S16=TIME(17,0,0),"",(S16-T15)*24*60)</f>
        <v/>
      </c>
      <c r="V16" s="130">
        <f t="shared" ref="V16:V17" si="31">(T16-S16)*24*60</f>
        <v>90</v>
      </c>
      <c r="W16" s="14"/>
      <c r="X16" s="14"/>
      <c r="Y16" s="528"/>
      <c r="Z16" s="528"/>
      <c r="AA16" s="11">
        <f t="shared" si="2"/>
        <v>-150.66666666666652</v>
      </c>
      <c r="AB16" s="123">
        <f t="shared" si="19"/>
        <v>0.92466666666666675</v>
      </c>
      <c r="AC16" s="533"/>
    </row>
    <row r="17" spans="1:29" ht="16.5" customHeight="1">
      <c r="A17" s="557" t="s">
        <v>373</v>
      </c>
      <c r="B17" s="131" t="s">
        <v>13</v>
      </c>
      <c r="C17" s="552" t="s">
        <v>54</v>
      </c>
      <c r="D17" s="552"/>
      <c r="E17" s="26">
        <v>50.92</v>
      </c>
      <c r="F17" s="131">
        <v>2987</v>
      </c>
      <c r="G17" s="121">
        <f t="shared" si="21"/>
        <v>152098.04</v>
      </c>
      <c r="H17" s="76" t="s">
        <v>52</v>
      </c>
      <c r="I17" s="129">
        <v>16</v>
      </c>
      <c r="J17" s="18">
        <v>2000</v>
      </c>
      <c r="K17" s="9">
        <f t="shared" si="25"/>
        <v>125</v>
      </c>
      <c r="L17" s="129">
        <v>16</v>
      </c>
      <c r="M17" s="10">
        <f t="shared" si="26"/>
        <v>1847.628865979382</v>
      </c>
      <c r="N17" s="9">
        <f t="shared" si="22"/>
        <v>115.47680412371137</v>
      </c>
      <c r="O17" s="11">
        <f t="shared" si="27"/>
        <v>0</v>
      </c>
      <c r="P17" s="12">
        <f t="shared" si="28"/>
        <v>-9.5231958762886251</v>
      </c>
      <c r="Q17" s="123">
        <f t="shared" si="29"/>
        <v>0.92381443298969101</v>
      </c>
      <c r="R17" s="533"/>
      <c r="S17" s="24">
        <v>0.77569444444444446</v>
      </c>
      <c r="T17" s="24">
        <v>0.84305555555555556</v>
      </c>
      <c r="U17" s="121">
        <f t="shared" si="30"/>
        <v>6.9999999999999751</v>
      </c>
      <c r="V17" s="130">
        <f t="shared" si="31"/>
        <v>96.999999999999972</v>
      </c>
      <c r="W17" s="14"/>
      <c r="X17" s="14"/>
      <c r="Y17" s="528"/>
      <c r="Z17" s="528"/>
      <c r="AA17" s="11">
        <f t="shared" si="2"/>
        <v>-152.371134020618</v>
      </c>
      <c r="AB17" s="123">
        <f t="shared" si="19"/>
        <v>0.92381443298969101</v>
      </c>
      <c r="AC17" s="533"/>
    </row>
    <row r="18" spans="1:29" ht="16.5" customHeight="1">
      <c r="A18" s="557" t="s">
        <v>373</v>
      </c>
      <c r="B18" s="26" t="s">
        <v>82</v>
      </c>
      <c r="C18" s="530"/>
      <c r="D18" s="530"/>
      <c r="E18" s="122"/>
      <c r="F18" s="16"/>
      <c r="G18" s="9"/>
      <c r="H18" s="131"/>
      <c r="I18" s="17">
        <f>AVERAGE(I14:I17)</f>
        <v>18.75</v>
      </c>
      <c r="J18" s="18">
        <v>1750</v>
      </c>
      <c r="K18" s="9">
        <f>J18/I18</f>
        <v>93.333333333333329</v>
      </c>
      <c r="L18" s="17">
        <f>AVERAGE(L14:L17)</f>
        <v>18.75</v>
      </c>
      <c r="M18" s="10">
        <f>AVERAGE(M14:M17)</f>
        <v>1614.5638056421321</v>
      </c>
      <c r="N18" s="9">
        <f t="shared" si="22"/>
        <v>86.110069634247054</v>
      </c>
      <c r="O18" s="11">
        <f>L18-I18</f>
        <v>0</v>
      </c>
      <c r="P18" s="12">
        <f>N18-K18</f>
        <v>-7.2232636990862744</v>
      </c>
      <c r="Q18" s="123">
        <f t="shared" si="29"/>
        <v>0.92260788893836132</v>
      </c>
      <c r="R18" s="533"/>
      <c r="S18" s="24"/>
      <c r="T18" s="24"/>
      <c r="U18" s="121"/>
      <c r="V18" s="130"/>
      <c r="W18" s="9"/>
      <c r="X18" s="9"/>
      <c r="Y18" s="528"/>
      <c r="Z18" s="528"/>
      <c r="AA18" s="11">
        <f t="shared" si="2"/>
        <v>-135.43619435786786</v>
      </c>
      <c r="AB18" s="123">
        <f t="shared" si="19"/>
        <v>0.92260788893836121</v>
      </c>
      <c r="AC18" s="533"/>
    </row>
    <row r="19" spans="1:29" ht="15.75" customHeight="1">
      <c r="A19" s="554" t="s">
        <v>376</v>
      </c>
      <c r="B19" s="26" t="s">
        <v>21</v>
      </c>
      <c r="C19" s="552" t="s">
        <v>22</v>
      </c>
      <c r="D19" s="552"/>
      <c r="E19" s="26">
        <v>43.14</v>
      </c>
      <c r="F19" s="131">
        <v>1181</v>
      </c>
      <c r="G19" s="121">
        <f t="shared" ref="G19:G26" si="32">E19*F19</f>
        <v>50948.340000000004</v>
      </c>
      <c r="H19" s="76" t="s">
        <v>52</v>
      </c>
      <c r="I19" s="129">
        <v>17</v>
      </c>
      <c r="J19" s="18">
        <v>2000</v>
      </c>
      <c r="K19" s="9">
        <f t="shared" ref="K19:K27" si="33">J19/I19</f>
        <v>117.64705882352941</v>
      </c>
      <c r="L19" s="129">
        <v>17</v>
      </c>
      <c r="M19" s="10">
        <f t="shared" ref="M19:M26" si="34">F19/V19*60</f>
        <v>1864.736842105264</v>
      </c>
      <c r="N19" s="9">
        <f t="shared" si="22"/>
        <v>109.69040247678024</v>
      </c>
      <c r="O19" s="11">
        <f t="shared" ref="O19:O26" si="35">L19-I19</f>
        <v>0</v>
      </c>
      <c r="P19" s="12">
        <f t="shared" ref="P19:P26" si="36">N19-K19</f>
        <v>-7.9566563467491704</v>
      </c>
      <c r="Q19" s="123">
        <f t="shared" si="29"/>
        <v>0.93236842105263207</v>
      </c>
      <c r="R19" s="533">
        <f>Q27</f>
        <v>0.92698747203393672</v>
      </c>
      <c r="S19" s="24">
        <v>0.20833333333333334</v>
      </c>
      <c r="T19" s="24">
        <v>0.23472222222222222</v>
      </c>
      <c r="U19" s="121"/>
      <c r="V19" s="130">
        <f>(T19-S19)*24*60</f>
        <v>37.999999999999986</v>
      </c>
      <c r="W19" s="15"/>
      <c r="X19" s="15"/>
      <c r="Y19" s="528"/>
      <c r="Z19" s="528"/>
      <c r="AA19" s="11">
        <f t="shared" si="2"/>
        <v>-135.26315789473597</v>
      </c>
      <c r="AB19" s="123">
        <f t="shared" si="19"/>
        <v>0.93236842105263207</v>
      </c>
      <c r="AC19" s="533">
        <f>AB27</f>
        <v>0.92698747203393683</v>
      </c>
    </row>
    <row r="20" spans="1:29" ht="15.75" customHeight="1">
      <c r="A20" s="555" t="s">
        <v>376</v>
      </c>
      <c r="B20" s="26" t="s">
        <v>13</v>
      </c>
      <c r="C20" s="552" t="s">
        <v>23</v>
      </c>
      <c r="D20" s="552"/>
      <c r="E20" s="26">
        <v>57.73</v>
      </c>
      <c r="F20" s="131">
        <v>2759</v>
      </c>
      <c r="G20" s="121">
        <f t="shared" si="32"/>
        <v>159277.06999999998</v>
      </c>
      <c r="H20" s="76" t="s">
        <v>52</v>
      </c>
      <c r="I20" s="129">
        <v>16</v>
      </c>
      <c r="J20" s="18">
        <v>2000</v>
      </c>
      <c r="K20" s="9">
        <f t="shared" si="33"/>
        <v>125</v>
      </c>
      <c r="L20" s="129">
        <v>16</v>
      </c>
      <c r="M20" s="10">
        <f t="shared" si="34"/>
        <v>1839.3333333333333</v>
      </c>
      <c r="N20" s="9">
        <f t="shared" si="22"/>
        <v>114.95833333333333</v>
      </c>
      <c r="O20" s="11">
        <f t="shared" si="35"/>
        <v>0</v>
      </c>
      <c r="P20" s="12">
        <f t="shared" si="36"/>
        <v>-10.041666666666671</v>
      </c>
      <c r="Q20" s="123">
        <f t="shared" si="29"/>
        <v>0.91966666666666663</v>
      </c>
      <c r="R20" s="533"/>
      <c r="S20" s="24">
        <v>0.23819444444444443</v>
      </c>
      <c r="T20" s="24">
        <v>0.30069444444444443</v>
      </c>
      <c r="U20" s="121">
        <f>IF(S20=TIME(17,0,0),"",(S20-T19)*24*60)</f>
        <v>4.9999999999999822</v>
      </c>
      <c r="V20" s="130">
        <f t="shared" ref="V20:V26" si="37">(T20-S20)*24*60</f>
        <v>90</v>
      </c>
      <c r="W20" s="14"/>
      <c r="X20" s="121"/>
      <c r="Y20" s="528"/>
      <c r="Z20" s="528"/>
      <c r="AA20" s="11">
        <f t="shared" si="2"/>
        <v>-160.66666666666674</v>
      </c>
      <c r="AB20" s="123">
        <f t="shared" si="19"/>
        <v>0.91966666666666663</v>
      </c>
      <c r="AC20" s="533"/>
    </row>
    <row r="21" spans="1:29" ht="15.75" customHeight="1">
      <c r="A21" s="555" t="s">
        <v>376</v>
      </c>
      <c r="B21" s="26" t="s">
        <v>13</v>
      </c>
      <c r="C21" s="552" t="s">
        <v>14</v>
      </c>
      <c r="D21" s="552"/>
      <c r="E21" s="26">
        <v>53.68</v>
      </c>
      <c r="F21" s="131">
        <v>1837</v>
      </c>
      <c r="G21" s="121">
        <f t="shared" si="32"/>
        <v>98610.16</v>
      </c>
      <c r="H21" s="76" t="s">
        <v>52</v>
      </c>
      <c r="I21" s="129">
        <v>17</v>
      </c>
      <c r="J21" s="18">
        <v>2000</v>
      </c>
      <c r="K21" s="9">
        <f t="shared" si="33"/>
        <v>117.64705882352941</v>
      </c>
      <c r="L21" s="129">
        <v>17</v>
      </c>
      <c r="M21" s="10">
        <f t="shared" si="34"/>
        <v>1836.9999999999991</v>
      </c>
      <c r="N21" s="9">
        <f t="shared" si="22"/>
        <v>108.05882352941171</v>
      </c>
      <c r="O21" s="11">
        <f t="shared" si="35"/>
        <v>0</v>
      </c>
      <c r="P21" s="12">
        <f t="shared" si="36"/>
        <v>-9.5882352941176947</v>
      </c>
      <c r="Q21" s="123">
        <f t="shared" si="29"/>
        <v>0.91849999999999954</v>
      </c>
      <c r="R21" s="533"/>
      <c r="S21" s="24">
        <v>0.30486111111111108</v>
      </c>
      <c r="T21" s="24">
        <v>0.34652777777777777</v>
      </c>
      <c r="U21" s="121">
        <f t="shared" ref="U21:U26" si="38">IF(S21=TIME(17,0,0),"",(S21-T20)*24*60)</f>
        <v>5.9999999999999787</v>
      </c>
      <c r="V21" s="130">
        <f t="shared" si="37"/>
        <v>60.000000000000028</v>
      </c>
      <c r="W21" s="14"/>
      <c r="X21" s="121"/>
      <c r="Y21" s="528"/>
      <c r="Z21" s="528"/>
      <c r="AA21" s="11">
        <f t="shared" si="2"/>
        <v>-163.00000000000091</v>
      </c>
      <c r="AB21" s="123">
        <f t="shared" si="19"/>
        <v>0.91849999999999954</v>
      </c>
      <c r="AC21" s="533"/>
    </row>
    <row r="22" spans="1:29" ht="15.75" customHeight="1">
      <c r="A22" s="555" t="s">
        <v>376</v>
      </c>
      <c r="B22" s="26" t="s">
        <v>13</v>
      </c>
      <c r="C22" s="552" t="s">
        <v>63</v>
      </c>
      <c r="D22" s="552"/>
      <c r="E22" s="26">
        <v>50.67</v>
      </c>
      <c r="F22" s="131">
        <v>979</v>
      </c>
      <c r="G22" s="121">
        <f t="shared" si="32"/>
        <v>49605.93</v>
      </c>
      <c r="H22" s="76" t="s">
        <v>52</v>
      </c>
      <c r="I22" s="129">
        <v>16</v>
      </c>
      <c r="J22" s="18">
        <v>2000</v>
      </c>
      <c r="K22" s="9">
        <f t="shared" si="33"/>
        <v>125</v>
      </c>
      <c r="L22" s="129">
        <v>16</v>
      </c>
      <c r="M22" s="10">
        <f t="shared" si="34"/>
        <v>1835.625000000002</v>
      </c>
      <c r="N22" s="9">
        <f t="shared" si="22"/>
        <v>114.72656250000013</v>
      </c>
      <c r="O22" s="11">
        <f t="shared" si="35"/>
        <v>0</v>
      </c>
      <c r="P22" s="12">
        <f t="shared" si="36"/>
        <v>-10.273437499999872</v>
      </c>
      <c r="Q22" s="123">
        <f t="shared" si="29"/>
        <v>0.91781250000000103</v>
      </c>
      <c r="R22" s="533"/>
      <c r="S22" s="24">
        <v>0.35138888888888886</v>
      </c>
      <c r="T22" s="24">
        <v>0.37361111111111106</v>
      </c>
      <c r="U22" s="121">
        <f t="shared" si="38"/>
        <v>6.9999999999999751</v>
      </c>
      <c r="V22" s="130">
        <f t="shared" si="37"/>
        <v>31.999999999999964</v>
      </c>
      <c r="W22" s="14"/>
      <c r="X22" s="121"/>
      <c r="Y22" s="528"/>
      <c r="Z22" s="528"/>
      <c r="AA22" s="11">
        <f t="shared" si="2"/>
        <v>-164.37499999999795</v>
      </c>
      <c r="AB22" s="123">
        <f t="shared" si="19"/>
        <v>0.91781250000000103</v>
      </c>
      <c r="AC22" s="533"/>
    </row>
    <row r="23" spans="1:29" ht="15.75" customHeight="1">
      <c r="A23" s="555" t="s">
        <v>376</v>
      </c>
      <c r="B23" s="26" t="s">
        <v>13</v>
      </c>
      <c r="C23" s="552" t="s">
        <v>81</v>
      </c>
      <c r="D23" s="552"/>
      <c r="E23" s="26">
        <v>58.17</v>
      </c>
      <c r="F23" s="131">
        <v>2500</v>
      </c>
      <c r="G23" s="121">
        <f t="shared" si="32"/>
        <v>145425</v>
      </c>
      <c r="H23" s="76" t="s">
        <v>52</v>
      </c>
      <c r="I23" s="129">
        <v>18</v>
      </c>
      <c r="J23" s="18">
        <v>2000</v>
      </c>
      <c r="K23" s="9">
        <f t="shared" si="33"/>
        <v>111.11111111111111</v>
      </c>
      <c r="L23" s="129">
        <v>18</v>
      </c>
      <c r="M23" s="10">
        <f t="shared" si="34"/>
        <v>1851.8518518518511</v>
      </c>
      <c r="N23" s="9">
        <f t="shared" si="22"/>
        <v>102.88065843621395</v>
      </c>
      <c r="O23" s="11">
        <f t="shared" si="35"/>
        <v>0</v>
      </c>
      <c r="P23" s="12">
        <f t="shared" si="36"/>
        <v>-8.2304526748971654</v>
      </c>
      <c r="Q23" s="123">
        <f t="shared" si="29"/>
        <v>0.92592592592592549</v>
      </c>
      <c r="R23" s="533"/>
      <c r="S23" s="24">
        <v>0.3791666666666666</v>
      </c>
      <c r="T23" s="24">
        <v>0.43541666666666662</v>
      </c>
      <c r="U23" s="121">
        <f t="shared" si="38"/>
        <v>7.9999999999999716</v>
      </c>
      <c r="V23" s="130">
        <f t="shared" si="37"/>
        <v>81.000000000000028</v>
      </c>
      <c r="W23" s="14"/>
      <c r="X23" s="121"/>
      <c r="Y23" s="528"/>
      <c r="Z23" s="528"/>
      <c r="AA23" s="11">
        <f t="shared" si="2"/>
        <v>-148.14814814814895</v>
      </c>
      <c r="AB23" s="123">
        <f t="shared" si="19"/>
        <v>0.92592592592592549</v>
      </c>
      <c r="AC23" s="533"/>
    </row>
    <row r="24" spans="1:29" ht="15.75" customHeight="1">
      <c r="A24" s="555" t="s">
        <v>376</v>
      </c>
      <c r="B24" s="26" t="s">
        <v>13</v>
      </c>
      <c r="C24" s="552" t="s">
        <v>85</v>
      </c>
      <c r="D24" s="552"/>
      <c r="E24" s="26">
        <v>54.09</v>
      </c>
      <c r="F24" s="131">
        <v>4133</v>
      </c>
      <c r="G24" s="121">
        <f t="shared" si="32"/>
        <v>223553.97</v>
      </c>
      <c r="H24" s="76" t="s">
        <v>52</v>
      </c>
      <c r="I24" s="129">
        <v>20</v>
      </c>
      <c r="J24" s="18">
        <v>2000</v>
      </c>
      <c r="K24" s="9">
        <f t="shared" si="33"/>
        <v>100</v>
      </c>
      <c r="L24" s="129">
        <v>20</v>
      </c>
      <c r="M24" s="10">
        <f t="shared" si="34"/>
        <v>1836.8888888888889</v>
      </c>
      <c r="N24" s="9">
        <f t="shared" si="22"/>
        <v>91.844444444444449</v>
      </c>
      <c r="O24" s="11">
        <f t="shared" si="35"/>
        <v>0</v>
      </c>
      <c r="P24" s="12">
        <f t="shared" si="36"/>
        <v>-8.1555555555555515</v>
      </c>
      <c r="Q24" s="123">
        <f t="shared" si="29"/>
        <v>0.91844444444444451</v>
      </c>
      <c r="R24" s="533"/>
      <c r="S24" s="24">
        <v>0.70833333333333337</v>
      </c>
      <c r="T24" s="24">
        <v>0.80208333333333337</v>
      </c>
      <c r="U24" s="121" t="str">
        <f t="shared" si="38"/>
        <v/>
      </c>
      <c r="V24" s="130">
        <f t="shared" si="37"/>
        <v>135</v>
      </c>
      <c r="W24" s="14"/>
      <c r="X24" s="15"/>
      <c r="Y24" s="528"/>
      <c r="Z24" s="528"/>
      <c r="AA24" s="11">
        <f t="shared" si="2"/>
        <v>-163.11111111111109</v>
      </c>
      <c r="AB24" s="123">
        <f t="shared" si="19"/>
        <v>0.91844444444444451</v>
      </c>
      <c r="AC24" s="533"/>
    </row>
    <row r="25" spans="1:29" ht="15.75" customHeight="1">
      <c r="A25" s="555" t="s">
        <v>376</v>
      </c>
      <c r="B25" s="26" t="s">
        <v>13</v>
      </c>
      <c r="C25" s="552" t="s">
        <v>56</v>
      </c>
      <c r="D25" s="552"/>
      <c r="E25" s="26">
        <v>53.27</v>
      </c>
      <c r="F25" s="131">
        <v>527</v>
      </c>
      <c r="G25" s="121">
        <f t="shared" si="32"/>
        <v>28073.29</v>
      </c>
      <c r="H25" s="76" t="s">
        <v>52</v>
      </c>
      <c r="I25" s="129">
        <v>15</v>
      </c>
      <c r="J25" s="18">
        <v>2000</v>
      </c>
      <c r="K25" s="9">
        <f t="shared" si="33"/>
        <v>133.33333333333334</v>
      </c>
      <c r="L25" s="129">
        <v>15</v>
      </c>
      <c r="M25" s="10">
        <f t="shared" si="34"/>
        <v>1860.0000000000066</v>
      </c>
      <c r="N25" s="9">
        <f t="shared" si="22"/>
        <v>124.00000000000044</v>
      </c>
      <c r="O25" s="11">
        <f t="shared" si="35"/>
        <v>0</v>
      </c>
      <c r="P25" s="12">
        <f t="shared" si="36"/>
        <v>-9.3333333333329023</v>
      </c>
      <c r="Q25" s="123">
        <f t="shared" si="29"/>
        <v>0.93000000000000327</v>
      </c>
      <c r="R25" s="533"/>
      <c r="S25" s="24">
        <v>0.80555555555555558</v>
      </c>
      <c r="T25" s="24">
        <v>0.81736111111111109</v>
      </c>
      <c r="U25" s="121">
        <f t="shared" si="38"/>
        <v>4.9999999999999822</v>
      </c>
      <c r="V25" s="130">
        <f t="shared" si="37"/>
        <v>16.99999999999994</v>
      </c>
      <c r="W25" s="14"/>
      <c r="X25" s="15"/>
      <c r="Y25" s="536"/>
      <c r="Z25" s="537"/>
      <c r="AA25" s="11">
        <f t="shared" si="2"/>
        <v>-139.99999999999341</v>
      </c>
      <c r="AB25" s="123">
        <f t="shared" si="19"/>
        <v>0.93000000000000327</v>
      </c>
      <c r="AC25" s="533"/>
    </row>
    <row r="26" spans="1:29" ht="15.75" customHeight="1">
      <c r="A26" s="555" t="s">
        <v>376</v>
      </c>
      <c r="B26" s="26" t="s">
        <v>13</v>
      </c>
      <c r="C26" s="584" t="s">
        <v>83</v>
      </c>
      <c r="D26" s="585"/>
      <c r="E26" s="26">
        <v>49.91</v>
      </c>
      <c r="F26" s="131">
        <v>699</v>
      </c>
      <c r="G26" s="121">
        <f t="shared" si="32"/>
        <v>34887.089999999997</v>
      </c>
      <c r="H26" s="76" t="s">
        <v>52</v>
      </c>
      <c r="I26" s="129">
        <v>16</v>
      </c>
      <c r="J26" s="18">
        <v>2000</v>
      </c>
      <c r="K26" s="9">
        <f t="shared" si="33"/>
        <v>125</v>
      </c>
      <c r="L26" s="129">
        <v>16</v>
      </c>
      <c r="M26" s="10">
        <f t="shared" si="34"/>
        <v>1906.3636363636433</v>
      </c>
      <c r="N26" s="9">
        <f t="shared" si="22"/>
        <v>119.14772727272771</v>
      </c>
      <c r="O26" s="11">
        <f t="shared" si="35"/>
        <v>0</v>
      </c>
      <c r="P26" s="12">
        <f t="shared" si="36"/>
        <v>-5.8522727272722932</v>
      </c>
      <c r="Q26" s="123">
        <f t="shared" si="29"/>
        <v>0.95318181818182168</v>
      </c>
      <c r="R26" s="533"/>
      <c r="S26" s="24">
        <v>0.8208333333333333</v>
      </c>
      <c r="T26" s="24">
        <v>0.83611111111111103</v>
      </c>
      <c r="U26" s="121">
        <f t="shared" si="38"/>
        <v>4.9999999999999822</v>
      </c>
      <c r="V26" s="130">
        <f t="shared" si="37"/>
        <v>21.999999999999922</v>
      </c>
      <c r="W26" s="14"/>
      <c r="X26" s="14"/>
      <c r="Y26" s="536"/>
      <c r="Z26" s="537"/>
      <c r="AA26" s="11">
        <f t="shared" si="2"/>
        <v>-93.636363636356691</v>
      </c>
      <c r="AB26" s="123">
        <f t="shared" si="19"/>
        <v>0.95318181818182168</v>
      </c>
      <c r="AC26" s="533"/>
    </row>
    <row r="27" spans="1:29" ht="15.75" customHeight="1">
      <c r="A27" s="555" t="s">
        <v>376</v>
      </c>
      <c r="B27" s="26" t="s">
        <v>82</v>
      </c>
      <c r="C27" s="530"/>
      <c r="D27" s="530"/>
      <c r="E27" s="122"/>
      <c r="F27" s="131"/>
      <c r="G27" s="121"/>
      <c r="H27" s="131"/>
      <c r="I27" s="17">
        <v>16.875</v>
      </c>
      <c r="J27" s="18">
        <v>2000</v>
      </c>
      <c r="K27" s="9">
        <f t="shared" si="33"/>
        <v>118.51851851851852</v>
      </c>
      <c r="L27" s="17">
        <v>16.875</v>
      </c>
      <c r="M27" s="10">
        <f>AVERAGE(M19:M26)</f>
        <v>1853.9749440678736</v>
      </c>
      <c r="N27" s="9">
        <f>M27/L27</f>
        <v>109.8651818706888</v>
      </c>
      <c r="O27" s="11">
        <f>L27-I27</f>
        <v>0</v>
      </c>
      <c r="P27" s="12">
        <f>N27-K27</f>
        <v>-8.6533366478297182</v>
      </c>
      <c r="Q27" s="123">
        <f>N27/K27</f>
        <v>0.92698747203393672</v>
      </c>
      <c r="R27" s="533"/>
      <c r="S27" s="24"/>
      <c r="T27" s="24"/>
      <c r="U27" s="9"/>
      <c r="V27" s="130"/>
      <c r="W27" s="9"/>
      <c r="X27" s="9"/>
      <c r="Y27" s="528"/>
      <c r="Z27" s="528"/>
      <c r="AA27" s="11">
        <f t="shared" si="2"/>
        <v>-146.02505593212641</v>
      </c>
      <c r="AB27" s="123">
        <f t="shared" si="19"/>
        <v>0.92698747203393683</v>
      </c>
      <c r="AC27" s="533"/>
    </row>
    <row r="28" spans="1:29" ht="15.75" customHeight="1">
      <c r="A28" s="553" t="s">
        <v>377</v>
      </c>
      <c r="B28" s="26" t="s">
        <v>24</v>
      </c>
      <c r="C28" s="552" t="s">
        <v>26</v>
      </c>
      <c r="D28" s="552"/>
      <c r="E28" s="26">
        <v>26.2</v>
      </c>
      <c r="F28" s="131">
        <v>4397</v>
      </c>
      <c r="G28" s="121">
        <f t="shared" ref="G28:G32" si="39">E28*F28</f>
        <v>115201.4</v>
      </c>
      <c r="H28" s="76" t="s">
        <v>52</v>
      </c>
      <c r="I28" s="129">
        <v>20</v>
      </c>
      <c r="J28" s="18">
        <v>2400</v>
      </c>
      <c r="K28" s="9">
        <f>J28/I28</f>
        <v>120</v>
      </c>
      <c r="L28" s="129">
        <v>20</v>
      </c>
      <c r="M28" s="10">
        <f t="shared" ref="M28:M32" si="40">F28/V28*60</f>
        <v>2216.974789915967</v>
      </c>
      <c r="N28" s="9">
        <f t="shared" ref="N28:N32" si="41">M28/L28</f>
        <v>110.84873949579836</v>
      </c>
      <c r="O28" s="11">
        <f t="shared" ref="O28:O32" si="42">L28-I28</f>
        <v>0</v>
      </c>
      <c r="P28" s="12">
        <f t="shared" ref="P28:P32" si="43">N28-K28</f>
        <v>-9.1512605042016446</v>
      </c>
      <c r="Q28" s="123">
        <f t="shared" ref="Q28:Q32" si="44">N28/K28</f>
        <v>0.9237394957983196</v>
      </c>
      <c r="R28" s="533">
        <f>Q33</f>
        <v>0.9191806661976939</v>
      </c>
      <c r="S28" s="24">
        <v>0.125</v>
      </c>
      <c r="T28" s="24">
        <v>0.20763888888888887</v>
      </c>
      <c r="U28" s="121"/>
      <c r="V28" s="130">
        <f t="shared" ref="V28:V32" si="45">(T28-S28)*24*60</f>
        <v>118.99999999999997</v>
      </c>
      <c r="W28" s="14">
        <f>T28</f>
        <v>0.20763888888888887</v>
      </c>
      <c r="X28" s="14">
        <f>S29</f>
        <v>0.22777777777777777</v>
      </c>
      <c r="Y28" s="528"/>
      <c r="Z28" s="528"/>
      <c r="AA28" s="11">
        <f t="shared" si="2"/>
        <v>-183.02521008403301</v>
      </c>
      <c r="AB28" s="123">
        <f>M28/J28</f>
        <v>0.9237394957983196</v>
      </c>
      <c r="AC28" s="533">
        <f>AB33</f>
        <v>0.91918066619769401</v>
      </c>
    </row>
    <row r="29" spans="1:29" ht="15.75" customHeight="1">
      <c r="A29" s="553" t="s">
        <v>377</v>
      </c>
      <c r="B29" s="26" t="s">
        <v>24</v>
      </c>
      <c r="C29" s="552" t="s">
        <v>79</v>
      </c>
      <c r="D29" s="552"/>
      <c r="E29" s="26">
        <v>31.29</v>
      </c>
      <c r="F29" s="131">
        <v>3500</v>
      </c>
      <c r="G29" s="121">
        <f t="shared" si="39"/>
        <v>109515</v>
      </c>
      <c r="H29" s="76">
        <v>2</v>
      </c>
      <c r="I29" s="129">
        <v>16</v>
      </c>
      <c r="J29" s="18">
        <v>2400</v>
      </c>
      <c r="K29" s="9">
        <f t="shared" ref="K29:K33" si="46">J29/I29</f>
        <v>150</v>
      </c>
      <c r="L29" s="129">
        <v>16</v>
      </c>
      <c r="M29" s="10">
        <f t="shared" si="40"/>
        <v>2210.5263157894728</v>
      </c>
      <c r="N29" s="9">
        <f t="shared" si="41"/>
        <v>138.15789473684205</v>
      </c>
      <c r="O29" s="11">
        <f t="shared" si="42"/>
        <v>0</v>
      </c>
      <c r="P29" s="12">
        <f t="shared" si="43"/>
        <v>-11.842105263157947</v>
      </c>
      <c r="Q29" s="123">
        <f t="shared" si="44"/>
        <v>0.92105263157894701</v>
      </c>
      <c r="R29" s="533"/>
      <c r="S29" s="24">
        <v>0.22777777777777777</v>
      </c>
      <c r="T29" s="24">
        <v>0.29375000000000001</v>
      </c>
      <c r="U29" s="121">
        <f>(S29-T28)*24*60</f>
        <v>29.000000000000018</v>
      </c>
      <c r="V29" s="130">
        <f t="shared" si="45"/>
        <v>95.000000000000028</v>
      </c>
      <c r="W29" s="14"/>
      <c r="X29" s="14"/>
      <c r="Y29" s="528"/>
      <c r="Z29" s="528"/>
      <c r="AA29" s="11">
        <f t="shared" si="2"/>
        <v>-189.47368421052715</v>
      </c>
      <c r="AB29" s="123">
        <f t="shared" ref="AB29:AB32" si="47">M29/J29</f>
        <v>0.92105263157894701</v>
      </c>
      <c r="AC29" s="533"/>
    </row>
    <row r="30" spans="1:29" ht="15.75" customHeight="1">
      <c r="A30" s="553" t="s">
        <v>377</v>
      </c>
      <c r="B30" s="26" t="s">
        <v>24</v>
      </c>
      <c r="C30" s="552" t="s">
        <v>68</v>
      </c>
      <c r="D30" s="552"/>
      <c r="E30" s="26">
        <v>24.25</v>
      </c>
      <c r="F30" s="131">
        <v>4954</v>
      </c>
      <c r="G30" s="121">
        <f t="shared" si="39"/>
        <v>120134.5</v>
      </c>
      <c r="H30" s="76" t="s">
        <v>52</v>
      </c>
      <c r="I30" s="129">
        <v>18</v>
      </c>
      <c r="J30" s="18">
        <v>2400</v>
      </c>
      <c r="K30" s="9">
        <f t="shared" si="46"/>
        <v>133.33333333333334</v>
      </c>
      <c r="L30" s="129">
        <v>18</v>
      </c>
      <c r="M30" s="10">
        <f t="shared" si="40"/>
        <v>2201.7777777777778</v>
      </c>
      <c r="N30" s="9">
        <f t="shared" si="41"/>
        <v>122.32098765432099</v>
      </c>
      <c r="O30" s="11">
        <f t="shared" si="42"/>
        <v>0</v>
      </c>
      <c r="P30" s="12">
        <f t="shared" si="43"/>
        <v>-11.012345679012356</v>
      </c>
      <c r="Q30" s="123">
        <f t="shared" si="44"/>
        <v>0.91740740740740734</v>
      </c>
      <c r="R30" s="533"/>
      <c r="S30" s="24">
        <v>0.29930555555555555</v>
      </c>
      <c r="T30" s="24">
        <v>0.39305555555555555</v>
      </c>
      <c r="U30" s="121">
        <f t="shared" ref="U30:U32" si="48">(S30-T29)*24*60</f>
        <v>7.9999999999999716</v>
      </c>
      <c r="V30" s="130">
        <f t="shared" si="45"/>
        <v>135</v>
      </c>
      <c r="W30" s="14"/>
      <c r="X30" s="14"/>
      <c r="Y30" s="528"/>
      <c r="Z30" s="528"/>
      <c r="AA30" s="11">
        <f t="shared" si="2"/>
        <v>-198.22222222222217</v>
      </c>
      <c r="AB30" s="123">
        <f t="shared" si="47"/>
        <v>0.91740740740740745</v>
      </c>
      <c r="AC30" s="533"/>
    </row>
    <row r="31" spans="1:29" ht="15.75" customHeight="1">
      <c r="A31" s="553" t="s">
        <v>377</v>
      </c>
      <c r="B31" s="26" t="s">
        <v>24</v>
      </c>
      <c r="C31" s="552" t="s">
        <v>328</v>
      </c>
      <c r="D31" s="552"/>
      <c r="E31" s="26">
        <v>24.82</v>
      </c>
      <c r="F31" s="131">
        <v>6665</v>
      </c>
      <c r="G31" s="121">
        <f t="shared" si="39"/>
        <v>165425.29999999999</v>
      </c>
      <c r="H31" s="76" t="s">
        <v>52</v>
      </c>
      <c r="I31" s="129">
        <v>17</v>
      </c>
      <c r="J31" s="18">
        <v>2400</v>
      </c>
      <c r="K31" s="9">
        <f t="shared" si="46"/>
        <v>141.1764705882353</v>
      </c>
      <c r="L31" s="129">
        <v>17</v>
      </c>
      <c r="M31" s="10">
        <f t="shared" si="40"/>
        <v>2197.2527472527463</v>
      </c>
      <c r="N31" s="9">
        <f t="shared" si="41"/>
        <v>129.25016160310273</v>
      </c>
      <c r="O31" s="11">
        <f t="shared" si="42"/>
        <v>0</v>
      </c>
      <c r="P31" s="12">
        <f t="shared" si="43"/>
        <v>-11.926308985132579</v>
      </c>
      <c r="Q31" s="123">
        <f t="shared" si="44"/>
        <v>0.91552197802197754</v>
      </c>
      <c r="R31" s="533"/>
      <c r="S31" s="24">
        <v>0.39652777777777776</v>
      </c>
      <c r="T31" s="24">
        <v>0.5229166666666667</v>
      </c>
      <c r="U31" s="121">
        <f t="shared" si="48"/>
        <v>4.9999999999999822</v>
      </c>
      <c r="V31" s="130">
        <f t="shared" si="45"/>
        <v>182.00000000000009</v>
      </c>
      <c r="W31" s="14">
        <f>T31</f>
        <v>0.5229166666666667</v>
      </c>
      <c r="X31" s="14">
        <f>S32</f>
        <v>0.56388888888888888</v>
      </c>
      <c r="Y31" s="528"/>
      <c r="Z31" s="528"/>
      <c r="AA31" s="11">
        <f t="shared" si="2"/>
        <v>-202.7472527472537</v>
      </c>
      <c r="AB31" s="123">
        <f t="shared" si="47"/>
        <v>0.91552197802197766</v>
      </c>
      <c r="AC31" s="533"/>
    </row>
    <row r="32" spans="1:29" ht="15.75" customHeight="1">
      <c r="A32" s="553" t="s">
        <v>377</v>
      </c>
      <c r="B32" s="26" t="s">
        <v>24</v>
      </c>
      <c r="C32" s="552" t="s">
        <v>79</v>
      </c>
      <c r="D32" s="552"/>
      <c r="E32" s="26">
        <v>31.29</v>
      </c>
      <c r="F32" s="131">
        <v>4848</v>
      </c>
      <c r="G32" s="121">
        <f t="shared" si="39"/>
        <v>151693.91999999998</v>
      </c>
      <c r="H32" s="76" t="s">
        <v>52</v>
      </c>
      <c r="I32" s="129">
        <v>16</v>
      </c>
      <c r="J32" s="18">
        <v>2400</v>
      </c>
      <c r="K32" s="9">
        <f t="shared" si="46"/>
        <v>150</v>
      </c>
      <c r="L32" s="129">
        <v>16</v>
      </c>
      <c r="M32" s="10">
        <f t="shared" si="40"/>
        <v>2203.6363636363635</v>
      </c>
      <c r="N32" s="9">
        <f t="shared" si="41"/>
        <v>137.72727272727272</v>
      </c>
      <c r="O32" s="11">
        <f t="shared" si="42"/>
        <v>0</v>
      </c>
      <c r="P32" s="12">
        <f t="shared" si="43"/>
        <v>-12.27272727272728</v>
      </c>
      <c r="Q32" s="123">
        <f t="shared" si="44"/>
        <v>0.9181818181818181</v>
      </c>
      <c r="R32" s="533"/>
      <c r="S32" s="24">
        <v>0.56388888888888888</v>
      </c>
      <c r="T32" s="24">
        <v>0.65555555555555556</v>
      </c>
      <c r="U32" s="121">
        <f t="shared" si="48"/>
        <v>58.99999999999995</v>
      </c>
      <c r="V32" s="130">
        <f t="shared" si="45"/>
        <v>132</v>
      </c>
      <c r="W32" s="14"/>
      <c r="X32" s="14"/>
      <c r="Y32" s="528"/>
      <c r="Z32" s="528"/>
      <c r="AA32" s="11">
        <f t="shared" si="2"/>
        <v>-196.36363636363649</v>
      </c>
      <c r="AB32" s="123">
        <f t="shared" si="47"/>
        <v>0.9181818181818181</v>
      </c>
      <c r="AC32" s="533"/>
    </row>
    <row r="33" spans="1:29" ht="15.75" customHeight="1">
      <c r="A33" s="553" t="s">
        <v>377</v>
      </c>
      <c r="B33" s="26" t="s">
        <v>82</v>
      </c>
      <c r="C33" s="530"/>
      <c r="D33" s="530"/>
      <c r="E33" s="122"/>
      <c r="F33" s="131"/>
      <c r="G33" s="121"/>
      <c r="H33" s="131"/>
      <c r="I33" s="17">
        <v>17.399999999999999</v>
      </c>
      <c r="J33" s="18">
        <v>2400</v>
      </c>
      <c r="K33" s="9">
        <f t="shared" si="46"/>
        <v>137.93103448275863</v>
      </c>
      <c r="L33" s="17">
        <v>17.399999999999999</v>
      </c>
      <c r="M33" s="10">
        <f>AVERAGE(M28:M32)</f>
        <v>2206.0335988744655</v>
      </c>
      <c r="N33" s="9">
        <f>M33/L33</f>
        <v>126.78354016519917</v>
      </c>
      <c r="O33" s="11">
        <f>L33-I33</f>
        <v>0</v>
      </c>
      <c r="P33" s="12">
        <f>N33-K33</f>
        <v>-11.147494317559463</v>
      </c>
      <c r="Q33" s="123">
        <f>N33/K33</f>
        <v>0.9191806661976939</v>
      </c>
      <c r="R33" s="533"/>
      <c r="S33" s="24"/>
      <c r="T33" s="24"/>
      <c r="U33" s="121"/>
      <c r="V33" s="130"/>
      <c r="W33" s="121"/>
      <c r="X33" s="121"/>
      <c r="Y33" s="528"/>
      <c r="Z33" s="528"/>
      <c r="AA33" s="11">
        <f t="shared" si="2"/>
        <v>-193.9664011255345</v>
      </c>
      <c r="AB33" s="123">
        <f>M33/J33</f>
        <v>0.91918066619769401</v>
      </c>
      <c r="AC33" s="533"/>
    </row>
    <row r="34" spans="1:29" ht="15.75" customHeight="1">
      <c r="A34" s="550" t="s">
        <v>379</v>
      </c>
      <c r="B34" s="26" t="s">
        <v>24</v>
      </c>
      <c r="C34" s="529" t="s">
        <v>28</v>
      </c>
      <c r="D34" s="529"/>
      <c r="E34" s="26">
        <v>26.2</v>
      </c>
      <c r="F34" s="131">
        <v>2700</v>
      </c>
      <c r="G34" s="121">
        <f t="shared" ref="G34:G42" si="49">E34*F34</f>
        <v>70740</v>
      </c>
      <c r="H34" s="76">
        <v>2</v>
      </c>
      <c r="I34" s="129">
        <v>18</v>
      </c>
      <c r="J34" s="18">
        <v>2400</v>
      </c>
      <c r="K34" s="9">
        <f>J34/I34</f>
        <v>133.33333333333334</v>
      </c>
      <c r="L34" s="129">
        <v>18</v>
      </c>
      <c r="M34" s="10">
        <f>F34/V34*60</f>
        <v>2219.178082191781</v>
      </c>
      <c r="N34" s="9">
        <f>M34/L34</f>
        <v>123.28767123287672</v>
      </c>
      <c r="O34" s="11">
        <f t="shared" ref="O34:O42" si="50">L34-I34</f>
        <v>0</v>
      </c>
      <c r="P34" s="12">
        <f t="shared" ref="P34:P52" si="51">N34-K34</f>
        <v>-10.045662100456624</v>
      </c>
      <c r="Q34" s="123">
        <f t="shared" ref="Q34:Q47" si="52">N34/K34</f>
        <v>0.92465753424657537</v>
      </c>
      <c r="R34" s="533">
        <f>Q43</f>
        <v>0.92078633931565546</v>
      </c>
      <c r="S34" s="24">
        <v>8.3333333333333329E-2</v>
      </c>
      <c r="T34" s="24">
        <v>0.13402777777777777</v>
      </c>
      <c r="U34" s="121"/>
      <c r="V34" s="130">
        <f t="shared" ref="V34:V42" si="53">(T34-S34)*24*60</f>
        <v>73</v>
      </c>
      <c r="W34" s="15">
        <f>T34</f>
        <v>0.13402777777777777</v>
      </c>
      <c r="X34" s="15">
        <f>S35</f>
        <v>0.15277777777777776</v>
      </c>
      <c r="Y34" s="528"/>
      <c r="Z34" s="528"/>
      <c r="AA34" s="11">
        <f t="shared" si="2"/>
        <v>-180.82191780821904</v>
      </c>
      <c r="AB34" s="123">
        <f>M34/J34</f>
        <v>0.92465753424657537</v>
      </c>
      <c r="AC34" s="533">
        <f>AB43</f>
        <v>0.92078633931565546</v>
      </c>
    </row>
    <row r="35" spans="1:29" ht="15.75" customHeight="1">
      <c r="A35" s="550" t="s">
        <v>379</v>
      </c>
      <c r="B35" s="26" t="s">
        <v>24</v>
      </c>
      <c r="C35" s="529" t="s">
        <v>30</v>
      </c>
      <c r="D35" s="529"/>
      <c r="E35" s="26">
        <v>24.45</v>
      </c>
      <c r="F35" s="131">
        <v>2274</v>
      </c>
      <c r="G35" s="121">
        <f t="shared" si="49"/>
        <v>55599.299999999996</v>
      </c>
      <c r="H35" s="76" t="s">
        <v>52</v>
      </c>
      <c r="I35" s="129">
        <v>20</v>
      </c>
      <c r="J35" s="18">
        <v>2400</v>
      </c>
      <c r="K35" s="9">
        <f t="shared" ref="K35:K51" si="54">J35/I35</f>
        <v>120</v>
      </c>
      <c r="L35" s="129">
        <v>20</v>
      </c>
      <c r="M35" s="10">
        <f t="shared" ref="M35:M42" si="55">F35/V35*60</f>
        <v>2200.645161290322</v>
      </c>
      <c r="N35" s="9">
        <f t="shared" ref="N35:N42" si="56">M35/L35</f>
        <v>110.0322580645161</v>
      </c>
      <c r="O35" s="11">
        <f t="shared" si="50"/>
        <v>0</v>
      </c>
      <c r="P35" s="12">
        <f t="shared" si="51"/>
        <v>-9.9677419354839003</v>
      </c>
      <c r="Q35" s="123">
        <f t="shared" si="52"/>
        <v>0.91693548387096746</v>
      </c>
      <c r="R35" s="533"/>
      <c r="S35" s="24">
        <v>0.15277777777777776</v>
      </c>
      <c r="T35" s="24">
        <v>0.19583333333333333</v>
      </c>
      <c r="U35" s="121">
        <f>(S35-T34)*24*60</f>
        <v>26.999999999999986</v>
      </c>
      <c r="V35" s="130">
        <f t="shared" si="53"/>
        <v>62.000000000000021</v>
      </c>
      <c r="W35" s="121"/>
      <c r="X35" s="121"/>
      <c r="Y35" s="528"/>
      <c r="Z35" s="528"/>
      <c r="AA35" s="11">
        <f t="shared" si="2"/>
        <v>-199.35483870967801</v>
      </c>
      <c r="AB35" s="123">
        <f t="shared" ref="AB35:AB65" si="57">M35/J35</f>
        <v>0.91693548387096746</v>
      </c>
      <c r="AC35" s="533"/>
    </row>
    <row r="36" spans="1:29">
      <c r="A36" s="551" t="s">
        <v>379</v>
      </c>
      <c r="B36" s="26" t="s">
        <v>24</v>
      </c>
      <c r="C36" s="529" t="s">
        <v>31</v>
      </c>
      <c r="D36" s="529"/>
      <c r="E36" s="26">
        <v>26.2</v>
      </c>
      <c r="F36" s="131">
        <v>3190</v>
      </c>
      <c r="G36" s="121">
        <f t="shared" si="49"/>
        <v>83578</v>
      </c>
      <c r="H36" s="76" t="s">
        <v>52</v>
      </c>
      <c r="I36" s="129">
        <v>20</v>
      </c>
      <c r="J36" s="18">
        <v>2400</v>
      </c>
      <c r="K36" s="9">
        <f t="shared" si="54"/>
        <v>120</v>
      </c>
      <c r="L36" s="129">
        <v>20</v>
      </c>
      <c r="M36" s="10">
        <f t="shared" si="55"/>
        <v>2199.9999999999995</v>
      </c>
      <c r="N36" s="9">
        <f t="shared" si="56"/>
        <v>109.99999999999997</v>
      </c>
      <c r="O36" s="11">
        <f t="shared" si="50"/>
        <v>0</v>
      </c>
      <c r="P36" s="12">
        <f t="shared" si="51"/>
        <v>-10.000000000000028</v>
      </c>
      <c r="Q36" s="123">
        <f t="shared" si="52"/>
        <v>0.91666666666666641</v>
      </c>
      <c r="R36" s="533"/>
      <c r="S36" s="24">
        <v>0.20069444444444445</v>
      </c>
      <c r="T36" s="24">
        <v>0.26111111111111113</v>
      </c>
      <c r="U36" s="121">
        <f t="shared" ref="U36:U42" si="58">(S36-T35)*24*60</f>
        <v>7.0000000000000151</v>
      </c>
      <c r="V36" s="130">
        <f t="shared" si="53"/>
        <v>87.000000000000014</v>
      </c>
      <c r="W36" s="121"/>
      <c r="X36" s="121"/>
      <c r="Y36" s="528"/>
      <c r="Z36" s="528"/>
      <c r="AA36" s="11">
        <f t="shared" si="2"/>
        <v>-200.00000000000045</v>
      </c>
      <c r="AB36" s="123">
        <f t="shared" si="57"/>
        <v>0.91666666666666652</v>
      </c>
      <c r="AC36" s="533"/>
    </row>
    <row r="37" spans="1:29">
      <c r="A37" s="551" t="s">
        <v>379</v>
      </c>
      <c r="B37" s="26" t="s">
        <v>24</v>
      </c>
      <c r="C37" s="529" t="s">
        <v>29</v>
      </c>
      <c r="D37" s="529"/>
      <c r="E37" s="26">
        <v>26.39</v>
      </c>
      <c r="F37" s="131">
        <v>3050</v>
      </c>
      <c r="G37" s="121">
        <f t="shared" si="49"/>
        <v>80489.5</v>
      </c>
      <c r="H37" s="76">
        <v>2</v>
      </c>
      <c r="I37" s="129">
        <v>19</v>
      </c>
      <c r="J37" s="18">
        <v>2400</v>
      </c>
      <c r="K37" s="9">
        <f t="shared" si="54"/>
        <v>126.31578947368421</v>
      </c>
      <c r="L37" s="129">
        <v>19</v>
      </c>
      <c r="M37" s="10">
        <f t="shared" si="55"/>
        <v>2204.8192771084327</v>
      </c>
      <c r="N37" s="9">
        <f t="shared" si="56"/>
        <v>116.04311984781225</v>
      </c>
      <c r="O37" s="11">
        <f t="shared" si="50"/>
        <v>0</v>
      </c>
      <c r="P37" s="12">
        <f t="shared" si="51"/>
        <v>-10.272669625871956</v>
      </c>
      <c r="Q37" s="123">
        <f t="shared" si="52"/>
        <v>0.91867469879518038</v>
      </c>
      <c r="R37" s="533"/>
      <c r="S37" s="24">
        <v>0.26597222222222222</v>
      </c>
      <c r="T37" s="24">
        <v>0.32361111111111113</v>
      </c>
      <c r="U37" s="121">
        <f t="shared" si="58"/>
        <v>6.9999999999999751</v>
      </c>
      <c r="V37" s="130">
        <f t="shared" si="53"/>
        <v>83.000000000000028</v>
      </c>
      <c r="W37" s="14"/>
      <c r="X37" s="14"/>
      <c r="Y37" s="528"/>
      <c r="Z37" s="528"/>
      <c r="AA37" s="11">
        <f t="shared" si="2"/>
        <v>-195.18072289156726</v>
      </c>
      <c r="AB37" s="123">
        <f t="shared" si="57"/>
        <v>0.91867469879518027</v>
      </c>
      <c r="AC37" s="533"/>
    </row>
    <row r="38" spans="1:29">
      <c r="A38" s="551" t="s">
        <v>379</v>
      </c>
      <c r="B38" s="26" t="s">
        <v>24</v>
      </c>
      <c r="C38" s="529" t="s">
        <v>27</v>
      </c>
      <c r="D38" s="529"/>
      <c r="E38" s="26">
        <v>20.52</v>
      </c>
      <c r="F38" s="131">
        <v>3101</v>
      </c>
      <c r="G38" s="121">
        <f t="shared" si="49"/>
        <v>63632.52</v>
      </c>
      <c r="H38" s="76" t="s">
        <v>52</v>
      </c>
      <c r="I38" s="129">
        <v>18</v>
      </c>
      <c r="J38" s="18">
        <v>2400</v>
      </c>
      <c r="K38" s="9">
        <f t="shared" si="54"/>
        <v>133.33333333333334</v>
      </c>
      <c r="L38" s="129">
        <v>18</v>
      </c>
      <c r="M38" s="10">
        <f t="shared" si="55"/>
        <v>2214.9999999999995</v>
      </c>
      <c r="N38" s="9">
        <f t="shared" si="56"/>
        <v>123.05555555555553</v>
      </c>
      <c r="O38" s="11">
        <f t="shared" si="50"/>
        <v>0</v>
      </c>
      <c r="P38" s="12">
        <f t="shared" si="51"/>
        <v>-10.277777777777814</v>
      </c>
      <c r="Q38" s="123">
        <f t="shared" si="52"/>
        <v>0.92291666666666639</v>
      </c>
      <c r="R38" s="533"/>
      <c r="S38" s="24">
        <v>0.32847222222222222</v>
      </c>
      <c r="T38" s="24">
        <v>0.38680555555555557</v>
      </c>
      <c r="U38" s="121">
        <f t="shared" si="58"/>
        <v>6.9999999999999751</v>
      </c>
      <c r="V38" s="130">
        <f t="shared" si="53"/>
        <v>84.000000000000028</v>
      </c>
      <c r="W38" s="14"/>
      <c r="X38" s="14"/>
      <c r="Y38" s="528"/>
      <c r="Z38" s="528"/>
      <c r="AA38" s="11">
        <f t="shared" si="2"/>
        <v>-185.00000000000045</v>
      </c>
      <c r="AB38" s="123">
        <f t="shared" si="57"/>
        <v>0.9229166666666665</v>
      </c>
      <c r="AC38" s="533"/>
    </row>
    <row r="39" spans="1:29">
      <c r="A39" s="551" t="s">
        <v>379</v>
      </c>
      <c r="B39" s="26" t="s">
        <v>24</v>
      </c>
      <c r="C39" s="529" t="s">
        <v>50</v>
      </c>
      <c r="D39" s="529"/>
      <c r="E39" s="26">
        <v>26.2</v>
      </c>
      <c r="F39" s="131">
        <v>4358</v>
      </c>
      <c r="G39" s="121">
        <f t="shared" si="49"/>
        <v>114179.59999999999</v>
      </c>
      <c r="H39" s="76" t="s">
        <v>52</v>
      </c>
      <c r="I39" s="129">
        <v>19</v>
      </c>
      <c r="J39" s="18">
        <v>2400</v>
      </c>
      <c r="K39" s="9">
        <f t="shared" si="54"/>
        <v>126.31578947368421</v>
      </c>
      <c r="L39" s="129">
        <v>19</v>
      </c>
      <c r="M39" s="10">
        <f t="shared" si="55"/>
        <v>2197.3109243697486</v>
      </c>
      <c r="N39" s="9">
        <f t="shared" si="56"/>
        <v>115.64794338788151</v>
      </c>
      <c r="O39" s="11">
        <f t="shared" si="50"/>
        <v>0</v>
      </c>
      <c r="P39" s="12">
        <f t="shared" si="51"/>
        <v>-10.667846085802694</v>
      </c>
      <c r="Q39" s="123">
        <f t="shared" si="52"/>
        <v>0.91554621848739537</v>
      </c>
      <c r="R39" s="533"/>
      <c r="S39" s="24">
        <v>0.3923611111111111</v>
      </c>
      <c r="T39" s="24">
        <v>0.47499999999999998</v>
      </c>
      <c r="U39" s="121">
        <f t="shared" si="58"/>
        <v>7.9999999999999716</v>
      </c>
      <c r="V39" s="130">
        <f t="shared" si="53"/>
        <v>118.99999999999997</v>
      </c>
      <c r="W39" s="14"/>
      <c r="X39" s="14"/>
      <c r="Y39" s="528"/>
      <c r="Z39" s="528"/>
      <c r="AA39" s="11">
        <f t="shared" si="2"/>
        <v>-202.68907563025141</v>
      </c>
      <c r="AB39" s="123">
        <f t="shared" si="57"/>
        <v>0.91554621848739526</v>
      </c>
      <c r="AC39" s="533"/>
    </row>
    <row r="40" spans="1:29">
      <c r="A40" s="551" t="s">
        <v>379</v>
      </c>
      <c r="B40" s="26" t="s">
        <v>24</v>
      </c>
      <c r="C40" s="529" t="s">
        <v>62</v>
      </c>
      <c r="D40" s="529"/>
      <c r="E40" s="26">
        <v>22.35</v>
      </c>
      <c r="F40" s="131">
        <v>2155</v>
      </c>
      <c r="G40" s="121">
        <f t="shared" si="49"/>
        <v>48164.25</v>
      </c>
      <c r="H40" s="76" t="s">
        <v>52</v>
      </c>
      <c r="I40" s="129">
        <v>16</v>
      </c>
      <c r="J40" s="18">
        <v>2400</v>
      </c>
      <c r="K40" s="9">
        <f t="shared" si="54"/>
        <v>150</v>
      </c>
      <c r="L40" s="129">
        <v>16</v>
      </c>
      <c r="M40" s="10">
        <f t="shared" si="55"/>
        <v>2229.3103448275879</v>
      </c>
      <c r="N40" s="9">
        <f t="shared" si="56"/>
        <v>139.33189655172424</v>
      </c>
      <c r="O40" s="11">
        <f t="shared" si="50"/>
        <v>0</v>
      </c>
      <c r="P40" s="12">
        <f t="shared" si="51"/>
        <v>-10.668103448275758</v>
      </c>
      <c r="Q40" s="123">
        <f t="shared" si="52"/>
        <v>0.92887931034482829</v>
      </c>
      <c r="R40" s="533"/>
      <c r="S40" s="24">
        <v>0.47916666666666663</v>
      </c>
      <c r="T40" s="24">
        <v>0.51944444444444438</v>
      </c>
      <c r="U40" s="121">
        <f t="shared" si="58"/>
        <v>5.9999999999999787</v>
      </c>
      <c r="V40" s="130">
        <f t="shared" si="53"/>
        <v>57.999999999999957</v>
      </c>
      <c r="W40" s="14">
        <f>T40</f>
        <v>0.51944444444444438</v>
      </c>
      <c r="X40" s="14">
        <f>S41</f>
        <v>0.56041666666666656</v>
      </c>
      <c r="Y40" s="536"/>
      <c r="Z40" s="537"/>
      <c r="AA40" s="11">
        <f t="shared" si="2"/>
        <v>-170.68965517241213</v>
      </c>
      <c r="AB40" s="123">
        <f t="shared" si="57"/>
        <v>0.92887931034482829</v>
      </c>
      <c r="AC40" s="533"/>
    </row>
    <row r="41" spans="1:29">
      <c r="A41" s="551" t="s">
        <v>379</v>
      </c>
      <c r="B41" s="26" t="s">
        <v>24</v>
      </c>
      <c r="C41" s="529" t="s">
        <v>28</v>
      </c>
      <c r="D41" s="529"/>
      <c r="E41" s="26">
        <v>26.2</v>
      </c>
      <c r="F41" s="131">
        <v>4267</v>
      </c>
      <c r="G41" s="121">
        <f t="shared" si="49"/>
        <v>111795.4</v>
      </c>
      <c r="H41" s="76" t="s">
        <v>52</v>
      </c>
      <c r="I41" s="129">
        <v>18</v>
      </c>
      <c r="J41" s="18">
        <v>2400</v>
      </c>
      <c r="K41" s="9">
        <f t="shared" si="54"/>
        <v>133.33333333333334</v>
      </c>
      <c r="L41" s="129">
        <v>18</v>
      </c>
      <c r="M41" s="10">
        <f t="shared" si="55"/>
        <v>2207.06896551724</v>
      </c>
      <c r="N41" s="9">
        <f t="shared" si="56"/>
        <v>122.61494252873555</v>
      </c>
      <c r="O41" s="11">
        <f t="shared" si="50"/>
        <v>0</v>
      </c>
      <c r="P41" s="12">
        <f t="shared" si="51"/>
        <v>-10.718390804597789</v>
      </c>
      <c r="Q41" s="123">
        <f t="shared" si="52"/>
        <v>0.91961206896551662</v>
      </c>
      <c r="R41" s="533"/>
      <c r="S41" s="24">
        <v>0.56041666666666656</v>
      </c>
      <c r="T41" s="24">
        <v>0.64097222222222217</v>
      </c>
      <c r="U41" s="121">
        <f t="shared" si="58"/>
        <v>58.99999999999995</v>
      </c>
      <c r="V41" s="130">
        <f t="shared" si="53"/>
        <v>116.00000000000007</v>
      </c>
      <c r="W41" s="14"/>
      <c r="X41" s="14"/>
      <c r="Y41" s="536"/>
      <c r="Z41" s="537"/>
      <c r="AA41" s="11">
        <f t="shared" si="2"/>
        <v>-192.93103448275997</v>
      </c>
      <c r="AB41" s="123">
        <f t="shared" si="57"/>
        <v>0.91961206896551673</v>
      </c>
      <c r="AC41" s="533"/>
    </row>
    <row r="42" spans="1:29">
      <c r="A42" s="551" t="s">
        <v>379</v>
      </c>
      <c r="B42" s="26" t="s">
        <v>24</v>
      </c>
      <c r="C42" s="529" t="s">
        <v>29</v>
      </c>
      <c r="D42" s="529"/>
      <c r="E42" s="26">
        <v>26.39</v>
      </c>
      <c r="F42" s="131">
        <v>2548</v>
      </c>
      <c r="G42" s="121">
        <f t="shared" si="49"/>
        <v>67241.72</v>
      </c>
      <c r="H42" s="76" t="s">
        <v>52</v>
      </c>
      <c r="I42" s="129">
        <v>19</v>
      </c>
      <c r="J42" s="18">
        <v>2400</v>
      </c>
      <c r="K42" s="9">
        <f t="shared" si="54"/>
        <v>126.31578947368421</v>
      </c>
      <c r="L42" s="129">
        <v>19</v>
      </c>
      <c r="M42" s="10">
        <f t="shared" si="55"/>
        <v>2215.6521739130462</v>
      </c>
      <c r="N42" s="9">
        <f t="shared" si="56"/>
        <v>116.61327231121295</v>
      </c>
      <c r="O42" s="11">
        <f t="shared" si="50"/>
        <v>0</v>
      </c>
      <c r="P42" s="12">
        <f t="shared" si="51"/>
        <v>-9.7025171624712527</v>
      </c>
      <c r="Q42" s="123">
        <f t="shared" si="52"/>
        <v>0.9231884057971026</v>
      </c>
      <c r="R42" s="533"/>
      <c r="S42" s="24">
        <v>0.64444444444444438</v>
      </c>
      <c r="T42" s="24">
        <v>0.69236111111111098</v>
      </c>
      <c r="U42" s="121">
        <f t="shared" si="58"/>
        <v>4.9999999999999822</v>
      </c>
      <c r="V42" s="130">
        <f t="shared" si="53"/>
        <v>68.999999999999915</v>
      </c>
      <c r="W42" s="14"/>
      <c r="X42" s="14"/>
      <c r="Y42" s="536"/>
      <c r="Z42" s="537"/>
      <c r="AA42" s="11">
        <f t="shared" si="2"/>
        <v>-184.34782608695377</v>
      </c>
      <c r="AB42" s="123">
        <f t="shared" si="57"/>
        <v>0.9231884057971026</v>
      </c>
      <c r="AC42" s="533"/>
    </row>
    <row r="43" spans="1:29">
      <c r="A43" s="551" t="s">
        <v>379</v>
      </c>
      <c r="B43" s="16" t="s">
        <v>82</v>
      </c>
      <c r="C43" s="530"/>
      <c r="D43" s="530"/>
      <c r="E43" s="122"/>
      <c r="F43" s="16"/>
      <c r="G43" s="9"/>
      <c r="H43" s="131"/>
      <c r="I43" s="17">
        <v>18.555555555555557</v>
      </c>
      <c r="J43" s="18">
        <v>2400</v>
      </c>
      <c r="K43" s="9">
        <f t="shared" si="54"/>
        <v>129.34131736526945</v>
      </c>
      <c r="L43" s="17">
        <v>18.555555555555557</v>
      </c>
      <c r="M43" s="10">
        <f>AVERAGE(M34:M42)</f>
        <v>2209.8872143575732</v>
      </c>
      <c r="N43" s="9">
        <f>M43/L43</f>
        <v>119.09571813903088</v>
      </c>
      <c r="O43" s="11">
        <f>L43-I43</f>
        <v>0</v>
      </c>
      <c r="P43" s="12">
        <f t="shared" si="51"/>
        <v>-10.245599226238568</v>
      </c>
      <c r="Q43" s="123">
        <f t="shared" si="52"/>
        <v>0.92078633931565546</v>
      </c>
      <c r="R43" s="533"/>
      <c r="S43" s="24"/>
      <c r="T43" s="24"/>
      <c r="U43" s="9"/>
      <c r="V43" s="130"/>
      <c r="W43" s="9"/>
      <c r="X43" s="9"/>
      <c r="Y43" s="528"/>
      <c r="Z43" s="528"/>
      <c r="AA43" s="11">
        <f t="shared" si="2"/>
        <v>-190.11278564242684</v>
      </c>
      <c r="AB43" s="123">
        <f t="shared" si="57"/>
        <v>0.92078633931565546</v>
      </c>
      <c r="AC43" s="533"/>
    </row>
    <row r="44" spans="1:29" ht="15.75" customHeight="1">
      <c r="A44" s="544" t="s">
        <v>382</v>
      </c>
      <c r="B44" s="26" t="s">
        <v>32</v>
      </c>
      <c r="C44" s="534" t="s">
        <v>33</v>
      </c>
      <c r="D44" s="535"/>
      <c r="E44" s="26">
        <v>27.17</v>
      </c>
      <c r="F44" s="131">
        <v>3000</v>
      </c>
      <c r="G44" s="121">
        <f t="shared" ref="G44:G51" si="59">E44*F44</f>
        <v>81510</v>
      </c>
      <c r="H44" s="76">
        <v>2</v>
      </c>
      <c r="I44" s="129">
        <v>10</v>
      </c>
      <c r="J44" s="18">
        <v>3000</v>
      </c>
      <c r="K44" s="9">
        <f t="shared" si="54"/>
        <v>300</v>
      </c>
      <c r="L44" s="129">
        <v>10</v>
      </c>
      <c r="M44" s="10">
        <f t="shared" ref="M44:M45" si="60">F44/V44*60</f>
        <v>2769.2307692307704</v>
      </c>
      <c r="N44" s="10">
        <f t="shared" ref="N44:N52" si="61">M44/L44</f>
        <v>276.92307692307702</v>
      </c>
      <c r="O44" s="11">
        <f t="shared" ref="O44:O52" si="62">L44-I44</f>
        <v>0</v>
      </c>
      <c r="P44" s="12">
        <f t="shared" si="51"/>
        <v>-23.076923076922981</v>
      </c>
      <c r="Q44" s="123">
        <f t="shared" si="52"/>
        <v>0.92307692307692335</v>
      </c>
      <c r="R44" s="547">
        <f>Q52</f>
        <v>0.92328273943875006</v>
      </c>
      <c r="S44" s="24">
        <v>0.20833333333333334</v>
      </c>
      <c r="T44" s="24">
        <v>0.25347222222222221</v>
      </c>
      <c r="U44" s="15"/>
      <c r="V44" s="130">
        <f t="shared" ref="V44:V51" si="63">(T44-S44)*24*60</f>
        <v>64.999999999999972</v>
      </c>
      <c r="W44" s="121"/>
      <c r="X44" s="121"/>
      <c r="Y44" s="536"/>
      <c r="Z44" s="537"/>
      <c r="AA44" s="11">
        <f t="shared" si="2"/>
        <v>-230.76923076922958</v>
      </c>
      <c r="AB44" s="123">
        <f t="shared" si="57"/>
        <v>0.92307692307692346</v>
      </c>
      <c r="AC44" s="547">
        <f>AB52</f>
        <v>0.92328273943875006</v>
      </c>
    </row>
    <row r="45" spans="1:29" ht="15.75" customHeight="1">
      <c r="A45" s="545" t="s">
        <v>382</v>
      </c>
      <c r="B45" s="26" t="s">
        <v>32</v>
      </c>
      <c r="C45" s="534" t="s">
        <v>34</v>
      </c>
      <c r="D45" s="535"/>
      <c r="E45" s="26">
        <v>21.13</v>
      </c>
      <c r="F45" s="131">
        <v>3200</v>
      </c>
      <c r="G45" s="121">
        <f t="shared" si="59"/>
        <v>67616</v>
      </c>
      <c r="H45" s="76">
        <v>2</v>
      </c>
      <c r="I45" s="129">
        <v>10</v>
      </c>
      <c r="J45" s="18">
        <v>3000</v>
      </c>
      <c r="K45" s="9">
        <f t="shared" si="54"/>
        <v>300</v>
      </c>
      <c r="L45" s="129">
        <v>10</v>
      </c>
      <c r="M45" s="10">
        <f t="shared" si="60"/>
        <v>2782.608695652174</v>
      </c>
      <c r="N45" s="10">
        <f t="shared" si="61"/>
        <v>278.26086956521738</v>
      </c>
      <c r="O45" s="11">
        <f t="shared" si="62"/>
        <v>0</v>
      </c>
      <c r="P45" s="12">
        <f t="shared" si="51"/>
        <v>-21.739130434782624</v>
      </c>
      <c r="Q45" s="123">
        <f t="shared" si="52"/>
        <v>0.92753623188405787</v>
      </c>
      <c r="R45" s="548"/>
      <c r="S45" s="24">
        <v>0.25763888888888886</v>
      </c>
      <c r="T45" s="24">
        <v>0.30555555555555552</v>
      </c>
      <c r="U45" s="121">
        <f>(S45-T44)*24*60</f>
        <v>5.9999999999999787</v>
      </c>
      <c r="V45" s="130">
        <f t="shared" si="63"/>
        <v>69</v>
      </c>
      <c r="W45" s="14"/>
      <c r="X45" s="14"/>
      <c r="Y45" s="536"/>
      <c r="Z45" s="537"/>
      <c r="AA45" s="11">
        <f t="shared" si="2"/>
        <v>-217.39130434782601</v>
      </c>
      <c r="AB45" s="123">
        <f t="shared" si="57"/>
        <v>0.92753623188405798</v>
      </c>
      <c r="AC45" s="548"/>
    </row>
    <row r="46" spans="1:29" ht="15.75" customHeight="1">
      <c r="A46" s="545" t="s">
        <v>382</v>
      </c>
      <c r="B46" s="26" t="s">
        <v>32</v>
      </c>
      <c r="C46" s="534" t="s">
        <v>40</v>
      </c>
      <c r="D46" s="535"/>
      <c r="E46" s="26">
        <v>35.119999999999997</v>
      </c>
      <c r="F46" s="131">
        <v>5373</v>
      </c>
      <c r="G46" s="121">
        <f t="shared" si="59"/>
        <v>188699.75999999998</v>
      </c>
      <c r="H46" s="76" t="s">
        <v>52</v>
      </c>
      <c r="I46" s="129">
        <v>10</v>
      </c>
      <c r="J46" s="18">
        <v>3000</v>
      </c>
      <c r="K46" s="9">
        <f t="shared" si="54"/>
        <v>300</v>
      </c>
      <c r="L46" s="129">
        <v>10</v>
      </c>
      <c r="M46" s="10">
        <f>F46/V46*60</f>
        <v>2755.3846153846157</v>
      </c>
      <c r="N46" s="10">
        <f t="shared" si="61"/>
        <v>275.53846153846155</v>
      </c>
      <c r="O46" s="11">
        <f t="shared" si="62"/>
        <v>0</v>
      </c>
      <c r="P46" s="12">
        <f t="shared" si="51"/>
        <v>-24.461538461538453</v>
      </c>
      <c r="Q46" s="123">
        <f t="shared" si="52"/>
        <v>0.91846153846153844</v>
      </c>
      <c r="R46" s="548"/>
      <c r="S46" s="24">
        <v>0.30902777777777773</v>
      </c>
      <c r="T46" s="24">
        <v>0.39027777777777772</v>
      </c>
      <c r="U46" s="121">
        <f t="shared" ref="U46:U51" si="64">(S46-T45)*24*60</f>
        <v>4.9999999999999822</v>
      </c>
      <c r="V46" s="130">
        <f t="shared" si="63"/>
        <v>116.99999999999999</v>
      </c>
      <c r="W46" s="14"/>
      <c r="X46" s="14"/>
      <c r="Y46" s="536"/>
      <c r="Z46" s="537"/>
      <c r="AA46" s="11">
        <f t="shared" si="2"/>
        <v>-244.6153846153843</v>
      </c>
      <c r="AB46" s="123">
        <f t="shared" si="57"/>
        <v>0.91846153846153855</v>
      </c>
      <c r="AC46" s="548"/>
    </row>
    <row r="47" spans="1:29" ht="15.75" customHeight="1">
      <c r="A47" s="545" t="s">
        <v>382</v>
      </c>
      <c r="B47" s="26" t="s">
        <v>32</v>
      </c>
      <c r="C47" s="534" t="s">
        <v>61</v>
      </c>
      <c r="D47" s="535"/>
      <c r="E47" s="26">
        <v>40.18</v>
      </c>
      <c r="F47" s="131">
        <v>2213</v>
      </c>
      <c r="G47" s="121">
        <f t="shared" si="59"/>
        <v>88918.34</v>
      </c>
      <c r="H47" s="76" t="s">
        <v>52</v>
      </c>
      <c r="I47" s="129">
        <v>10</v>
      </c>
      <c r="J47" s="18">
        <v>3000</v>
      </c>
      <c r="K47" s="9">
        <f t="shared" si="54"/>
        <v>300</v>
      </c>
      <c r="L47" s="129">
        <v>10</v>
      </c>
      <c r="M47" s="10">
        <f t="shared" ref="M47:M51" si="65">F47/V47*60</f>
        <v>2766.2500000000009</v>
      </c>
      <c r="N47" s="10">
        <f t="shared" si="61"/>
        <v>276.62500000000011</v>
      </c>
      <c r="O47" s="11">
        <f t="shared" si="62"/>
        <v>0</v>
      </c>
      <c r="P47" s="12">
        <f t="shared" si="51"/>
        <v>-23.374999999999886</v>
      </c>
      <c r="Q47" s="123">
        <f t="shared" si="52"/>
        <v>0.9220833333333337</v>
      </c>
      <c r="R47" s="548"/>
      <c r="S47" s="24">
        <v>0.39513888888888882</v>
      </c>
      <c r="T47" s="24">
        <v>0.42847222222222214</v>
      </c>
      <c r="U47" s="121">
        <f t="shared" si="64"/>
        <v>6.9999999999999751</v>
      </c>
      <c r="V47" s="130">
        <f t="shared" si="63"/>
        <v>47.999999999999986</v>
      </c>
      <c r="W47" s="14"/>
      <c r="X47" s="14"/>
      <c r="Y47" s="536"/>
      <c r="Z47" s="537"/>
      <c r="AA47" s="11">
        <f t="shared" si="2"/>
        <v>-233.74999999999909</v>
      </c>
      <c r="AB47" s="123">
        <f t="shared" si="57"/>
        <v>0.92208333333333359</v>
      </c>
      <c r="AC47" s="548"/>
    </row>
    <row r="48" spans="1:29" ht="15.75" customHeight="1">
      <c r="A48" s="545" t="s">
        <v>382</v>
      </c>
      <c r="B48" s="26" t="s">
        <v>32</v>
      </c>
      <c r="C48" s="534" t="s">
        <v>64</v>
      </c>
      <c r="D48" s="535"/>
      <c r="E48" s="26">
        <v>28.5</v>
      </c>
      <c r="F48" s="131">
        <v>1450</v>
      </c>
      <c r="G48" s="121">
        <f t="shared" si="59"/>
        <v>41325</v>
      </c>
      <c r="H48" s="76" t="s">
        <v>52</v>
      </c>
      <c r="I48" s="129">
        <v>10</v>
      </c>
      <c r="J48" s="18">
        <v>3000</v>
      </c>
      <c r="K48" s="9">
        <f t="shared" si="54"/>
        <v>300</v>
      </c>
      <c r="L48" s="129">
        <v>10</v>
      </c>
      <c r="M48" s="10">
        <f t="shared" si="65"/>
        <v>2806.4516129032281</v>
      </c>
      <c r="N48" s="10">
        <f t="shared" si="61"/>
        <v>280.64516129032279</v>
      </c>
      <c r="O48" s="11">
        <f t="shared" si="62"/>
        <v>0</v>
      </c>
      <c r="P48" s="12">
        <f t="shared" si="51"/>
        <v>-19.35483870967721</v>
      </c>
      <c r="Q48" s="123">
        <f>N48/K48</f>
        <v>0.93548387096774266</v>
      </c>
      <c r="R48" s="548"/>
      <c r="S48" s="24">
        <v>0.43194444444444435</v>
      </c>
      <c r="T48" s="24">
        <v>0.45347222222222211</v>
      </c>
      <c r="U48" s="121">
        <f t="shared" si="64"/>
        <v>4.9999999999999822</v>
      </c>
      <c r="V48" s="130">
        <f t="shared" si="63"/>
        <v>30.999999999999972</v>
      </c>
      <c r="W48" s="14"/>
      <c r="X48" s="14"/>
      <c r="Y48" s="536"/>
      <c r="Z48" s="537"/>
      <c r="AA48" s="11">
        <f t="shared" si="2"/>
        <v>-193.54838709677188</v>
      </c>
      <c r="AB48" s="123">
        <f t="shared" si="57"/>
        <v>0.93548387096774266</v>
      </c>
      <c r="AC48" s="548"/>
    </row>
    <row r="49" spans="1:29" ht="15.75" customHeight="1">
      <c r="A49" s="545" t="s">
        <v>382</v>
      </c>
      <c r="B49" s="26" t="s">
        <v>32</v>
      </c>
      <c r="C49" s="534" t="s">
        <v>78</v>
      </c>
      <c r="D49" s="535"/>
      <c r="E49" s="26">
        <v>35.869999999999997</v>
      </c>
      <c r="F49" s="131">
        <v>3876</v>
      </c>
      <c r="G49" s="121">
        <f t="shared" si="59"/>
        <v>139032.12</v>
      </c>
      <c r="H49" s="76" t="s">
        <v>52</v>
      </c>
      <c r="I49" s="129">
        <v>10</v>
      </c>
      <c r="J49" s="18">
        <v>3000</v>
      </c>
      <c r="K49" s="9">
        <f t="shared" si="54"/>
        <v>300</v>
      </c>
      <c r="L49" s="129">
        <v>10</v>
      </c>
      <c r="M49" s="10">
        <f t="shared" si="65"/>
        <v>2768.5714285714303</v>
      </c>
      <c r="N49" s="10">
        <f t="shared" si="61"/>
        <v>276.857142857143</v>
      </c>
      <c r="O49" s="11">
        <f t="shared" si="62"/>
        <v>0</v>
      </c>
      <c r="P49" s="12">
        <f t="shared" si="51"/>
        <v>-23.142857142856997</v>
      </c>
      <c r="Q49" s="123">
        <f t="shared" ref="Q49:Q52" si="66">N49/K49</f>
        <v>0.92285714285714338</v>
      </c>
      <c r="R49" s="548"/>
      <c r="S49" s="24">
        <v>0.45694444444444432</v>
      </c>
      <c r="T49" s="24">
        <v>0.51527777777777761</v>
      </c>
      <c r="U49" s="121">
        <f t="shared" si="64"/>
        <v>4.9999999999999822</v>
      </c>
      <c r="V49" s="130">
        <f t="shared" si="63"/>
        <v>83.999999999999943</v>
      </c>
      <c r="W49" s="14">
        <f>T49</f>
        <v>0.51527777777777761</v>
      </c>
      <c r="X49" s="14">
        <f>S50</f>
        <v>0.55486111111111092</v>
      </c>
      <c r="Y49" s="536"/>
      <c r="Z49" s="537"/>
      <c r="AA49" s="11">
        <f t="shared" si="2"/>
        <v>-231.42857142856974</v>
      </c>
      <c r="AB49" s="123">
        <f t="shared" si="57"/>
        <v>0.92285714285714338</v>
      </c>
      <c r="AC49" s="548"/>
    </row>
    <row r="50" spans="1:29" ht="15.75" customHeight="1">
      <c r="A50" s="545" t="s">
        <v>382</v>
      </c>
      <c r="B50" s="26" t="s">
        <v>32</v>
      </c>
      <c r="C50" s="534" t="s">
        <v>33</v>
      </c>
      <c r="D50" s="535"/>
      <c r="E50" s="26">
        <v>27.17</v>
      </c>
      <c r="F50" s="131">
        <v>4276</v>
      </c>
      <c r="G50" s="121">
        <f t="shared" si="59"/>
        <v>116178.92000000001</v>
      </c>
      <c r="H50" s="76" t="s">
        <v>52</v>
      </c>
      <c r="I50" s="129">
        <v>10</v>
      </c>
      <c r="J50" s="18">
        <v>3000</v>
      </c>
      <c r="K50" s="9">
        <f t="shared" si="54"/>
        <v>300</v>
      </c>
      <c r="L50" s="129">
        <v>10</v>
      </c>
      <c r="M50" s="10">
        <f t="shared" si="65"/>
        <v>2758.7096774193551</v>
      </c>
      <c r="N50" s="10">
        <f t="shared" si="61"/>
        <v>275.87096774193549</v>
      </c>
      <c r="O50" s="11">
        <f t="shared" si="62"/>
        <v>0</v>
      </c>
      <c r="P50" s="12">
        <f t="shared" si="51"/>
        <v>-24.129032258064512</v>
      </c>
      <c r="Q50" s="123">
        <f t="shared" si="66"/>
        <v>0.91956989247311827</v>
      </c>
      <c r="R50" s="548"/>
      <c r="S50" s="24">
        <v>0.55486111111111092</v>
      </c>
      <c r="T50" s="24">
        <v>0.61944444444444424</v>
      </c>
      <c r="U50" s="121">
        <f t="shared" si="64"/>
        <v>56.999999999999957</v>
      </c>
      <c r="V50" s="130">
        <f t="shared" si="63"/>
        <v>92.999999999999986</v>
      </c>
      <c r="W50" s="14"/>
      <c r="X50" s="14"/>
      <c r="Y50" s="536"/>
      <c r="Z50" s="537"/>
      <c r="AA50" s="11">
        <f t="shared" si="2"/>
        <v>-241.2903225806449</v>
      </c>
      <c r="AB50" s="123">
        <f t="shared" si="57"/>
        <v>0.91956989247311838</v>
      </c>
      <c r="AC50" s="548"/>
    </row>
    <row r="51" spans="1:29" ht="15.75" customHeight="1">
      <c r="A51" s="545" t="s">
        <v>382</v>
      </c>
      <c r="B51" s="26" t="s">
        <v>32</v>
      </c>
      <c r="C51" s="534" t="s">
        <v>34</v>
      </c>
      <c r="D51" s="535"/>
      <c r="E51" s="26">
        <v>21.13</v>
      </c>
      <c r="F51" s="131">
        <v>2614</v>
      </c>
      <c r="G51" s="121">
        <f t="shared" si="59"/>
        <v>55233.82</v>
      </c>
      <c r="H51" s="76" t="s">
        <v>52</v>
      </c>
      <c r="I51" s="129">
        <v>10</v>
      </c>
      <c r="J51" s="18">
        <v>3000</v>
      </c>
      <c r="K51" s="9">
        <f t="shared" si="54"/>
        <v>300</v>
      </c>
      <c r="L51" s="129">
        <v>10</v>
      </c>
      <c r="M51" s="10">
        <f t="shared" si="65"/>
        <v>2751.5789473684231</v>
      </c>
      <c r="N51" s="10">
        <f t="shared" si="61"/>
        <v>275.15789473684231</v>
      </c>
      <c r="O51" s="11">
        <f t="shared" si="62"/>
        <v>0</v>
      </c>
      <c r="P51" s="12">
        <f t="shared" si="51"/>
        <v>-24.842105263157691</v>
      </c>
      <c r="Q51" s="123">
        <f t="shared" si="66"/>
        <v>0.917192982456141</v>
      </c>
      <c r="R51" s="548"/>
      <c r="S51" s="24">
        <v>0.62499999999999978</v>
      </c>
      <c r="T51" s="24">
        <v>0.66458333333333308</v>
      </c>
      <c r="U51" s="121">
        <f t="shared" si="64"/>
        <v>7.9999999999999716</v>
      </c>
      <c r="V51" s="130">
        <f t="shared" si="63"/>
        <v>56.999999999999957</v>
      </c>
      <c r="W51" s="14"/>
      <c r="X51" s="14"/>
      <c r="Y51" s="536"/>
      <c r="Z51" s="537"/>
      <c r="AA51" s="11">
        <f t="shared" si="2"/>
        <v>-248.42105263157691</v>
      </c>
      <c r="AB51" s="123">
        <f t="shared" si="57"/>
        <v>0.917192982456141</v>
      </c>
      <c r="AC51" s="548"/>
    </row>
    <row r="52" spans="1:29" ht="15.75" customHeight="1">
      <c r="A52" s="546" t="s">
        <v>382</v>
      </c>
      <c r="B52" s="26" t="s">
        <v>82</v>
      </c>
      <c r="C52" s="540"/>
      <c r="D52" s="541"/>
      <c r="E52" s="128"/>
      <c r="F52" s="131"/>
      <c r="G52" s="121"/>
      <c r="H52" s="131"/>
      <c r="I52" s="17">
        <v>10</v>
      </c>
      <c r="J52" s="18">
        <v>3000</v>
      </c>
      <c r="K52" s="9">
        <f>J52/I52</f>
        <v>300</v>
      </c>
      <c r="L52" s="17">
        <v>10</v>
      </c>
      <c r="M52" s="10">
        <f>AVERAGE(M44:M51)</f>
        <v>2769.84821831625</v>
      </c>
      <c r="N52" s="9">
        <f t="shared" si="61"/>
        <v>276.98482183162503</v>
      </c>
      <c r="O52" s="11">
        <f t="shared" si="62"/>
        <v>0</v>
      </c>
      <c r="P52" s="12">
        <f t="shared" si="51"/>
        <v>-23.015178168374973</v>
      </c>
      <c r="Q52" s="123">
        <f t="shared" si="66"/>
        <v>0.92328273943875006</v>
      </c>
      <c r="R52" s="549"/>
      <c r="S52" s="24"/>
      <c r="T52" s="24"/>
      <c r="U52" s="121"/>
      <c r="V52" s="130"/>
      <c r="W52" s="14"/>
      <c r="X52" s="14"/>
      <c r="Y52" s="536"/>
      <c r="Z52" s="537"/>
      <c r="AA52" s="11">
        <f t="shared" si="2"/>
        <v>-230.15178168374996</v>
      </c>
      <c r="AB52" s="123">
        <f t="shared" si="57"/>
        <v>0.92328273943875006</v>
      </c>
      <c r="AC52" s="549"/>
    </row>
    <row r="53" spans="1:29" ht="15.75" customHeight="1">
      <c r="A53" s="542" t="s">
        <v>384</v>
      </c>
      <c r="B53" s="26" t="s">
        <v>15</v>
      </c>
      <c r="C53" s="529" t="s">
        <v>20</v>
      </c>
      <c r="D53" s="529"/>
      <c r="E53" s="26">
        <v>46</v>
      </c>
      <c r="F53" s="27">
        <v>3231</v>
      </c>
      <c r="G53" s="121">
        <f t="shared" ref="G53:G57" si="67">E53*F53</f>
        <v>148626</v>
      </c>
      <c r="H53" s="76" t="s">
        <v>52</v>
      </c>
      <c r="I53" s="129">
        <v>17</v>
      </c>
      <c r="J53" s="18">
        <v>2000</v>
      </c>
      <c r="K53" s="9">
        <f t="shared" ref="K53:K57" si="68">J53/I53</f>
        <v>117.64705882352941</v>
      </c>
      <c r="L53" s="129">
        <v>17</v>
      </c>
      <c r="M53" s="10">
        <f t="shared" ref="M53:M57" si="69">F53/V53*60</f>
        <v>1846.2857142857138</v>
      </c>
      <c r="N53" s="10">
        <f>M53/L53</f>
        <v>108.60504201680669</v>
      </c>
      <c r="O53" s="11">
        <f>L53-I53</f>
        <v>0</v>
      </c>
      <c r="P53" s="12">
        <f>N53-K53</f>
        <v>-9.0420168067227138</v>
      </c>
      <c r="Q53" s="123">
        <f>N53/K53</f>
        <v>0.92314285714285693</v>
      </c>
      <c r="R53" s="533">
        <f>Q58</f>
        <v>0.9221108762630057</v>
      </c>
      <c r="S53" s="24">
        <v>0.29166666666666669</v>
      </c>
      <c r="T53" s="24">
        <v>0.36458333333333337</v>
      </c>
      <c r="U53" s="15"/>
      <c r="V53" s="130">
        <f t="shared" ref="V53:V57" si="70">(T53-S53)*24*60</f>
        <v>105.00000000000003</v>
      </c>
      <c r="W53" s="15"/>
      <c r="X53" s="15"/>
      <c r="Y53" s="528"/>
      <c r="Z53" s="528"/>
      <c r="AA53" s="11">
        <f t="shared" si="2"/>
        <v>-153.71428571428623</v>
      </c>
      <c r="AB53" s="123">
        <f t="shared" si="57"/>
        <v>0.92314285714285693</v>
      </c>
      <c r="AC53" s="533">
        <f>AB58</f>
        <v>0.92211087626300581</v>
      </c>
    </row>
    <row r="54" spans="1:29" ht="15.75" customHeight="1">
      <c r="A54" s="542" t="s">
        <v>384</v>
      </c>
      <c r="B54" s="26" t="s">
        <v>15</v>
      </c>
      <c r="C54" s="529" t="s">
        <v>65</v>
      </c>
      <c r="D54" s="529"/>
      <c r="E54" s="26">
        <v>46</v>
      </c>
      <c r="F54" s="27">
        <v>3609</v>
      </c>
      <c r="G54" s="121">
        <f t="shared" si="67"/>
        <v>166014</v>
      </c>
      <c r="H54" s="76" t="s">
        <v>52</v>
      </c>
      <c r="I54" s="129">
        <v>18</v>
      </c>
      <c r="J54" s="18">
        <v>2000</v>
      </c>
      <c r="K54" s="9">
        <f t="shared" si="68"/>
        <v>111.11111111111111</v>
      </c>
      <c r="L54" s="129">
        <v>18</v>
      </c>
      <c r="M54" s="10">
        <f t="shared" si="69"/>
        <v>1835.0847457627121</v>
      </c>
      <c r="N54" s="10">
        <f t="shared" ref="N54:N57" si="71">M54/L54</f>
        <v>101.9491525423729</v>
      </c>
      <c r="O54" s="11">
        <f t="shared" ref="O54:O57" si="72">L54-I54</f>
        <v>0</v>
      </c>
      <c r="P54" s="12">
        <f t="shared" ref="P54:P57" si="73">N54-K54</f>
        <v>-9.1619585687382141</v>
      </c>
      <c r="Q54" s="123">
        <f t="shared" ref="Q54:Q57" si="74">N54/K54</f>
        <v>0.91754237288135609</v>
      </c>
      <c r="R54" s="533"/>
      <c r="S54" s="24">
        <v>0.36875000000000002</v>
      </c>
      <c r="T54" s="24">
        <v>0.45069444444444445</v>
      </c>
      <c r="U54" s="121">
        <f>IF(S54=TIME(17,0,0),"",(S54-T53)*24*60)</f>
        <v>5.9999999999999787</v>
      </c>
      <c r="V54" s="130">
        <f t="shared" si="70"/>
        <v>117.99999999999999</v>
      </c>
      <c r="W54" s="14"/>
      <c r="X54" s="14"/>
      <c r="Y54" s="528"/>
      <c r="Z54" s="528"/>
      <c r="AA54" s="11">
        <f t="shared" si="2"/>
        <v>-164.91525423728785</v>
      </c>
      <c r="AB54" s="123">
        <f t="shared" si="57"/>
        <v>0.91754237288135609</v>
      </c>
      <c r="AC54" s="533"/>
    </row>
    <row r="55" spans="1:29" ht="15.75" customHeight="1">
      <c r="A55" s="542" t="s">
        <v>384</v>
      </c>
      <c r="B55" s="26" t="s">
        <v>13</v>
      </c>
      <c r="C55" s="534" t="s">
        <v>59</v>
      </c>
      <c r="D55" s="535"/>
      <c r="E55" s="26">
        <v>55.56</v>
      </c>
      <c r="F55" s="27">
        <v>2127</v>
      </c>
      <c r="G55" s="121">
        <f t="shared" si="67"/>
        <v>118176.12000000001</v>
      </c>
      <c r="H55" s="76" t="s">
        <v>52</v>
      </c>
      <c r="I55" s="129">
        <v>17</v>
      </c>
      <c r="J55" s="18">
        <v>2000</v>
      </c>
      <c r="K55" s="9">
        <f t="shared" si="68"/>
        <v>117.64705882352941</v>
      </c>
      <c r="L55" s="129">
        <v>17</v>
      </c>
      <c r="M55" s="10">
        <f t="shared" si="69"/>
        <v>1849.5652173913024</v>
      </c>
      <c r="N55" s="10">
        <f t="shared" si="71"/>
        <v>108.79795396419426</v>
      </c>
      <c r="O55" s="11">
        <f t="shared" si="72"/>
        <v>0</v>
      </c>
      <c r="P55" s="12">
        <f t="shared" si="73"/>
        <v>-8.8491048593351422</v>
      </c>
      <c r="Q55" s="123">
        <f t="shared" si="74"/>
        <v>0.92478260869565132</v>
      </c>
      <c r="R55" s="533"/>
      <c r="S55" s="24">
        <v>0.70833333333333337</v>
      </c>
      <c r="T55" s="24">
        <v>0.75625000000000009</v>
      </c>
      <c r="U55" s="121" t="str">
        <f t="shared" ref="U55:U57" si="75">IF(S55=TIME(17,0,0),"",(S55-T54)*24*60)</f>
        <v/>
      </c>
      <c r="V55" s="130">
        <f t="shared" si="70"/>
        <v>69.000000000000071</v>
      </c>
      <c r="W55" s="14"/>
      <c r="X55" s="14"/>
      <c r="Y55" s="126"/>
      <c r="Z55" s="127"/>
      <c r="AA55" s="11">
        <f t="shared" si="2"/>
        <v>-150.43478260869756</v>
      </c>
      <c r="AB55" s="123">
        <f t="shared" si="57"/>
        <v>0.92478260869565121</v>
      </c>
      <c r="AC55" s="533"/>
    </row>
    <row r="56" spans="1:29" ht="15.75" customHeight="1">
      <c r="A56" s="542" t="s">
        <v>384</v>
      </c>
      <c r="B56" s="26" t="s">
        <v>13</v>
      </c>
      <c r="C56" s="124" t="s">
        <v>58</v>
      </c>
      <c r="D56" s="125"/>
      <c r="E56" s="26">
        <v>55.32</v>
      </c>
      <c r="F56" s="27">
        <v>1565</v>
      </c>
      <c r="G56" s="121">
        <f t="shared" si="67"/>
        <v>86575.8</v>
      </c>
      <c r="H56" s="76" t="s">
        <v>52</v>
      </c>
      <c r="I56" s="129">
        <v>15</v>
      </c>
      <c r="J56" s="18">
        <v>2000</v>
      </c>
      <c r="K56" s="9">
        <f t="shared" si="68"/>
        <v>133.33333333333334</v>
      </c>
      <c r="L56" s="129">
        <v>15</v>
      </c>
      <c r="M56" s="10">
        <f t="shared" si="69"/>
        <v>1841.176470588236</v>
      </c>
      <c r="N56" s="10">
        <f t="shared" si="71"/>
        <v>122.74509803921573</v>
      </c>
      <c r="O56" s="11">
        <f t="shared" si="72"/>
        <v>0</v>
      </c>
      <c r="P56" s="12">
        <f t="shared" si="73"/>
        <v>-10.588235294117609</v>
      </c>
      <c r="Q56" s="123">
        <f t="shared" si="74"/>
        <v>0.92058823529411793</v>
      </c>
      <c r="R56" s="533"/>
      <c r="S56" s="24">
        <v>0.76041666666666674</v>
      </c>
      <c r="T56" s="24">
        <v>0.79583333333333339</v>
      </c>
      <c r="U56" s="121">
        <f t="shared" si="75"/>
        <v>5.9999999999999787</v>
      </c>
      <c r="V56" s="130">
        <f t="shared" si="70"/>
        <v>50.999999999999979</v>
      </c>
      <c r="W56" s="14"/>
      <c r="X56" s="14"/>
      <c r="Y56" s="126"/>
      <c r="Z56" s="127"/>
      <c r="AA56" s="11">
        <f t="shared" si="2"/>
        <v>-158.82352941176396</v>
      </c>
      <c r="AB56" s="123">
        <f t="shared" si="57"/>
        <v>0.92058823529411804</v>
      </c>
      <c r="AC56" s="533"/>
    </row>
    <row r="57" spans="1:29" ht="15.75" customHeight="1">
      <c r="A57" s="542" t="s">
        <v>384</v>
      </c>
      <c r="B57" s="26" t="s">
        <v>13</v>
      </c>
      <c r="C57" s="124" t="s">
        <v>60</v>
      </c>
      <c r="D57" s="125"/>
      <c r="E57" s="26">
        <v>57.73</v>
      </c>
      <c r="F57" s="27">
        <v>1573</v>
      </c>
      <c r="G57" s="121">
        <f t="shared" si="67"/>
        <v>90809.29</v>
      </c>
      <c r="H57" s="76" t="s">
        <v>52</v>
      </c>
      <c r="I57" s="129">
        <v>16</v>
      </c>
      <c r="J57" s="18">
        <v>1500</v>
      </c>
      <c r="K57" s="9">
        <f t="shared" si="68"/>
        <v>93.75</v>
      </c>
      <c r="L57" s="129">
        <v>16</v>
      </c>
      <c r="M57" s="10">
        <f t="shared" si="69"/>
        <v>1387.9411764705899</v>
      </c>
      <c r="N57" s="10">
        <f t="shared" si="71"/>
        <v>86.746323529411868</v>
      </c>
      <c r="O57" s="11">
        <f t="shared" si="72"/>
        <v>0</v>
      </c>
      <c r="P57" s="12">
        <f t="shared" si="73"/>
        <v>-7.0036764705881325</v>
      </c>
      <c r="Q57" s="123">
        <f t="shared" si="74"/>
        <v>0.92529411764705993</v>
      </c>
      <c r="R57" s="533"/>
      <c r="S57" s="24">
        <v>0.80069444444444449</v>
      </c>
      <c r="T57" s="24">
        <v>0.84791666666666665</v>
      </c>
      <c r="U57" s="121">
        <f t="shared" si="75"/>
        <v>6.9999999999999751</v>
      </c>
      <c r="V57" s="130">
        <f t="shared" si="70"/>
        <v>67.999999999999915</v>
      </c>
      <c r="W57" s="14"/>
      <c r="X57" s="14"/>
      <c r="Y57" s="126"/>
      <c r="Z57" s="127"/>
      <c r="AA57" s="11">
        <f t="shared" si="2"/>
        <v>-112.05882352941012</v>
      </c>
      <c r="AB57" s="123">
        <f t="shared" si="57"/>
        <v>0.92529411764705993</v>
      </c>
      <c r="AC57" s="533"/>
    </row>
    <row r="58" spans="1:29">
      <c r="A58" s="543" t="s">
        <v>384</v>
      </c>
      <c r="B58" s="26" t="s">
        <v>82</v>
      </c>
      <c r="C58" s="530"/>
      <c r="D58" s="530"/>
      <c r="E58" s="122"/>
      <c r="F58" s="16"/>
      <c r="G58" s="9"/>
      <c r="H58" s="131"/>
      <c r="I58" s="17">
        <v>16.600000000000001</v>
      </c>
      <c r="J58" s="18">
        <v>1900</v>
      </c>
      <c r="K58" s="9">
        <f>J58/I58</f>
        <v>114.4578313253012</v>
      </c>
      <c r="L58" s="17">
        <v>16.600000000000001</v>
      </c>
      <c r="M58" s="10">
        <f>AVERAGE(M53:M57)</f>
        <v>1752.0106648997109</v>
      </c>
      <c r="N58" s="9">
        <f>M58/L58</f>
        <v>105.54281113853679</v>
      </c>
      <c r="O58" s="11">
        <f>L58-I58</f>
        <v>0</v>
      </c>
      <c r="P58" s="12">
        <f>N58-K58</f>
        <v>-8.9150201867644085</v>
      </c>
      <c r="Q58" s="123">
        <f>N58/K58</f>
        <v>0.9221108762630057</v>
      </c>
      <c r="R58" s="533"/>
      <c r="S58" s="25"/>
      <c r="T58" s="24"/>
      <c r="U58" s="9"/>
      <c r="V58" s="130"/>
      <c r="W58" s="9"/>
      <c r="X58" s="9"/>
      <c r="Y58" s="528"/>
      <c r="Z58" s="528"/>
      <c r="AA58" s="11">
        <f t="shared" si="2"/>
        <v>-147.98933510028905</v>
      </c>
      <c r="AB58" s="123">
        <f t="shared" si="57"/>
        <v>0.92211087626300581</v>
      </c>
      <c r="AC58" s="533"/>
    </row>
    <row r="59" spans="1:29" ht="15.75" customHeight="1">
      <c r="A59" s="538" t="s">
        <v>385</v>
      </c>
      <c r="B59" s="131" t="s">
        <v>32</v>
      </c>
      <c r="C59" s="529" t="s">
        <v>35</v>
      </c>
      <c r="D59" s="529"/>
      <c r="E59" s="26">
        <v>26.78</v>
      </c>
      <c r="F59" s="27">
        <v>2746</v>
      </c>
      <c r="G59" s="121">
        <f t="shared" ref="G59:G64" si="76">E59*F59</f>
        <v>73537.88</v>
      </c>
      <c r="H59" s="76" t="s">
        <v>52</v>
      </c>
      <c r="I59" s="129">
        <v>10</v>
      </c>
      <c r="J59" s="18">
        <v>3000</v>
      </c>
      <c r="K59" s="9">
        <f t="shared" ref="K59:K64" si="77">J59/I59</f>
        <v>300</v>
      </c>
      <c r="L59" s="17">
        <v>10</v>
      </c>
      <c r="M59" s="10">
        <f t="shared" ref="M59:M64" si="78">F59/V59*60</f>
        <v>2792.5423728813562</v>
      </c>
      <c r="N59" s="9">
        <f>M59/L59</f>
        <v>279.25423728813564</v>
      </c>
      <c r="O59" s="11">
        <f t="shared" ref="O59:O64" si="79">L59-I59</f>
        <v>0</v>
      </c>
      <c r="P59" s="12">
        <f t="shared" ref="P59:P64" si="80">N59-K59</f>
        <v>-20.745762711864359</v>
      </c>
      <c r="Q59" s="123">
        <f>N59/K59</f>
        <v>0.93084745762711885</v>
      </c>
      <c r="R59" s="533">
        <f>Q65</f>
        <v>0.92439451781887239</v>
      </c>
      <c r="S59" s="24">
        <v>0.20833333333333334</v>
      </c>
      <c r="T59" s="24">
        <v>0.24930555555555556</v>
      </c>
      <c r="U59" s="121"/>
      <c r="V59" s="130">
        <f t="shared" ref="V59:V64" si="81">(T59-S59)*24*60</f>
        <v>58.999999999999993</v>
      </c>
      <c r="W59" s="15"/>
      <c r="X59" s="15"/>
      <c r="Y59" s="528"/>
      <c r="Z59" s="528"/>
      <c r="AA59" s="11">
        <f t="shared" si="2"/>
        <v>-207.45762711864381</v>
      </c>
      <c r="AB59" s="123">
        <f t="shared" si="57"/>
        <v>0.93084745762711874</v>
      </c>
      <c r="AC59" s="533">
        <f>AB65</f>
        <v>0.92439451781887227</v>
      </c>
    </row>
    <row r="60" spans="1:29" ht="15.75" customHeight="1">
      <c r="A60" s="538" t="s">
        <v>385</v>
      </c>
      <c r="B60" s="131" t="s">
        <v>32</v>
      </c>
      <c r="C60" s="529" t="s">
        <v>39</v>
      </c>
      <c r="D60" s="529"/>
      <c r="E60" s="26">
        <v>35.369999999999997</v>
      </c>
      <c r="F60" s="27">
        <v>1851</v>
      </c>
      <c r="G60" s="121">
        <f t="shared" si="76"/>
        <v>65469.869999999995</v>
      </c>
      <c r="H60" s="76" t="s">
        <v>52</v>
      </c>
      <c r="I60" s="129">
        <v>10</v>
      </c>
      <c r="J60" s="18">
        <v>3000</v>
      </c>
      <c r="K60" s="9">
        <f t="shared" si="77"/>
        <v>300</v>
      </c>
      <c r="L60" s="17">
        <v>10</v>
      </c>
      <c r="M60" s="10">
        <f t="shared" si="78"/>
        <v>2776.4999999999991</v>
      </c>
      <c r="N60" s="9">
        <f t="shared" ref="N60:N64" si="82">M60/L60</f>
        <v>277.64999999999992</v>
      </c>
      <c r="O60" s="11">
        <f t="shared" si="79"/>
        <v>0</v>
      </c>
      <c r="P60" s="12">
        <f t="shared" si="80"/>
        <v>-22.35000000000008</v>
      </c>
      <c r="Q60" s="123">
        <f t="shared" ref="Q60:Q64" si="83">N60/K60</f>
        <v>0.92549999999999977</v>
      </c>
      <c r="R60" s="533"/>
      <c r="S60" s="24">
        <v>0.25347222222222221</v>
      </c>
      <c r="T60" s="24">
        <v>0.28125</v>
      </c>
      <c r="U60" s="121">
        <f>(S60-T59)*24*60</f>
        <v>5.9999999999999787</v>
      </c>
      <c r="V60" s="130">
        <f t="shared" si="81"/>
        <v>40.000000000000014</v>
      </c>
      <c r="W60" s="121"/>
      <c r="X60" s="121"/>
      <c r="Y60" s="528"/>
      <c r="Z60" s="528"/>
      <c r="AA60" s="11">
        <f t="shared" si="2"/>
        <v>-223.50000000000091</v>
      </c>
      <c r="AB60" s="123">
        <f t="shared" si="57"/>
        <v>0.92549999999999966</v>
      </c>
      <c r="AC60" s="533"/>
    </row>
    <row r="61" spans="1:29" ht="15.75" customHeight="1">
      <c r="A61" s="538" t="s">
        <v>385</v>
      </c>
      <c r="B61" s="131" t="s">
        <v>32</v>
      </c>
      <c r="C61" s="529" t="s">
        <v>38</v>
      </c>
      <c r="D61" s="529"/>
      <c r="E61" s="26">
        <v>34.35</v>
      </c>
      <c r="F61" s="27">
        <v>1608</v>
      </c>
      <c r="G61" s="121">
        <f t="shared" si="76"/>
        <v>55234.8</v>
      </c>
      <c r="H61" s="76" t="s">
        <v>52</v>
      </c>
      <c r="I61" s="129">
        <v>10</v>
      </c>
      <c r="J61" s="18">
        <v>3000</v>
      </c>
      <c r="K61" s="9">
        <f t="shared" si="77"/>
        <v>300</v>
      </c>
      <c r="L61" s="17">
        <v>10</v>
      </c>
      <c r="M61" s="10">
        <f t="shared" si="78"/>
        <v>2756.5714285714257</v>
      </c>
      <c r="N61" s="9">
        <f t="shared" si="82"/>
        <v>275.65714285714256</v>
      </c>
      <c r="O61" s="11">
        <f t="shared" si="79"/>
        <v>0</v>
      </c>
      <c r="P61" s="12">
        <f t="shared" si="80"/>
        <v>-24.34285714285744</v>
      </c>
      <c r="Q61" s="123">
        <f t="shared" si="83"/>
        <v>0.91885714285714182</v>
      </c>
      <c r="R61" s="533"/>
      <c r="S61" s="24">
        <v>0.28611111111111109</v>
      </c>
      <c r="T61" s="24">
        <v>0.31041666666666667</v>
      </c>
      <c r="U61" s="121">
        <f t="shared" ref="U61:U64" si="84">(S61-T60)*24*60</f>
        <v>6.9999999999999751</v>
      </c>
      <c r="V61" s="130">
        <f t="shared" si="81"/>
        <v>35.000000000000036</v>
      </c>
      <c r="W61" s="121"/>
      <c r="X61" s="121"/>
      <c r="Y61" s="528"/>
      <c r="Z61" s="528"/>
      <c r="AA61" s="11">
        <f t="shared" si="2"/>
        <v>-243.42857142857429</v>
      </c>
      <c r="AB61" s="123">
        <f t="shared" si="57"/>
        <v>0.91885714285714193</v>
      </c>
      <c r="AC61" s="533"/>
    </row>
    <row r="62" spans="1:29" ht="15.75" customHeight="1">
      <c r="A62" s="538" t="s">
        <v>385</v>
      </c>
      <c r="B62" s="131" t="s">
        <v>15</v>
      </c>
      <c r="C62" s="529" t="s">
        <v>36</v>
      </c>
      <c r="D62" s="529"/>
      <c r="E62" s="26">
        <v>26.97</v>
      </c>
      <c r="F62" s="27">
        <v>3273</v>
      </c>
      <c r="G62" s="121">
        <f t="shared" si="76"/>
        <v>88272.81</v>
      </c>
      <c r="H62" s="76" t="s">
        <v>52</v>
      </c>
      <c r="I62" s="129">
        <v>8</v>
      </c>
      <c r="J62" s="18">
        <v>1500</v>
      </c>
      <c r="K62" s="9">
        <f t="shared" si="77"/>
        <v>187.5</v>
      </c>
      <c r="L62" s="17">
        <v>8</v>
      </c>
      <c r="M62" s="10">
        <f t="shared" si="78"/>
        <v>1382.9577464788736</v>
      </c>
      <c r="N62" s="9">
        <f t="shared" si="82"/>
        <v>172.86971830985919</v>
      </c>
      <c r="O62" s="11">
        <f t="shared" si="79"/>
        <v>0</v>
      </c>
      <c r="P62" s="12">
        <f t="shared" si="80"/>
        <v>-14.630281690140805</v>
      </c>
      <c r="Q62" s="123">
        <f t="shared" si="83"/>
        <v>0.92197183098591573</v>
      </c>
      <c r="R62" s="533"/>
      <c r="S62" s="24">
        <v>0.31527777777777777</v>
      </c>
      <c r="T62" s="24">
        <v>0.41388888888888886</v>
      </c>
      <c r="U62" s="121">
        <f t="shared" si="84"/>
        <v>6.9999999999999751</v>
      </c>
      <c r="V62" s="130">
        <f t="shared" si="81"/>
        <v>141.99999999999997</v>
      </c>
      <c r="W62" s="121"/>
      <c r="X62" s="121"/>
      <c r="Y62" s="528"/>
      <c r="Z62" s="528"/>
      <c r="AA62" s="11">
        <f t="shared" si="2"/>
        <v>-117.04225352112644</v>
      </c>
      <c r="AB62" s="123">
        <f t="shared" si="57"/>
        <v>0.92197183098591573</v>
      </c>
      <c r="AC62" s="533"/>
    </row>
    <row r="63" spans="1:29">
      <c r="A63" s="539" t="s">
        <v>385</v>
      </c>
      <c r="B63" s="131" t="s">
        <v>32</v>
      </c>
      <c r="C63" s="529" t="s">
        <v>37</v>
      </c>
      <c r="D63" s="529"/>
      <c r="E63" s="26">
        <v>35.119999999999997</v>
      </c>
      <c r="F63" s="27">
        <v>1413</v>
      </c>
      <c r="G63" s="121">
        <f t="shared" si="76"/>
        <v>49624.56</v>
      </c>
      <c r="H63" s="76" t="s">
        <v>52</v>
      </c>
      <c r="I63" s="129">
        <v>13</v>
      </c>
      <c r="J63" s="18">
        <v>2000</v>
      </c>
      <c r="K63" s="9">
        <f t="shared" si="77"/>
        <v>153.84615384615384</v>
      </c>
      <c r="L63" s="17">
        <v>13</v>
      </c>
      <c r="M63" s="10">
        <f t="shared" si="78"/>
        <v>1843.0434782608695</v>
      </c>
      <c r="N63" s="9">
        <f t="shared" si="82"/>
        <v>141.77257525083613</v>
      </c>
      <c r="O63" s="11">
        <f t="shared" si="79"/>
        <v>0</v>
      </c>
      <c r="P63" s="12">
        <f t="shared" si="80"/>
        <v>-12.073578595317713</v>
      </c>
      <c r="Q63" s="123">
        <f t="shared" si="83"/>
        <v>0.92152173913043489</v>
      </c>
      <c r="R63" s="533"/>
      <c r="S63" s="24">
        <v>0.41736111111111107</v>
      </c>
      <c r="T63" s="24">
        <v>0.44930555555555551</v>
      </c>
      <c r="U63" s="121">
        <f t="shared" si="84"/>
        <v>4.9999999999999822</v>
      </c>
      <c r="V63" s="130">
        <f t="shared" si="81"/>
        <v>46</v>
      </c>
      <c r="W63" s="14"/>
      <c r="X63" s="14"/>
      <c r="Y63" s="528"/>
      <c r="Z63" s="528"/>
      <c r="AA63" s="11">
        <f t="shared" si="2"/>
        <v>-156.95652173913049</v>
      </c>
      <c r="AB63" s="123">
        <f t="shared" si="57"/>
        <v>0.92152173913043478</v>
      </c>
      <c r="AC63" s="533"/>
    </row>
    <row r="64" spans="1:29" ht="15" customHeight="1">
      <c r="A64" s="539" t="s">
        <v>385</v>
      </c>
      <c r="B64" s="131" t="s">
        <v>32</v>
      </c>
      <c r="C64" s="534" t="s">
        <v>84</v>
      </c>
      <c r="D64" s="535"/>
      <c r="E64" s="26">
        <v>35.869999999999997</v>
      </c>
      <c r="F64" s="27">
        <v>3702</v>
      </c>
      <c r="G64" s="121">
        <f t="shared" si="76"/>
        <v>132790.74</v>
      </c>
      <c r="H64" s="76" t="s">
        <v>52</v>
      </c>
      <c r="I64" s="129">
        <v>10</v>
      </c>
      <c r="J64" s="18">
        <v>3000</v>
      </c>
      <c r="K64" s="9">
        <f t="shared" si="77"/>
        <v>300</v>
      </c>
      <c r="L64" s="17">
        <v>10</v>
      </c>
      <c r="M64" s="10">
        <f t="shared" si="78"/>
        <v>2776.4999999999991</v>
      </c>
      <c r="N64" s="9">
        <f t="shared" si="82"/>
        <v>277.64999999999992</v>
      </c>
      <c r="O64" s="11">
        <f t="shared" si="79"/>
        <v>0</v>
      </c>
      <c r="P64" s="12">
        <f t="shared" si="80"/>
        <v>-22.35000000000008</v>
      </c>
      <c r="Q64" s="123">
        <f t="shared" si="83"/>
        <v>0.92549999999999977</v>
      </c>
      <c r="R64" s="533"/>
      <c r="S64" s="24">
        <v>0.45347222222222217</v>
      </c>
      <c r="T64" s="24">
        <v>0.50902777777777775</v>
      </c>
      <c r="U64" s="121">
        <f t="shared" si="84"/>
        <v>5.9999999999999787</v>
      </c>
      <c r="V64" s="130">
        <f t="shared" si="81"/>
        <v>80.000000000000028</v>
      </c>
      <c r="W64" s="121"/>
      <c r="X64" s="121"/>
      <c r="Y64" s="536"/>
      <c r="Z64" s="537"/>
      <c r="AA64" s="11">
        <f t="shared" si="2"/>
        <v>-223.50000000000091</v>
      </c>
      <c r="AB64" s="123">
        <f t="shared" si="57"/>
        <v>0.92549999999999966</v>
      </c>
      <c r="AC64" s="533"/>
    </row>
    <row r="65" spans="1:29">
      <c r="A65" s="539" t="s">
        <v>385</v>
      </c>
      <c r="B65" s="26" t="s">
        <v>82</v>
      </c>
      <c r="C65" s="530"/>
      <c r="D65" s="530"/>
      <c r="E65" s="122"/>
      <c r="F65" s="16"/>
      <c r="G65" s="9"/>
      <c r="H65" s="131"/>
      <c r="I65" s="17">
        <v>10.166666666666666</v>
      </c>
      <c r="J65" s="18">
        <v>2583.3333333333335</v>
      </c>
      <c r="K65" s="9">
        <f>J65/I65</f>
        <v>254.09836065573774</v>
      </c>
      <c r="L65" s="17">
        <v>10.166666666666666</v>
      </c>
      <c r="M65" s="10">
        <f>AVERAGE(M59:M64)</f>
        <v>2388.0191710320869</v>
      </c>
      <c r="N65" s="9">
        <f>M65/L65</f>
        <v>234.88713157692661</v>
      </c>
      <c r="O65" s="11">
        <f>L65-I65</f>
        <v>0</v>
      </c>
      <c r="P65" s="12">
        <f>N65-K65</f>
        <v>-19.21122907881113</v>
      </c>
      <c r="Q65" s="123">
        <f>N65/K65</f>
        <v>0.92439451781887239</v>
      </c>
      <c r="R65" s="533"/>
      <c r="S65" s="24"/>
      <c r="T65" s="24"/>
      <c r="U65" s="9"/>
      <c r="V65" s="130"/>
      <c r="W65" s="9"/>
      <c r="X65" s="9"/>
      <c r="Y65" s="528"/>
      <c r="Z65" s="528"/>
      <c r="AA65" s="11">
        <f t="shared" si="2"/>
        <v>-195.3141623012466</v>
      </c>
      <c r="AB65" s="123">
        <f t="shared" si="57"/>
        <v>0.92439451781887227</v>
      </c>
      <c r="AC65" s="533"/>
    </row>
    <row r="66" spans="1:29" ht="15.75" customHeight="1">
      <c r="A66" s="531" t="s">
        <v>388</v>
      </c>
      <c r="B66" s="131" t="s">
        <v>24</v>
      </c>
      <c r="C66" s="529" t="s">
        <v>67</v>
      </c>
      <c r="D66" s="529"/>
      <c r="E66" s="26">
        <v>32.03</v>
      </c>
      <c r="F66" s="131">
        <v>1187</v>
      </c>
      <c r="G66" s="121">
        <f t="shared" ref="G66:G73" si="85">E66*F66</f>
        <v>38019.61</v>
      </c>
      <c r="H66" s="76" t="s">
        <v>52</v>
      </c>
      <c r="I66" s="129">
        <v>19</v>
      </c>
      <c r="J66" s="18">
        <v>2400</v>
      </c>
      <c r="K66" s="9">
        <f t="shared" ref="K66:K68" si="86">J66/I66</f>
        <v>126.31578947368421</v>
      </c>
      <c r="L66" s="17">
        <v>19</v>
      </c>
      <c r="M66" s="10">
        <f>F66/V66*60</f>
        <v>2225.6249999999995</v>
      </c>
      <c r="N66" s="9">
        <f t="shared" ref="N66:N73" si="87">M66/L66</f>
        <v>117.13815789473682</v>
      </c>
      <c r="O66" s="11">
        <f t="shared" ref="O66:O73" si="88">L66-I66</f>
        <v>0</v>
      </c>
      <c r="P66" s="12">
        <f t="shared" ref="P66:P73" si="89">N66-K66</f>
        <v>-9.1776315789473841</v>
      </c>
      <c r="Q66" s="123">
        <f>N66/K66</f>
        <v>0.92734374999999991</v>
      </c>
      <c r="R66" s="533">
        <f>Q74</f>
        <v>0.92062995627651423</v>
      </c>
      <c r="S66" s="24">
        <v>8.3333333333333329E-2</v>
      </c>
      <c r="T66" s="24">
        <v>0.10555555555555556</v>
      </c>
      <c r="U66" s="15"/>
      <c r="V66" s="130">
        <f t="shared" ref="V66:V73" si="90">(T66-S66)*24*60</f>
        <v>32.000000000000007</v>
      </c>
      <c r="W66" s="14">
        <f>T66</f>
        <v>0.10555555555555556</v>
      </c>
      <c r="X66" s="14">
        <f>S67</f>
        <v>0.125</v>
      </c>
      <c r="Y66" s="528"/>
      <c r="Z66" s="528"/>
      <c r="AA66" s="11">
        <f t="shared" si="2"/>
        <v>-174.37500000000045</v>
      </c>
      <c r="AB66" s="123">
        <f>M66/J66</f>
        <v>0.9273437499999998</v>
      </c>
      <c r="AC66" s="533">
        <f>AB74</f>
        <v>0.92062995627651412</v>
      </c>
    </row>
    <row r="67" spans="1:29" ht="15.75" customHeight="1">
      <c r="A67" s="531" t="s">
        <v>388</v>
      </c>
      <c r="B67" s="131" t="s">
        <v>24</v>
      </c>
      <c r="C67" s="529" t="s">
        <v>51</v>
      </c>
      <c r="D67" s="529"/>
      <c r="E67" s="26">
        <v>20.2</v>
      </c>
      <c r="F67" s="131">
        <v>2682</v>
      </c>
      <c r="G67" s="121">
        <f t="shared" si="85"/>
        <v>54176.4</v>
      </c>
      <c r="H67" s="76" t="s">
        <v>52</v>
      </c>
      <c r="I67" s="129">
        <v>19</v>
      </c>
      <c r="J67" s="18">
        <v>2400</v>
      </c>
      <c r="K67" s="9">
        <f t="shared" si="86"/>
        <v>126.31578947368421</v>
      </c>
      <c r="L67" s="17">
        <v>19</v>
      </c>
      <c r="M67" s="10">
        <f t="shared" ref="M67:M73" si="91">F67/V67*60</f>
        <v>2204.3835616438359</v>
      </c>
      <c r="N67" s="9">
        <f t="shared" si="87"/>
        <v>116.02018745493874</v>
      </c>
      <c r="O67" s="11">
        <f t="shared" si="88"/>
        <v>0</v>
      </c>
      <c r="P67" s="12">
        <f t="shared" si="89"/>
        <v>-10.29560201874547</v>
      </c>
      <c r="Q67" s="123">
        <f t="shared" ref="Q67:Q74" si="92">N67/K67</f>
        <v>0.91849315068493165</v>
      </c>
      <c r="R67" s="533"/>
      <c r="S67" s="24">
        <v>0.125</v>
      </c>
      <c r="T67" s="24">
        <v>0.17569444444444443</v>
      </c>
      <c r="U67" s="121">
        <f>(S67-T66)*24*60</f>
        <v>28</v>
      </c>
      <c r="V67" s="130">
        <f t="shared" si="90"/>
        <v>72.999999999999986</v>
      </c>
      <c r="W67" s="14"/>
      <c r="X67" s="14"/>
      <c r="Y67" s="528"/>
      <c r="Z67" s="528"/>
      <c r="AA67" s="11">
        <f t="shared" si="2"/>
        <v>-195.61643835616405</v>
      </c>
      <c r="AB67" s="123">
        <f t="shared" ref="AB67:AB74" si="93">M67/J67</f>
        <v>0.91849315068493165</v>
      </c>
      <c r="AC67" s="533"/>
    </row>
    <row r="68" spans="1:29" ht="15.75" customHeight="1">
      <c r="A68" s="531" t="s">
        <v>388</v>
      </c>
      <c r="B68" s="131" t="s">
        <v>24</v>
      </c>
      <c r="C68" s="529" t="s">
        <v>41</v>
      </c>
      <c r="D68" s="529"/>
      <c r="E68" s="26">
        <v>19.02</v>
      </c>
      <c r="F68" s="131">
        <v>4300</v>
      </c>
      <c r="G68" s="121">
        <f t="shared" si="85"/>
        <v>81786</v>
      </c>
      <c r="H68" s="76">
        <v>2</v>
      </c>
      <c r="I68" s="129">
        <v>15</v>
      </c>
      <c r="J68" s="18">
        <v>2400</v>
      </c>
      <c r="K68" s="9">
        <f t="shared" si="86"/>
        <v>160</v>
      </c>
      <c r="L68" s="17">
        <v>15</v>
      </c>
      <c r="M68" s="10">
        <f t="shared" si="91"/>
        <v>2205.1282051282046</v>
      </c>
      <c r="N68" s="9">
        <f t="shared" si="87"/>
        <v>147.00854700854697</v>
      </c>
      <c r="O68" s="11">
        <f t="shared" si="88"/>
        <v>0</v>
      </c>
      <c r="P68" s="12">
        <f t="shared" si="89"/>
        <v>-12.991452991453031</v>
      </c>
      <c r="Q68" s="123">
        <f t="shared" si="92"/>
        <v>0.91880341880341854</v>
      </c>
      <c r="R68" s="533"/>
      <c r="S68" s="24">
        <v>0.18055555555555555</v>
      </c>
      <c r="T68" s="24">
        <v>0.26180555555555557</v>
      </c>
      <c r="U68" s="121">
        <f t="shared" ref="U68:U73" si="94">(S68-T67)*24*60</f>
        <v>7.0000000000000151</v>
      </c>
      <c r="V68" s="130">
        <f t="shared" si="90"/>
        <v>117.00000000000003</v>
      </c>
      <c r="W68" s="14"/>
      <c r="X68" s="14"/>
      <c r="Y68" s="528"/>
      <c r="Z68" s="528"/>
      <c r="AA68" s="11">
        <f t="shared" si="2"/>
        <v>-194.87179487179537</v>
      </c>
      <c r="AB68" s="123">
        <f t="shared" si="93"/>
        <v>0.91880341880341865</v>
      </c>
      <c r="AC68" s="533"/>
    </row>
    <row r="69" spans="1:29" ht="15.75" customHeight="1">
      <c r="A69" s="531" t="s">
        <v>388</v>
      </c>
      <c r="B69" s="131" t="s">
        <v>24</v>
      </c>
      <c r="C69" s="529" t="s">
        <v>42</v>
      </c>
      <c r="D69" s="529"/>
      <c r="E69" s="26">
        <v>25</v>
      </c>
      <c r="F69" s="131">
        <v>4252</v>
      </c>
      <c r="G69" s="121">
        <f t="shared" si="85"/>
        <v>106300</v>
      </c>
      <c r="H69" s="76" t="s">
        <v>52</v>
      </c>
      <c r="I69" s="129">
        <v>15</v>
      </c>
      <c r="J69" s="18">
        <v>2400</v>
      </c>
      <c r="K69" s="9">
        <f>J69/I69</f>
        <v>160</v>
      </c>
      <c r="L69" s="17">
        <v>15</v>
      </c>
      <c r="M69" s="10">
        <f t="shared" si="91"/>
        <v>2199.3103448275865</v>
      </c>
      <c r="N69" s="9">
        <f t="shared" si="87"/>
        <v>146.62068965517244</v>
      </c>
      <c r="O69" s="11">
        <f t="shared" si="88"/>
        <v>0</v>
      </c>
      <c r="P69" s="12">
        <f t="shared" si="89"/>
        <v>-13.379310344827559</v>
      </c>
      <c r="Q69" s="123">
        <f t="shared" si="92"/>
        <v>0.91637931034482778</v>
      </c>
      <c r="R69" s="533"/>
      <c r="S69" s="24">
        <v>0.26666666666666666</v>
      </c>
      <c r="T69" s="24">
        <v>0.34722222222222221</v>
      </c>
      <c r="U69" s="121">
        <f t="shared" si="94"/>
        <v>6.9999999999999751</v>
      </c>
      <c r="V69" s="130">
        <f t="shared" si="90"/>
        <v>115.99999999999999</v>
      </c>
      <c r="W69" s="14"/>
      <c r="X69" s="14"/>
      <c r="Y69" s="528"/>
      <c r="Z69" s="528"/>
      <c r="AA69" s="11">
        <f t="shared" ref="AA69:AA74" si="95">M69-J69</f>
        <v>-200.6896551724135</v>
      </c>
      <c r="AB69" s="123">
        <f t="shared" si="93"/>
        <v>0.91637931034482767</v>
      </c>
      <c r="AC69" s="533"/>
    </row>
    <row r="70" spans="1:29" ht="15.75" customHeight="1">
      <c r="A70" s="531" t="s">
        <v>388</v>
      </c>
      <c r="B70" s="131" t="s">
        <v>24</v>
      </c>
      <c r="C70" s="529" t="s">
        <v>77</v>
      </c>
      <c r="D70" s="529"/>
      <c r="E70" s="26">
        <v>28.51</v>
      </c>
      <c r="F70" s="131">
        <v>4460</v>
      </c>
      <c r="G70" s="121">
        <f t="shared" si="85"/>
        <v>127154.6</v>
      </c>
      <c r="H70" s="76" t="s">
        <v>52</v>
      </c>
      <c r="I70" s="129">
        <v>19</v>
      </c>
      <c r="J70" s="18">
        <v>2400</v>
      </c>
      <c r="K70" s="9">
        <f t="shared" ref="K70:K74" si="96">J70/I70</f>
        <v>126.31578947368421</v>
      </c>
      <c r="L70" s="17">
        <v>19</v>
      </c>
      <c r="M70" s="10">
        <f t="shared" si="91"/>
        <v>2211.5702479338847</v>
      </c>
      <c r="N70" s="9">
        <f t="shared" si="87"/>
        <v>116.39843410178341</v>
      </c>
      <c r="O70" s="11">
        <f t="shared" si="88"/>
        <v>0</v>
      </c>
      <c r="P70" s="12">
        <f t="shared" si="89"/>
        <v>-9.917355371900797</v>
      </c>
      <c r="Q70" s="123">
        <f t="shared" si="92"/>
        <v>0.92148760330578539</v>
      </c>
      <c r="R70" s="533"/>
      <c r="S70" s="24">
        <v>0.35069444444444442</v>
      </c>
      <c r="T70" s="24">
        <v>0.43472222222222218</v>
      </c>
      <c r="U70" s="121">
        <f t="shared" si="94"/>
        <v>4.9999999999999822</v>
      </c>
      <c r="V70" s="130">
        <f t="shared" si="90"/>
        <v>120.99999999999997</v>
      </c>
      <c r="W70" s="14"/>
      <c r="X70" s="14"/>
      <c r="Y70" s="528"/>
      <c r="Z70" s="528"/>
      <c r="AA70" s="11">
        <f t="shared" si="95"/>
        <v>-188.42975206611527</v>
      </c>
      <c r="AB70" s="123">
        <f t="shared" si="93"/>
        <v>0.92148760330578527</v>
      </c>
      <c r="AC70" s="533"/>
    </row>
    <row r="71" spans="1:29" ht="15.75" customHeight="1">
      <c r="A71" s="531" t="s">
        <v>388</v>
      </c>
      <c r="B71" s="131" t="s">
        <v>24</v>
      </c>
      <c r="C71" s="529" t="s">
        <v>25</v>
      </c>
      <c r="D71" s="529"/>
      <c r="E71" s="26">
        <v>20.52</v>
      </c>
      <c r="F71" s="131">
        <v>2500</v>
      </c>
      <c r="G71" s="121">
        <f t="shared" si="85"/>
        <v>51300</v>
      </c>
      <c r="H71" s="76">
        <v>2</v>
      </c>
      <c r="I71" s="129">
        <v>18</v>
      </c>
      <c r="J71" s="18">
        <v>2400</v>
      </c>
      <c r="K71" s="9">
        <f t="shared" si="96"/>
        <v>133.33333333333334</v>
      </c>
      <c r="L71" s="17">
        <v>18</v>
      </c>
      <c r="M71" s="10">
        <f t="shared" si="91"/>
        <v>2205.8823529411766</v>
      </c>
      <c r="N71" s="9">
        <f t="shared" si="87"/>
        <v>122.54901960784315</v>
      </c>
      <c r="O71" s="11">
        <f t="shared" si="88"/>
        <v>0</v>
      </c>
      <c r="P71" s="12">
        <f t="shared" si="89"/>
        <v>-10.784313725490193</v>
      </c>
      <c r="Q71" s="123">
        <f t="shared" si="92"/>
        <v>0.91911764705882359</v>
      </c>
      <c r="R71" s="533"/>
      <c r="S71" s="24">
        <v>0.43819444444444439</v>
      </c>
      <c r="T71" s="24">
        <v>0.48541666666666661</v>
      </c>
      <c r="U71" s="121">
        <f t="shared" si="94"/>
        <v>4.9999999999999822</v>
      </c>
      <c r="V71" s="130">
        <f t="shared" si="90"/>
        <v>68</v>
      </c>
      <c r="W71" s="14">
        <f>T71</f>
        <v>0.48541666666666661</v>
      </c>
      <c r="X71" s="14">
        <f>S72</f>
        <v>0.52499999999999991</v>
      </c>
      <c r="Y71" s="528"/>
      <c r="Z71" s="528"/>
      <c r="AA71" s="11">
        <f t="shared" si="95"/>
        <v>-194.11764705882342</v>
      </c>
      <c r="AB71" s="123">
        <f t="shared" si="93"/>
        <v>0.91911764705882359</v>
      </c>
      <c r="AC71" s="533"/>
    </row>
    <row r="72" spans="1:29" ht="15.75" customHeight="1">
      <c r="A72" s="531" t="s">
        <v>388</v>
      </c>
      <c r="B72" s="131" t="s">
        <v>24</v>
      </c>
      <c r="C72" s="534" t="s">
        <v>41</v>
      </c>
      <c r="D72" s="535"/>
      <c r="E72" s="26">
        <v>19.02</v>
      </c>
      <c r="F72" s="131">
        <v>7588</v>
      </c>
      <c r="G72" s="121">
        <f t="shared" si="85"/>
        <v>144323.76</v>
      </c>
      <c r="H72" s="76" t="s">
        <v>52</v>
      </c>
      <c r="I72" s="129">
        <v>15</v>
      </c>
      <c r="J72" s="18">
        <v>2400</v>
      </c>
      <c r="K72" s="9">
        <f t="shared" si="96"/>
        <v>160</v>
      </c>
      <c r="L72" s="17">
        <v>15</v>
      </c>
      <c r="M72" s="10">
        <f t="shared" si="91"/>
        <v>2210.0970873786418</v>
      </c>
      <c r="N72" s="9">
        <f t="shared" si="87"/>
        <v>147.33980582524279</v>
      </c>
      <c r="O72" s="11">
        <f t="shared" si="88"/>
        <v>0</v>
      </c>
      <c r="P72" s="12">
        <f t="shared" si="89"/>
        <v>-12.660194174757208</v>
      </c>
      <c r="Q72" s="123">
        <f t="shared" si="92"/>
        <v>0.9208737864077674</v>
      </c>
      <c r="R72" s="533"/>
      <c r="S72" s="24">
        <v>0.52499999999999991</v>
      </c>
      <c r="T72" s="24">
        <v>0.6680555555555554</v>
      </c>
      <c r="U72" s="121">
        <f t="shared" si="94"/>
        <v>56.999999999999957</v>
      </c>
      <c r="V72" s="130">
        <f t="shared" si="90"/>
        <v>205.99999999999991</v>
      </c>
      <c r="W72" s="14"/>
      <c r="X72" s="14"/>
      <c r="Y72" s="536"/>
      <c r="Z72" s="537"/>
      <c r="AA72" s="11">
        <f t="shared" si="95"/>
        <v>-189.90291262135815</v>
      </c>
      <c r="AB72" s="123">
        <f t="shared" si="93"/>
        <v>0.9208737864077674</v>
      </c>
      <c r="AC72" s="533"/>
    </row>
    <row r="73" spans="1:29" ht="15.75" customHeight="1">
      <c r="A73" s="531" t="s">
        <v>388</v>
      </c>
      <c r="B73" s="131" t="s">
        <v>24</v>
      </c>
      <c r="C73" s="534" t="s">
        <v>25</v>
      </c>
      <c r="D73" s="535"/>
      <c r="E73" s="26">
        <v>20.52</v>
      </c>
      <c r="F73" s="131">
        <v>2251</v>
      </c>
      <c r="G73" s="121">
        <f t="shared" si="85"/>
        <v>46190.52</v>
      </c>
      <c r="H73" s="76" t="s">
        <v>52</v>
      </c>
      <c r="I73" s="129">
        <v>18</v>
      </c>
      <c r="J73" s="18">
        <v>2400</v>
      </c>
      <c r="K73" s="9">
        <f t="shared" si="96"/>
        <v>133.33333333333334</v>
      </c>
      <c r="L73" s="17">
        <v>18</v>
      </c>
      <c r="M73" s="10">
        <f t="shared" si="91"/>
        <v>2214.0983606557397</v>
      </c>
      <c r="N73" s="9">
        <f t="shared" si="87"/>
        <v>123.00546448087442</v>
      </c>
      <c r="O73" s="11">
        <f t="shared" si="88"/>
        <v>0</v>
      </c>
      <c r="P73" s="12">
        <f t="shared" si="89"/>
        <v>-10.32786885245892</v>
      </c>
      <c r="Q73" s="123">
        <f t="shared" si="92"/>
        <v>0.92254098360655812</v>
      </c>
      <c r="R73" s="533"/>
      <c r="S73" s="24">
        <v>0.67152777777777761</v>
      </c>
      <c r="T73" s="24">
        <v>0.71388888888888868</v>
      </c>
      <c r="U73" s="121">
        <f t="shared" si="94"/>
        <v>4.9999999999999822</v>
      </c>
      <c r="V73" s="130">
        <f t="shared" si="90"/>
        <v>60.999999999999943</v>
      </c>
      <c r="W73" s="14"/>
      <c r="X73" s="14"/>
      <c r="Y73" s="536"/>
      <c r="Z73" s="537"/>
      <c r="AA73" s="11">
        <f t="shared" si="95"/>
        <v>-185.90163934426027</v>
      </c>
      <c r="AB73" s="123">
        <f t="shared" si="93"/>
        <v>0.92254098360655823</v>
      </c>
      <c r="AC73" s="533"/>
    </row>
    <row r="74" spans="1:29" ht="16.5" customHeight="1">
      <c r="A74" s="532" t="s">
        <v>388</v>
      </c>
      <c r="B74" s="26" t="s">
        <v>82</v>
      </c>
      <c r="C74" s="530"/>
      <c r="D74" s="530"/>
      <c r="E74" s="122"/>
      <c r="F74" s="16"/>
      <c r="G74" s="9"/>
      <c r="H74" s="131"/>
      <c r="I74" s="17">
        <v>17.25</v>
      </c>
      <c r="J74" s="18">
        <v>2400</v>
      </c>
      <c r="K74" s="9">
        <f t="shared" si="96"/>
        <v>139.13043478260869</v>
      </c>
      <c r="L74" s="17">
        <v>17.25</v>
      </c>
      <c r="M74" s="10">
        <f>AVERAGE(M66:M73)</f>
        <v>2209.5118950636338</v>
      </c>
      <c r="N74" s="9">
        <f>M74/L74</f>
        <v>128.08764609064545</v>
      </c>
      <c r="O74" s="11">
        <f>L74-I74</f>
        <v>0</v>
      </c>
      <c r="P74" s="12">
        <f>N74-K74</f>
        <v>-11.042788691963239</v>
      </c>
      <c r="Q74" s="123">
        <f t="shared" si="92"/>
        <v>0.92062995627651423</v>
      </c>
      <c r="R74" s="533"/>
      <c r="S74" s="24"/>
      <c r="T74" s="24"/>
      <c r="U74" s="9"/>
      <c r="V74" s="130"/>
      <c r="W74" s="9"/>
      <c r="X74" s="9"/>
      <c r="Y74" s="528"/>
      <c r="Z74" s="528"/>
      <c r="AA74" s="11">
        <f t="shared" si="95"/>
        <v>-190.4881049363662</v>
      </c>
      <c r="AB74" s="123">
        <f t="shared" si="93"/>
        <v>0.92062995627651412</v>
      </c>
      <c r="AC74" s="533"/>
    </row>
    <row r="75" spans="1:29">
      <c r="D75" s="19"/>
      <c r="E75" s="19"/>
    </row>
  </sheetData>
  <mergeCells count="196">
    <mergeCell ref="A59:A65"/>
    <mergeCell ref="C59:D59"/>
    <mergeCell ref="R59:R65"/>
    <mergeCell ref="Y59:Z59"/>
    <mergeCell ref="A66:A74"/>
    <mergeCell ref="C66:D66"/>
    <mergeCell ref="R66:R74"/>
    <mergeCell ref="Y66:Z66"/>
    <mergeCell ref="AC66:AC74"/>
    <mergeCell ref="C67:D67"/>
    <mergeCell ref="Y67:Z67"/>
    <mergeCell ref="C68:D68"/>
    <mergeCell ref="Y68:Z68"/>
    <mergeCell ref="C69:D69"/>
    <mergeCell ref="C73:D73"/>
    <mergeCell ref="Y73:Z73"/>
    <mergeCell ref="C74:D74"/>
    <mergeCell ref="Y74:Z74"/>
    <mergeCell ref="Y69:Z69"/>
    <mergeCell ref="C70:D70"/>
    <mergeCell ref="Y70:Z70"/>
    <mergeCell ref="C71:D71"/>
    <mergeCell ref="Y71:Z71"/>
    <mergeCell ref="C72:D72"/>
    <mergeCell ref="Y72:Z72"/>
    <mergeCell ref="AC59:AC65"/>
    <mergeCell ref="C60:D60"/>
    <mergeCell ref="Y60:Z60"/>
    <mergeCell ref="C61:D61"/>
    <mergeCell ref="Y61:Z61"/>
    <mergeCell ref="C62:D62"/>
    <mergeCell ref="AC53:AC58"/>
    <mergeCell ref="C54:D54"/>
    <mergeCell ref="Y54:Z54"/>
    <mergeCell ref="C55:D55"/>
    <mergeCell ref="C58:D58"/>
    <mergeCell ref="Y58:Z58"/>
    <mergeCell ref="Y62:Z62"/>
    <mergeCell ref="C63:D63"/>
    <mergeCell ref="Y63:Z63"/>
    <mergeCell ref="C64:D64"/>
    <mergeCell ref="Y64:Z64"/>
    <mergeCell ref="C65:D65"/>
    <mergeCell ref="Y65:Z65"/>
    <mergeCell ref="A53:A58"/>
    <mergeCell ref="C53:D53"/>
    <mergeCell ref="R53:R58"/>
    <mergeCell ref="Y53:Z53"/>
    <mergeCell ref="Y47:Z47"/>
    <mergeCell ref="C48:D48"/>
    <mergeCell ref="Y48:Z48"/>
    <mergeCell ref="C49:D49"/>
    <mergeCell ref="Y49:Z49"/>
    <mergeCell ref="C50:D50"/>
    <mergeCell ref="Y50:Z50"/>
    <mergeCell ref="A44:A52"/>
    <mergeCell ref="C44:D44"/>
    <mergeCell ref="R44:R52"/>
    <mergeCell ref="Y44:Z44"/>
    <mergeCell ref="AC44:AC52"/>
    <mergeCell ref="C45:D45"/>
    <mergeCell ref="Y45:Z45"/>
    <mergeCell ref="C46:D46"/>
    <mergeCell ref="Y46:Z46"/>
    <mergeCell ref="C47:D47"/>
    <mergeCell ref="C41:D41"/>
    <mergeCell ref="Y41:Z41"/>
    <mergeCell ref="C42:D42"/>
    <mergeCell ref="Y42:Z42"/>
    <mergeCell ref="C43:D43"/>
    <mergeCell ref="Y43:Z43"/>
    <mergeCell ref="AC34:AC43"/>
    <mergeCell ref="C51:D51"/>
    <mergeCell ref="Y51:Z51"/>
    <mergeCell ref="C52:D52"/>
    <mergeCell ref="Y52:Z52"/>
    <mergeCell ref="Y37:Z37"/>
    <mergeCell ref="C38:D38"/>
    <mergeCell ref="Y38:Z38"/>
    <mergeCell ref="C39:D39"/>
    <mergeCell ref="Y39:Z39"/>
    <mergeCell ref="C40:D40"/>
    <mergeCell ref="Y40:Z40"/>
    <mergeCell ref="A34:A43"/>
    <mergeCell ref="C34:D34"/>
    <mergeCell ref="R34:R43"/>
    <mergeCell ref="Y34:Z34"/>
    <mergeCell ref="C35:D35"/>
    <mergeCell ref="Y35:Z35"/>
    <mergeCell ref="C36:D36"/>
    <mergeCell ref="Y36:Z36"/>
    <mergeCell ref="C37:D37"/>
    <mergeCell ref="A28:A33"/>
    <mergeCell ref="C28:D28"/>
    <mergeCell ref="R28:R33"/>
    <mergeCell ref="Y28:Z28"/>
    <mergeCell ref="Y33:Z33"/>
    <mergeCell ref="AC28:AC33"/>
    <mergeCell ref="C29:D29"/>
    <mergeCell ref="Y29:Z29"/>
    <mergeCell ref="C30:D30"/>
    <mergeCell ref="Y30:Z30"/>
    <mergeCell ref="C31:D31"/>
    <mergeCell ref="Y31:Z31"/>
    <mergeCell ref="C32:D32"/>
    <mergeCell ref="Y32:Z32"/>
    <mergeCell ref="C33:D33"/>
    <mergeCell ref="AC19:AC27"/>
    <mergeCell ref="C20:D20"/>
    <mergeCell ref="Y20:Z20"/>
    <mergeCell ref="C21:D21"/>
    <mergeCell ref="Y21:Z21"/>
    <mergeCell ref="C22:D22"/>
    <mergeCell ref="Y22:Z22"/>
    <mergeCell ref="C23:D23"/>
    <mergeCell ref="Y23:Z23"/>
    <mergeCell ref="C24:D24"/>
    <mergeCell ref="C26:D26"/>
    <mergeCell ref="Y26:Z26"/>
    <mergeCell ref="C27:D27"/>
    <mergeCell ref="Y27:Z27"/>
    <mergeCell ref="A19:A27"/>
    <mergeCell ref="C19:D19"/>
    <mergeCell ref="R19:R27"/>
    <mergeCell ref="Y19:Z19"/>
    <mergeCell ref="Y24:Z24"/>
    <mergeCell ref="C25:D25"/>
    <mergeCell ref="Y25:Z25"/>
    <mergeCell ref="A14:A18"/>
    <mergeCell ref="C14:D14"/>
    <mergeCell ref="R14:R18"/>
    <mergeCell ref="Y14:Z14"/>
    <mergeCell ref="AC14:AC18"/>
    <mergeCell ref="C15:D15"/>
    <mergeCell ref="Y15:Z15"/>
    <mergeCell ref="C16:D16"/>
    <mergeCell ref="Y16:Z16"/>
    <mergeCell ref="C17:D17"/>
    <mergeCell ref="AC9:AC13"/>
    <mergeCell ref="C10:D10"/>
    <mergeCell ref="Y10:Z10"/>
    <mergeCell ref="C11:D11"/>
    <mergeCell ref="Y11:Z11"/>
    <mergeCell ref="C12:D12"/>
    <mergeCell ref="Y12:Z12"/>
    <mergeCell ref="C13:D13"/>
    <mergeCell ref="Y13:Z13"/>
    <mergeCell ref="Y17:Z17"/>
    <mergeCell ref="C18:D18"/>
    <mergeCell ref="Y18:Z18"/>
    <mergeCell ref="C8:D8"/>
    <mergeCell ref="Y8:Z8"/>
    <mergeCell ref="A9:A13"/>
    <mergeCell ref="C9:D9"/>
    <mergeCell ref="R9:R13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62:O71 O74 O5:O9 O13:O15 O52:O59 O18:O49">
    <cfRule type="cellIs" dxfId="386" priority="58" operator="greaterThan">
      <formula>0</formula>
    </cfRule>
  </conditionalFormatting>
  <conditionalFormatting sqref="P5:P7 P62:P64 AA62:AA64 P66:P71 P28:P32 P59 P9 P13:P15 P19:P26 P53:P57 P34:P49 AA5:AA59 AA66:AA74">
    <cfRule type="cellIs" dxfId="385" priority="62" operator="lessThan">
      <formula>0</formula>
    </cfRule>
  </conditionalFormatting>
  <conditionalFormatting sqref="AB62:AB64 Q62:Q71 Q74 Q5:Q9 Q13:Q15 Q52:Q59 Q18:Q49 AB5:AB59 AB66:AB74">
    <cfRule type="cellIs" dxfId="384" priority="59" operator="greaterThan">
      <formula>1</formula>
    </cfRule>
    <cfRule type="cellIs" dxfId="383" priority="60" operator="lessThan">
      <formula>0.8</formula>
    </cfRule>
  </conditionalFormatting>
  <conditionalFormatting sqref="AC14:AC15 R14:R15 AC62 R62:R71 R18:R24 AC18:AC24 R27:R41 AC27:AC41 R74 AC5:AC9 R5:R9 R43:R49 AC43:AC49 AC52:AC59 R52:R59">
    <cfRule type="cellIs" dxfId="382" priority="64" operator="lessThan">
      <formula>0.8</formula>
    </cfRule>
  </conditionalFormatting>
  <conditionalFormatting sqref="AC44">
    <cfRule type="cellIs" dxfId="381" priority="66" operator="lessThan">
      <formula>0.8</formula>
    </cfRule>
  </conditionalFormatting>
  <conditionalFormatting sqref="AC19:AC24">
    <cfRule type="cellIs" dxfId="380" priority="63" operator="lessThan">
      <formula>0.8</formula>
    </cfRule>
  </conditionalFormatting>
  <conditionalFormatting sqref="AC28">
    <cfRule type="cellIs" dxfId="379" priority="65" operator="lessThan">
      <formula>0.8</formula>
    </cfRule>
  </conditionalFormatting>
  <conditionalFormatting sqref="AC34:AC41">
    <cfRule type="cellIs" dxfId="378" priority="61" operator="lessThan">
      <formula>0.8</formula>
    </cfRule>
  </conditionalFormatting>
  <conditionalFormatting sqref="AA65">
    <cfRule type="cellIs" dxfId="377" priority="57" operator="lessThan">
      <formula>0</formula>
    </cfRule>
  </conditionalFormatting>
  <conditionalFormatting sqref="AB65">
    <cfRule type="cellIs" dxfId="376" priority="55" operator="greaterThan">
      <formula>1</formula>
    </cfRule>
    <cfRule type="cellIs" dxfId="375" priority="56" operator="lessThan">
      <formula>0.8</formula>
    </cfRule>
  </conditionalFormatting>
  <conditionalFormatting sqref="O16:O17">
    <cfRule type="cellIs" dxfId="374" priority="50" operator="greaterThan">
      <formula>0</formula>
    </cfRule>
  </conditionalFormatting>
  <conditionalFormatting sqref="P16:P17">
    <cfRule type="cellIs" dxfId="373" priority="53" operator="lessThan">
      <formula>0</formula>
    </cfRule>
  </conditionalFormatting>
  <conditionalFormatting sqref="Q16:Q17">
    <cfRule type="cellIs" dxfId="372" priority="51" operator="greaterThan">
      <formula>1</formula>
    </cfRule>
    <cfRule type="cellIs" dxfId="371" priority="52" operator="lessThan">
      <formula>0.8</formula>
    </cfRule>
  </conditionalFormatting>
  <conditionalFormatting sqref="R16:R17 AC16:AC17">
    <cfRule type="cellIs" dxfId="370" priority="54" operator="lessThan">
      <formula>0.8</formula>
    </cfRule>
  </conditionalFormatting>
  <conditionalFormatting sqref="O10:O12">
    <cfRule type="cellIs" dxfId="369" priority="46" operator="greaterThan">
      <formula>0</formula>
    </cfRule>
  </conditionalFormatting>
  <conditionalFormatting sqref="P10:P12">
    <cfRule type="cellIs" dxfId="368" priority="49" operator="lessThan">
      <formula>0</formula>
    </cfRule>
  </conditionalFormatting>
  <conditionalFormatting sqref="Q10:Q12">
    <cfRule type="cellIs" dxfId="367" priority="47" operator="greaterThan">
      <formula>1</formula>
    </cfRule>
    <cfRule type="cellIs" dxfId="366" priority="48" operator="lessThan">
      <formula>0.8</formula>
    </cfRule>
  </conditionalFormatting>
  <conditionalFormatting sqref="AC26 R26">
    <cfRule type="cellIs" dxfId="365" priority="45" operator="lessThan">
      <formula>0.8</formula>
    </cfRule>
  </conditionalFormatting>
  <conditionalFormatting sqref="R42 AC42">
    <cfRule type="cellIs" dxfId="364" priority="44" operator="lessThan">
      <formula>0.8</formula>
    </cfRule>
  </conditionalFormatting>
  <conditionalFormatting sqref="AC42">
    <cfRule type="cellIs" dxfId="363" priority="43" operator="lessThan">
      <formula>0.8</formula>
    </cfRule>
  </conditionalFormatting>
  <conditionalFormatting sqref="O61">
    <cfRule type="cellIs" dxfId="362" priority="38" operator="greaterThan">
      <formula>0</formula>
    </cfRule>
  </conditionalFormatting>
  <conditionalFormatting sqref="P61 AA61">
    <cfRule type="cellIs" dxfId="361" priority="41" operator="lessThan">
      <formula>0</formula>
    </cfRule>
  </conditionalFormatting>
  <conditionalFormatting sqref="Q61 AB61">
    <cfRule type="cellIs" dxfId="360" priority="39" operator="greaterThan">
      <formula>1</formula>
    </cfRule>
    <cfRule type="cellIs" dxfId="359" priority="40" operator="lessThan">
      <formula>0.8</formula>
    </cfRule>
  </conditionalFormatting>
  <conditionalFormatting sqref="R61 AC61">
    <cfRule type="cellIs" dxfId="358" priority="42" operator="lessThan">
      <formula>0.8</formula>
    </cfRule>
  </conditionalFormatting>
  <conditionalFormatting sqref="O72">
    <cfRule type="cellIs" dxfId="357" priority="33" operator="greaterThan">
      <formula>0</formula>
    </cfRule>
  </conditionalFormatting>
  <conditionalFormatting sqref="P72">
    <cfRule type="cellIs" dxfId="356" priority="36" operator="lessThan">
      <formula>0</formula>
    </cfRule>
  </conditionalFormatting>
  <conditionalFormatting sqref="Q72">
    <cfRule type="cellIs" dxfId="355" priority="34" operator="greaterThan">
      <formula>1</formula>
    </cfRule>
    <cfRule type="cellIs" dxfId="354" priority="35" operator="lessThan">
      <formula>0.8</formula>
    </cfRule>
  </conditionalFormatting>
  <conditionalFormatting sqref="R72">
    <cfRule type="cellIs" dxfId="353" priority="37" operator="lessThan">
      <formula>0.8</formula>
    </cfRule>
  </conditionalFormatting>
  <conditionalFormatting sqref="O50">
    <cfRule type="cellIs" dxfId="352" priority="27" operator="greaterThan">
      <formula>0</formula>
    </cfRule>
  </conditionalFormatting>
  <conditionalFormatting sqref="P50">
    <cfRule type="cellIs" dxfId="351" priority="31" operator="lessThan">
      <formula>0</formula>
    </cfRule>
  </conditionalFormatting>
  <conditionalFormatting sqref="Q50">
    <cfRule type="cellIs" dxfId="350" priority="28" operator="greaterThan">
      <formula>1</formula>
    </cfRule>
    <cfRule type="cellIs" dxfId="349" priority="29" operator="lessThan">
      <formula>0.8</formula>
    </cfRule>
  </conditionalFormatting>
  <conditionalFormatting sqref="R50 AC50">
    <cfRule type="cellIs" dxfId="348" priority="32" operator="lessThan">
      <formula>0.8</formula>
    </cfRule>
  </conditionalFormatting>
  <conditionalFormatting sqref="AC50">
    <cfRule type="cellIs" dxfId="347" priority="30" operator="lessThan">
      <formula>0.8</formula>
    </cfRule>
  </conditionalFormatting>
  <conditionalFormatting sqref="O51">
    <cfRule type="cellIs" dxfId="346" priority="21" operator="greaterThan">
      <formula>0</formula>
    </cfRule>
  </conditionalFormatting>
  <conditionalFormatting sqref="P51">
    <cfRule type="cellIs" dxfId="345" priority="25" operator="lessThan">
      <formula>0</formula>
    </cfRule>
  </conditionalFormatting>
  <conditionalFormatting sqref="Q51">
    <cfRule type="cellIs" dxfId="344" priority="22" operator="greaterThan">
      <formula>1</formula>
    </cfRule>
    <cfRule type="cellIs" dxfId="343" priority="23" operator="lessThan">
      <formula>0.8</formula>
    </cfRule>
  </conditionalFormatting>
  <conditionalFormatting sqref="R51 AC51">
    <cfRule type="cellIs" dxfId="342" priority="26" operator="lessThan">
      <formula>0.8</formula>
    </cfRule>
  </conditionalFormatting>
  <conditionalFormatting sqref="AC51">
    <cfRule type="cellIs" dxfId="341" priority="24" operator="lessThan">
      <formula>0.8</formula>
    </cfRule>
  </conditionalFormatting>
  <conditionalFormatting sqref="R25 AC25">
    <cfRule type="cellIs" dxfId="340" priority="20" operator="lessThan">
      <formula>0.8</formula>
    </cfRule>
  </conditionalFormatting>
  <conditionalFormatting sqref="AC25">
    <cfRule type="cellIs" dxfId="339" priority="19" operator="lessThan">
      <formula>0.8</formula>
    </cfRule>
  </conditionalFormatting>
  <conditionalFormatting sqref="O60">
    <cfRule type="cellIs" dxfId="338" priority="14" operator="greaterThan">
      <formula>0</formula>
    </cfRule>
  </conditionalFormatting>
  <conditionalFormatting sqref="P60 AA60">
    <cfRule type="cellIs" dxfId="337" priority="17" operator="lessThan">
      <formula>0</formula>
    </cfRule>
  </conditionalFormatting>
  <conditionalFormatting sqref="Q60 AB60">
    <cfRule type="cellIs" dxfId="336" priority="15" operator="greaterThan">
      <formula>1</formula>
    </cfRule>
    <cfRule type="cellIs" dxfId="335" priority="16" operator="lessThan">
      <formula>0.8</formula>
    </cfRule>
  </conditionalFormatting>
  <conditionalFormatting sqref="R60 AC60">
    <cfRule type="cellIs" dxfId="334" priority="18" operator="lessThan">
      <formula>0.8</formula>
    </cfRule>
  </conditionalFormatting>
  <conditionalFormatting sqref="P8">
    <cfRule type="cellIs" dxfId="333" priority="13" operator="lessThan">
      <formula>0</formula>
    </cfRule>
  </conditionalFormatting>
  <conditionalFormatting sqref="P18">
    <cfRule type="cellIs" dxfId="332" priority="12" operator="lessThan">
      <formula>0</formula>
    </cfRule>
  </conditionalFormatting>
  <conditionalFormatting sqref="P27">
    <cfRule type="cellIs" dxfId="331" priority="11" operator="lessThan">
      <formula>0</formula>
    </cfRule>
  </conditionalFormatting>
  <conditionalFormatting sqref="P33">
    <cfRule type="cellIs" dxfId="330" priority="10" operator="lessThan">
      <formula>0</formula>
    </cfRule>
  </conditionalFormatting>
  <conditionalFormatting sqref="P52">
    <cfRule type="cellIs" dxfId="329" priority="9" operator="lessThan">
      <formula>0</formula>
    </cfRule>
  </conditionalFormatting>
  <conditionalFormatting sqref="P58">
    <cfRule type="cellIs" dxfId="328" priority="8" operator="lessThan">
      <formula>0</formula>
    </cfRule>
  </conditionalFormatting>
  <conditionalFormatting sqref="P65">
    <cfRule type="cellIs" dxfId="327" priority="7" operator="lessThan">
      <formula>0</formula>
    </cfRule>
  </conditionalFormatting>
  <conditionalFormatting sqref="P74">
    <cfRule type="cellIs" dxfId="326" priority="6" operator="lessThan">
      <formula>0</formula>
    </cfRule>
  </conditionalFormatting>
  <conditionalFormatting sqref="O73">
    <cfRule type="cellIs" dxfId="325" priority="1" operator="greaterThan">
      <formula>0</formula>
    </cfRule>
  </conditionalFormatting>
  <conditionalFormatting sqref="P73">
    <cfRule type="cellIs" dxfId="324" priority="4" operator="lessThan">
      <formula>0</formula>
    </cfRule>
  </conditionalFormatting>
  <conditionalFormatting sqref="Q73">
    <cfRule type="cellIs" dxfId="323" priority="2" operator="greaterThan">
      <formula>1</formula>
    </cfRule>
    <cfRule type="cellIs" dxfId="322" priority="3" operator="lessThan">
      <formula>0.8</formula>
    </cfRule>
  </conditionalFormatting>
  <conditionalFormatting sqref="R73">
    <cfRule type="cellIs" dxfId="321" priority="5" operator="lessThan">
      <formula>0.8</formula>
    </cfRule>
  </conditionalFormatting>
  <dataValidations count="1">
    <dataValidation type="list" allowBlank="1" showInputMessage="1" showErrorMessage="1" sqref="Z8 Z63:Z64 Y5:Z7 Y8:Y64 Z10:Z59 Y65:Z74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/>
  <dimension ref="B1:Q28"/>
  <sheetViews>
    <sheetView zoomScale="70" zoomScaleNormal="70" workbookViewId="0">
      <selection activeCell="C3" sqref="C3:D3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521" t="s">
        <v>216</v>
      </c>
      <c r="C1" s="521"/>
      <c r="D1" s="521"/>
      <c r="E1" s="521"/>
      <c r="F1" s="521"/>
      <c r="G1" s="521"/>
      <c r="H1" s="521"/>
      <c r="I1" s="521"/>
      <c r="J1" s="521"/>
      <c r="K1" s="28"/>
      <c r="L1" s="28"/>
      <c r="M1" s="28"/>
      <c r="N1" s="28"/>
      <c r="O1" s="28"/>
      <c r="P1" s="28"/>
    </row>
    <row r="2" spans="2:17" ht="27.75" customHeight="1">
      <c r="B2" s="522"/>
      <c r="C2" s="522"/>
      <c r="D2" s="522"/>
      <c r="E2" s="522"/>
      <c r="F2" s="522"/>
      <c r="G2" s="522"/>
      <c r="H2" s="522"/>
      <c r="I2" s="522"/>
      <c r="J2" s="522"/>
      <c r="K2" s="30"/>
      <c r="L2" s="30"/>
      <c r="M2" s="30"/>
      <c r="N2" s="28"/>
      <c r="O2" s="28"/>
      <c r="P2" s="28"/>
    </row>
    <row r="3" spans="2:17" ht="46.5" customHeight="1">
      <c r="B3" s="120" t="s">
        <v>339</v>
      </c>
      <c r="C3" s="523" t="str">
        <f>TEXT('0805 4度C'!A2,"yyyy.mm.ddaaaa")</f>
        <v>2025.08.05星期二</v>
      </c>
      <c r="D3" s="523"/>
      <c r="E3" s="120" t="s">
        <v>340</v>
      </c>
      <c r="F3" s="524">
        <f>'0805 4度C'!D1</f>
        <v>185947</v>
      </c>
      <c r="G3" s="524"/>
      <c r="H3" s="120" t="s">
        <v>90</v>
      </c>
      <c r="I3" s="581">
        <f>'0805 4度C'!F1</f>
        <v>6182700.1500000013</v>
      </c>
      <c r="J3" s="581"/>
      <c r="K3" s="31"/>
      <c r="L3" s="32"/>
      <c r="M3" s="33"/>
      <c r="N3" s="33"/>
    </row>
    <row r="4" spans="2:17" ht="28.5" customHeight="1">
      <c r="B4" s="516" t="s">
        <v>219</v>
      </c>
      <c r="C4" s="516" t="s">
        <v>105</v>
      </c>
      <c r="D4" s="516"/>
      <c r="E4" s="526" t="s">
        <v>260</v>
      </c>
      <c r="F4" s="526"/>
      <c r="G4" s="526" t="s">
        <v>329</v>
      </c>
      <c r="H4" s="526"/>
      <c r="I4" s="526" t="s">
        <v>108</v>
      </c>
      <c r="J4" s="526"/>
      <c r="L4" s="33"/>
      <c r="M4" s="33"/>
      <c r="N4" s="33"/>
    </row>
    <row r="5" spans="2:17" ht="28.5" customHeight="1">
      <c r="B5" s="516"/>
      <c r="C5" s="516" t="s">
        <v>341</v>
      </c>
      <c r="D5" s="516"/>
      <c r="E5" s="516" t="s">
        <v>330</v>
      </c>
      <c r="F5" s="516"/>
      <c r="G5" s="517" t="s">
        <v>331</v>
      </c>
      <c r="H5" s="517"/>
      <c r="I5" s="582" t="s">
        <v>342</v>
      </c>
      <c r="J5" s="582"/>
      <c r="K5" s="33"/>
      <c r="L5" s="33"/>
      <c r="M5" s="33"/>
      <c r="N5" s="33"/>
    </row>
    <row r="6" spans="2:17" ht="28.5" customHeight="1">
      <c r="B6" s="516"/>
      <c r="C6" s="516" t="s">
        <v>43</v>
      </c>
      <c r="D6" s="516"/>
      <c r="E6" s="519">
        <f>AVERAGE(D13:M13)</f>
        <v>148.57604150461646</v>
      </c>
      <c r="F6" s="516">
        <f>AVERAGE(D27:O27,D13:J13)</f>
        <v>154.16231196250016</v>
      </c>
      <c r="G6" s="520">
        <f>AVERAGE(D13:J13)</f>
        <v>154.16231196250016</v>
      </c>
      <c r="H6" s="520"/>
      <c r="I6" s="520">
        <f>AVERAGE(K13:M13)</f>
        <v>135.5414104362211</v>
      </c>
      <c r="J6" s="520"/>
      <c r="K6" s="33"/>
      <c r="L6" s="33"/>
      <c r="M6" s="33"/>
      <c r="N6" s="33"/>
    </row>
    <row r="7" spans="2:17" ht="28.5" customHeight="1">
      <c r="B7" s="516"/>
      <c r="C7" s="510" t="s">
        <v>44</v>
      </c>
      <c r="D7" s="510"/>
      <c r="E7" s="511">
        <f>AVERAGE(D14:M14)</f>
        <v>137.39700424828825</v>
      </c>
      <c r="F7" s="512">
        <f>AVERAGE(D28:O28,D14:J14)</f>
        <v>142.67165937902547</v>
      </c>
      <c r="G7" s="513">
        <f>AVERAGE(D14:J14)</f>
        <v>142.67165937902547</v>
      </c>
      <c r="H7" s="513"/>
      <c r="I7" s="513">
        <f>AVERAGE(K14:M14)</f>
        <v>125.08947560990134</v>
      </c>
      <c r="J7" s="513"/>
      <c r="K7" s="33"/>
      <c r="L7" s="33"/>
      <c r="M7" s="33"/>
      <c r="N7" s="33"/>
    </row>
    <row r="8" spans="2:17" ht="28.5" customHeight="1">
      <c r="B8" s="516"/>
      <c r="C8" s="510" t="s">
        <v>45</v>
      </c>
      <c r="D8" s="510"/>
      <c r="E8" s="514">
        <f>AVERAGE(D15:M15)</f>
        <v>0.92475690936799748</v>
      </c>
      <c r="F8" s="510">
        <f>AVERAGE(D15:J15,D29:O29)</f>
        <v>0.9255555326271141</v>
      </c>
      <c r="G8" s="515">
        <f>AVERAGE(D15:J15)</f>
        <v>0.9255555326271141</v>
      </c>
      <c r="H8" s="515"/>
      <c r="I8" s="515">
        <f>AVERAGE(K15:M15)</f>
        <v>0.92289345509672494</v>
      </c>
      <c r="J8" s="515"/>
      <c r="K8" s="34" t="s">
        <v>343</v>
      </c>
      <c r="L8" s="33"/>
      <c r="M8" s="33"/>
      <c r="N8" s="33"/>
    </row>
    <row r="9" spans="2:17" ht="28.5" customHeight="1" thickBot="1">
      <c r="H9" s="36"/>
      <c r="N9" s="33"/>
      <c r="O9" s="33"/>
      <c r="P9" s="33"/>
      <c r="Q9" s="33"/>
    </row>
    <row r="10" spans="2:17" ht="30" customHeight="1">
      <c r="B10" s="501" t="s">
        <v>127</v>
      </c>
      <c r="C10" s="502"/>
      <c r="D10" s="503" t="s">
        <v>344</v>
      </c>
      <c r="E10" s="504"/>
      <c r="F10" s="504"/>
      <c r="G10" s="504"/>
      <c r="H10" s="504"/>
      <c r="I10" s="504"/>
      <c r="J10" s="505"/>
      <c r="K10" s="506" t="s">
        <v>181</v>
      </c>
      <c r="L10" s="583"/>
      <c r="M10" s="507"/>
      <c r="P10" s="37"/>
      <c r="Q10" s="37"/>
    </row>
    <row r="11" spans="2:17" ht="17.25" customHeight="1">
      <c r="B11" s="493" t="s">
        <v>227</v>
      </c>
      <c r="C11" s="494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39">
        <v>6</v>
      </c>
      <c r="J11" s="40">
        <v>7</v>
      </c>
      <c r="K11" s="38">
        <v>1</v>
      </c>
      <c r="L11" s="39">
        <v>2</v>
      </c>
      <c r="M11" s="40">
        <v>3</v>
      </c>
      <c r="P11" s="37"/>
      <c r="Q11" s="37"/>
    </row>
    <row r="12" spans="2:17" ht="34.15" customHeight="1">
      <c r="B12" s="493"/>
      <c r="C12" s="494"/>
      <c r="D12" s="41" t="s">
        <v>345</v>
      </c>
      <c r="E12" s="42" t="s">
        <v>346</v>
      </c>
      <c r="F12" s="42" t="s">
        <v>347</v>
      </c>
      <c r="G12" s="42" t="s">
        <v>348</v>
      </c>
      <c r="H12" s="42" t="s">
        <v>349</v>
      </c>
      <c r="I12" s="42" t="s">
        <v>350</v>
      </c>
      <c r="J12" s="43" t="s">
        <v>351</v>
      </c>
      <c r="K12" s="41" t="s">
        <v>352</v>
      </c>
      <c r="L12" s="42" t="s">
        <v>353</v>
      </c>
      <c r="M12" s="43" t="s">
        <v>354</v>
      </c>
    </row>
    <row r="13" spans="2:17" ht="40.15" customHeight="1">
      <c r="B13" s="508" t="s">
        <v>116</v>
      </c>
      <c r="C13" s="44" t="s">
        <v>141</v>
      </c>
      <c r="D13" s="45">
        <f>SUMIFS('0805 4度C'!$K:$K,'0805 4度C'!$A:$A,"新豐6線",'0805 4度C'!$B:$B,"平均")</f>
        <v>117.64705882352941</v>
      </c>
      <c r="E13" s="46">
        <f>SUMIFS('0805 4度C'!$K:$K,'0805 4度C'!$A:$A,"新豐2線",'0805 4度C'!$B:$B,"平均")</f>
        <v>81.081081081081081</v>
      </c>
      <c r="F13" s="47">
        <f>SUMIFS('0805 4度C'!$K:$K,'0805 4度C'!$A:$A,"新豐5線",'0805 4度C'!$B:$B,"平均")</f>
        <v>93.333333333333329</v>
      </c>
      <c r="G13" s="47">
        <f>SUMIFS('0805 4度C'!$K:$K,'0805 4度C'!$A:$A,"新豐7線",'0805 4度C'!$B:$B,"平均")</f>
        <v>118.51851851851852</v>
      </c>
      <c r="H13" s="47">
        <f>SUMIFS('0805 4度C'!$K:$K,'0805 4度C'!$A:$A,"新豐3線",'0805 4度C'!$B:$B,"平均")</f>
        <v>300</v>
      </c>
      <c r="I13" s="47">
        <f>SUMIFS('0805 4度C'!$K:$K,'0805 4度C'!$A:$A,"新豐1線",'0805 4度C'!$B:$B,"平均")</f>
        <v>114.4578313253012</v>
      </c>
      <c r="J13" s="48">
        <f>SUMIFS('0805 4度C'!$K:$K,'0805 4度C'!$A:$A,"新豐10線",'0805 4度C'!$B:$B,"平均")</f>
        <v>254.09836065573774</v>
      </c>
      <c r="K13" s="49">
        <f>SUMIFS('0805 4度C'!$K:$K,'0805 4度C'!$A:$A,"新豐8線",'0805 4度C'!$B:$B,"平均")</f>
        <v>138.46153846153848</v>
      </c>
      <c r="L13" s="50">
        <f>SUMIFS('0805 4度C'!$K:$K,'0805 4度C'!$A:$A,"新豐9線",'0805 4度C'!$B:$B,"平均")</f>
        <v>129.03225806451613</v>
      </c>
      <c r="M13" s="48">
        <f>SUMIFS('0805 4度C'!$K:$K,'0805 4度C'!$A:$A,"新豐4線",'0805 4度C'!$B:$B,"平均")</f>
        <v>139.13043478260869</v>
      </c>
    </row>
    <row r="14" spans="2:17" ht="39.6" customHeight="1">
      <c r="B14" s="508"/>
      <c r="C14" s="51" t="s">
        <v>69</v>
      </c>
      <c r="D14" s="52">
        <f>SUMIFS('0805 4度C'!$N:$N,'0805 4度C'!$A:$A,"新豐6線",'0805 4度C'!$B:$B,"平均")</f>
        <v>109.29695354175736</v>
      </c>
      <c r="E14" s="53">
        <f>SUMIFS('0805 4度C'!$N:$N,'0805 4度C'!$A:$A,"新豐2線",'0805 4度C'!$B:$B,"平均")</f>
        <v>74.635295181396344</v>
      </c>
      <c r="F14" s="53">
        <f>SUMIFS('0805 4度C'!$N:$N,'0805 4度C'!$A:$A,"新豐5線",'0805 4度C'!$B:$B,"平均")</f>
        <v>85.974033262678958</v>
      </c>
      <c r="G14" s="53">
        <f>SUMIFS('0805 4度C'!$N:$N,'0805 4度C'!$A:$A,"新豐7線",'0805 4度C'!$B:$B,"平均")</f>
        <v>110.80979980707399</v>
      </c>
      <c r="H14" s="53">
        <f>SUMIFS('0805 4度C'!$N:$N,'0805 4度C'!$A:$A,"新豐3線",'0805 4度C'!$B:$B,"平均")</f>
        <v>277.24123712806983</v>
      </c>
      <c r="I14" s="53">
        <f>SUMIFS('0805 4度C'!$N:$N,'0805 4度C'!$A:$A,"新豐1線",'0805 4度C'!$B:$B,"平均")</f>
        <v>105.82910945617309</v>
      </c>
      <c r="J14" s="54">
        <f>SUMIFS('0805 4度C'!$N:$N,'0805 4度C'!$A:$A,"新豐10線",'0805 4度C'!$B:$B,"平均")</f>
        <v>234.9151872760288</v>
      </c>
      <c r="K14" s="55">
        <f>SUMIFS('0805 4度C'!$N:$N,'0805 4度C'!$A:$A,"新豐8線",'0805 4度C'!$B:$B,"平均")</f>
        <v>127.43266129924436</v>
      </c>
      <c r="L14" s="56">
        <f>SUMIFS('0805 4度C'!$N:$N,'0805 4度C'!$A:$A,"新豐9線",'0805 4度C'!$B:$B,"平均")</f>
        <v>119.13564847586817</v>
      </c>
      <c r="M14" s="54">
        <f>SUMIFS('0805 4度C'!$N:$N,'0805 4度C'!$A:$A,"新豐4線",'0805 4度C'!$B:$B,"平均")</f>
        <v>128.70011705459152</v>
      </c>
    </row>
    <row r="15" spans="2:17" ht="40.15" customHeight="1">
      <c r="B15" s="508"/>
      <c r="C15" s="57" t="s">
        <v>234</v>
      </c>
      <c r="D15" s="58">
        <f>D14/D13</f>
        <v>0.9290241051049376</v>
      </c>
      <c r="E15" s="59">
        <f t="shared" ref="E15:M15" si="0">E14/E13</f>
        <v>0.92050197390388822</v>
      </c>
      <c r="F15" s="59">
        <f t="shared" si="0"/>
        <v>0.92115035638584608</v>
      </c>
      <c r="G15" s="59">
        <f t="shared" si="0"/>
        <v>0.93495768587218675</v>
      </c>
      <c r="H15" s="59">
        <f>H14/H13</f>
        <v>0.92413745709356609</v>
      </c>
      <c r="I15" s="59">
        <f>I14/I13</f>
        <v>0.92461221945919647</v>
      </c>
      <c r="J15" s="60">
        <f>J14/J13</f>
        <v>0.9245049305701778</v>
      </c>
      <c r="K15" s="58">
        <f>K14/K13</f>
        <v>0.92034699827232025</v>
      </c>
      <c r="L15" s="59">
        <f>L14/L13</f>
        <v>0.92330127568797826</v>
      </c>
      <c r="M15" s="60">
        <f t="shared" si="0"/>
        <v>0.92503209132987652</v>
      </c>
    </row>
    <row r="16" spans="2:17" ht="17.25" customHeight="1">
      <c r="B16" s="509" t="s">
        <v>332</v>
      </c>
      <c r="C16" s="119" t="s">
        <v>71</v>
      </c>
      <c r="D16" s="61">
        <f>VLOOKUP("新豐6線",'0805 4度C'!$A:$T,19,0)</f>
        <v>0.70833333333333337</v>
      </c>
      <c r="E16" s="24">
        <f>VLOOKUP("新豐2線",'0805 4度C'!$A:$T,19,0)</f>
        <v>0.12916666666666668</v>
      </c>
      <c r="F16" s="24">
        <f>VLOOKUP("新豐5線",'0805 4度C'!$A:$T,19,0)</f>
        <v>0.25</v>
      </c>
      <c r="G16" s="24">
        <f>VLOOKUP("新豐7線",'0805 4度C'!$A:$T,19,0)</f>
        <v>0.20833333333333334</v>
      </c>
      <c r="H16" s="24">
        <f>VLOOKUP("新豐3線",'0805 4度C'!$A:$T,19,0)</f>
        <v>0.20833333333333334</v>
      </c>
      <c r="I16" s="24">
        <f>VLOOKUP("新豐1線",'0805 4度C'!$A:$T,19,0)</f>
        <v>0.29166666666666669</v>
      </c>
      <c r="J16" s="62">
        <f>VLOOKUP("新豐10線",'0805 4度C'!$A:$T,19,0)</f>
        <v>0.20833333333333334</v>
      </c>
      <c r="K16" s="63">
        <f>VLOOKUP("新豐8線",'0805 4度C'!$A:$T,19,0)</f>
        <v>0.125</v>
      </c>
      <c r="L16" s="64">
        <f>VLOOKUP("新豐9線",'0805 4度C'!$A:$T,19,0)</f>
        <v>8.3333333333333329E-2</v>
      </c>
      <c r="M16" s="65">
        <f>VLOOKUP("新豐4線",'0805 4度C'!$A:$T,19,0)</f>
        <v>8.3333333333333329E-2</v>
      </c>
    </row>
    <row r="17" spans="2:13" ht="17.25" customHeight="1">
      <c r="B17" s="493"/>
      <c r="C17" s="119" t="s">
        <v>355</v>
      </c>
      <c r="D17" s="63">
        <f>LOOKUP(2,1/(('0805 4度C'!$A:$A="新豐6線")*('0805 4度C'!$T:$T&lt;&gt;"")),'0805 4度C'!$T:$T)</f>
        <v>0.83750000000000002</v>
      </c>
      <c r="E17" s="24">
        <f>LOOKUP(2,1/(('0805 4度C'!$A:$A="新豐2線")*('0805 4度C'!$T:$T&lt;&gt;"")),'0805 4度C'!$T:$T)</f>
        <v>0.6465277777777777</v>
      </c>
      <c r="F17" s="24">
        <f>LOOKUP(2,1/(('0805 4度C'!$A:$A="新豐5線")*('0805 4度C'!$T:$T&lt;&gt;"")),'0805 4度C'!$T:$T)</f>
        <v>0.84722222222222221</v>
      </c>
      <c r="G17" s="24">
        <f>LOOKUP(2,1/(('0805 4度C'!$A:$A="新豐7線")*('0805 4度C'!$T:$T&lt;&gt;"")),'0805 4度C'!$T:$T)</f>
        <v>0.83819444444444446</v>
      </c>
      <c r="H17" s="24">
        <f>LOOKUP(2,1/(('0805 4度C'!$A:$A="新豐3線")*('0805 4度C'!$T:$T&lt;&gt;"")),'0805 4度C'!$T:$T)</f>
        <v>0.66944444444444429</v>
      </c>
      <c r="I17" s="24">
        <f>LOOKUP(2,1/(('0805 4度C'!$A:$A="新豐1線")*('0805 4度C'!$T:$T&lt;&gt;"")),'0805 4度C'!$T:$T)</f>
        <v>0.85347222222222219</v>
      </c>
      <c r="J17" s="62">
        <f>LOOKUP(2,1/(('0805 4度C'!$A:$A="新豐10線")*('0805 4度C'!$T:$T&lt;&gt;"")),'0805 4度C'!$T:$T)</f>
        <v>0.50972222222222219</v>
      </c>
      <c r="K17" s="61">
        <f>LOOKUP(2,1/(('0805 4度C'!$A:$A="新豐8線")*('0805 4度C'!$T:$T&lt;&gt;"")),'0805 4度C'!$T:$T)</f>
        <v>0.71944444444444433</v>
      </c>
      <c r="L17" s="24">
        <f>LOOKUP(2,1/(('0805 4度C'!$A:$A="新豐9線")*('0805 4度C'!$T:$T&lt;&gt;"")),'0805 4度C'!$T:$T)</f>
        <v>0.71944444444444444</v>
      </c>
      <c r="M17" s="62">
        <f>LOOKUP(2,1/(('0805 4度C'!$A:$A="新豐4線")*('0805 4度C'!$T:$T&lt;&gt;"")),'0805 4度C'!$T:$T)</f>
        <v>0.72638888888888886</v>
      </c>
    </row>
    <row r="18" spans="2:13" ht="17.25" customHeight="1">
      <c r="B18" s="493" t="s">
        <v>356</v>
      </c>
      <c r="C18" s="494"/>
      <c r="D18" s="66">
        <f>SUMIFS('0805 4度C'!$I:$I,'0805 4度C'!$A:$A,"新豐6線",'0805 4度C'!$B:$B,"平均")</f>
        <v>17</v>
      </c>
      <c r="E18" s="67">
        <f>SUMIFS('0805 4度C'!$I:$I,'0805 4度C'!$A:$A,"新豐2線",'0805 4度C'!$B:$B,"平均")</f>
        <v>18.5</v>
      </c>
      <c r="F18" s="67">
        <f>SUMIFS('0805 4度C'!$I:$I,'0805 4度C'!$A:$A,"新豐5線",'0805 4度C'!$B:$B,"平均")</f>
        <v>18.75</v>
      </c>
      <c r="G18" s="67">
        <f>SUMIFS('0805 4度C'!$I:$I,'0805 4度C'!$A:$A,"新豐7線",'0805 4度C'!$B:$B,"平均")</f>
        <v>16.875</v>
      </c>
      <c r="H18" s="67">
        <f>SUMIFS('0805 4度C'!$I:$I,'0805 4度C'!$A:$A,"新豐3線",'0805 4度C'!$B:$B,"平均")</f>
        <v>10</v>
      </c>
      <c r="I18" s="67">
        <f>SUMIFS('0805 4度C'!$I:$I,'0805 4度C'!$A:$A,"新豐1線",'0805 4度C'!$B:$B,"平均")</f>
        <v>16.600000000000001</v>
      </c>
      <c r="J18" s="68">
        <f>SUMIFS('0805 4度C'!$I:$I,'0805 4度C'!$A:$A,"新豐10線",'0805 4度C'!$B:$B,"平均")</f>
        <v>10.166666666666666</v>
      </c>
      <c r="K18" s="66">
        <f>SUMIFS('0805 4度C'!$I:$I,'0805 4度C'!$A:$A,"新豐8線",'0805 4度C'!$B:$B,"平均")</f>
        <v>17.333333333333332</v>
      </c>
      <c r="L18" s="67">
        <f>SUMIFS('0805 4度C'!$I:$I,'0805 4度C'!$A:$A,"新豐9線",'0805 4度C'!$B:$B,"平均")</f>
        <v>18.600000000000001</v>
      </c>
      <c r="M18" s="68">
        <f>SUMIFS('0805 4度C'!$I:$I,'0805 4度C'!$A:$A,"新豐4線",'0805 4度C'!$B:$B,"平均")</f>
        <v>17.25</v>
      </c>
    </row>
    <row r="19" spans="2:13" ht="17.25" customHeight="1">
      <c r="B19" s="495" t="s">
        <v>92</v>
      </c>
      <c r="C19" s="496"/>
      <c r="D19" s="69" t="s">
        <v>46</v>
      </c>
      <c r="E19" s="70" t="s">
        <v>47</v>
      </c>
      <c r="F19" s="70" t="s">
        <v>93</v>
      </c>
      <c r="G19" s="70" t="s">
        <v>93</v>
      </c>
      <c r="H19" s="70" t="s">
        <v>48</v>
      </c>
      <c r="I19" s="70" t="s">
        <v>46</v>
      </c>
      <c r="J19" s="71" t="s">
        <v>48</v>
      </c>
      <c r="K19" s="69" t="s">
        <v>72</v>
      </c>
      <c r="L19" s="70" t="s">
        <v>357</v>
      </c>
      <c r="M19" s="71" t="s">
        <v>72</v>
      </c>
    </row>
    <row r="20" spans="2:13" ht="17.25" customHeight="1">
      <c r="B20" s="495" t="s">
        <v>333</v>
      </c>
      <c r="C20" s="496"/>
      <c r="D20" s="69"/>
      <c r="E20" s="70"/>
      <c r="F20" s="70" t="s">
        <v>334</v>
      </c>
      <c r="G20" s="70" t="s">
        <v>46</v>
      </c>
      <c r="H20" s="70"/>
      <c r="I20" s="70"/>
      <c r="J20" s="71"/>
      <c r="K20" s="69"/>
      <c r="L20" s="70"/>
      <c r="M20" s="71"/>
    </row>
    <row r="21" spans="2:13" ht="17.25" customHeight="1" thickBot="1">
      <c r="B21" s="497" t="s">
        <v>242</v>
      </c>
      <c r="C21" s="498"/>
      <c r="D21" s="72"/>
      <c r="E21" s="73" t="s">
        <v>243</v>
      </c>
      <c r="F21" s="499" t="s">
        <v>335</v>
      </c>
      <c r="G21" s="500"/>
      <c r="H21" s="73" t="s">
        <v>73</v>
      </c>
      <c r="I21" s="73" t="s">
        <v>358</v>
      </c>
      <c r="J21" s="74" t="s">
        <v>73</v>
      </c>
      <c r="K21" s="75"/>
      <c r="L21" s="73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320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>
    <pageSetUpPr fitToPage="1"/>
  </sheetPr>
  <dimension ref="A1:AC77"/>
  <sheetViews>
    <sheetView zoomScale="80" zoomScaleNormal="80" workbookViewId="0">
      <pane ySplit="4" topLeftCell="A5" activePane="bottomLeft" state="frozen"/>
      <selection activeCell="C3" sqref="C3:D3"/>
      <selection pane="bottomLeft" activeCell="I18" sqref="I18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customWidth="1"/>
    <col min="6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320</v>
      </c>
      <c r="B1" s="1"/>
      <c r="C1" s="2" t="s">
        <v>359</v>
      </c>
      <c r="D1" s="3">
        <f>SUM(F5:F76)</f>
        <v>185947</v>
      </c>
      <c r="E1" s="121" t="s">
        <v>113</v>
      </c>
      <c r="F1" s="1">
        <f>SUM(G5:G76)</f>
        <v>6182700.1500000013</v>
      </c>
      <c r="G1" s="1" t="s">
        <v>153</v>
      </c>
      <c r="H1" s="4">
        <f>L8+L13+L54+L60+L18+L67+L34+L45+L27+L76</f>
        <v>161.07499999999999</v>
      </c>
      <c r="I1" s="572" t="s">
        <v>360</v>
      </c>
      <c r="J1" s="572"/>
      <c r="K1" s="572"/>
      <c r="L1" s="572" t="s">
        <v>154</v>
      </c>
      <c r="M1" s="572"/>
      <c r="N1" s="572"/>
      <c r="O1" s="572" t="s">
        <v>361</v>
      </c>
      <c r="P1" s="572"/>
      <c r="Q1" s="572"/>
      <c r="R1" s="572"/>
      <c r="S1" s="572" t="s">
        <v>321</v>
      </c>
      <c r="T1" s="572"/>
      <c r="U1" s="572"/>
      <c r="V1" s="572"/>
      <c r="W1" s="572"/>
      <c r="X1" s="572"/>
      <c r="Y1" s="572" t="s">
        <v>115</v>
      </c>
      <c r="Z1" s="572"/>
      <c r="AA1" s="572" t="s">
        <v>155</v>
      </c>
      <c r="AB1" s="573"/>
      <c r="AC1" s="573"/>
    </row>
    <row r="2" spans="1:29" ht="26.25" customHeight="1">
      <c r="A2" s="22">
        <v>45874</v>
      </c>
      <c r="B2" s="23" t="s">
        <v>322</v>
      </c>
      <c r="C2" s="2" t="s">
        <v>116</v>
      </c>
      <c r="D2" s="6">
        <f>AVERAGE(N8,N13,N54,N60,N18,N67,N27,N34,N45,N76)</f>
        <v>137.39700424828828</v>
      </c>
      <c r="E2" s="7" t="s">
        <v>0</v>
      </c>
      <c r="F2" s="8">
        <f>F1/D1</f>
        <v>33.249797791843918</v>
      </c>
      <c r="G2" s="1" t="s">
        <v>117</v>
      </c>
      <c r="H2" s="132">
        <f>COUNT(H5:H76)</f>
        <v>10</v>
      </c>
      <c r="I2" s="572"/>
      <c r="J2" s="572"/>
      <c r="K2" s="572"/>
      <c r="L2" s="572"/>
      <c r="M2" s="572"/>
      <c r="N2" s="572"/>
      <c r="O2" s="572"/>
      <c r="P2" s="572"/>
      <c r="Q2" s="572"/>
      <c r="R2" s="572"/>
      <c r="S2" s="572"/>
      <c r="T2" s="572"/>
      <c r="U2" s="572"/>
      <c r="V2" s="572"/>
      <c r="W2" s="572"/>
      <c r="X2" s="572"/>
      <c r="Y2" s="572"/>
      <c r="Z2" s="572"/>
      <c r="AA2" s="573"/>
      <c r="AB2" s="573"/>
      <c r="AC2" s="573"/>
    </row>
    <row r="3" spans="1:29" ht="23.25" customHeight="1">
      <c r="A3" s="528" t="s">
        <v>323</v>
      </c>
      <c r="B3" s="528" t="s">
        <v>362</v>
      </c>
      <c r="C3" s="528" t="s">
        <v>119</v>
      </c>
      <c r="D3" s="528"/>
      <c r="E3" s="570" t="s">
        <v>324</v>
      </c>
      <c r="F3" s="528" t="s">
        <v>363</v>
      </c>
      <c r="G3" s="570" t="s">
        <v>215</v>
      </c>
      <c r="H3" s="563" t="s">
        <v>364</v>
      </c>
      <c r="I3" s="561" t="s">
        <v>101</v>
      </c>
      <c r="J3" s="566" t="s">
        <v>294</v>
      </c>
      <c r="K3" s="568" t="s">
        <v>116</v>
      </c>
      <c r="L3" s="561" t="s">
        <v>101</v>
      </c>
      <c r="M3" s="566" t="s">
        <v>294</v>
      </c>
      <c r="N3" s="568" t="s">
        <v>116</v>
      </c>
      <c r="O3" s="561" t="s">
        <v>101</v>
      </c>
      <c r="P3" s="568" t="s">
        <v>116</v>
      </c>
      <c r="Q3" s="567" t="s">
        <v>365</v>
      </c>
      <c r="R3" s="542" t="s">
        <v>86</v>
      </c>
      <c r="S3" s="569" t="s">
        <v>1</v>
      </c>
      <c r="T3" s="569"/>
      <c r="U3" s="563" t="s">
        <v>2</v>
      </c>
      <c r="V3" s="563" t="s">
        <v>66</v>
      </c>
      <c r="W3" s="528" t="s">
        <v>299</v>
      </c>
      <c r="X3" s="528"/>
      <c r="Y3" s="564" t="s">
        <v>252</v>
      </c>
      <c r="Z3" s="565"/>
      <c r="AA3" s="566" t="s">
        <v>294</v>
      </c>
      <c r="AB3" s="567" t="s">
        <v>296</v>
      </c>
      <c r="AC3" s="542" t="s">
        <v>86</v>
      </c>
    </row>
    <row r="4" spans="1:29">
      <c r="A4" s="528"/>
      <c r="B4" s="528"/>
      <c r="C4" s="528"/>
      <c r="D4" s="528"/>
      <c r="E4" s="571"/>
      <c r="F4" s="528"/>
      <c r="G4" s="571"/>
      <c r="H4" s="563"/>
      <c r="I4" s="561"/>
      <c r="J4" s="566"/>
      <c r="K4" s="568"/>
      <c r="L4" s="561"/>
      <c r="M4" s="566"/>
      <c r="N4" s="568"/>
      <c r="O4" s="561"/>
      <c r="P4" s="568"/>
      <c r="Q4" s="567"/>
      <c r="R4" s="542"/>
      <c r="S4" s="131" t="s">
        <v>3</v>
      </c>
      <c r="T4" s="131" t="s">
        <v>4</v>
      </c>
      <c r="U4" s="563"/>
      <c r="V4" s="563"/>
      <c r="W4" s="121" t="s">
        <v>327</v>
      </c>
      <c r="X4" s="121" t="s">
        <v>75</v>
      </c>
      <c r="Y4" s="565"/>
      <c r="Z4" s="565"/>
      <c r="AA4" s="566"/>
      <c r="AB4" s="567"/>
      <c r="AC4" s="542"/>
    </row>
    <row r="5" spans="1:29">
      <c r="A5" s="560" t="s">
        <v>366</v>
      </c>
      <c r="B5" s="26" t="s">
        <v>13</v>
      </c>
      <c r="C5" s="562" t="s">
        <v>53</v>
      </c>
      <c r="D5" s="562"/>
      <c r="E5" s="26">
        <v>46.93</v>
      </c>
      <c r="F5" s="131">
        <v>1036</v>
      </c>
      <c r="G5" s="121">
        <f>E5*F5</f>
        <v>48619.48</v>
      </c>
      <c r="H5" s="76" t="s">
        <v>52</v>
      </c>
      <c r="I5" s="129">
        <v>17</v>
      </c>
      <c r="J5" s="18">
        <v>2000</v>
      </c>
      <c r="K5" s="9">
        <f>J5/I5</f>
        <v>117.64705882352941</v>
      </c>
      <c r="L5" s="129">
        <v>17</v>
      </c>
      <c r="M5" s="10">
        <f>F5/V5*60</f>
        <v>1883.636363636361</v>
      </c>
      <c r="N5" s="9">
        <f>M5/L5</f>
        <v>110.80213903743299</v>
      </c>
      <c r="O5" s="11">
        <f t="shared" ref="O5:O7" si="0">L5-I5</f>
        <v>0</v>
      </c>
      <c r="P5" s="12">
        <f t="shared" ref="P5:P7" si="1">N5-K5</f>
        <v>-6.8449197860964119</v>
      </c>
      <c r="Q5" s="123">
        <f>N5/K5</f>
        <v>0.94181818181818044</v>
      </c>
      <c r="R5" s="533">
        <f>Q8</f>
        <v>0.9290241051049376</v>
      </c>
      <c r="S5" s="24">
        <v>0.70833333333333337</v>
      </c>
      <c r="T5" s="24">
        <v>0.73125000000000007</v>
      </c>
      <c r="U5" s="121"/>
      <c r="V5" s="130">
        <f>(T5-S5)*24*60</f>
        <v>33.000000000000043</v>
      </c>
      <c r="W5" s="13"/>
      <c r="X5" s="13"/>
      <c r="Y5" s="528"/>
      <c r="Z5" s="528"/>
      <c r="AA5" s="11">
        <f t="shared" ref="AA5:AA68" si="2">M5-J5</f>
        <v>-116.36363636363899</v>
      </c>
      <c r="AB5" s="123">
        <f t="shared" ref="AB5:AB7" si="3">M5/J5</f>
        <v>0.94181818181818056</v>
      </c>
      <c r="AC5" s="533">
        <f>AB8</f>
        <v>0.9290241051049376</v>
      </c>
    </row>
    <row r="6" spans="1:29">
      <c r="A6" s="561" t="s">
        <v>367</v>
      </c>
      <c r="B6" s="26" t="s">
        <v>13</v>
      </c>
      <c r="C6" s="562" t="s">
        <v>55</v>
      </c>
      <c r="D6" s="562"/>
      <c r="E6" s="26">
        <v>50.49</v>
      </c>
      <c r="F6" s="131">
        <v>2108</v>
      </c>
      <c r="G6" s="121">
        <f t="shared" ref="G6:G7" si="4">E6*F6</f>
        <v>106432.92</v>
      </c>
      <c r="H6" s="76" t="s">
        <v>52</v>
      </c>
      <c r="I6" s="129">
        <v>16</v>
      </c>
      <c r="J6" s="18">
        <v>2000</v>
      </c>
      <c r="K6" s="9">
        <f t="shared" ref="K6:K7" si="5">J6/I6</f>
        <v>125</v>
      </c>
      <c r="L6" s="129">
        <v>16</v>
      </c>
      <c r="M6" s="10">
        <f>F6/V6*60</f>
        <v>1833.0434782608718</v>
      </c>
      <c r="N6" s="9">
        <f t="shared" ref="N6:N7" si="6">M6/L6</f>
        <v>114.56521739130449</v>
      </c>
      <c r="O6" s="11">
        <f t="shared" si="0"/>
        <v>0</v>
      </c>
      <c r="P6" s="12">
        <f t="shared" si="1"/>
        <v>-10.434782608695514</v>
      </c>
      <c r="Q6" s="123">
        <f t="shared" ref="Q6:Q7" si="7">N6/K6</f>
        <v>0.91652173913043589</v>
      </c>
      <c r="R6" s="533"/>
      <c r="S6" s="24">
        <v>0.73611111111111116</v>
      </c>
      <c r="T6" s="24">
        <v>0.78402777777777777</v>
      </c>
      <c r="U6" s="121">
        <f>(S6-T5)*24*60</f>
        <v>6.9999999999999751</v>
      </c>
      <c r="V6" s="130">
        <f>(T6-S6)*24*60</f>
        <v>68.999999999999915</v>
      </c>
      <c r="W6" s="14"/>
      <c r="X6" s="14"/>
      <c r="Y6" s="528"/>
      <c r="Z6" s="528"/>
      <c r="AA6" s="11">
        <f t="shared" si="2"/>
        <v>-166.95652173912822</v>
      </c>
      <c r="AB6" s="123">
        <f t="shared" si="3"/>
        <v>0.91652173913043589</v>
      </c>
      <c r="AC6" s="533"/>
    </row>
    <row r="7" spans="1:29">
      <c r="A7" s="561" t="s">
        <v>367</v>
      </c>
      <c r="B7" s="26" t="s">
        <v>13</v>
      </c>
      <c r="C7" s="558" t="s">
        <v>76</v>
      </c>
      <c r="D7" s="559"/>
      <c r="E7" s="26">
        <v>50.67</v>
      </c>
      <c r="F7" s="131">
        <v>2198</v>
      </c>
      <c r="G7" s="121">
        <f t="shared" si="4"/>
        <v>111372.66</v>
      </c>
      <c r="H7" s="76" t="s">
        <v>52</v>
      </c>
      <c r="I7" s="129">
        <v>18</v>
      </c>
      <c r="J7" s="18">
        <v>2000</v>
      </c>
      <c r="K7" s="9">
        <f t="shared" si="5"/>
        <v>111.11111111111111</v>
      </c>
      <c r="L7" s="129">
        <v>18</v>
      </c>
      <c r="M7" s="10">
        <f t="shared" ref="M7" si="8">F7/V7*60</f>
        <v>1857.4647887323924</v>
      </c>
      <c r="N7" s="9">
        <f t="shared" si="6"/>
        <v>103.19248826291069</v>
      </c>
      <c r="O7" s="11">
        <f t="shared" si="0"/>
        <v>0</v>
      </c>
      <c r="P7" s="12">
        <f t="shared" si="1"/>
        <v>-7.9186228482004282</v>
      </c>
      <c r="Q7" s="123">
        <f t="shared" si="7"/>
        <v>0.92873239436619615</v>
      </c>
      <c r="R7" s="533"/>
      <c r="S7" s="24">
        <v>0.78819444444444442</v>
      </c>
      <c r="T7" s="24">
        <v>0.83750000000000002</v>
      </c>
      <c r="U7" s="121">
        <f t="shared" ref="U7" si="9">(S7-T6)*24*60</f>
        <v>5.9999999999999787</v>
      </c>
      <c r="V7" s="130">
        <f t="shared" ref="V7" si="10">(T7-S7)*24*60</f>
        <v>71.000000000000071</v>
      </c>
      <c r="W7" s="14"/>
      <c r="X7" s="14"/>
      <c r="Y7" s="536"/>
      <c r="Z7" s="537"/>
      <c r="AA7" s="11">
        <f t="shared" si="2"/>
        <v>-142.53521126760756</v>
      </c>
      <c r="AB7" s="123">
        <f t="shared" si="3"/>
        <v>0.92873239436619626</v>
      </c>
      <c r="AC7" s="533"/>
    </row>
    <row r="8" spans="1:29">
      <c r="A8" s="561" t="s">
        <v>367</v>
      </c>
      <c r="B8" s="26" t="s">
        <v>368</v>
      </c>
      <c r="C8" s="530"/>
      <c r="D8" s="530"/>
      <c r="E8" s="122"/>
      <c r="F8" s="16"/>
      <c r="G8" s="9"/>
      <c r="H8" s="131"/>
      <c r="I8" s="17">
        <v>17</v>
      </c>
      <c r="J8" s="18">
        <v>2000</v>
      </c>
      <c r="K8" s="9">
        <f>J8/I8</f>
        <v>117.64705882352941</v>
      </c>
      <c r="L8" s="17">
        <v>17</v>
      </c>
      <c r="M8" s="10">
        <f>AVERAGE(M5:M7)</f>
        <v>1858.0482102098752</v>
      </c>
      <c r="N8" s="9">
        <f>M8/L8</f>
        <v>109.29695354175736</v>
      </c>
      <c r="O8" s="11">
        <f>L8-I8</f>
        <v>0</v>
      </c>
      <c r="P8" s="12">
        <f>N8-K8</f>
        <v>-8.3501052817720449</v>
      </c>
      <c r="Q8" s="123">
        <f>N8/K8</f>
        <v>0.9290241051049376</v>
      </c>
      <c r="R8" s="533"/>
      <c r="S8" s="24"/>
      <c r="T8" s="24"/>
      <c r="U8" s="121"/>
      <c r="V8" s="130"/>
      <c r="W8" s="9"/>
      <c r="X8" s="9"/>
      <c r="Y8" s="528"/>
      <c r="Z8" s="528"/>
      <c r="AA8" s="11">
        <f t="shared" si="2"/>
        <v>-141.95178979012485</v>
      </c>
      <c r="AB8" s="123">
        <f>M8/J8</f>
        <v>0.9290241051049376</v>
      </c>
      <c r="AC8" s="533"/>
    </row>
    <row r="9" spans="1:29" ht="15.75" customHeight="1">
      <c r="A9" s="531" t="s">
        <v>369</v>
      </c>
      <c r="B9" s="26" t="s">
        <v>15</v>
      </c>
      <c r="C9" s="558" t="s">
        <v>16</v>
      </c>
      <c r="D9" s="559"/>
      <c r="E9" s="26">
        <v>39.619999999999997</v>
      </c>
      <c r="F9" s="131">
        <v>4573</v>
      </c>
      <c r="G9" s="121">
        <f t="shared" ref="G9:G12" si="11">E9*F9</f>
        <v>181182.25999999998</v>
      </c>
      <c r="H9" s="76" t="s">
        <v>52</v>
      </c>
      <c r="I9" s="129">
        <v>19</v>
      </c>
      <c r="J9" s="18">
        <v>1500</v>
      </c>
      <c r="K9" s="9">
        <f t="shared" ref="K9:K12" si="12">J9/I9</f>
        <v>78.94736842105263</v>
      </c>
      <c r="L9" s="129">
        <v>19</v>
      </c>
      <c r="M9" s="10">
        <f t="shared" ref="M9:M12" si="13">F9/V9*60</f>
        <v>1378.793969849246</v>
      </c>
      <c r="N9" s="9">
        <f t="shared" ref="N9:N12" si="14">M9/L9</f>
        <v>72.56810367627611</v>
      </c>
      <c r="O9" s="11">
        <f t="shared" ref="O9:O12" si="15">L9-I9</f>
        <v>0</v>
      </c>
      <c r="P9" s="12">
        <f>N9-K9</f>
        <v>-6.3792647447765205</v>
      </c>
      <c r="Q9" s="123">
        <f>N9/K9</f>
        <v>0.91919597989949742</v>
      </c>
      <c r="R9" s="533">
        <f>Q13</f>
        <v>0.92050197390388822</v>
      </c>
      <c r="S9" s="24">
        <v>0.12916666666666668</v>
      </c>
      <c r="T9" s="24">
        <v>0.26736111111111116</v>
      </c>
      <c r="U9" s="121"/>
      <c r="V9" s="130">
        <f t="shared" ref="V9:V12" si="16">(T9-S9)*24*60</f>
        <v>199.00000000000003</v>
      </c>
      <c r="W9" s="14">
        <f>T9</f>
        <v>0.26736111111111116</v>
      </c>
      <c r="X9" s="14">
        <f>S10</f>
        <v>0.29097222222222224</v>
      </c>
      <c r="Y9" s="528"/>
      <c r="Z9" s="528"/>
      <c r="AA9" s="11">
        <f t="shared" si="2"/>
        <v>-121.20603015075403</v>
      </c>
      <c r="AB9" s="123">
        <f>M9/J9</f>
        <v>0.91919597989949731</v>
      </c>
      <c r="AC9" s="533">
        <f>AB13</f>
        <v>0.92050197390388833</v>
      </c>
    </row>
    <row r="10" spans="1:29" ht="15.75" customHeight="1">
      <c r="A10" s="531" t="s">
        <v>370</v>
      </c>
      <c r="B10" s="26" t="s">
        <v>15</v>
      </c>
      <c r="C10" s="558" t="s">
        <v>17</v>
      </c>
      <c r="D10" s="559"/>
      <c r="E10" s="26">
        <v>39.799999999999997</v>
      </c>
      <c r="F10" s="131">
        <v>2500</v>
      </c>
      <c r="G10" s="121">
        <f t="shared" si="11"/>
        <v>99500</v>
      </c>
      <c r="H10" s="76">
        <v>2</v>
      </c>
      <c r="I10" s="129">
        <v>18</v>
      </c>
      <c r="J10" s="18">
        <v>1500</v>
      </c>
      <c r="K10" s="9">
        <f t="shared" si="12"/>
        <v>83.333333333333329</v>
      </c>
      <c r="L10" s="129">
        <v>18</v>
      </c>
      <c r="M10" s="10">
        <f t="shared" si="13"/>
        <v>1388.8888888888887</v>
      </c>
      <c r="N10" s="9">
        <f t="shared" si="14"/>
        <v>77.160493827160479</v>
      </c>
      <c r="O10" s="11">
        <f t="shared" si="15"/>
        <v>0</v>
      </c>
      <c r="P10" s="12">
        <f t="shared" ref="P10:P12" si="17">N10-K10</f>
        <v>-6.1728395061728492</v>
      </c>
      <c r="Q10" s="123">
        <f t="shared" ref="Q10:Q12" si="18">N10/K10</f>
        <v>0.92592592592592582</v>
      </c>
      <c r="R10" s="533"/>
      <c r="S10" s="24">
        <v>0.29097222222222224</v>
      </c>
      <c r="T10" s="24">
        <v>0.36597222222222225</v>
      </c>
      <c r="U10" s="121">
        <f>(S10-T9)*24*60</f>
        <v>33.999999999999957</v>
      </c>
      <c r="V10" s="130">
        <f t="shared" si="16"/>
        <v>108.00000000000001</v>
      </c>
      <c r="W10" s="14"/>
      <c r="X10" s="14"/>
      <c r="Y10" s="528"/>
      <c r="Z10" s="528"/>
      <c r="AA10" s="11">
        <f t="shared" si="2"/>
        <v>-111.11111111111131</v>
      </c>
      <c r="AB10" s="123">
        <f t="shared" ref="AB10:AB27" si="19">M10/J10</f>
        <v>0.92592592592592582</v>
      </c>
      <c r="AC10" s="533"/>
    </row>
    <row r="11" spans="1:29" ht="15.75" customHeight="1">
      <c r="A11" s="531" t="s">
        <v>371</v>
      </c>
      <c r="B11" s="26" t="s">
        <v>15</v>
      </c>
      <c r="C11" s="558" t="s">
        <v>80</v>
      </c>
      <c r="D11" s="559"/>
      <c r="E11" s="26">
        <v>39.29</v>
      </c>
      <c r="F11" s="131">
        <v>3764</v>
      </c>
      <c r="G11" s="121">
        <f t="shared" si="11"/>
        <v>147887.56</v>
      </c>
      <c r="H11" s="76" t="s">
        <v>52</v>
      </c>
      <c r="I11" s="129">
        <v>19</v>
      </c>
      <c r="J11" s="18">
        <v>1500</v>
      </c>
      <c r="K11" s="9">
        <f t="shared" si="12"/>
        <v>78.94736842105263</v>
      </c>
      <c r="L11" s="129">
        <v>19</v>
      </c>
      <c r="M11" s="10">
        <f t="shared" si="13"/>
        <v>1377.0731707317077</v>
      </c>
      <c r="N11" s="9">
        <f t="shared" si="14"/>
        <v>72.477535301668823</v>
      </c>
      <c r="O11" s="11">
        <f t="shared" si="15"/>
        <v>0</v>
      </c>
      <c r="P11" s="12">
        <f t="shared" si="17"/>
        <v>-6.4698331193838072</v>
      </c>
      <c r="Q11" s="123">
        <f t="shared" si="18"/>
        <v>0.91804878048780514</v>
      </c>
      <c r="R11" s="533"/>
      <c r="S11" s="24">
        <v>0.37361111111111112</v>
      </c>
      <c r="T11" s="24">
        <v>0.48749999999999999</v>
      </c>
      <c r="U11" s="121">
        <f t="shared" ref="U11:U12" si="20">(S11-T10)*24*60</f>
        <v>10.999999999999961</v>
      </c>
      <c r="V11" s="130">
        <f t="shared" si="16"/>
        <v>163.99999999999997</v>
      </c>
      <c r="W11" s="14">
        <f>T11</f>
        <v>0.48749999999999999</v>
      </c>
      <c r="X11" s="14">
        <f>S12</f>
        <v>0.52708333333333324</v>
      </c>
      <c r="Y11" s="528"/>
      <c r="Z11" s="528"/>
      <c r="AA11" s="11">
        <f t="shared" si="2"/>
        <v>-122.92682926829229</v>
      </c>
      <c r="AB11" s="123">
        <f t="shared" si="19"/>
        <v>0.91804878048780514</v>
      </c>
      <c r="AC11" s="533"/>
    </row>
    <row r="12" spans="1:29" ht="15.75" customHeight="1">
      <c r="A12" s="531" t="s">
        <v>370</v>
      </c>
      <c r="B12" s="26" t="s">
        <v>15</v>
      </c>
      <c r="C12" s="558" t="s">
        <v>17</v>
      </c>
      <c r="D12" s="559"/>
      <c r="E12" s="26">
        <v>39.799999999999997</v>
      </c>
      <c r="F12" s="131">
        <v>3951</v>
      </c>
      <c r="G12" s="121">
        <f t="shared" si="11"/>
        <v>157249.79999999999</v>
      </c>
      <c r="H12" s="76" t="s">
        <v>52</v>
      </c>
      <c r="I12" s="129">
        <v>18</v>
      </c>
      <c r="J12" s="18">
        <v>1500</v>
      </c>
      <c r="K12" s="9">
        <f t="shared" si="12"/>
        <v>83.333333333333329</v>
      </c>
      <c r="L12" s="129">
        <v>18</v>
      </c>
      <c r="M12" s="10">
        <f t="shared" si="13"/>
        <v>1378.2558139534881</v>
      </c>
      <c r="N12" s="9">
        <f t="shared" si="14"/>
        <v>76.569767441860449</v>
      </c>
      <c r="O12" s="11">
        <f t="shared" si="15"/>
        <v>0</v>
      </c>
      <c r="P12" s="12">
        <f t="shared" si="17"/>
        <v>-6.7635658914728793</v>
      </c>
      <c r="Q12" s="123">
        <f t="shared" si="18"/>
        <v>0.91883720930232549</v>
      </c>
      <c r="R12" s="533"/>
      <c r="S12" s="24">
        <v>0.52708333333333324</v>
      </c>
      <c r="T12" s="24">
        <v>0.6465277777777777</v>
      </c>
      <c r="U12" s="121">
        <f t="shared" si="20"/>
        <v>56.999999999999879</v>
      </c>
      <c r="V12" s="130">
        <f t="shared" si="16"/>
        <v>172.00000000000003</v>
      </c>
      <c r="W12" s="14"/>
      <c r="X12" s="14"/>
      <c r="Y12" s="528"/>
      <c r="Z12" s="528"/>
      <c r="AA12" s="11">
        <f t="shared" si="2"/>
        <v>-121.74418604651191</v>
      </c>
      <c r="AB12" s="123">
        <f t="shared" si="19"/>
        <v>0.91883720930232538</v>
      </c>
      <c r="AC12" s="533"/>
    </row>
    <row r="13" spans="1:29" ht="16.5" customHeight="1">
      <c r="A13" s="531" t="s">
        <v>371</v>
      </c>
      <c r="B13" s="26" t="s">
        <v>372</v>
      </c>
      <c r="C13" s="530"/>
      <c r="D13" s="530"/>
      <c r="E13" s="122"/>
      <c r="F13" s="18"/>
      <c r="G13" s="10"/>
      <c r="H13" s="131"/>
      <c r="I13" s="17">
        <v>18.5</v>
      </c>
      <c r="J13" s="18">
        <v>1500</v>
      </c>
      <c r="K13" s="9">
        <f>J13/I13</f>
        <v>81.081081081081081</v>
      </c>
      <c r="L13" s="17">
        <v>18.5</v>
      </c>
      <c r="M13" s="10">
        <f>AVERAGE(M9:M12)</f>
        <v>1380.7529608558325</v>
      </c>
      <c r="N13" s="9">
        <f>M13/L13</f>
        <v>74.635295181396344</v>
      </c>
      <c r="O13" s="11">
        <f>L13-I13</f>
        <v>0</v>
      </c>
      <c r="P13" s="12">
        <f>N13-K13</f>
        <v>-6.4457858996847364</v>
      </c>
      <c r="Q13" s="123">
        <f>N13/K13</f>
        <v>0.92050197390388822</v>
      </c>
      <c r="R13" s="533"/>
      <c r="S13" s="24"/>
      <c r="T13" s="24"/>
      <c r="U13" s="9"/>
      <c r="V13" s="130"/>
      <c r="W13" s="9"/>
      <c r="X13" s="9"/>
      <c r="Y13" s="528"/>
      <c r="Z13" s="528"/>
      <c r="AA13" s="11">
        <f t="shared" si="2"/>
        <v>-119.2470391441675</v>
      </c>
      <c r="AB13" s="123">
        <f t="shared" si="19"/>
        <v>0.92050197390388833</v>
      </c>
      <c r="AC13" s="533"/>
    </row>
    <row r="14" spans="1:29" ht="16.5" customHeight="1">
      <c r="A14" s="556" t="s">
        <v>373</v>
      </c>
      <c r="B14" s="131" t="s">
        <v>21</v>
      </c>
      <c r="C14" s="552" t="s">
        <v>19</v>
      </c>
      <c r="D14" s="552"/>
      <c r="E14" s="26">
        <v>41</v>
      </c>
      <c r="F14" s="131">
        <v>1982</v>
      </c>
      <c r="G14" s="121">
        <f t="shared" ref="G14:G17" si="21">E14*F14</f>
        <v>81262</v>
      </c>
      <c r="H14" s="76" t="s">
        <v>52</v>
      </c>
      <c r="I14" s="129">
        <v>26</v>
      </c>
      <c r="J14" s="18">
        <v>1500</v>
      </c>
      <c r="K14" s="9">
        <f>J14/I14</f>
        <v>57.692307692307693</v>
      </c>
      <c r="L14" s="129">
        <v>26</v>
      </c>
      <c r="M14" s="10">
        <f>F14/V14*60</f>
        <v>1382.7906976744184</v>
      </c>
      <c r="N14" s="9">
        <f t="shared" ref="N14:N26" si="22">M14/L14</f>
        <v>53.184257602862246</v>
      </c>
      <c r="O14" s="11">
        <f t="shared" ref="O14" si="23">L14-I14</f>
        <v>0</v>
      </c>
      <c r="P14" s="12">
        <f t="shared" ref="P14" si="24">N14-K14</f>
        <v>-4.5080500894454474</v>
      </c>
      <c r="Q14" s="123">
        <f>N14/K14</f>
        <v>0.92186046511627895</v>
      </c>
      <c r="R14" s="533">
        <f>Q18</f>
        <v>0.92115035638584608</v>
      </c>
      <c r="S14" s="24">
        <v>0.25</v>
      </c>
      <c r="T14" s="24">
        <v>0.30972222222222223</v>
      </c>
      <c r="U14" s="121"/>
      <c r="V14" s="130">
        <f>(T14-S14)*24*60</f>
        <v>86.000000000000014</v>
      </c>
      <c r="W14" s="15"/>
      <c r="X14" s="15"/>
      <c r="Y14" s="528"/>
      <c r="Z14" s="528"/>
      <c r="AA14" s="11">
        <f t="shared" si="2"/>
        <v>-117.20930232558158</v>
      </c>
      <c r="AB14" s="123">
        <f t="shared" si="19"/>
        <v>0.92186046511627895</v>
      </c>
      <c r="AC14" s="533">
        <f>AB18</f>
        <v>0.92115035638584597</v>
      </c>
    </row>
    <row r="15" spans="1:29" ht="16.5" customHeight="1">
      <c r="A15" s="557" t="s">
        <v>374</v>
      </c>
      <c r="B15" s="131" t="s">
        <v>15</v>
      </c>
      <c r="C15" s="552" t="s">
        <v>49</v>
      </c>
      <c r="D15" s="552"/>
      <c r="E15" s="26">
        <v>39.29</v>
      </c>
      <c r="F15" s="131">
        <v>3427</v>
      </c>
      <c r="G15" s="121">
        <f t="shared" si="21"/>
        <v>134646.82999999999</v>
      </c>
      <c r="H15" s="76" t="s">
        <v>52</v>
      </c>
      <c r="I15" s="129">
        <v>16</v>
      </c>
      <c r="J15" s="18">
        <v>1500</v>
      </c>
      <c r="K15" s="9">
        <f>J15/I15</f>
        <v>93.75</v>
      </c>
      <c r="L15" s="129">
        <v>16</v>
      </c>
      <c r="M15" s="10">
        <f>F15/V15*60</f>
        <v>1379.9999999999998</v>
      </c>
      <c r="N15" s="9">
        <f t="shared" si="22"/>
        <v>86.249999999999986</v>
      </c>
      <c r="O15" s="11">
        <f>L15-I15</f>
        <v>0</v>
      </c>
      <c r="P15" s="12">
        <f>N15-K15</f>
        <v>-7.5000000000000142</v>
      </c>
      <c r="Q15" s="123">
        <f>N15/K15</f>
        <v>0.91999999999999982</v>
      </c>
      <c r="R15" s="533"/>
      <c r="S15" s="24">
        <v>0.31944444444444442</v>
      </c>
      <c r="T15" s="24">
        <v>0.42291666666666666</v>
      </c>
      <c r="U15" s="121">
        <f>(S15-T14)*24*60</f>
        <v>13.99999999999995</v>
      </c>
      <c r="V15" s="130">
        <f>(T15-S15)*24*60</f>
        <v>149.00000000000003</v>
      </c>
      <c r="W15" s="14"/>
      <c r="X15" s="14"/>
      <c r="Y15" s="528"/>
      <c r="Z15" s="528"/>
      <c r="AA15" s="11">
        <f t="shared" si="2"/>
        <v>-120.00000000000023</v>
      </c>
      <c r="AB15" s="123">
        <f t="shared" si="19"/>
        <v>0.91999999999999982</v>
      </c>
      <c r="AC15" s="533"/>
    </row>
    <row r="16" spans="1:29" ht="16.5" customHeight="1">
      <c r="A16" s="557" t="s">
        <v>373</v>
      </c>
      <c r="B16" s="131" t="s">
        <v>13</v>
      </c>
      <c r="C16" s="552" t="s">
        <v>57</v>
      </c>
      <c r="D16" s="552"/>
      <c r="E16" s="26">
        <v>50.98</v>
      </c>
      <c r="F16" s="131">
        <v>2804</v>
      </c>
      <c r="G16" s="121">
        <f t="shared" si="21"/>
        <v>142947.91999999998</v>
      </c>
      <c r="H16" s="76" t="s">
        <v>52</v>
      </c>
      <c r="I16" s="129">
        <v>17</v>
      </c>
      <c r="J16" s="18">
        <v>2000</v>
      </c>
      <c r="K16" s="9">
        <f t="shared" ref="K16:K17" si="25">J16/I16</f>
        <v>117.64705882352941</v>
      </c>
      <c r="L16" s="129">
        <v>17</v>
      </c>
      <c r="M16" s="10">
        <f t="shared" ref="M16:M17" si="26">F16/V16*60</f>
        <v>1848.7912087912089</v>
      </c>
      <c r="N16" s="9">
        <f t="shared" si="22"/>
        <v>108.75242404654171</v>
      </c>
      <c r="O16" s="11">
        <f t="shared" ref="O16:O17" si="27">L16-I16</f>
        <v>0</v>
      </c>
      <c r="P16" s="12">
        <f t="shared" ref="P16:P17" si="28">N16-K16</f>
        <v>-8.8946347769877008</v>
      </c>
      <c r="Q16" s="123">
        <f t="shared" ref="Q16:Q26" si="29">N16/K16</f>
        <v>0.92439560439560453</v>
      </c>
      <c r="R16" s="533"/>
      <c r="S16" s="24">
        <v>0.70833333333333337</v>
      </c>
      <c r="T16" s="24">
        <v>0.77152777777777781</v>
      </c>
      <c r="U16" s="121"/>
      <c r="V16" s="130">
        <f t="shared" ref="V16:V17" si="30">(T16-S16)*24*60</f>
        <v>91</v>
      </c>
      <c r="W16" s="14"/>
      <c r="X16" s="14"/>
      <c r="Y16" s="528"/>
      <c r="Z16" s="528"/>
      <c r="AA16" s="11">
        <f t="shared" si="2"/>
        <v>-151.20879120879113</v>
      </c>
      <c r="AB16" s="123">
        <f t="shared" si="19"/>
        <v>0.92439560439560442</v>
      </c>
      <c r="AC16" s="533"/>
    </row>
    <row r="17" spans="1:29" ht="16.5" customHeight="1">
      <c r="A17" s="557" t="s">
        <v>373</v>
      </c>
      <c r="B17" s="131" t="s">
        <v>13</v>
      </c>
      <c r="C17" s="552" t="s">
        <v>54</v>
      </c>
      <c r="D17" s="552"/>
      <c r="E17" s="26">
        <v>50.92</v>
      </c>
      <c r="F17" s="131">
        <v>3122</v>
      </c>
      <c r="G17" s="121">
        <f t="shared" si="21"/>
        <v>158972.24000000002</v>
      </c>
      <c r="H17" s="76" t="s">
        <v>52</v>
      </c>
      <c r="I17" s="129">
        <v>16</v>
      </c>
      <c r="J17" s="18">
        <v>2000</v>
      </c>
      <c r="K17" s="9">
        <f t="shared" si="25"/>
        <v>125</v>
      </c>
      <c r="L17" s="129">
        <v>16</v>
      </c>
      <c r="M17" s="10">
        <f t="shared" si="26"/>
        <v>1836.4705882352948</v>
      </c>
      <c r="N17" s="9">
        <f t="shared" si="22"/>
        <v>114.77941176470593</v>
      </c>
      <c r="O17" s="11">
        <f t="shared" si="27"/>
        <v>0</v>
      </c>
      <c r="P17" s="12">
        <f t="shared" si="28"/>
        <v>-10.220588235294073</v>
      </c>
      <c r="Q17" s="123">
        <f t="shared" si="29"/>
        <v>0.91823529411764737</v>
      </c>
      <c r="R17" s="533"/>
      <c r="S17" s="24">
        <v>0.77638888888888891</v>
      </c>
      <c r="T17" s="24">
        <v>0.84722222222222221</v>
      </c>
      <c r="U17" s="121">
        <f t="shared" ref="U17" si="31">(S17-T16)*24*60</f>
        <v>6.9999999999999751</v>
      </c>
      <c r="V17" s="130">
        <f t="shared" si="30"/>
        <v>101.99999999999996</v>
      </c>
      <c r="W17" s="14"/>
      <c r="X17" s="14"/>
      <c r="Y17" s="528"/>
      <c r="Z17" s="528"/>
      <c r="AA17" s="11">
        <f t="shared" si="2"/>
        <v>-163.52941176470517</v>
      </c>
      <c r="AB17" s="123">
        <f t="shared" si="19"/>
        <v>0.91823529411764737</v>
      </c>
      <c r="AC17" s="533"/>
    </row>
    <row r="18" spans="1:29" ht="16.5" customHeight="1">
      <c r="A18" s="557" t="s">
        <v>374</v>
      </c>
      <c r="B18" s="26" t="s">
        <v>372</v>
      </c>
      <c r="C18" s="530"/>
      <c r="D18" s="530"/>
      <c r="E18" s="122"/>
      <c r="F18" s="16"/>
      <c r="G18" s="9"/>
      <c r="H18" s="131"/>
      <c r="I18" s="17">
        <f>AVERAGE(I14:I17)</f>
        <v>18.75</v>
      </c>
      <c r="J18" s="18">
        <v>1750</v>
      </c>
      <c r="K18" s="9">
        <f>J18/I18</f>
        <v>93.333333333333329</v>
      </c>
      <c r="L18" s="17">
        <f>AVERAGE(L14:L17)</f>
        <v>18.75</v>
      </c>
      <c r="M18" s="10">
        <f>AVERAGE(M14:M17)</f>
        <v>1612.0131236752304</v>
      </c>
      <c r="N18" s="9">
        <f t="shared" si="22"/>
        <v>85.974033262678958</v>
      </c>
      <c r="O18" s="11">
        <f>L18-I18</f>
        <v>0</v>
      </c>
      <c r="P18" s="12">
        <f>N18-K18</f>
        <v>-7.3593000706543705</v>
      </c>
      <c r="Q18" s="123">
        <f t="shared" si="29"/>
        <v>0.92115035638584608</v>
      </c>
      <c r="R18" s="533"/>
      <c r="S18" s="24"/>
      <c r="T18" s="24"/>
      <c r="U18" s="121"/>
      <c r="V18" s="130"/>
      <c r="W18" s="9"/>
      <c r="X18" s="9"/>
      <c r="Y18" s="528"/>
      <c r="Z18" s="528"/>
      <c r="AA18" s="11">
        <f t="shared" si="2"/>
        <v>-137.98687632476958</v>
      </c>
      <c r="AB18" s="123">
        <f t="shared" si="19"/>
        <v>0.92115035638584597</v>
      </c>
      <c r="AC18" s="533"/>
    </row>
    <row r="19" spans="1:29" ht="15.75" customHeight="1">
      <c r="A19" s="554" t="s">
        <v>375</v>
      </c>
      <c r="B19" s="26" t="s">
        <v>21</v>
      </c>
      <c r="C19" s="552" t="s">
        <v>22</v>
      </c>
      <c r="D19" s="552"/>
      <c r="E19" s="26">
        <v>43.14</v>
      </c>
      <c r="F19" s="131">
        <v>1183</v>
      </c>
      <c r="G19" s="121">
        <f t="shared" ref="G19:G26" si="32">E19*F19</f>
        <v>51034.62</v>
      </c>
      <c r="H19" s="76" t="s">
        <v>52</v>
      </c>
      <c r="I19" s="129">
        <v>17</v>
      </c>
      <c r="J19" s="18">
        <v>2000</v>
      </c>
      <c r="K19" s="9">
        <f t="shared" ref="K19:K27" si="33">J19/I19</f>
        <v>117.64705882352941</v>
      </c>
      <c r="L19" s="129">
        <v>17</v>
      </c>
      <c r="M19" s="10">
        <f t="shared" ref="M19:M26" si="34">F19/V19*60</f>
        <v>1867.8947368421059</v>
      </c>
      <c r="N19" s="9">
        <f t="shared" si="22"/>
        <v>109.87616099071211</v>
      </c>
      <c r="O19" s="11">
        <f t="shared" ref="O19:O26" si="35">L19-I19</f>
        <v>0</v>
      </c>
      <c r="P19" s="12">
        <f t="shared" ref="P19:P26" si="36">N19-K19</f>
        <v>-7.7708978328172975</v>
      </c>
      <c r="Q19" s="123">
        <f t="shared" si="29"/>
        <v>0.93394736842105297</v>
      </c>
      <c r="R19" s="533">
        <f>Q27</f>
        <v>0.93495768587218675</v>
      </c>
      <c r="S19" s="24">
        <v>0.20833333333333334</v>
      </c>
      <c r="T19" s="24">
        <v>0.23472222222222222</v>
      </c>
      <c r="U19" s="121"/>
      <c r="V19" s="130">
        <f>(T19-S19)*24*60</f>
        <v>37.999999999999986</v>
      </c>
      <c r="W19" s="15"/>
      <c r="X19" s="15"/>
      <c r="Y19" s="528"/>
      <c r="Z19" s="528"/>
      <c r="AA19" s="11">
        <f t="shared" si="2"/>
        <v>-132.10526315789411</v>
      </c>
      <c r="AB19" s="123">
        <f t="shared" si="19"/>
        <v>0.93394736842105297</v>
      </c>
      <c r="AC19" s="533">
        <f>AB27</f>
        <v>0.93495768587218675</v>
      </c>
    </row>
    <row r="20" spans="1:29" ht="15.75" customHeight="1">
      <c r="A20" s="555" t="s">
        <v>375</v>
      </c>
      <c r="B20" s="26" t="s">
        <v>13</v>
      </c>
      <c r="C20" s="552" t="s">
        <v>23</v>
      </c>
      <c r="D20" s="552"/>
      <c r="E20" s="26">
        <v>57.73</v>
      </c>
      <c r="F20" s="131">
        <v>2924</v>
      </c>
      <c r="G20" s="121">
        <f t="shared" si="32"/>
        <v>168802.52</v>
      </c>
      <c r="H20" s="76" t="s">
        <v>52</v>
      </c>
      <c r="I20" s="129">
        <v>16</v>
      </c>
      <c r="J20" s="18">
        <v>2000</v>
      </c>
      <c r="K20" s="9">
        <f t="shared" si="33"/>
        <v>125</v>
      </c>
      <c r="L20" s="129">
        <v>16</v>
      </c>
      <c r="M20" s="10">
        <f t="shared" si="34"/>
        <v>1846.7368421052633</v>
      </c>
      <c r="N20" s="9">
        <f t="shared" si="22"/>
        <v>115.42105263157896</v>
      </c>
      <c r="O20" s="11">
        <f t="shared" si="35"/>
        <v>0</v>
      </c>
      <c r="P20" s="12">
        <f t="shared" si="36"/>
        <v>-9.5789473684210407</v>
      </c>
      <c r="Q20" s="123">
        <f t="shared" si="29"/>
        <v>0.92336842105263173</v>
      </c>
      <c r="R20" s="533"/>
      <c r="S20" s="24">
        <v>0.23819444444444443</v>
      </c>
      <c r="T20" s="24">
        <v>0.30416666666666664</v>
      </c>
      <c r="U20" s="121">
        <f>(S20-T19)*24*60</f>
        <v>4.9999999999999822</v>
      </c>
      <c r="V20" s="130">
        <f t="shared" ref="V20:V26" si="37">(T20-S20)*24*60</f>
        <v>94.999999999999986</v>
      </c>
      <c r="W20" s="14"/>
      <c r="X20" s="121"/>
      <c r="Y20" s="528"/>
      <c r="Z20" s="528"/>
      <c r="AA20" s="11">
        <f t="shared" si="2"/>
        <v>-153.26315789473665</v>
      </c>
      <c r="AB20" s="123">
        <f t="shared" si="19"/>
        <v>0.92336842105263173</v>
      </c>
      <c r="AC20" s="533"/>
    </row>
    <row r="21" spans="1:29" ht="15.75" customHeight="1">
      <c r="A21" s="555" t="s">
        <v>375</v>
      </c>
      <c r="B21" s="26" t="s">
        <v>13</v>
      </c>
      <c r="C21" s="552" t="s">
        <v>14</v>
      </c>
      <c r="D21" s="552"/>
      <c r="E21" s="26">
        <v>53.68</v>
      </c>
      <c r="F21" s="131">
        <v>1817</v>
      </c>
      <c r="G21" s="121">
        <f t="shared" si="32"/>
        <v>97536.56</v>
      </c>
      <c r="H21" s="76" t="s">
        <v>52</v>
      </c>
      <c r="I21" s="129">
        <v>17</v>
      </c>
      <c r="J21" s="18">
        <v>2000</v>
      </c>
      <c r="K21" s="9">
        <f t="shared" si="33"/>
        <v>117.64705882352941</v>
      </c>
      <c r="L21" s="129">
        <v>17</v>
      </c>
      <c r="M21" s="10">
        <f t="shared" si="34"/>
        <v>1847.7966101694908</v>
      </c>
      <c r="N21" s="9">
        <f t="shared" si="22"/>
        <v>108.69391824526417</v>
      </c>
      <c r="O21" s="11">
        <f t="shared" si="35"/>
        <v>0</v>
      </c>
      <c r="P21" s="12">
        <f t="shared" si="36"/>
        <v>-8.9531405782652342</v>
      </c>
      <c r="Q21" s="123">
        <f t="shared" si="29"/>
        <v>0.92389830508474546</v>
      </c>
      <c r="R21" s="533"/>
      <c r="S21" s="24">
        <v>0.30972222222222218</v>
      </c>
      <c r="T21" s="24">
        <v>0.35069444444444442</v>
      </c>
      <c r="U21" s="121">
        <f t="shared" ref="U21:U26" si="38">(S21-T20)*24*60</f>
        <v>7.9999999999999716</v>
      </c>
      <c r="V21" s="130">
        <f t="shared" si="37"/>
        <v>59.000000000000028</v>
      </c>
      <c r="W21" s="14"/>
      <c r="X21" s="121"/>
      <c r="Y21" s="528"/>
      <c r="Z21" s="528"/>
      <c r="AA21" s="11">
        <f t="shared" si="2"/>
        <v>-152.2033898305092</v>
      </c>
      <c r="AB21" s="123">
        <f t="shared" si="19"/>
        <v>0.92389830508474535</v>
      </c>
      <c r="AC21" s="533"/>
    </row>
    <row r="22" spans="1:29" ht="15.75" customHeight="1">
      <c r="A22" s="555" t="s">
        <v>375</v>
      </c>
      <c r="B22" s="26" t="s">
        <v>13</v>
      </c>
      <c r="C22" s="552" t="s">
        <v>63</v>
      </c>
      <c r="D22" s="552"/>
      <c r="E22" s="26">
        <v>50.67</v>
      </c>
      <c r="F22" s="131">
        <v>970</v>
      </c>
      <c r="G22" s="121">
        <f t="shared" si="32"/>
        <v>49149.9</v>
      </c>
      <c r="H22" s="76" t="s">
        <v>52</v>
      </c>
      <c r="I22" s="129">
        <v>16</v>
      </c>
      <c r="J22" s="18">
        <v>2000</v>
      </c>
      <c r="K22" s="9">
        <f t="shared" si="33"/>
        <v>125</v>
      </c>
      <c r="L22" s="129">
        <v>16</v>
      </c>
      <c r="M22" s="10">
        <f t="shared" si="34"/>
        <v>1877.4193548387113</v>
      </c>
      <c r="N22" s="9">
        <f t="shared" si="22"/>
        <v>117.33870967741946</v>
      </c>
      <c r="O22" s="11">
        <f t="shared" si="35"/>
        <v>0</v>
      </c>
      <c r="P22" s="12">
        <f t="shared" si="36"/>
        <v>-7.6612903225805411</v>
      </c>
      <c r="Q22" s="123">
        <f t="shared" si="29"/>
        <v>0.93870967741935563</v>
      </c>
      <c r="R22" s="533"/>
      <c r="S22" s="24">
        <v>0.35555555555555551</v>
      </c>
      <c r="T22" s="24">
        <v>0.37708333333333327</v>
      </c>
      <c r="U22" s="121">
        <f t="shared" si="38"/>
        <v>6.9999999999999751</v>
      </c>
      <c r="V22" s="130">
        <f t="shared" si="37"/>
        <v>30.999999999999972</v>
      </c>
      <c r="W22" s="14"/>
      <c r="X22" s="121"/>
      <c r="Y22" s="528"/>
      <c r="Z22" s="528"/>
      <c r="AA22" s="11">
        <f t="shared" si="2"/>
        <v>-122.58064516128866</v>
      </c>
      <c r="AB22" s="123">
        <f t="shared" si="19"/>
        <v>0.93870967741935563</v>
      </c>
      <c r="AC22" s="533"/>
    </row>
    <row r="23" spans="1:29" ht="15.75" customHeight="1">
      <c r="A23" s="555" t="s">
        <v>375</v>
      </c>
      <c r="B23" s="26" t="s">
        <v>13</v>
      </c>
      <c r="C23" s="552" t="s">
        <v>81</v>
      </c>
      <c r="D23" s="552"/>
      <c r="E23" s="26">
        <v>58.17</v>
      </c>
      <c r="F23" s="131">
        <v>2468</v>
      </c>
      <c r="G23" s="121">
        <f t="shared" si="32"/>
        <v>143563.56</v>
      </c>
      <c r="H23" s="76" t="s">
        <v>52</v>
      </c>
      <c r="I23" s="129">
        <v>18</v>
      </c>
      <c r="J23" s="18">
        <v>2000</v>
      </c>
      <c r="K23" s="9">
        <f t="shared" si="33"/>
        <v>111.11111111111111</v>
      </c>
      <c r="L23" s="129">
        <v>18</v>
      </c>
      <c r="M23" s="10">
        <f t="shared" si="34"/>
        <v>1851.0000000000009</v>
      </c>
      <c r="N23" s="9">
        <f t="shared" si="22"/>
        <v>102.83333333333339</v>
      </c>
      <c r="O23" s="11">
        <f t="shared" si="35"/>
        <v>0</v>
      </c>
      <c r="P23" s="12">
        <f t="shared" si="36"/>
        <v>-8.2777777777777288</v>
      </c>
      <c r="Q23" s="123">
        <f t="shared" si="29"/>
        <v>0.92550000000000043</v>
      </c>
      <c r="R23" s="533"/>
      <c r="S23" s="24">
        <v>0.38194444444444436</v>
      </c>
      <c r="T23" s="24">
        <v>0.43749999999999989</v>
      </c>
      <c r="U23" s="121">
        <f t="shared" si="38"/>
        <v>6.9999999999999751</v>
      </c>
      <c r="V23" s="130">
        <f t="shared" si="37"/>
        <v>79.999999999999957</v>
      </c>
      <c r="W23" s="14"/>
      <c r="X23" s="121"/>
      <c r="Y23" s="528"/>
      <c r="Z23" s="528"/>
      <c r="AA23" s="11">
        <f t="shared" si="2"/>
        <v>-148.99999999999909</v>
      </c>
      <c r="AB23" s="123">
        <f t="shared" si="19"/>
        <v>0.92550000000000043</v>
      </c>
      <c r="AC23" s="533"/>
    </row>
    <row r="24" spans="1:29" ht="15.75" customHeight="1">
      <c r="A24" s="555" t="s">
        <v>375</v>
      </c>
      <c r="B24" s="26" t="s">
        <v>13</v>
      </c>
      <c r="C24" s="552" t="s">
        <v>85</v>
      </c>
      <c r="D24" s="552"/>
      <c r="E24" s="26">
        <v>54.09</v>
      </c>
      <c r="F24" s="131">
        <v>4024</v>
      </c>
      <c r="G24" s="121">
        <f t="shared" si="32"/>
        <v>217658.16</v>
      </c>
      <c r="H24" s="76" t="s">
        <v>52</v>
      </c>
      <c r="I24" s="129">
        <v>20</v>
      </c>
      <c r="J24" s="18">
        <v>2000</v>
      </c>
      <c r="K24" s="9">
        <f t="shared" si="33"/>
        <v>100</v>
      </c>
      <c r="L24" s="129">
        <v>20</v>
      </c>
      <c r="M24" s="10">
        <f t="shared" si="34"/>
        <v>1843.0534351145038</v>
      </c>
      <c r="N24" s="9">
        <f t="shared" si="22"/>
        <v>92.152671755725194</v>
      </c>
      <c r="O24" s="11">
        <f t="shared" si="35"/>
        <v>0</v>
      </c>
      <c r="P24" s="12">
        <f t="shared" si="36"/>
        <v>-7.8473282442748058</v>
      </c>
      <c r="Q24" s="123">
        <f t="shared" si="29"/>
        <v>0.92152671755725191</v>
      </c>
      <c r="R24" s="533"/>
      <c r="S24" s="24">
        <v>0.70833333333333337</v>
      </c>
      <c r="T24" s="24">
        <v>0.7993055555555556</v>
      </c>
      <c r="U24" s="121"/>
      <c r="V24" s="130">
        <f t="shared" si="37"/>
        <v>131</v>
      </c>
      <c r="W24" s="14"/>
      <c r="X24" s="15"/>
      <c r="Y24" s="528"/>
      <c r="Z24" s="528"/>
      <c r="AA24" s="11">
        <f t="shared" si="2"/>
        <v>-156.94656488549617</v>
      </c>
      <c r="AB24" s="123">
        <f t="shared" si="19"/>
        <v>0.92152671755725191</v>
      </c>
      <c r="AC24" s="533"/>
    </row>
    <row r="25" spans="1:29" ht="15.75" customHeight="1">
      <c r="A25" s="555" t="s">
        <v>376</v>
      </c>
      <c r="B25" s="26" t="s">
        <v>13</v>
      </c>
      <c r="C25" s="552" t="s">
        <v>56</v>
      </c>
      <c r="D25" s="552"/>
      <c r="E25" s="26">
        <v>53.27</v>
      </c>
      <c r="F25" s="131">
        <v>548</v>
      </c>
      <c r="G25" s="121">
        <f t="shared" si="32"/>
        <v>29191.960000000003</v>
      </c>
      <c r="H25" s="76" t="s">
        <v>52</v>
      </c>
      <c r="I25" s="129">
        <v>15</v>
      </c>
      <c r="J25" s="18">
        <v>2000</v>
      </c>
      <c r="K25" s="9">
        <f t="shared" si="33"/>
        <v>133.33333333333334</v>
      </c>
      <c r="L25" s="129">
        <v>15</v>
      </c>
      <c r="M25" s="10">
        <f t="shared" si="34"/>
        <v>1934.1176470588302</v>
      </c>
      <c r="N25" s="9">
        <f t="shared" si="22"/>
        <v>128.94117647058869</v>
      </c>
      <c r="O25" s="11">
        <f t="shared" si="35"/>
        <v>0</v>
      </c>
      <c r="P25" s="12">
        <f t="shared" si="36"/>
        <v>-4.3921568627446561</v>
      </c>
      <c r="Q25" s="123">
        <f t="shared" si="29"/>
        <v>0.96705882352941508</v>
      </c>
      <c r="R25" s="533"/>
      <c r="S25" s="24">
        <v>0.80486111111111114</v>
      </c>
      <c r="T25" s="24">
        <v>0.81666666666666665</v>
      </c>
      <c r="U25" s="121">
        <f t="shared" si="38"/>
        <v>7.9999999999999716</v>
      </c>
      <c r="V25" s="130">
        <f t="shared" si="37"/>
        <v>16.99999999999994</v>
      </c>
      <c r="W25" s="14"/>
      <c r="X25" s="15"/>
      <c r="Y25" s="536"/>
      <c r="Z25" s="537"/>
      <c r="AA25" s="11">
        <f t="shared" si="2"/>
        <v>-65.882352941169756</v>
      </c>
      <c r="AB25" s="123">
        <f t="shared" si="19"/>
        <v>0.96705882352941508</v>
      </c>
      <c r="AC25" s="533"/>
    </row>
    <row r="26" spans="1:29" ht="15.75" customHeight="1">
      <c r="A26" s="555" t="s">
        <v>376</v>
      </c>
      <c r="B26" s="26" t="s">
        <v>13</v>
      </c>
      <c r="C26" s="584" t="s">
        <v>83</v>
      </c>
      <c r="D26" s="585"/>
      <c r="E26" s="26">
        <v>49.91</v>
      </c>
      <c r="F26" s="131">
        <v>725</v>
      </c>
      <c r="G26" s="121">
        <f t="shared" si="32"/>
        <v>36184.75</v>
      </c>
      <c r="H26" s="76" t="s">
        <v>52</v>
      </c>
      <c r="I26" s="129">
        <v>16</v>
      </c>
      <c r="J26" s="18">
        <v>2000</v>
      </c>
      <c r="K26" s="9">
        <f t="shared" si="33"/>
        <v>125</v>
      </c>
      <c r="L26" s="129">
        <v>16</v>
      </c>
      <c r="M26" s="10">
        <f t="shared" si="34"/>
        <v>1891.3043478260804</v>
      </c>
      <c r="N26" s="9">
        <f t="shared" si="22"/>
        <v>118.20652173913003</v>
      </c>
      <c r="O26" s="11">
        <f t="shared" si="35"/>
        <v>0</v>
      </c>
      <c r="P26" s="12">
        <f t="shared" si="36"/>
        <v>-6.7934782608699749</v>
      </c>
      <c r="Q26" s="123">
        <f t="shared" si="29"/>
        <v>0.94565217391304024</v>
      </c>
      <c r="R26" s="533"/>
      <c r="S26" s="24">
        <v>0.82222222222222219</v>
      </c>
      <c r="T26" s="24">
        <v>0.83819444444444446</v>
      </c>
      <c r="U26" s="121">
        <f t="shared" si="38"/>
        <v>7.9999999999999716</v>
      </c>
      <c r="V26" s="130">
        <f t="shared" si="37"/>
        <v>23.000000000000078</v>
      </c>
      <c r="W26" s="14"/>
      <c r="X26" s="14"/>
      <c r="Y26" s="536"/>
      <c r="Z26" s="537"/>
      <c r="AA26" s="11">
        <f t="shared" si="2"/>
        <v>-108.6956521739196</v>
      </c>
      <c r="AB26" s="123">
        <f t="shared" si="19"/>
        <v>0.94565217391304024</v>
      </c>
      <c r="AC26" s="533"/>
    </row>
    <row r="27" spans="1:29" ht="15.75" customHeight="1">
      <c r="A27" s="555" t="s">
        <v>376</v>
      </c>
      <c r="B27" s="26" t="s">
        <v>372</v>
      </c>
      <c r="C27" s="530"/>
      <c r="D27" s="530"/>
      <c r="E27" s="122"/>
      <c r="F27" s="131"/>
      <c r="G27" s="121"/>
      <c r="H27" s="131"/>
      <c r="I27" s="17">
        <v>16.875</v>
      </c>
      <c r="J27" s="18">
        <v>2000</v>
      </c>
      <c r="K27" s="9">
        <f t="shared" si="33"/>
        <v>118.51851851851852</v>
      </c>
      <c r="L27" s="17">
        <v>16.875</v>
      </c>
      <c r="M27" s="10">
        <f>AVERAGE(M19:M26)</f>
        <v>1869.9153717443735</v>
      </c>
      <c r="N27" s="9">
        <f>M27/L27</f>
        <v>110.80979980707399</v>
      </c>
      <c r="O27" s="11">
        <f>L27-I27</f>
        <v>0</v>
      </c>
      <c r="P27" s="12">
        <f>N27-K27</f>
        <v>-7.7087187114445328</v>
      </c>
      <c r="Q27" s="123">
        <f>N27/K27</f>
        <v>0.93495768587218675</v>
      </c>
      <c r="R27" s="533"/>
      <c r="S27" s="24"/>
      <c r="T27" s="24"/>
      <c r="U27" s="9"/>
      <c r="V27" s="130"/>
      <c r="W27" s="9"/>
      <c r="X27" s="9"/>
      <c r="Y27" s="528"/>
      <c r="Z27" s="528"/>
      <c r="AA27" s="11">
        <f t="shared" si="2"/>
        <v>-130.08462825562651</v>
      </c>
      <c r="AB27" s="123">
        <f t="shared" si="19"/>
        <v>0.93495768587218675</v>
      </c>
      <c r="AC27" s="533"/>
    </row>
    <row r="28" spans="1:29" ht="15.75" customHeight="1">
      <c r="A28" s="553" t="s">
        <v>377</v>
      </c>
      <c r="B28" s="26" t="s">
        <v>24</v>
      </c>
      <c r="C28" s="552" t="s">
        <v>26</v>
      </c>
      <c r="D28" s="552"/>
      <c r="E28" s="26">
        <v>26.2</v>
      </c>
      <c r="F28" s="131">
        <v>4551</v>
      </c>
      <c r="G28" s="121">
        <f t="shared" ref="G28:G33" si="39">E28*F28</f>
        <v>119236.2</v>
      </c>
      <c r="H28" s="76" t="s">
        <v>52</v>
      </c>
      <c r="I28" s="129">
        <v>20</v>
      </c>
      <c r="J28" s="18">
        <v>2400</v>
      </c>
      <c r="K28" s="9">
        <f>J28/I28</f>
        <v>120</v>
      </c>
      <c r="L28" s="129">
        <v>20</v>
      </c>
      <c r="M28" s="10">
        <f t="shared" ref="M28:M33" si="40">F28/V28*60</f>
        <v>2202.0967741935474</v>
      </c>
      <c r="N28" s="9">
        <f t="shared" ref="N28:N33" si="41">M28/L28</f>
        <v>110.10483870967737</v>
      </c>
      <c r="O28" s="11">
        <f t="shared" ref="O28:O33" si="42">L28-I28</f>
        <v>0</v>
      </c>
      <c r="P28" s="12">
        <f t="shared" ref="P28:P33" si="43">N28-K28</f>
        <v>-9.8951612903226334</v>
      </c>
      <c r="Q28" s="123">
        <f t="shared" ref="Q28:Q33" si="44">N28/K28</f>
        <v>0.91754032258064477</v>
      </c>
      <c r="R28" s="533">
        <f>Q34</f>
        <v>0.92034699827232025</v>
      </c>
      <c r="S28" s="24">
        <v>0.125</v>
      </c>
      <c r="T28" s="24">
        <v>0.21111111111111114</v>
      </c>
      <c r="U28" s="121"/>
      <c r="V28" s="130">
        <f t="shared" ref="V28:V33" si="45">(T28-S28)*24*60</f>
        <v>124.00000000000004</v>
      </c>
      <c r="W28" s="14">
        <f>T28</f>
        <v>0.21111111111111114</v>
      </c>
      <c r="X28" s="14">
        <f>S29</f>
        <v>0.22847222222222222</v>
      </c>
      <c r="Y28" s="528"/>
      <c r="Z28" s="528"/>
      <c r="AA28" s="11">
        <f t="shared" si="2"/>
        <v>-197.90322580645261</v>
      </c>
      <c r="AB28" s="123">
        <f>M28/J28</f>
        <v>0.91754032258064477</v>
      </c>
      <c r="AC28" s="533">
        <f>AB34</f>
        <v>0.92034699827232036</v>
      </c>
    </row>
    <row r="29" spans="1:29" ht="15.75" customHeight="1">
      <c r="A29" s="553" t="s">
        <v>378</v>
      </c>
      <c r="B29" s="26" t="s">
        <v>24</v>
      </c>
      <c r="C29" s="552" t="s">
        <v>79</v>
      </c>
      <c r="D29" s="552"/>
      <c r="E29" s="26">
        <v>31.29</v>
      </c>
      <c r="F29" s="131">
        <v>3500</v>
      </c>
      <c r="G29" s="121">
        <f t="shared" si="39"/>
        <v>109515</v>
      </c>
      <c r="H29" s="76">
        <v>2</v>
      </c>
      <c r="I29" s="129">
        <v>16</v>
      </c>
      <c r="J29" s="18">
        <v>2400</v>
      </c>
      <c r="K29" s="9">
        <f t="shared" ref="K29:K34" si="46">J29/I29</f>
        <v>150</v>
      </c>
      <c r="L29" s="129">
        <v>16</v>
      </c>
      <c r="M29" s="10">
        <f t="shared" si="40"/>
        <v>2210.5263157894728</v>
      </c>
      <c r="N29" s="9">
        <f t="shared" si="41"/>
        <v>138.15789473684205</v>
      </c>
      <c r="O29" s="11">
        <f t="shared" si="42"/>
        <v>0</v>
      </c>
      <c r="P29" s="12">
        <f t="shared" si="43"/>
        <v>-11.842105263157947</v>
      </c>
      <c r="Q29" s="123">
        <f t="shared" si="44"/>
        <v>0.92105263157894701</v>
      </c>
      <c r="R29" s="533"/>
      <c r="S29" s="24">
        <v>0.22847222222222222</v>
      </c>
      <c r="T29" s="24">
        <v>0.29444444444444445</v>
      </c>
      <c r="U29" s="121">
        <f>(S29-T28)*24*60</f>
        <v>24.99999999999995</v>
      </c>
      <c r="V29" s="130">
        <f t="shared" si="45"/>
        <v>95.000000000000028</v>
      </c>
      <c r="W29" s="14"/>
      <c r="X29" s="14"/>
      <c r="Y29" s="528"/>
      <c r="Z29" s="528"/>
      <c r="AA29" s="11">
        <f t="shared" si="2"/>
        <v>-189.47368421052715</v>
      </c>
      <c r="AB29" s="123">
        <f t="shared" ref="AB29:AB33" si="47">M29/J29</f>
        <v>0.92105263157894701</v>
      </c>
      <c r="AC29" s="533"/>
    </row>
    <row r="30" spans="1:29" ht="15.75" customHeight="1">
      <c r="A30" s="553" t="s">
        <v>378</v>
      </c>
      <c r="B30" s="26" t="s">
        <v>24</v>
      </c>
      <c r="C30" s="552" t="s">
        <v>68</v>
      </c>
      <c r="D30" s="552"/>
      <c r="E30" s="26">
        <v>24.25</v>
      </c>
      <c r="F30" s="131">
        <v>5270</v>
      </c>
      <c r="G30" s="121">
        <f t="shared" si="39"/>
        <v>127797.5</v>
      </c>
      <c r="H30" s="76" t="s">
        <v>52</v>
      </c>
      <c r="I30" s="129">
        <v>18</v>
      </c>
      <c r="J30" s="18">
        <v>2400</v>
      </c>
      <c r="K30" s="9">
        <f t="shared" si="46"/>
        <v>133.33333333333334</v>
      </c>
      <c r="L30" s="129">
        <v>18</v>
      </c>
      <c r="M30" s="10">
        <f t="shared" si="40"/>
        <v>2211.1888111888115</v>
      </c>
      <c r="N30" s="9">
        <f t="shared" si="41"/>
        <v>122.84382284382286</v>
      </c>
      <c r="O30" s="11">
        <f t="shared" si="42"/>
        <v>0</v>
      </c>
      <c r="P30" s="12">
        <f t="shared" si="43"/>
        <v>-10.489510489510479</v>
      </c>
      <c r="Q30" s="123">
        <f t="shared" si="44"/>
        <v>0.92132867132867136</v>
      </c>
      <c r="R30" s="533"/>
      <c r="S30" s="24">
        <v>0.2986111111111111</v>
      </c>
      <c r="T30" s="24">
        <v>0.39791666666666664</v>
      </c>
      <c r="U30" s="121">
        <f t="shared" ref="U30:U33" si="48">(S30-T29)*24*60</f>
        <v>5.9999999999999787</v>
      </c>
      <c r="V30" s="130">
        <f t="shared" si="45"/>
        <v>142.99999999999997</v>
      </c>
      <c r="W30" s="14"/>
      <c r="X30" s="14"/>
      <c r="Y30" s="528"/>
      <c r="Z30" s="528"/>
      <c r="AA30" s="11">
        <f t="shared" si="2"/>
        <v>-188.81118881118846</v>
      </c>
      <c r="AB30" s="123">
        <f t="shared" si="47"/>
        <v>0.92132867132867147</v>
      </c>
      <c r="AC30" s="533"/>
    </row>
    <row r="31" spans="1:29" ht="15.75" customHeight="1">
      <c r="A31" s="553" t="s">
        <v>378</v>
      </c>
      <c r="B31" s="26" t="s">
        <v>24</v>
      </c>
      <c r="C31" s="552" t="s">
        <v>328</v>
      </c>
      <c r="D31" s="552"/>
      <c r="E31" s="26">
        <v>24.82</v>
      </c>
      <c r="F31" s="131">
        <v>5500</v>
      </c>
      <c r="G31" s="121">
        <f t="shared" si="39"/>
        <v>136510</v>
      </c>
      <c r="H31" s="76">
        <v>2</v>
      </c>
      <c r="I31" s="129">
        <v>17</v>
      </c>
      <c r="J31" s="18">
        <v>2400</v>
      </c>
      <c r="K31" s="9">
        <f t="shared" si="46"/>
        <v>141.1764705882353</v>
      </c>
      <c r="L31" s="129">
        <v>17</v>
      </c>
      <c r="M31" s="10">
        <f t="shared" si="40"/>
        <v>2199.9999999999995</v>
      </c>
      <c r="N31" s="9">
        <f t="shared" si="41"/>
        <v>129.41176470588232</v>
      </c>
      <c r="O31" s="11">
        <f t="shared" si="42"/>
        <v>0</v>
      </c>
      <c r="P31" s="12">
        <f t="shared" si="43"/>
        <v>-11.764705882352985</v>
      </c>
      <c r="Q31" s="123">
        <f t="shared" si="44"/>
        <v>0.91666666666666641</v>
      </c>
      <c r="R31" s="533"/>
      <c r="S31" s="24">
        <v>0.40277777777777773</v>
      </c>
      <c r="T31" s="24">
        <v>0.50694444444444442</v>
      </c>
      <c r="U31" s="121">
        <f t="shared" si="48"/>
        <v>6.9999999999999751</v>
      </c>
      <c r="V31" s="130">
        <f t="shared" si="45"/>
        <v>150.00000000000003</v>
      </c>
      <c r="W31" s="14">
        <f>T31</f>
        <v>0.50694444444444442</v>
      </c>
      <c r="X31" s="14">
        <f>S32</f>
        <v>0.54652777777777772</v>
      </c>
      <c r="Y31" s="528"/>
      <c r="Z31" s="528"/>
      <c r="AA31" s="11">
        <f t="shared" si="2"/>
        <v>-200.00000000000045</v>
      </c>
      <c r="AB31" s="123">
        <f t="shared" si="47"/>
        <v>0.91666666666666652</v>
      </c>
      <c r="AC31" s="533"/>
    </row>
    <row r="32" spans="1:29" ht="15.75" customHeight="1">
      <c r="A32" s="553" t="s">
        <v>378</v>
      </c>
      <c r="B32" s="26" t="s">
        <v>24</v>
      </c>
      <c r="C32" s="552" t="s">
        <v>79</v>
      </c>
      <c r="D32" s="552"/>
      <c r="E32" s="26">
        <v>31.29</v>
      </c>
      <c r="F32" s="131">
        <v>5163</v>
      </c>
      <c r="G32" s="121">
        <f t="shared" si="39"/>
        <v>161550.26999999999</v>
      </c>
      <c r="H32" s="76" t="s">
        <v>52</v>
      </c>
      <c r="I32" s="129">
        <v>16</v>
      </c>
      <c r="J32" s="18">
        <v>2400</v>
      </c>
      <c r="K32" s="9">
        <f t="shared" si="46"/>
        <v>150</v>
      </c>
      <c r="L32" s="129">
        <v>16</v>
      </c>
      <c r="M32" s="10">
        <f t="shared" si="40"/>
        <v>2212.7142857142862</v>
      </c>
      <c r="N32" s="9">
        <f t="shared" si="41"/>
        <v>138.29464285714289</v>
      </c>
      <c r="O32" s="11">
        <f t="shared" si="42"/>
        <v>0</v>
      </c>
      <c r="P32" s="12">
        <f t="shared" si="43"/>
        <v>-11.70535714285711</v>
      </c>
      <c r="Q32" s="123">
        <f t="shared" si="44"/>
        <v>0.9219642857142859</v>
      </c>
      <c r="R32" s="533"/>
      <c r="S32" s="24">
        <v>0.54652777777777772</v>
      </c>
      <c r="T32" s="24">
        <v>0.64374999999999993</v>
      </c>
      <c r="U32" s="121">
        <f t="shared" si="48"/>
        <v>56.999999999999957</v>
      </c>
      <c r="V32" s="130">
        <f t="shared" si="45"/>
        <v>139.99999999999997</v>
      </c>
      <c r="W32" s="14"/>
      <c r="X32" s="14"/>
      <c r="Y32" s="528"/>
      <c r="Z32" s="528"/>
      <c r="AA32" s="11">
        <f t="shared" si="2"/>
        <v>-187.28571428571377</v>
      </c>
      <c r="AB32" s="123">
        <f t="shared" si="47"/>
        <v>0.9219642857142859</v>
      </c>
      <c r="AC32" s="533"/>
    </row>
    <row r="33" spans="1:29" ht="15.75" customHeight="1">
      <c r="A33" s="553" t="s">
        <v>378</v>
      </c>
      <c r="B33" s="26" t="s">
        <v>24</v>
      </c>
      <c r="C33" s="552" t="s">
        <v>328</v>
      </c>
      <c r="D33" s="552"/>
      <c r="E33" s="26">
        <v>24.82</v>
      </c>
      <c r="F33" s="131">
        <v>3768</v>
      </c>
      <c r="G33" s="121">
        <f t="shared" si="39"/>
        <v>93521.76</v>
      </c>
      <c r="H33" s="76" t="s">
        <v>52</v>
      </c>
      <c r="I33" s="129">
        <v>17</v>
      </c>
      <c r="J33" s="18">
        <v>2400</v>
      </c>
      <c r="K33" s="9">
        <f t="shared" si="46"/>
        <v>141.1764705882353</v>
      </c>
      <c r="L33" s="129">
        <v>17</v>
      </c>
      <c r="M33" s="10">
        <f t="shared" si="40"/>
        <v>2216.4705882352951</v>
      </c>
      <c r="N33" s="9">
        <f t="shared" si="41"/>
        <v>130.38062283737031</v>
      </c>
      <c r="O33" s="11">
        <f t="shared" si="42"/>
        <v>0</v>
      </c>
      <c r="P33" s="12">
        <f t="shared" si="43"/>
        <v>-10.795847750864993</v>
      </c>
      <c r="Q33" s="123">
        <f t="shared" si="44"/>
        <v>0.92352941176470627</v>
      </c>
      <c r="R33" s="533"/>
      <c r="S33" s="24">
        <v>0.64861111111111103</v>
      </c>
      <c r="T33" s="24">
        <v>0.71944444444444433</v>
      </c>
      <c r="U33" s="121">
        <f t="shared" si="48"/>
        <v>6.9999999999999751</v>
      </c>
      <c r="V33" s="130">
        <f t="shared" si="45"/>
        <v>101.99999999999996</v>
      </c>
      <c r="W33" s="14"/>
      <c r="X33" s="14"/>
      <c r="Y33" s="528"/>
      <c r="Z33" s="528"/>
      <c r="AA33" s="11">
        <f t="shared" si="2"/>
        <v>-183.52941176470495</v>
      </c>
      <c r="AB33" s="123">
        <f t="shared" si="47"/>
        <v>0.92352941176470627</v>
      </c>
      <c r="AC33" s="533"/>
    </row>
    <row r="34" spans="1:29" ht="15.75" customHeight="1">
      <c r="A34" s="553" t="s">
        <v>378</v>
      </c>
      <c r="B34" s="26" t="s">
        <v>372</v>
      </c>
      <c r="C34" s="530"/>
      <c r="D34" s="530"/>
      <c r="E34" s="122"/>
      <c r="F34" s="131"/>
      <c r="G34" s="121"/>
      <c r="H34" s="131"/>
      <c r="I34" s="17">
        <v>17.333333333333332</v>
      </c>
      <c r="J34" s="18">
        <v>2400</v>
      </c>
      <c r="K34" s="9">
        <f t="shared" si="46"/>
        <v>138.46153846153848</v>
      </c>
      <c r="L34" s="17">
        <v>17.333333333333332</v>
      </c>
      <c r="M34" s="10">
        <f>AVERAGE(M28:M33)</f>
        <v>2208.8327958535688</v>
      </c>
      <c r="N34" s="9">
        <f>M34/L34</f>
        <v>127.43266129924436</v>
      </c>
      <c r="O34" s="11">
        <f>L34-I34</f>
        <v>0</v>
      </c>
      <c r="P34" s="12">
        <f>N34-K34</f>
        <v>-11.028877162294123</v>
      </c>
      <c r="Q34" s="123">
        <f>N34/K34</f>
        <v>0.92034699827232025</v>
      </c>
      <c r="R34" s="533"/>
      <c r="S34" s="24"/>
      <c r="T34" s="24"/>
      <c r="U34" s="121"/>
      <c r="V34" s="130"/>
      <c r="W34" s="121"/>
      <c r="X34" s="121"/>
      <c r="Y34" s="528"/>
      <c r="Z34" s="528"/>
      <c r="AA34" s="11">
        <f t="shared" si="2"/>
        <v>-191.16720414643123</v>
      </c>
      <c r="AB34" s="123">
        <f>M34/J34</f>
        <v>0.92034699827232036</v>
      </c>
      <c r="AC34" s="533"/>
    </row>
    <row r="35" spans="1:29" ht="15.75" customHeight="1">
      <c r="A35" s="550" t="s">
        <v>379</v>
      </c>
      <c r="B35" s="26" t="s">
        <v>24</v>
      </c>
      <c r="C35" s="529" t="s">
        <v>28</v>
      </c>
      <c r="D35" s="529"/>
      <c r="E35" s="26">
        <v>26.2</v>
      </c>
      <c r="F35" s="131">
        <v>2700</v>
      </c>
      <c r="G35" s="121">
        <v>70740</v>
      </c>
      <c r="H35" s="76">
        <v>2</v>
      </c>
      <c r="I35" s="129">
        <v>18</v>
      </c>
      <c r="J35" s="18">
        <v>2400</v>
      </c>
      <c r="K35" s="9">
        <v>133.33333333333334</v>
      </c>
      <c r="L35" s="129">
        <v>18</v>
      </c>
      <c r="M35" s="10">
        <f>F35/V35*60</f>
        <v>2219.178082191781</v>
      </c>
      <c r="N35" s="9">
        <f>M35/L35</f>
        <v>123.28767123287672</v>
      </c>
      <c r="O35" s="11">
        <f t="shared" ref="O35:O44" si="49">L35-I35</f>
        <v>0</v>
      </c>
      <c r="P35" s="12">
        <f t="shared" ref="P35:P54" si="50">N35-K35</f>
        <v>-10.045662100456624</v>
      </c>
      <c r="Q35" s="123">
        <f t="shared" ref="Q35:Q49" si="51">N35/K35</f>
        <v>0.92465753424657537</v>
      </c>
      <c r="R35" s="533">
        <f>Q45</f>
        <v>0.92330127568797826</v>
      </c>
      <c r="S35" s="24">
        <v>8.3333333333333329E-2</v>
      </c>
      <c r="T35" s="24">
        <v>0.13402777777777777</v>
      </c>
      <c r="U35" s="121"/>
      <c r="V35" s="130">
        <f t="shared" ref="V35:V44" si="52">(T35-S35)*24*60</f>
        <v>73</v>
      </c>
      <c r="W35" s="15">
        <f>T35</f>
        <v>0.13402777777777777</v>
      </c>
      <c r="X35" s="15">
        <f>S36</f>
        <v>0.15347222222222223</v>
      </c>
      <c r="Y35" s="528"/>
      <c r="Z35" s="528"/>
      <c r="AA35" s="11">
        <f t="shared" si="2"/>
        <v>-180.82191780821904</v>
      </c>
      <c r="AB35" s="123">
        <f>M35/J35</f>
        <v>0.92465753424657537</v>
      </c>
      <c r="AC35" s="533">
        <f>AB45</f>
        <v>0.92330127568797837</v>
      </c>
    </row>
    <row r="36" spans="1:29" ht="15.75" customHeight="1">
      <c r="A36" s="550" t="s">
        <v>380</v>
      </c>
      <c r="B36" s="26" t="s">
        <v>24</v>
      </c>
      <c r="C36" s="529" t="s">
        <v>30</v>
      </c>
      <c r="D36" s="529"/>
      <c r="E36" s="26">
        <v>24.45</v>
      </c>
      <c r="F36" s="131">
        <v>2345</v>
      </c>
      <c r="G36" s="121">
        <v>57335.25</v>
      </c>
      <c r="H36" s="76" t="s">
        <v>52</v>
      </c>
      <c r="I36" s="129">
        <v>20</v>
      </c>
      <c r="J36" s="18">
        <v>2400</v>
      </c>
      <c r="K36" s="9">
        <v>120</v>
      </c>
      <c r="L36" s="129">
        <v>20</v>
      </c>
      <c r="M36" s="10">
        <f t="shared" ref="M36:M44" si="53">F36/V36*60</f>
        <v>2198.4374999999995</v>
      </c>
      <c r="N36" s="9">
        <f t="shared" ref="N36:N44" si="54">M36/L36</f>
        <v>109.92187499999997</v>
      </c>
      <c r="O36" s="11">
        <f t="shared" si="49"/>
        <v>0</v>
      </c>
      <c r="P36" s="12">
        <f t="shared" si="50"/>
        <v>-10.078125000000028</v>
      </c>
      <c r="Q36" s="123">
        <f t="shared" si="51"/>
        <v>0.91601562499999978</v>
      </c>
      <c r="R36" s="533"/>
      <c r="S36" s="24">
        <v>0.15347222222222223</v>
      </c>
      <c r="T36" s="24">
        <v>0.19791666666666669</v>
      </c>
      <c r="U36" s="121">
        <f>(S36-T35)*24*60</f>
        <v>28.000000000000021</v>
      </c>
      <c r="V36" s="130">
        <f t="shared" si="52"/>
        <v>64.000000000000014</v>
      </c>
      <c r="W36" s="121"/>
      <c r="X36" s="121"/>
      <c r="Y36" s="528"/>
      <c r="Z36" s="528"/>
      <c r="AA36" s="11">
        <f t="shared" si="2"/>
        <v>-201.56250000000045</v>
      </c>
      <c r="AB36" s="123">
        <f t="shared" ref="AB36:AB67" si="55">M36/J36</f>
        <v>0.91601562499999978</v>
      </c>
      <c r="AC36" s="533"/>
    </row>
    <row r="37" spans="1:29">
      <c r="A37" s="551" t="s">
        <v>380</v>
      </c>
      <c r="B37" s="26" t="s">
        <v>24</v>
      </c>
      <c r="C37" s="529" t="s">
        <v>31</v>
      </c>
      <c r="D37" s="529"/>
      <c r="E37" s="26">
        <v>26.2</v>
      </c>
      <c r="F37" s="131">
        <v>3384</v>
      </c>
      <c r="G37" s="121">
        <v>88660.800000000003</v>
      </c>
      <c r="H37" s="76" t="s">
        <v>52</v>
      </c>
      <c r="I37" s="129">
        <v>20</v>
      </c>
      <c r="J37" s="18">
        <v>2400</v>
      </c>
      <c r="K37" s="9">
        <v>120</v>
      </c>
      <c r="L37" s="129">
        <v>20</v>
      </c>
      <c r="M37" s="10">
        <f t="shared" si="53"/>
        <v>2206.95652173913</v>
      </c>
      <c r="N37" s="9">
        <f t="shared" si="54"/>
        <v>110.3478260869565</v>
      </c>
      <c r="O37" s="11">
        <f t="shared" si="49"/>
        <v>0</v>
      </c>
      <c r="P37" s="12">
        <f t="shared" si="50"/>
        <v>-9.652173913043498</v>
      </c>
      <c r="Q37" s="123">
        <f t="shared" si="51"/>
        <v>0.91956521739130415</v>
      </c>
      <c r="R37" s="533"/>
      <c r="S37" s="24">
        <v>0.20208333333333336</v>
      </c>
      <c r="T37" s="24">
        <v>0.26597222222222228</v>
      </c>
      <c r="U37" s="121">
        <f t="shared" ref="U37:U44" si="56">(S37-T36)*24*60</f>
        <v>6.0000000000000187</v>
      </c>
      <c r="V37" s="130">
        <f t="shared" si="52"/>
        <v>92.000000000000028</v>
      </c>
      <c r="W37" s="121"/>
      <c r="X37" s="121"/>
      <c r="Y37" s="528"/>
      <c r="Z37" s="528"/>
      <c r="AA37" s="11">
        <f t="shared" si="2"/>
        <v>-193.04347826086996</v>
      </c>
      <c r="AB37" s="123">
        <f t="shared" si="55"/>
        <v>0.91956521739130415</v>
      </c>
      <c r="AC37" s="533"/>
    </row>
    <row r="38" spans="1:29">
      <c r="A38" s="551" t="s">
        <v>379</v>
      </c>
      <c r="B38" s="26" t="s">
        <v>24</v>
      </c>
      <c r="C38" s="529" t="s">
        <v>29</v>
      </c>
      <c r="D38" s="529"/>
      <c r="E38" s="26">
        <v>26.39</v>
      </c>
      <c r="F38" s="131">
        <v>3400</v>
      </c>
      <c r="G38" s="121">
        <v>89726</v>
      </c>
      <c r="H38" s="76">
        <v>2</v>
      </c>
      <c r="I38" s="129">
        <v>19</v>
      </c>
      <c r="J38" s="18">
        <v>2400</v>
      </c>
      <c r="K38" s="9">
        <v>126.31578947368421</v>
      </c>
      <c r="L38" s="129">
        <v>19</v>
      </c>
      <c r="M38" s="10">
        <f t="shared" si="53"/>
        <v>2217.391304347826</v>
      </c>
      <c r="N38" s="9">
        <f t="shared" si="54"/>
        <v>116.70480549199084</v>
      </c>
      <c r="O38" s="11">
        <f t="shared" si="49"/>
        <v>0</v>
      </c>
      <c r="P38" s="12">
        <f t="shared" si="50"/>
        <v>-9.6109839816933658</v>
      </c>
      <c r="Q38" s="123">
        <f t="shared" si="51"/>
        <v>0.92391304347826086</v>
      </c>
      <c r="R38" s="533"/>
      <c r="S38" s="24">
        <v>0.27152777777777781</v>
      </c>
      <c r="T38" s="24">
        <v>0.3354166666666667</v>
      </c>
      <c r="U38" s="121">
        <f t="shared" si="56"/>
        <v>7.9999999999999716</v>
      </c>
      <c r="V38" s="130">
        <f t="shared" si="52"/>
        <v>92</v>
      </c>
      <c r="W38" s="14"/>
      <c r="X38" s="14"/>
      <c r="Y38" s="528"/>
      <c r="Z38" s="528"/>
      <c r="AA38" s="11">
        <f t="shared" si="2"/>
        <v>-182.60869565217399</v>
      </c>
      <c r="AB38" s="123">
        <f t="shared" si="55"/>
        <v>0.92391304347826086</v>
      </c>
      <c r="AC38" s="533"/>
    </row>
    <row r="39" spans="1:29">
      <c r="A39" s="551" t="s">
        <v>380</v>
      </c>
      <c r="B39" s="26" t="s">
        <v>24</v>
      </c>
      <c r="C39" s="529" t="s">
        <v>27</v>
      </c>
      <c r="D39" s="529"/>
      <c r="E39" s="26">
        <v>20.52</v>
      </c>
      <c r="F39" s="131">
        <v>3240</v>
      </c>
      <c r="G39" s="121">
        <v>66484.800000000003</v>
      </c>
      <c r="H39" s="76" t="s">
        <v>52</v>
      </c>
      <c r="I39" s="129">
        <v>18</v>
      </c>
      <c r="J39" s="18">
        <v>2400</v>
      </c>
      <c r="K39" s="9">
        <v>133.33333333333334</v>
      </c>
      <c r="L39" s="129">
        <v>18</v>
      </c>
      <c r="M39" s="10">
        <f t="shared" si="53"/>
        <v>2209.090909090909</v>
      </c>
      <c r="N39" s="9">
        <f t="shared" si="54"/>
        <v>122.72727272727272</v>
      </c>
      <c r="O39" s="11">
        <f t="shared" si="49"/>
        <v>0</v>
      </c>
      <c r="P39" s="12">
        <f t="shared" si="50"/>
        <v>-10.606060606060623</v>
      </c>
      <c r="Q39" s="123">
        <f t="shared" si="51"/>
        <v>0.9204545454545453</v>
      </c>
      <c r="R39" s="533"/>
      <c r="S39" s="24">
        <v>0.33888888888888891</v>
      </c>
      <c r="T39" s="24">
        <v>0.4</v>
      </c>
      <c r="U39" s="121">
        <f t="shared" si="56"/>
        <v>4.9999999999999822</v>
      </c>
      <c r="V39" s="130">
        <f t="shared" si="52"/>
        <v>88</v>
      </c>
      <c r="W39" s="14"/>
      <c r="X39" s="14"/>
      <c r="Y39" s="528"/>
      <c r="Z39" s="528"/>
      <c r="AA39" s="11">
        <f t="shared" si="2"/>
        <v>-190.90909090909099</v>
      </c>
      <c r="AB39" s="123">
        <f t="shared" si="55"/>
        <v>0.92045454545454541</v>
      </c>
      <c r="AC39" s="533"/>
    </row>
    <row r="40" spans="1:29">
      <c r="A40" s="551" t="s">
        <v>380</v>
      </c>
      <c r="B40" s="26" t="s">
        <v>24</v>
      </c>
      <c r="C40" s="529" t="s">
        <v>50</v>
      </c>
      <c r="D40" s="529"/>
      <c r="E40" s="26">
        <v>26.2</v>
      </c>
      <c r="F40" s="131">
        <v>2600</v>
      </c>
      <c r="G40" s="121">
        <v>68120</v>
      </c>
      <c r="H40" s="76">
        <v>2</v>
      </c>
      <c r="I40" s="129">
        <v>19</v>
      </c>
      <c r="J40" s="18">
        <v>2400</v>
      </c>
      <c r="K40" s="9">
        <v>126.31578947368421</v>
      </c>
      <c r="L40" s="129">
        <v>19</v>
      </c>
      <c r="M40" s="10">
        <f t="shared" si="53"/>
        <v>2228.5714285714294</v>
      </c>
      <c r="N40" s="9">
        <f t="shared" si="54"/>
        <v>117.29323308270681</v>
      </c>
      <c r="O40" s="11">
        <f t="shared" si="49"/>
        <v>0</v>
      </c>
      <c r="P40" s="12">
        <f t="shared" si="50"/>
        <v>-9.0225563909773996</v>
      </c>
      <c r="Q40" s="123">
        <f t="shared" si="51"/>
        <v>0.92857142857142894</v>
      </c>
      <c r="R40" s="533"/>
      <c r="S40" s="24">
        <v>0.40486111111111112</v>
      </c>
      <c r="T40" s="24">
        <v>0.45347222222222222</v>
      </c>
      <c r="U40" s="121">
        <f t="shared" si="56"/>
        <v>6.9999999999999751</v>
      </c>
      <c r="V40" s="130">
        <f t="shared" si="52"/>
        <v>69.999999999999986</v>
      </c>
      <c r="W40" s="14"/>
      <c r="X40" s="14"/>
      <c r="Y40" s="528"/>
      <c r="Z40" s="528"/>
      <c r="AA40" s="11">
        <f t="shared" si="2"/>
        <v>-171.42857142857065</v>
      </c>
      <c r="AB40" s="123">
        <f t="shared" si="55"/>
        <v>0.92857142857142894</v>
      </c>
      <c r="AC40" s="533"/>
    </row>
    <row r="41" spans="1:29">
      <c r="A41" s="551" t="s">
        <v>380</v>
      </c>
      <c r="B41" s="26" t="s">
        <v>24</v>
      </c>
      <c r="C41" s="529" t="s">
        <v>62</v>
      </c>
      <c r="D41" s="529"/>
      <c r="E41" s="26">
        <v>22.35</v>
      </c>
      <c r="F41" s="131">
        <v>2602</v>
      </c>
      <c r="G41" s="121">
        <v>58154.700000000004</v>
      </c>
      <c r="H41" s="76" t="s">
        <v>52</v>
      </c>
      <c r="I41" s="129">
        <v>16</v>
      </c>
      <c r="J41" s="18">
        <v>2400</v>
      </c>
      <c r="K41" s="9">
        <v>150</v>
      </c>
      <c r="L41" s="129">
        <v>16</v>
      </c>
      <c r="M41" s="10">
        <f t="shared" si="53"/>
        <v>2230.2857142857147</v>
      </c>
      <c r="N41" s="9">
        <f t="shared" si="54"/>
        <v>139.39285714285717</v>
      </c>
      <c r="O41" s="11">
        <f t="shared" si="49"/>
        <v>0</v>
      </c>
      <c r="P41" s="12">
        <f t="shared" si="50"/>
        <v>-10.607142857142833</v>
      </c>
      <c r="Q41" s="123">
        <f t="shared" si="51"/>
        <v>0.92928571428571449</v>
      </c>
      <c r="R41" s="533"/>
      <c r="S41" s="24">
        <v>0.45694444444444443</v>
      </c>
      <c r="T41" s="24">
        <v>0.50555555555555554</v>
      </c>
      <c r="U41" s="121">
        <f t="shared" si="56"/>
        <v>4.9999999999999822</v>
      </c>
      <c r="V41" s="130">
        <f t="shared" si="52"/>
        <v>69.999999999999986</v>
      </c>
      <c r="W41" s="14">
        <f>T41</f>
        <v>0.50555555555555554</v>
      </c>
      <c r="X41" s="14">
        <f>S42</f>
        <v>0.54513888888888884</v>
      </c>
      <c r="Y41" s="536"/>
      <c r="Z41" s="537"/>
      <c r="AA41" s="11">
        <f t="shared" si="2"/>
        <v>-169.71428571428532</v>
      </c>
      <c r="AB41" s="123">
        <f t="shared" si="55"/>
        <v>0.92928571428571449</v>
      </c>
      <c r="AC41" s="533"/>
    </row>
    <row r="42" spans="1:29">
      <c r="A42" s="551" t="s">
        <v>380</v>
      </c>
      <c r="B42" s="26" t="s">
        <v>24</v>
      </c>
      <c r="C42" s="529" t="s">
        <v>28</v>
      </c>
      <c r="D42" s="529"/>
      <c r="E42" s="26">
        <v>26.2</v>
      </c>
      <c r="F42" s="131">
        <v>4459</v>
      </c>
      <c r="G42" s="121">
        <v>116825.8</v>
      </c>
      <c r="H42" s="76" t="s">
        <v>52</v>
      </c>
      <c r="I42" s="129">
        <v>18</v>
      </c>
      <c r="J42" s="18">
        <v>2400</v>
      </c>
      <c r="K42" s="9">
        <v>133.33333333333334</v>
      </c>
      <c r="L42" s="129">
        <v>18</v>
      </c>
      <c r="M42" s="10">
        <f t="shared" si="53"/>
        <v>2211.0743801652879</v>
      </c>
      <c r="N42" s="9">
        <f t="shared" si="54"/>
        <v>122.83746556473822</v>
      </c>
      <c r="O42" s="11">
        <f t="shared" si="49"/>
        <v>0</v>
      </c>
      <c r="P42" s="12">
        <f t="shared" si="50"/>
        <v>-10.495867768595119</v>
      </c>
      <c r="Q42" s="123">
        <f t="shared" si="51"/>
        <v>0.92128099173553657</v>
      </c>
      <c r="R42" s="533"/>
      <c r="S42" s="24">
        <v>0.54513888888888884</v>
      </c>
      <c r="T42" s="24">
        <v>0.62916666666666665</v>
      </c>
      <c r="U42" s="121">
        <f t="shared" si="56"/>
        <v>56.999999999999957</v>
      </c>
      <c r="V42" s="130">
        <f t="shared" si="52"/>
        <v>121.00000000000006</v>
      </c>
      <c r="W42" s="14"/>
      <c r="X42" s="14"/>
      <c r="Y42" s="536"/>
      <c r="Z42" s="537"/>
      <c r="AA42" s="11">
        <f t="shared" si="2"/>
        <v>-188.92561983471205</v>
      </c>
      <c r="AB42" s="123">
        <f t="shared" si="55"/>
        <v>0.92128099173553668</v>
      </c>
      <c r="AC42" s="533"/>
    </row>
    <row r="43" spans="1:29">
      <c r="A43" s="551" t="s">
        <v>380</v>
      </c>
      <c r="B43" s="26" t="s">
        <v>24</v>
      </c>
      <c r="C43" s="529" t="s">
        <v>29</v>
      </c>
      <c r="D43" s="529"/>
      <c r="E43" s="26">
        <v>26.39</v>
      </c>
      <c r="F43" s="131">
        <v>2469</v>
      </c>
      <c r="G43" s="121">
        <v>65156.91</v>
      </c>
      <c r="H43" s="76" t="s">
        <v>52</v>
      </c>
      <c r="I43" s="129">
        <v>19</v>
      </c>
      <c r="J43" s="18">
        <v>2400</v>
      </c>
      <c r="K43" s="9">
        <v>126.31578947368421</v>
      </c>
      <c r="L43" s="129">
        <v>19</v>
      </c>
      <c r="M43" s="10">
        <f t="shared" si="53"/>
        <v>2211.0447761194005</v>
      </c>
      <c r="N43" s="9">
        <f t="shared" si="54"/>
        <v>116.37077769049476</v>
      </c>
      <c r="O43" s="11">
        <f t="shared" si="49"/>
        <v>0</v>
      </c>
      <c r="P43" s="12">
        <f t="shared" si="50"/>
        <v>-9.9450117831894431</v>
      </c>
      <c r="Q43" s="123">
        <f t="shared" si="51"/>
        <v>0.92126865671641689</v>
      </c>
      <c r="R43" s="533"/>
      <c r="S43" s="24">
        <v>0.63402777777777775</v>
      </c>
      <c r="T43" s="24">
        <v>0.68055555555555558</v>
      </c>
      <c r="U43" s="121">
        <f t="shared" si="56"/>
        <v>6.9999999999999751</v>
      </c>
      <c r="V43" s="130">
        <f t="shared" si="52"/>
        <v>67.000000000000085</v>
      </c>
      <c r="W43" s="14"/>
      <c r="X43" s="14"/>
      <c r="Y43" s="536"/>
      <c r="Z43" s="537"/>
      <c r="AA43" s="11">
        <f t="shared" si="2"/>
        <v>-188.95522388059953</v>
      </c>
      <c r="AB43" s="123">
        <f t="shared" si="55"/>
        <v>0.92126865671641689</v>
      </c>
      <c r="AC43" s="533"/>
    </row>
    <row r="44" spans="1:29">
      <c r="A44" s="551" t="s">
        <v>380</v>
      </c>
      <c r="B44" s="26" t="s">
        <v>24</v>
      </c>
      <c r="C44" s="529" t="s">
        <v>50</v>
      </c>
      <c r="D44" s="529"/>
      <c r="E44" s="26">
        <v>26.2</v>
      </c>
      <c r="F44" s="131">
        <v>1856</v>
      </c>
      <c r="G44" s="121">
        <v>48627.199999999997</v>
      </c>
      <c r="H44" s="76" t="s">
        <v>52</v>
      </c>
      <c r="I44" s="129">
        <v>19</v>
      </c>
      <c r="J44" s="18">
        <v>2400</v>
      </c>
      <c r="K44" s="9">
        <v>126.31578947368421</v>
      </c>
      <c r="L44" s="129">
        <v>19</v>
      </c>
      <c r="M44" s="10">
        <f t="shared" si="53"/>
        <v>2227.2000000000007</v>
      </c>
      <c r="N44" s="9">
        <f t="shared" si="54"/>
        <v>117.22105263157898</v>
      </c>
      <c r="O44" s="11">
        <f t="shared" si="49"/>
        <v>0</v>
      </c>
      <c r="P44" s="12">
        <f t="shared" si="50"/>
        <v>-9.0947368421052204</v>
      </c>
      <c r="Q44" s="123">
        <f t="shared" si="51"/>
        <v>0.92800000000000038</v>
      </c>
      <c r="R44" s="533"/>
      <c r="S44" s="24">
        <v>0.68472222222222223</v>
      </c>
      <c r="T44" s="24">
        <v>0.71944444444444444</v>
      </c>
      <c r="U44" s="121">
        <f t="shared" si="56"/>
        <v>5.9999999999999787</v>
      </c>
      <c r="V44" s="130">
        <f t="shared" si="52"/>
        <v>49.999999999999986</v>
      </c>
      <c r="W44" s="14"/>
      <c r="X44" s="14"/>
      <c r="Y44" s="536"/>
      <c r="Z44" s="537"/>
      <c r="AA44" s="11">
        <f t="shared" si="2"/>
        <v>-172.79999999999927</v>
      </c>
      <c r="AB44" s="123">
        <f t="shared" si="55"/>
        <v>0.92800000000000027</v>
      </c>
      <c r="AC44" s="533"/>
    </row>
    <row r="45" spans="1:29">
      <c r="A45" s="551" t="s">
        <v>380</v>
      </c>
      <c r="B45" s="16" t="s">
        <v>82</v>
      </c>
      <c r="C45" s="530"/>
      <c r="D45" s="530"/>
      <c r="E45" s="122"/>
      <c r="F45" s="16"/>
      <c r="G45" s="9"/>
      <c r="H45" s="131"/>
      <c r="I45" s="17">
        <v>18.600000000000001</v>
      </c>
      <c r="J45" s="18">
        <v>2400</v>
      </c>
      <c r="K45" s="9">
        <f t="shared" ref="K45:K53" si="57">J45/I45</f>
        <v>129.03225806451613</v>
      </c>
      <c r="L45" s="17">
        <v>18.600000000000001</v>
      </c>
      <c r="M45" s="10">
        <f>AVERAGE(M35:M44)</f>
        <v>2215.9230616511481</v>
      </c>
      <c r="N45" s="9">
        <f>M45/L45</f>
        <v>119.13564847586817</v>
      </c>
      <c r="O45" s="11">
        <f>L45-I45</f>
        <v>0</v>
      </c>
      <c r="P45" s="12">
        <f t="shared" si="50"/>
        <v>-9.8966095886479621</v>
      </c>
      <c r="Q45" s="123">
        <f t="shared" si="51"/>
        <v>0.92330127568797826</v>
      </c>
      <c r="R45" s="533"/>
      <c r="S45" s="24"/>
      <c r="T45" s="24"/>
      <c r="U45" s="9"/>
      <c r="V45" s="130"/>
      <c r="W45" s="9"/>
      <c r="X45" s="9"/>
      <c r="Y45" s="528"/>
      <c r="Z45" s="528"/>
      <c r="AA45" s="11">
        <f t="shared" si="2"/>
        <v>-184.07693834885185</v>
      </c>
      <c r="AB45" s="123">
        <f t="shared" si="55"/>
        <v>0.92330127568797837</v>
      </c>
      <c r="AC45" s="533"/>
    </row>
    <row r="46" spans="1:29" ht="15.75" customHeight="1">
      <c r="A46" s="544" t="s">
        <v>381</v>
      </c>
      <c r="B46" s="26" t="s">
        <v>32</v>
      </c>
      <c r="C46" s="534" t="s">
        <v>33</v>
      </c>
      <c r="D46" s="535"/>
      <c r="E46" s="26">
        <v>27.17</v>
      </c>
      <c r="F46" s="131">
        <v>2600</v>
      </c>
      <c r="G46" s="121">
        <f t="shared" ref="G46:G53" si="58">E46*F46</f>
        <v>70642</v>
      </c>
      <c r="H46" s="76">
        <v>2</v>
      </c>
      <c r="I46" s="129">
        <v>10</v>
      </c>
      <c r="J46" s="18">
        <v>3000</v>
      </c>
      <c r="K46" s="9">
        <f t="shared" si="57"/>
        <v>300</v>
      </c>
      <c r="L46" s="129">
        <v>10</v>
      </c>
      <c r="M46" s="10">
        <f t="shared" ref="M46:M47" si="59">F46/V46*60</f>
        <v>2785.7142857142858</v>
      </c>
      <c r="N46" s="10">
        <f t="shared" ref="N46:N54" si="60">M46/L46</f>
        <v>278.57142857142856</v>
      </c>
      <c r="O46" s="11">
        <f t="shared" ref="O46:O54" si="61">L46-I46</f>
        <v>0</v>
      </c>
      <c r="P46" s="12">
        <f t="shared" si="50"/>
        <v>-21.428571428571445</v>
      </c>
      <c r="Q46" s="123">
        <f t="shared" si="51"/>
        <v>0.92857142857142849</v>
      </c>
      <c r="R46" s="547">
        <f>Q54</f>
        <v>0.92413745709356609</v>
      </c>
      <c r="S46" s="24">
        <v>0.20833333333333334</v>
      </c>
      <c r="T46" s="24">
        <v>0.24722222222222223</v>
      </c>
      <c r="U46" s="15"/>
      <c r="V46" s="130">
        <f t="shared" ref="V46:V53" si="62">(T46-S46)*24*60</f>
        <v>56</v>
      </c>
      <c r="W46" s="121"/>
      <c r="X46" s="121"/>
      <c r="Y46" s="536"/>
      <c r="Z46" s="537"/>
      <c r="AA46" s="11">
        <f t="shared" si="2"/>
        <v>-214.28571428571422</v>
      </c>
      <c r="AB46" s="123">
        <f t="shared" si="55"/>
        <v>0.9285714285714286</v>
      </c>
      <c r="AC46" s="547">
        <f>AB54</f>
        <v>0.92413745709356609</v>
      </c>
    </row>
    <row r="47" spans="1:29" ht="15.75" customHeight="1">
      <c r="A47" s="545" t="s">
        <v>382</v>
      </c>
      <c r="B47" s="26" t="s">
        <v>32</v>
      </c>
      <c r="C47" s="534" t="s">
        <v>34</v>
      </c>
      <c r="D47" s="535"/>
      <c r="E47" s="26">
        <v>21.13</v>
      </c>
      <c r="F47" s="131">
        <v>3000</v>
      </c>
      <c r="G47" s="121">
        <f t="shared" si="58"/>
        <v>63390</v>
      </c>
      <c r="H47" s="76">
        <v>2</v>
      </c>
      <c r="I47" s="129">
        <v>10</v>
      </c>
      <c r="J47" s="18">
        <v>3000</v>
      </c>
      <c r="K47" s="9">
        <f t="shared" si="57"/>
        <v>300</v>
      </c>
      <c r="L47" s="129">
        <v>10</v>
      </c>
      <c r="M47" s="10">
        <f t="shared" si="59"/>
        <v>2769.2307692307686</v>
      </c>
      <c r="N47" s="10">
        <f t="shared" si="60"/>
        <v>276.92307692307685</v>
      </c>
      <c r="O47" s="11">
        <f t="shared" si="61"/>
        <v>0</v>
      </c>
      <c r="P47" s="12">
        <f t="shared" si="50"/>
        <v>-23.076923076923151</v>
      </c>
      <c r="Q47" s="123">
        <f t="shared" si="51"/>
        <v>0.9230769230769228</v>
      </c>
      <c r="R47" s="548"/>
      <c r="S47" s="24">
        <v>0.25208333333333333</v>
      </c>
      <c r="T47" s="24">
        <v>0.29722222222222222</v>
      </c>
      <c r="U47" s="121">
        <f>(S47-T46)*24*60</f>
        <v>6.9999999999999751</v>
      </c>
      <c r="V47" s="130">
        <f t="shared" si="62"/>
        <v>65.000000000000014</v>
      </c>
      <c r="W47" s="14"/>
      <c r="X47" s="14"/>
      <c r="Y47" s="536"/>
      <c r="Z47" s="537"/>
      <c r="AA47" s="11">
        <f t="shared" si="2"/>
        <v>-230.7692307692314</v>
      </c>
      <c r="AB47" s="123">
        <f t="shared" si="55"/>
        <v>0.92307692307692291</v>
      </c>
      <c r="AC47" s="548"/>
    </row>
    <row r="48" spans="1:29" ht="15.75" customHeight="1">
      <c r="A48" s="545" t="s">
        <v>381</v>
      </c>
      <c r="B48" s="26" t="s">
        <v>32</v>
      </c>
      <c r="C48" s="534" t="s">
        <v>40</v>
      </c>
      <c r="D48" s="535"/>
      <c r="E48" s="26">
        <v>35.119999999999997</v>
      </c>
      <c r="F48" s="131">
        <v>5508</v>
      </c>
      <c r="G48" s="121">
        <f t="shared" si="58"/>
        <v>193440.96</v>
      </c>
      <c r="H48" s="76" t="s">
        <v>52</v>
      </c>
      <c r="I48" s="129">
        <v>10</v>
      </c>
      <c r="J48" s="18">
        <v>3000</v>
      </c>
      <c r="K48" s="9">
        <f t="shared" si="57"/>
        <v>300</v>
      </c>
      <c r="L48" s="129">
        <v>10</v>
      </c>
      <c r="M48" s="10">
        <f>F48/V48*60</f>
        <v>2754.0000000000009</v>
      </c>
      <c r="N48" s="10">
        <f t="shared" si="60"/>
        <v>275.40000000000009</v>
      </c>
      <c r="O48" s="11">
        <f t="shared" si="61"/>
        <v>0</v>
      </c>
      <c r="P48" s="12">
        <f t="shared" si="50"/>
        <v>-24.599999999999909</v>
      </c>
      <c r="Q48" s="123">
        <f t="shared" si="51"/>
        <v>0.91800000000000026</v>
      </c>
      <c r="R48" s="548"/>
      <c r="S48" s="24">
        <v>0.30208333333333331</v>
      </c>
      <c r="T48" s="24">
        <v>0.38541666666666663</v>
      </c>
      <c r="U48" s="121">
        <f t="shared" ref="U48:U53" si="63">(S48-T47)*24*60</f>
        <v>6.9999999999999751</v>
      </c>
      <c r="V48" s="130">
        <f t="shared" si="62"/>
        <v>119.99999999999997</v>
      </c>
      <c r="W48" s="14"/>
      <c r="X48" s="14"/>
      <c r="Y48" s="536"/>
      <c r="Z48" s="537"/>
      <c r="AA48" s="11">
        <f t="shared" si="2"/>
        <v>-245.99999999999909</v>
      </c>
      <c r="AB48" s="123">
        <f t="shared" si="55"/>
        <v>0.91800000000000026</v>
      </c>
      <c r="AC48" s="548"/>
    </row>
    <row r="49" spans="1:29" ht="15.75" customHeight="1">
      <c r="A49" s="545" t="s">
        <v>381</v>
      </c>
      <c r="B49" s="26" t="s">
        <v>32</v>
      </c>
      <c r="C49" s="534" t="s">
        <v>61</v>
      </c>
      <c r="D49" s="535"/>
      <c r="E49" s="26">
        <v>40.18</v>
      </c>
      <c r="F49" s="131">
        <v>2189</v>
      </c>
      <c r="G49" s="121">
        <f t="shared" si="58"/>
        <v>87954.02</v>
      </c>
      <c r="H49" s="76" t="s">
        <v>52</v>
      </c>
      <c r="I49" s="129">
        <v>10</v>
      </c>
      <c r="J49" s="18">
        <v>3000</v>
      </c>
      <c r="K49" s="9">
        <f t="shared" si="57"/>
        <v>300</v>
      </c>
      <c r="L49" s="129">
        <v>10</v>
      </c>
      <c r="M49" s="10">
        <f t="shared" ref="M49:M53" si="64">F49/V49*60</f>
        <v>2794.4680851063831</v>
      </c>
      <c r="N49" s="10">
        <f t="shared" si="60"/>
        <v>279.44680851063833</v>
      </c>
      <c r="O49" s="11">
        <f t="shared" si="61"/>
        <v>0</v>
      </c>
      <c r="P49" s="12">
        <f t="shared" si="50"/>
        <v>-20.553191489361666</v>
      </c>
      <c r="Q49" s="123">
        <f t="shared" si="51"/>
        <v>0.93148936170212782</v>
      </c>
      <c r="R49" s="548"/>
      <c r="S49" s="24">
        <v>0.38958333333333328</v>
      </c>
      <c r="T49" s="24">
        <v>0.42222222222222217</v>
      </c>
      <c r="U49" s="121">
        <f t="shared" si="63"/>
        <v>5.9999999999999787</v>
      </c>
      <c r="V49" s="130">
        <f t="shared" si="62"/>
        <v>46.999999999999993</v>
      </c>
      <c r="W49" s="14"/>
      <c r="X49" s="14"/>
      <c r="Y49" s="536"/>
      <c r="Z49" s="537"/>
      <c r="AA49" s="11">
        <f t="shared" si="2"/>
        <v>-205.53191489361689</v>
      </c>
      <c r="AB49" s="123">
        <f t="shared" si="55"/>
        <v>0.93148936170212771</v>
      </c>
      <c r="AC49" s="548"/>
    </row>
    <row r="50" spans="1:29" ht="15.75" customHeight="1">
      <c r="A50" s="545" t="s">
        <v>381</v>
      </c>
      <c r="B50" s="26" t="s">
        <v>32</v>
      </c>
      <c r="C50" s="534" t="s">
        <v>64</v>
      </c>
      <c r="D50" s="535"/>
      <c r="E50" s="26">
        <v>28.5</v>
      </c>
      <c r="F50" s="131">
        <v>1627</v>
      </c>
      <c r="G50" s="121">
        <f t="shared" si="58"/>
        <v>46369.5</v>
      </c>
      <c r="H50" s="76" t="s">
        <v>52</v>
      </c>
      <c r="I50" s="129">
        <v>10</v>
      </c>
      <c r="J50" s="18">
        <v>3000</v>
      </c>
      <c r="K50" s="9">
        <f t="shared" si="57"/>
        <v>300</v>
      </c>
      <c r="L50" s="129">
        <v>10</v>
      </c>
      <c r="M50" s="10">
        <f t="shared" si="64"/>
        <v>2789.1428571428542</v>
      </c>
      <c r="N50" s="10">
        <f t="shared" si="60"/>
        <v>278.91428571428543</v>
      </c>
      <c r="O50" s="11">
        <f t="shared" si="61"/>
        <v>0</v>
      </c>
      <c r="P50" s="12">
        <f t="shared" si="50"/>
        <v>-21.085714285714573</v>
      </c>
      <c r="Q50" s="123">
        <f>N50/K50</f>
        <v>0.92971428571428472</v>
      </c>
      <c r="R50" s="548"/>
      <c r="S50" s="24">
        <v>0.42569444444444438</v>
      </c>
      <c r="T50" s="24">
        <v>0.44999999999999996</v>
      </c>
      <c r="U50" s="121">
        <f t="shared" si="63"/>
        <v>4.9999999999999822</v>
      </c>
      <c r="V50" s="130">
        <f t="shared" si="62"/>
        <v>35.000000000000036</v>
      </c>
      <c r="W50" s="14"/>
      <c r="X50" s="14"/>
      <c r="Y50" s="536"/>
      <c r="Z50" s="537"/>
      <c r="AA50" s="11">
        <f t="shared" si="2"/>
        <v>-210.85714285714585</v>
      </c>
      <c r="AB50" s="123">
        <f t="shared" si="55"/>
        <v>0.92971428571428472</v>
      </c>
      <c r="AC50" s="548"/>
    </row>
    <row r="51" spans="1:29" ht="15.75" customHeight="1">
      <c r="A51" s="545" t="s">
        <v>382</v>
      </c>
      <c r="B51" s="26" t="s">
        <v>32</v>
      </c>
      <c r="C51" s="534" t="s">
        <v>78</v>
      </c>
      <c r="D51" s="535"/>
      <c r="E51" s="26">
        <v>35.869999999999997</v>
      </c>
      <c r="F51" s="131">
        <v>3852</v>
      </c>
      <c r="G51" s="121">
        <f t="shared" si="58"/>
        <v>138171.24</v>
      </c>
      <c r="H51" s="76" t="s">
        <v>52</v>
      </c>
      <c r="I51" s="129">
        <v>10</v>
      </c>
      <c r="J51" s="18">
        <v>3000</v>
      </c>
      <c r="K51" s="9">
        <f t="shared" si="57"/>
        <v>300</v>
      </c>
      <c r="L51" s="129">
        <v>10</v>
      </c>
      <c r="M51" s="10">
        <f t="shared" si="64"/>
        <v>2751.4285714285702</v>
      </c>
      <c r="N51" s="10">
        <f t="shared" si="60"/>
        <v>275.142857142857</v>
      </c>
      <c r="O51" s="11">
        <f t="shared" si="61"/>
        <v>0</v>
      </c>
      <c r="P51" s="12">
        <f t="shared" si="50"/>
        <v>-24.857142857143003</v>
      </c>
      <c r="Q51" s="123">
        <f t="shared" ref="Q51:Q54" si="65">N51/K51</f>
        <v>0.9171428571428567</v>
      </c>
      <c r="R51" s="548"/>
      <c r="S51" s="24">
        <v>0.45416666666666661</v>
      </c>
      <c r="T51" s="24">
        <v>0.51249999999999996</v>
      </c>
      <c r="U51" s="121">
        <f t="shared" si="63"/>
        <v>5.9999999999999787</v>
      </c>
      <c r="V51" s="130">
        <f t="shared" si="62"/>
        <v>84.000000000000028</v>
      </c>
      <c r="W51" s="14">
        <f>T51</f>
        <v>0.51249999999999996</v>
      </c>
      <c r="X51" s="14">
        <f>S52</f>
        <v>0.55416666666666659</v>
      </c>
      <c r="Y51" s="536"/>
      <c r="Z51" s="537"/>
      <c r="AA51" s="11">
        <f t="shared" si="2"/>
        <v>-248.57142857142981</v>
      </c>
      <c r="AB51" s="123">
        <f t="shared" si="55"/>
        <v>0.9171428571428567</v>
      </c>
      <c r="AC51" s="548"/>
    </row>
    <row r="52" spans="1:29" ht="15.75" customHeight="1">
      <c r="A52" s="545" t="s">
        <v>381</v>
      </c>
      <c r="B52" s="26" t="s">
        <v>32</v>
      </c>
      <c r="C52" s="534" t="s">
        <v>33</v>
      </c>
      <c r="D52" s="535"/>
      <c r="E52" s="26">
        <v>27.17</v>
      </c>
      <c r="F52" s="131">
        <v>4711</v>
      </c>
      <c r="G52" s="121">
        <f t="shared" si="58"/>
        <v>127997.87000000001</v>
      </c>
      <c r="H52" s="76" t="s">
        <v>52</v>
      </c>
      <c r="I52" s="129">
        <v>10</v>
      </c>
      <c r="J52" s="18">
        <v>3000</v>
      </c>
      <c r="K52" s="9">
        <f t="shared" si="57"/>
        <v>300</v>
      </c>
      <c r="L52" s="129">
        <v>10</v>
      </c>
      <c r="M52" s="10">
        <f t="shared" si="64"/>
        <v>2771.1764705882365</v>
      </c>
      <c r="N52" s="10">
        <f t="shared" si="60"/>
        <v>277.11764705882365</v>
      </c>
      <c r="O52" s="11">
        <f t="shared" si="61"/>
        <v>0</v>
      </c>
      <c r="P52" s="12">
        <f t="shared" si="50"/>
        <v>-22.88235294117635</v>
      </c>
      <c r="Q52" s="123">
        <f t="shared" si="65"/>
        <v>0.92372549019607886</v>
      </c>
      <c r="R52" s="548"/>
      <c r="S52" s="24">
        <v>0.55416666666666659</v>
      </c>
      <c r="T52" s="24">
        <v>0.62499999999999989</v>
      </c>
      <c r="U52" s="121">
        <f t="shared" si="63"/>
        <v>59.999999999999943</v>
      </c>
      <c r="V52" s="130">
        <f t="shared" si="62"/>
        <v>101.99999999999996</v>
      </c>
      <c r="W52" s="14"/>
      <c r="X52" s="14"/>
      <c r="Y52" s="536"/>
      <c r="Z52" s="537"/>
      <c r="AA52" s="11">
        <f t="shared" si="2"/>
        <v>-228.8235294117635</v>
      </c>
      <c r="AB52" s="123">
        <f t="shared" si="55"/>
        <v>0.92372549019607886</v>
      </c>
      <c r="AC52" s="548"/>
    </row>
    <row r="53" spans="1:29" ht="15.75" customHeight="1">
      <c r="A53" s="545" t="s">
        <v>381</v>
      </c>
      <c r="B53" s="26" t="s">
        <v>32</v>
      </c>
      <c r="C53" s="534" t="s">
        <v>34</v>
      </c>
      <c r="D53" s="535"/>
      <c r="E53" s="26">
        <v>21.13</v>
      </c>
      <c r="F53" s="131">
        <v>2672</v>
      </c>
      <c r="G53" s="121">
        <f t="shared" si="58"/>
        <v>56459.360000000001</v>
      </c>
      <c r="H53" s="76" t="s">
        <v>52</v>
      </c>
      <c r="I53" s="129">
        <v>10</v>
      </c>
      <c r="J53" s="18">
        <v>3000</v>
      </c>
      <c r="K53" s="9">
        <f t="shared" si="57"/>
        <v>300</v>
      </c>
      <c r="L53" s="129">
        <v>10</v>
      </c>
      <c r="M53" s="10">
        <f t="shared" si="64"/>
        <v>2764.1379310344851</v>
      </c>
      <c r="N53" s="10">
        <f t="shared" si="60"/>
        <v>276.41379310344848</v>
      </c>
      <c r="O53" s="11">
        <f t="shared" si="61"/>
        <v>0</v>
      </c>
      <c r="P53" s="12">
        <f t="shared" si="50"/>
        <v>-23.586206896551516</v>
      </c>
      <c r="Q53" s="123">
        <f t="shared" si="65"/>
        <v>0.92137931034482823</v>
      </c>
      <c r="R53" s="548"/>
      <c r="S53" s="24">
        <v>0.62916666666666654</v>
      </c>
      <c r="T53" s="24">
        <v>0.66944444444444429</v>
      </c>
      <c r="U53" s="121">
        <f t="shared" si="63"/>
        <v>5.9999999999999787</v>
      </c>
      <c r="V53" s="130">
        <f t="shared" si="62"/>
        <v>57.999999999999957</v>
      </c>
      <c r="W53" s="14"/>
      <c r="X53" s="14"/>
      <c r="Y53" s="536"/>
      <c r="Z53" s="537"/>
      <c r="AA53" s="11">
        <f t="shared" si="2"/>
        <v>-235.86206896551494</v>
      </c>
      <c r="AB53" s="123">
        <f t="shared" si="55"/>
        <v>0.92137931034482834</v>
      </c>
      <c r="AC53" s="548"/>
    </row>
    <row r="54" spans="1:29" ht="15.75" customHeight="1">
      <c r="A54" s="546" t="s">
        <v>382</v>
      </c>
      <c r="B54" s="26" t="s">
        <v>372</v>
      </c>
      <c r="C54" s="540"/>
      <c r="D54" s="541"/>
      <c r="E54" s="128"/>
      <c r="F54" s="131"/>
      <c r="G54" s="121"/>
      <c r="H54" s="131"/>
      <c r="I54" s="17">
        <v>10</v>
      </c>
      <c r="J54" s="18">
        <v>3000</v>
      </c>
      <c r="K54" s="9">
        <f>J54/I54</f>
        <v>300</v>
      </c>
      <c r="L54" s="17">
        <v>10</v>
      </c>
      <c r="M54" s="10">
        <f>AVERAGE(M46:M53)</f>
        <v>2772.4123712806982</v>
      </c>
      <c r="N54" s="9">
        <f t="shared" si="60"/>
        <v>277.24123712806983</v>
      </c>
      <c r="O54" s="11">
        <f t="shared" si="61"/>
        <v>0</v>
      </c>
      <c r="P54" s="12">
        <f t="shared" si="50"/>
        <v>-22.758762871930173</v>
      </c>
      <c r="Q54" s="123">
        <f t="shared" si="65"/>
        <v>0.92413745709356609</v>
      </c>
      <c r="R54" s="549"/>
      <c r="S54" s="24"/>
      <c r="T54" s="24"/>
      <c r="U54" s="121"/>
      <c r="V54" s="130"/>
      <c r="W54" s="14"/>
      <c r="X54" s="14"/>
      <c r="Y54" s="536"/>
      <c r="Z54" s="537"/>
      <c r="AA54" s="11">
        <f t="shared" si="2"/>
        <v>-227.58762871930185</v>
      </c>
      <c r="AB54" s="123">
        <f t="shared" si="55"/>
        <v>0.92413745709356609</v>
      </c>
      <c r="AC54" s="549"/>
    </row>
    <row r="55" spans="1:29" ht="15.75" customHeight="1">
      <c r="A55" s="542" t="s">
        <v>383</v>
      </c>
      <c r="B55" s="26" t="s">
        <v>15</v>
      </c>
      <c r="C55" s="529" t="s">
        <v>20</v>
      </c>
      <c r="D55" s="529"/>
      <c r="E55" s="26">
        <v>46</v>
      </c>
      <c r="F55" s="27">
        <v>3219</v>
      </c>
      <c r="G55" s="121">
        <f t="shared" ref="G55:G59" si="66">E55*F55</f>
        <v>148074</v>
      </c>
      <c r="H55" s="76" t="s">
        <v>52</v>
      </c>
      <c r="I55" s="129">
        <v>17</v>
      </c>
      <c r="J55" s="18">
        <v>2000</v>
      </c>
      <c r="K55" s="9">
        <f t="shared" ref="K55:K59" si="67">J55/I55</f>
        <v>117.64705882352941</v>
      </c>
      <c r="L55" s="129">
        <v>17</v>
      </c>
      <c r="M55" s="10">
        <f t="shared" ref="M55:M59" si="68">F55/V55*60</f>
        <v>1839.4285714285709</v>
      </c>
      <c r="N55" s="10">
        <f>M55/L55</f>
        <v>108.20168067226888</v>
      </c>
      <c r="O55" s="11">
        <f>L55-I55</f>
        <v>0</v>
      </c>
      <c r="P55" s="12">
        <f>N55-K55</f>
        <v>-9.4453781512605275</v>
      </c>
      <c r="Q55" s="123">
        <f>N55/K55</f>
        <v>0.91971428571428548</v>
      </c>
      <c r="R55" s="533">
        <f>Q60</f>
        <v>0.92461221945919647</v>
      </c>
      <c r="S55" s="24">
        <v>0.29166666666666669</v>
      </c>
      <c r="T55" s="24">
        <v>0.36458333333333337</v>
      </c>
      <c r="U55" s="15"/>
      <c r="V55" s="130">
        <f t="shared" ref="V55:V59" si="69">(T55-S55)*24*60</f>
        <v>105.00000000000003</v>
      </c>
      <c r="W55" s="15"/>
      <c r="X55" s="15"/>
      <c r="Y55" s="528"/>
      <c r="Z55" s="528"/>
      <c r="AA55" s="11">
        <f t="shared" si="2"/>
        <v>-160.57142857142912</v>
      </c>
      <c r="AB55" s="123">
        <f t="shared" si="55"/>
        <v>0.91971428571428548</v>
      </c>
      <c r="AC55" s="533">
        <f>AB60</f>
        <v>0.92461221945919647</v>
      </c>
    </row>
    <row r="56" spans="1:29" ht="15.75" customHeight="1">
      <c r="A56" s="542" t="s">
        <v>383</v>
      </c>
      <c r="B56" s="26" t="s">
        <v>15</v>
      </c>
      <c r="C56" s="529" t="s">
        <v>65</v>
      </c>
      <c r="D56" s="529"/>
      <c r="E56" s="26">
        <v>46</v>
      </c>
      <c r="F56" s="27">
        <v>3550</v>
      </c>
      <c r="G56" s="121">
        <f t="shared" si="66"/>
        <v>163300</v>
      </c>
      <c r="H56" s="76" t="s">
        <v>52</v>
      </c>
      <c r="I56" s="129">
        <v>18</v>
      </c>
      <c r="J56" s="18">
        <v>2000</v>
      </c>
      <c r="K56" s="9">
        <f t="shared" si="67"/>
        <v>111.11111111111111</v>
      </c>
      <c r="L56" s="129">
        <v>18</v>
      </c>
      <c r="M56" s="10">
        <f t="shared" si="68"/>
        <v>1836.2068965517242</v>
      </c>
      <c r="N56" s="10">
        <f t="shared" ref="N56:N59" si="70">M56/L56</f>
        <v>102.01149425287356</v>
      </c>
      <c r="O56" s="11">
        <f t="shared" ref="O56:O59" si="71">L56-I56</f>
        <v>0</v>
      </c>
      <c r="P56" s="12">
        <f t="shared" ref="P56:P59" si="72">N56-K56</f>
        <v>-9.0996168582375532</v>
      </c>
      <c r="Q56" s="123">
        <f t="shared" ref="Q56:Q59" si="73">N56/K56</f>
        <v>0.91810344827586199</v>
      </c>
      <c r="R56" s="533"/>
      <c r="S56" s="24">
        <v>0.36944444444444446</v>
      </c>
      <c r="T56" s="24">
        <v>0.45</v>
      </c>
      <c r="U56" s="121">
        <f t="shared" ref="U56:U59" si="74">(S56-T55)*24*60</f>
        <v>6.9999999999999751</v>
      </c>
      <c r="V56" s="130">
        <f t="shared" si="69"/>
        <v>115.99999999999999</v>
      </c>
      <c r="W56" s="14"/>
      <c r="X56" s="14"/>
      <c r="Y56" s="528"/>
      <c r="Z56" s="528"/>
      <c r="AA56" s="11">
        <f t="shared" si="2"/>
        <v>-163.79310344827582</v>
      </c>
      <c r="AB56" s="123">
        <f t="shared" si="55"/>
        <v>0.9181034482758621</v>
      </c>
      <c r="AC56" s="533"/>
    </row>
    <row r="57" spans="1:29" ht="15.75" customHeight="1">
      <c r="A57" s="542" t="s">
        <v>383</v>
      </c>
      <c r="B57" s="26" t="s">
        <v>13</v>
      </c>
      <c r="C57" s="534" t="s">
        <v>59</v>
      </c>
      <c r="D57" s="535"/>
      <c r="E57" s="26">
        <v>55.56</v>
      </c>
      <c r="F57" s="27">
        <v>2194</v>
      </c>
      <c r="G57" s="121">
        <f t="shared" si="66"/>
        <v>121898.64</v>
      </c>
      <c r="H57" s="76" t="s">
        <v>52</v>
      </c>
      <c r="I57" s="129">
        <v>17</v>
      </c>
      <c r="J57" s="18">
        <v>2000</v>
      </c>
      <c r="K57" s="9">
        <f t="shared" si="67"/>
        <v>117.64705882352941</v>
      </c>
      <c r="L57" s="129">
        <v>17</v>
      </c>
      <c r="M57" s="10">
        <f t="shared" si="68"/>
        <v>1854.0845070422517</v>
      </c>
      <c r="N57" s="10">
        <f t="shared" si="70"/>
        <v>109.06379453189716</v>
      </c>
      <c r="O57" s="11">
        <f t="shared" si="71"/>
        <v>0</v>
      </c>
      <c r="P57" s="12">
        <f t="shared" si="72"/>
        <v>-8.583264291632247</v>
      </c>
      <c r="Q57" s="123">
        <f t="shared" si="73"/>
        <v>0.9270422535211259</v>
      </c>
      <c r="R57" s="533"/>
      <c r="S57" s="24">
        <v>0.70833333333333337</v>
      </c>
      <c r="T57" s="24">
        <v>0.75763888888888897</v>
      </c>
      <c r="U57" s="121"/>
      <c r="V57" s="130">
        <f t="shared" si="69"/>
        <v>71.000000000000071</v>
      </c>
      <c r="W57" s="14"/>
      <c r="X57" s="14"/>
      <c r="Y57" s="126"/>
      <c r="Z57" s="127"/>
      <c r="AA57" s="11">
        <f t="shared" si="2"/>
        <v>-145.91549295774826</v>
      </c>
      <c r="AB57" s="123">
        <f t="shared" si="55"/>
        <v>0.9270422535211259</v>
      </c>
      <c r="AC57" s="533"/>
    </row>
    <row r="58" spans="1:29" ht="15.75" customHeight="1">
      <c r="A58" s="542" t="s">
        <v>383</v>
      </c>
      <c r="B58" s="26" t="s">
        <v>13</v>
      </c>
      <c r="C58" s="124" t="s">
        <v>58</v>
      </c>
      <c r="D58" s="125"/>
      <c r="E58" s="26">
        <v>55.32</v>
      </c>
      <c r="F58" s="27">
        <v>1768</v>
      </c>
      <c r="G58" s="121">
        <f t="shared" si="66"/>
        <v>97805.759999999995</v>
      </c>
      <c r="H58" s="76" t="s">
        <v>52</v>
      </c>
      <c r="I58" s="129">
        <v>15</v>
      </c>
      <c r="J58" s="18">
        <v>2000</v>
      </c>
      <c r="K58" s="9">
        <f t="shared" si="67"/>
        <v>133.33333333333334</v>
      </c>
      <c r="L58" s="129">
        <v>15</v>
      </c>
      <c r="M58" s="10">
        <f t="shared" si="68"/>
        <v>1861.0526315789486</v>
      </c>
      <c r="N58" s="10">
        <f t="shared" si="70"/>
        <v>124.07017543859658</v>
      </c>
      <c r="O58" s="11">
        <f t="shared" si="71"/>
        <v>0</v>
      </c>
      <c r="P58" s="12">
        <f t="shared" si="72"/>
        <v>-9.2631578947367643</v>
      </c>
      <c r="Q58" s="123">
        <f t="shared" si="73"/>
        <v>0.93052631578947431</v>
      </c>
      <c r="R58" s="533"/>
      <c r="S58" s="24">
        <v>0.76111111111111118</v>
      </c>
      <c r="T58" s="24">
        <v>0.80069444444444449</v>
      </c>
      <c r="U58" s="121">
        <f t="shared" si="74"/>
        <v>4.9999999999999822</v>
      </c>
      <c r="V58" s="130">
        <f t="shared" si="69"/>
        <v>56.999999999999957</v>
      </c>
      <c r="W58" s="14"/>
      <c r="X58" s="14"/>
      <c r="Y58" s="126"/>
      <c r="Z58" s="127"/>
      <c r="AA58" s="11">
        <f t="shared" si="2"/>
        <v>-138.94736842105135</v>
      </c>
      <c r="AB58" s="123">
        <f t="shared" si="55"/>
        <v>0.93052631578947431</v>
      </c>
      <c r="AC58" s="533"/>
    </row>
    <row r="59" spans="1:29" ht="15.75" customHeight="1">
      <c r="A59" s="542" t="s">
        <v>383</v>
      </c>
      <c r="B59" s="26" t="s">
        <v>13</v>
      </c>
      <c r="C59" s="124" t="s">
        <v>60</v>
      </c>
      <c r="D59" s="125"/>
      <c r="E59" s="26">
        <v>57.73</v>
      </c>
      <c r="F59" s="27">
        <v>1602</v>
      </c>
      <c r="G59" s="121">
        <f t="shared" si="66"/>
        <v>92483.459999999992</v>
      </c>
      <c r="H59" s="76" t="s">
        <v>52</v>
      </c>
      <c r="I59" s="129">
        <v>16</v>
      </c>
      <c r="J59" s="18">
        <v>1500</v>
      </c>
      <c r="K59" s="9">
        <f t="shared" si="67"/>
        <v>93.75</v>
      </c>
      <c r="L59" s="129">
        <v>16</v>
      </c>
      <c r="M59" s="10">
        <f t="shared" si="68"/>
        <v>1393.0434782608713</v>
      </c>
      <c r="N59" s="10">
        <f t="shared" si="70"/>
        <v>87.065217391304458</v>
      </c>
      <c r="O59" s="11">
        <f t="shared" si="71"/>
        <v>0</v>
      </c>
      <c r="P59" s="12">
        <f t="shared" si="72"/>
        <v>-6.6847826086955422</v>
      </c>
      <c r="Q59" s="123">
        <f t="shared" si="73"/>
        <v>0.92869565217391425</v>
      </c>
      <c r="R59" s="533"/>
      <c r="S59" s="24">
        <v>0.80555555555555558</v>
      </c>
      <c r="T59" s="24">
        <v>0.85347222222222219</v>
      </c>
      <c r="U59" s="121">
        <f t="shared" si="74"/>
        <v>6.9999999999999751</v>
      </c>
      <c r="V59" s="130">
        <f t="shared" si="69"/>
        <v>68.999999999999915</v>
      </c>
      <c r="W59" s="14"/>
      <c r="X59" s="14"/>
      <c r="Y59" s="126"/>
      <c r="Z59" s="127"/>
      <c r="AA59" s="11">
        <f t="shared" si="2"/>
        <v>-106.95652173912868</v>
      </c>
      <c r="AB59" s="123">
        <f t="shared" si="55"/>
        <v>0.92869565217391425</v>
      </c>
      <c r="AC59" s="533"/>
    </row>
    <row r="60" spans="1:29">
      <c r="A60" s="543" t="s">
        <v>384</v>
      </c>
      <c r="B60" s="26" t="s">
        <v>372</v>
      </c>
      <c r="C60" s="530"/>
      <c r="D60" s="530"/>
      <c r="E60" s="122"/>
      <c r="F60" s="16"/>
      <c r="G60" s="9"/>
      <c r="H60" s="131"/>
      <c r="I60" s="17">
        <v>16.600000000000001</v>
      </c>
      <c r="J60" s="18">
        <v>1900</v>
      </c>
      <c r="K60" s="9">
        <f>J60/I60</f>
        <v>114.4578313253012</v>
      </c>
      <c r="L60" s="17">
        <v>16.600000000000001</v>
      </c>
      <c r="M60" s="10">
        <f>AVERAGE(M55:M59)</f>
        <v>1756.7632169724734</v>
      </c>
      <c r="N60" s="9">
        <f>M60/L60</f>
        <v>105.82910945617309</v>
      </c>
      <c r="O60" s="11">
        <f>L60-I60</f>
        <v>0</v>
      </c>
      <c r="P60" s="12">
        <f>N60-K60</f>
        <v>-8.628721869128114</v>
      </c>
      <c r="Q60" s="123">
        <f>N60/K60</f>
        <v>0.92461221945919647</v>
      </c>
      <c r="R60" s="533"/>
      <c r="S60" s="25"/>
      <c r="T60" s="24"/>
      <c r="U60" s="9"/>
      <c r="V60" s="130"/>
      <c r="W60" s="9"/>
      <c r="X60" s="9"/>
      <c r="Y60" s="528"/>
      <c r="Z60" s="528"/>
      <c r="AA60" s="11">
        <f t="shared" si="2"/>
        <v>-143.2367830275266</v>
      </c>
      <c r="AB60" s="123">
        <f t="shared" si="55"/>
        <v>0.92461221945919647</v>
      </c>
      <c r="AC60" s="533"/>
    </row>
    <row r="61" spans="1:29" ht="15.75" customHeight="1">
      <c r="A61" s="538" t="s">
        <v>385</v>
      </c>
      <c r="B61" s="131" t="s">
        <v>32</v>
      </c>
      <c r="C61" s="529" t="s">
        <v>35</v>
      </c>
      <c r="D61" s="529"/>
      <c r="E61" s="26">
        <v>26.78</v>
      </c>
      <c r="F61" s="27">
        <v>2805</v>
      </c>
      <c r="G61" s="121">
        <f t="shared" ref="G61:G66" si="75">E61*F61</f>
        <v>75117.900000000009</v>
      </c>
      <c r="H61" s="76" t="s">
        <v>52</v>
      </c>
      <c r="I61" s="129">
        <v>10</v>
      </c>
      <c r="J61" s="18">
        <v>3000</v>
      </c>
      <c r="K61" s="9">
        <f t="shared" ref="K61:K66" si="76">J61/I61</f>
        <v>300</v>
      </c>
      <c r="L61" s="17">
        <v>10</v>
      </c>
      <c r="M61" s="10">
        <f t="shared" ref="M61:M66" si="77">F61/V61*60</f>
        <v>2759.0163934426237</v>
      </c>
      <c r="N61" s="9">
        <f>M61/L61</f>
        <v>275.90163934426238</v>
      </c>
      <c r="O61" s="11">
        <f t="shared" ref="O61:O66" si="78">L61-I61</f>
        <v>0</v>
      </c>
      <c r="P61" s="12">
        <f t="shared" ref="P61:P66" si="79">N61-K61</f>
        <v>-24.098360655737622</v>
      </c>
      <c r="Q61" s="123">
        <f>N61/K61</f>
        <v>0.91967213114754121</v>
      </c>
      <c r="R61" s="533">
        <f>Q67</f>
        <v>0.9245049305701778</v>
      </c>
      <c r="S61" s="24">
        <v>0.20833333333333334</v>
      </c>
      <c r="T61" s="24">
        <v>0.25069444444444444</v>
      </c>
      <c r="U61" s="121"/>
      <c r="V61" s="130">
        <f t="shared" ref="V61:V66" si="80">(T61-S61)*24*60</f>
        <v>60.999999999999986</v>
      </c>
      <c r="W61" s="15"/>
      <c r="X61" s="15"/>
      <c r="Y61" s="528"/>
      <c r="Z61" s="528"/>
      <c r="AA61" s="11">
        <f t="shared" si="2"/>
        <v>-240.98360655737633</v>
      </c>
      <c r="AB61" s="123">
        <f t="shared" si="55"/>
        <v>0.91967213114754121</v>
      </c>
      <c r="AC61" s="533">
        <f>AB67</f>
        <v>0.9245049305701778</v>
      </c>
    </row>
    <row r="62" spans="1:29" ht="15.75" customHeight="1">
      <c r="A62" s="538" t="s">
        <v>386</v>
      </c>
      <c r="B62" s="131" t="s">
        <v>32</v>
      </c>
      <c r="C62" s="529" t="s">
        <v>39</v>
      </c>
      <c r="D62" s="529"/>
      <c r="E62" s="26">
        <v>35.369999999999997</v>
      </c>
      <c r="F62" s="27">
        <v>1835</v>
      </c>
      <c r="G62" s="121">
        <f t="shared" si="75"/>
        <v>64903.95</v>
      </c>
      <c r="H62" s="76" t="s">
        <v>52</v>
      </c>
      <c r="I62" s="129">
        <v>10</v>
      </c>
      <c r="J62" s="18">
        <v>3000</v>
      </c>
      <c r="K62" s="9">
        <f t="shared" si="76"/>
        <v>300</v>
      </c>
      <c r="L62" s="17">
        <v>10</v>
      </c>
      <c r="M62" s="10">
        <f t="shared" si="77"/>
        <v>2752.4999999999991</v>
      </c>
      <c r="N62" s="9">
        <f t="shared" ref="N62:N66" si="81">M62/L62</f>
        <v>275.24999999999989</v>
      </c>
      <c r="O62" s="11">
        <f t="shared" si="78"/>
        <v>0</v>
      </c>
      <c r="P62" s="12">
        <f t="shared" si="79"/>
        <v>-24.750000000000114</v>
      </c>
      <c r="Q62" s="123">
        <f t="shared" ref="Q62:Q66" si="82">N62/K62</f>
        <v>0.91749999999999965</v>
      </c>
      <c r="R62" s="533"/>
      <c r="S62" s="24">
        <v>0.25486111111111109</v>
      </c>
      <c r="T62" s="24">
        <v>0.28263888888888888</v>
      </c>
      <c r="U62" s="121">
        <f>(S62-T61)*24*60</f>
        <v>5.9999999999999787</v>
      </c>
      <c r="V62" s="130">
        <f t="shared" si="80"/>
        <v>40.000000000000014</v>
      </c>
      <c r="W62" s="121"/>
      <c r="X62" s="121"/>
      <c r="Y62" s="528"/>
      <c r="Z62" s="528"/>
      <c r="AA62" s="11">
        <f t="shared" si="2"/>
        <v>-247.50000000000091</v>
      </c>
      <c r="AB62" s="123">
        <f t="shared" si="55"/>
        <v>0.91749999999999965</v>
      </c>
      <c r="AC62" s="533"/>
    </row>
    <row r="63" spans="1:29" ht="15.75" customHeight="1">
      <c r="A63" s="538" t="s">
        <v>386</v>
      </c>
      <c r="B63" s="131" t="s">
        <v>32</v>
      </c>
      <c r="C63" s="529" t="s">
        <v>38</v>
      </c>
      <c r="D63" s="529"/>
      <c r="E63" s="26">
        <v>34.35</v>
      </c>
      <c r="F63" s="27">
        <v>1646</v>
      </c>
      <c r="G63" s="121">
        <f t="shared" si="75"/>
        <v>56540.100000000006</v>
      </c>
      <c r="H63" s="76" t="s">
        <v>52</v>
      </c>
      <c r="I63" s="129">
        <v>10</v>
      </c>
      <c r="J63" s="18">
        <v>3000</v>
      </c>
      <c r="K63" s="9">
        <f t="shared" si="76"/>
        <v>300</v>
      </c>
      <c r="L63" s="17">
        <v>10</v>
      </c>
      <c r="M63" s="10">
        <f t="shared" si="77"/>
        <v>2821.7142857142831</v>
      </c>
      <c r="N63" s="9">
        <f t="shared" si="81"/>
        <v>282.17142857142829</v>
      </c>
      <c r="O63" s="11">
        <f t="shared" si="78"/>
        <v>0</v>
      </c>
      <c r="P63" s="12">
        <f t="shared" si="79"/>
        <v>-17.828571428571706</v>
      </c>
      <c r="Q63" s="123">
        <f t="shared" si="82"/>
        <v>0.94057142857142761</v>
      </c>
      <c r="R63" s="533"/>
      <c r="S63" s="24">
        <v>0.28611111111111109</v>
      </c>
      <c r="T63" s="24">
        <v>0.31041666666666667</v>
      </c>
      <c r="U63" s="121">
        <f t="shared" ref="U63:U66" si="83">(S63-T62)*24*60</f>
        <v>4.9999999999999822</v>
      </c>
      <c r="V63" s="130">
        <f t="shared" si="80"/>
        <v>35.000000000000036</v>
      </c>
      <c r="W63" s="121"/>
      <c r="X63" s="121"/>
      <c r="Y63" s="528"/>
      <c r="Z63" s="528"/>
      <c r="AA63" s="11">
        <f t="shared" si="2"/>
        <v>-178.28571428571695</v>
      </c>
      <c r="AB63" s="123">
        <f t="shared" si="55"/>
        <v>0.94057142857142773</v>
      </c>
      <c r="AC63" s="533"/>
    </row>
    <row r="64" spans="1:29" ht="15.75" customHeight="1">
      <c r="A64" s="538" t="s">
        <v>386</v>
      </c>
      <c r="B64" s="131" t="s">
        <v>15</v>
      </c>
      <c r="C64" s="529" t="s">
        <v>36</v>
      </c>
      <c r="D64" s="529"/>
      <c r="E64" s="26">
        <v>26.97</v>
      </c>
      <c r="F64" s="27">
        <v>3247</v>
      </c>
      <c r="G64" s="121">
        <f t="shared" si="75"/>
        <v>87571.59</v>
      </c>
      <c r="H64" s="76" t="s">
        <v>52</v>
      </c>
      <c r="I64" s="129">
        <v>8</v>
      </c>
      <c r="J64" s="18">
        <v>1500</v>
      </c>
      <c r="K64" s="9">
        <f t="shared" si="76"/>
        <v>187.5</v>
      </c>
      <c r="L64" s="17">
        <v>8</v>
      </c>
      <c r="M64" s="10">
        <f t="shared" si="77"/>
        <v>1381.7021276595747</v>
      </c>
      <c r="N64" s="9">
        <f t="shared" si="81"/>
        <v>172.71276595744683</v>
      </c>
      <c r="O64" s="11">
        <f t="shared" si="78"/>
        <v>0</v>
      </c>
      <c r="P64" s="12">
        <f t="shared" si="79"/>
        <v>-14.787234042553166</v>
      </c>
      <c r="Q64" s="123">
        <f t="shared" si="82"/>
        <v>0.92113475177304982</v>
      </c>
      <c r="R64" s="533"/>
      <c r="S64" s="24">
        <v>0.31597222222222221</v>
      </c>
      <c r="T64" s="24">
        <v>0.41388888888888886</v>
      </c>
      <c r="U64" s="121">
        <f t="shared" si="83"/>
        <v>7.9999999999999716</v>
      </c>
      <c r="V64" s="130">
        <f t="shared" si="80"/>
        <v>140.99999999999997</v>
      </c>
      <c r="W64" s="121"/>
      <c r="X64" s="121"/>
      <c r="Y64" s="528"/>
      <c r="Z64" s="528"/>
      <c r="AA64" s="11">
        <f t="shared" si="2"/>
        <v>-118.29787234042533</v>
      </c>
      <c r="AB64" s="123">
        <f t="shared" si="55"/>
        <v>0.92113475177304982</v>
      </c>
      <c r="AC64" s="533"/>
    </row>
    <row r="65" spans="1:29">
      <c r="A65" s="539" t="s">
        <v>386</v>
      </c>
      <c r="B65" s="131" t="s">
        <v>32</v>
      </c>
      <c r="C65" s="529" t="s">
        <v>37</v>
      </c>
      <c r="D65" s="529"/>
      <c r="E65" s="26">
        <v>35.119999999999997</v>
      </c>
      <c r="F65" s="27">
        <v>1453</v>
      </c>
      <c r="G65" s="121">
        <f t="shared" si="75"/>
        <v>51029.359999999993</v>
      </c>
      <c r="H65" s="76" t="s">
        <v>52</v>
      </c>
      <c r="I65" s="129">
        <v>13</v>
      </c>
      <c r="J65" s="18">
        <v>2000</v>
      </c>
      <c r="K65" s="9">
        <f t="shared" si="76"/>
        <v>153.84615384615384</v>
      </c>
      <c r="L65" s="17">
        <v>13</v>
      </c>
      <c r="M65" s="10">
        <f t="shared" si="77"/>
        <v>1854.8936170212769</v>
      </c>
      <c r="N65" s="9">
        <f t="shared" si="81"/>
        <v>142.68412438625208</v>
      </c>
      <c r="O65" s="11">
        <f t="shared" si="78"/>
        <v>0</v>
      </c>
      <c r="P65" s="12">
        <f t="shared" si="79"/>
        <v>-11.16202945990176</v>
      </c>
      <c r="Q65" s="123">
        <f t="shared" si="82"/>
        <v>0.92744680851063854</v>
      </c>
      <c r="R65" s="533"/>
      <c r="S65" s="24">
        <v>0.41805555555555551</v>
      </c>
      <c r="T65" s="24">
        <v>0.4506944444444444</v>
      </c>
      <c r="U65" s="121">
        <f t="shared" si="83"/>
        <v>5.9999999999999787</v>
      </c>
      <c r="V65" s="130">
        <f t="shared" si="80"/>
        <v>46.999999999999993</v>
      </c>
      <c r="W65" s="14"/>
      <c r="X65" s="14"/>
      <c r="Y65" s="528"/>
      <c r="Z65" s="528"/>
      <c r="AA65" s="11">
        <f t="shared" si="2"/>
        <v>-145.1063829787231</v>
      </c>
      <c r="AB65" s="123">
        <f t="shared" si="55"/>
        <v>0.92744680851063843</v>
      </c>
      <c r="AC65" s="533"/>
    </row>
    <row r="66" spans="1:29" ht="15" customHeight="1">
      <c r="A66" s="539" t="s">
        <v>386</v>
      </c>
      <c r="B66" s="131" t="s">
        <v>32</v>
      </c>
      <c r="C66" s="534" t="s">
        <v>84</v>
      </c>
      <c r="D66" s="535"/>
      <c r="E66" s="26">
        <v>35.869999999999997</v>
      </c>
      <c r="F66" s="27">
        <v>3634</v>
      </c>
      <c r="G66" s="121">
        <f t="shared" si="75"/>
        <v>130351.57999999999</v>
      </c>
      <c r="H66" s="76" t="s">
        <v>52</v>
      </c>
      <c r="I66" s="129">
        <v>10</v>
      </c>
      <c r="J66" s="18">
        <v>3000</v>
      </c>
      <c r="K66" s="9">
        <f t="shared" si="76"/>
        <v>300</v>
      </c>
      <c r="L66" s="17">
        <v>10</v>
      </c>
      <c r="M66" s="10">
        <f t="shared" si="77"/>
        <v>2759.9999999999986</v>
      </c>
      <c r="N66" s="9">
        <f t="shared" si="81"/>
        <v>275.99999999999989</v>
      </c>
      <c r="O66" s="11">
        <f t="shared" si="78"/>
        <v>0</v>
      </c>
      <c r="P66" s="12">
        <f t="shared" si="79"/>
        <v>-24.000000000000114</v>
      </c>
      <c r="Q66" s="123">
        <f t="shared" si="82"/>
        <v>0.9199999999999996</v>
      </c>
      <c r="R66" s="533"/>
      <c r="S66" s="24">
        <v>0.45486111111111105</v>
      </c>
      <c r="T66" s="24">
        <v>0.50972222222222219</v>
      </c>
      <c r="U66" s="121">
        <f t="shared" si="83"/>
        <v>5.9999999999999787</v>
      </c>
      <c r="V66" s="130">
        <f t="shared" si="80"/>
        <v>79.000000000000043</v>
      </c>
      <c r="W66" s="121"/>
      <c r="X66" s="121"/>
      <c r="Y66" s="536"/>
      <c r="Z66" s="537"/>
      <c r="AA66" s="11">
        <f t="shared" si="2"/>
        <v>-240.00000000000136</v>
      </c>
      <c r="AB66" s="123">
        <f t="shared" si="55"/>
        <v>0.9199999999999996</v>
      </c>
      <c r="AC66" s="533"/>
    </row>
    <row r="67" spans="1:29">
      <c r="A67" s="539" t="s">
        <v>386</v>
      </c>
      <c r="B67" s="26" t="s">
        <v>372</v>
      </c>
      <c r="C67" s="530"/>
      <c r="D67" s="530"/>
      <c r="E67" s="122"/>
      <c r="F67" s="16"/>
      <c r="G67" s="9"/>
      <c r="H67" s="131"/>
      <c r="I67" s="17">
        <v>10.166666666666666</v>
      </c>
      <c r="J67" s="18">
        <v>2583.3333333333335</v>
      </c>
      <c r="K67" s="9">
        <f>J67/I67</f>
        <v>254.09836065573774</v>
      </c>
      <c r="L67" s="17">
        <v>10.166666666666666</v>
      </c>
      <c r="M67" s="10">
        <f>AVERAGE(M61:M66)</f>
        <v>2388.3044039729593</v>
      </c>
      <c r="N67" s="9">
        <f>M67/L67</f>
        <v>234.9151872760288</v>
      </c>
      <c r="O67" s="11">
        <f>L67-I67</f>
        <v>0</v>
      </c>
      <c r="P67" s="12">
        <f>N67-K67</f>
        <v>-19.183173379708933</v>
      </c>
      <c r="Q67" s="123">
        <f>N67/K67</f>
        <v>0.9245049305701778</v>
      </c>
      <c r="R67" s="533"/>
      <c r="S67" s="24"/>
      <c r="T67" s="24"/>
      <c r="U67" s="9"/>
      <c r="V67" s="130"/>
      <c r="W67" s="9"/>
      <c r="X67" s="9"/>
      <c r="Y67" s="528"/>
      <c r="Z67" s="528"/>
      <c r="AA67" s="11">
        <f t="shared" si="2"/>
        <v>-195.02892936037415</v>
      </c>
      <c r="AB67" s="123">
        <f t="shared" si="55"/>
        <v>0.9245049305701778</v>
      </c>
      <c r="AC67" s="533"/>
    </row>
    <row r="68" spans="1:29" ht="15.75" customHeight="1">
      <c r="A68" s="531" t="s">
        <v>387</v>
      </c>
      <c r="B68" s="131" t="s">
        <v>24</v>
      </c>
      <c r="C68" s="529" t="s">
        <v>67</v>
      </c>
      <c r="D68" s="529"/>
      <c r="E68" s="26">
        <v>32.03</v>
      </c>
      <c r="F68" s="131">
        <v>1317</v>
      </c>
      <c r="G68" s="121">
        <f t="shared" ref="G68:G75" si="84">E68*F68</f>
        <v>42183.51</v>
      </c>
      <c r="H68" s="76" t="s">
        <v>52</v>
      </c>
      <c r="I68" s="129">
        <v>19</v>
      </c>
      <c r="J68" s="18">
        <v>2400</v>
      </c>
      <c r="K68" s="9">
        <f t="shared" ref="K68:K70" si="85">J68/I68</f>
        <v>126.31578947368421</v>
      </c>
      <c r="L68" s="17">
        <v>19</v>
      </c>
      <c r="M68" s="10">
        <f>F68/V68*60</f>
        <v>2257.7142857142862</v>
      </c>
      <c r="N68" s="9">
        <f t="shared" ref="N68:N75" si="86">M68/L68</f>
        <v>118.82706766917296</v>
      </c>
      <c r="O68" s="11">
        <f t="shared" ref="O68:O75" si="87">L68-I68</f>
        <v>0</v>
      </c>
      <c r="P68" s="12">
        <f t="shared" ref="P68:P75" si="88">N68-K68</f>
        <v>-7.4887218045112434</v>
      </c>
      <c r="Q68" s="123">
        <f>N68/K68</f>
        <v>0.94071428571428595</v>
      </c>
      <c r="R68" s="533">
        <f>Q76</f>
        <v>0.92503209132987652</v>
      </c>
      <c r="S68" s="24">
        <v>8.3333333333333329E-2</v>
      </c>
      <c r="T68" s="24">
        <v>0.10763888888888888</v>
      </c>
      <c r="U68" s="15"/>
      <c r="V68" s="130">
        <f t="shared" ref="V68:V75" si="89">(T68-S68)*24*60</f>
        <v>34.999999999999993</v>
      </c>
      <c r="W68" s="14">
        <f>T68</f>
        <v>0.10763888888888888</v>
      </c>
      <c r="X68" s="14">
        <f>S69</f>
        <v>0.12569444444444444</v>
      </c>
      <c r="Y68" s="528"/>
      <c r="Z68" s="528"/>
      <c r="AA68" s="11">
        <f t="shared" si="2"/>
        <v>-142.28571428571377</v>
      </c>
      <c r="AB68" s="123">
        <f>M68/J68</f>
        <v>0.94071428571428595</v>
      </c>
      <c r="AC68" s="533">
        <f>AB76</f>
        <v>0.92503209132987652</v>
      </c>
    </row>
    <row r="69" spans="1:29" ht="15.75" customHeight="1">
      <c r="A69" s="531" t="s">
        <v>388</v>
      </c>
      <c r="B69" s="131" t="s">
        <v>24</v>
      </c>
      <c r="C69" s="529" t="s">
        <v>51</v>
      </c>
      <c r="D69" s="529"/>
      <c r="E69" s="26">
        <v>20.2</v>
      </c>
      <c r="F69" s="131">
        <v>2887</v>
      </c>
      <c r="G69" s="121">
        <f t="shared" si="84"/>
        <v>58317.4</v>
      </c>
      <c r="H69" s="76" t="s">
        <v>52</v>
      </c>
      <c r="I69" s="129">
        <v>19</v>
      </c>
      <c r="J69" s="18">
        <v>2400</v>
      </c>
      <c r="K69" s="9">
        <f t="shared" si="85"/>
        <v>126.31578947368421</v>
      </c>
      <c r="L69" s="17">
        <v>19</v>
      </c>
      <c r="M69" s="10">
        <f t="shared" ref="M69:M75" si="90">F69/V69*60</f>
        <v>2220.7692307692305</v>
      </c>
      <c r="N69" s="9">
        <f t="shared" si="86"/>
        <v>116.8825910931174</v>
      </c>
      <c r="O69" s="11">
        <f t="shared" si="87"/>
        <v>0</v>
      </c>
      <c r="P69" s="12">
        <f t="shared" si="88"/>
        <v>-9.4331983805668074</v>
      </c>
      <c r="Q69" s="123">
        <f t="shared" ref="Q69:Q76" si="91">N69/K69</f>
        <v>0.92532051282051275</v>
      </c>
      <c r="R69" s="533"/>
      <c r="S69" s="24">
        <v>0.12569444444444444</v>
      </c>
      <c r="T69" s="24">
        <v>0.17986111111111111</v>
      </c>
      <c r="U69" s="121">
        <f>(S69-T68)*24*60</f>
        <v>26.000000000000007</v>
      </c>
      <c r="V69" s="130">
        <f t="shared" si="89"/>
        <v>78</v>
      </c>
      <c r="W69" s="14"/>
      <c r="X69" s="14"/>
      <c r="Y69" s="528"/>
      <c r="Z69" s="528"/>
      <c r="AA69" s="11">
        <f t="shared" ref="AA69:AA76" si="92">M69-J69</f>
        <v>-179.23076923076951</v>
      </c>
      <c r="AB69" s="123">
        <f t="shared" ref="AB69:AB76" si="93">M69/J69</f>
        <v>0.92532051282051275</v>
      </c>
      <c r="AC69" s="533"/>
    </row>
    <row r="70" spans="1:29" ht="15.75" customHeight="1">
      <c r="A70" s="531" t="s">
        <v>387</v>
      </c>
      <c r="B70" s="131" t="s">
        <v>24</v>
      </c>
      <c r="C70" s="529" t="s">
        <v>41</v>
      </c>
      <c r="D70" s="529"/>
      <c r="E70" s="26">
        <v>19.02</v>
      </c>
      <c r="F70" s="131">
        <v>3800</v>
      </c>
      <c r="G70" s="121">
        <f t="shared" si="84"/>
        <v>72276</v>
      </c>
      <c r="H70" s="76">
        <v>2</v>
      </c>
      <c r="I70" s="129">
        <v>15</v>
      </c>
      <c r="J70" s="18">
        <v>2400</v>
      </c>
      <c r="K70" s="9">
        <f t="shared" si="85"/>
        <v>160</v>
      </c>
      <c r="L70" s="17">
        <v>15</v>
      </c>
      <c r="M70" s="10">
        <f t="shared" si="90"/>
        <v>2213.5922330097096</v>
      </c>
      <c r="N70" s="9">
        <f t="shared" si="86"/>
        <v>147.57281553398064</v>
      </c>
      <c r="O70" s="11">
        <f t="shared" si="87"/>
        <v>0</v>
      </c>
      <c r="P70" s="12">
        <f t="shared" si="88"/>
        <v>-12.427184466019355</v>
      </c>
      <c r="Q70" s="123">
        <f t="shared" si="91"/>
        <v>0.92233009708737901</v>
      </c>
      <c r="R70" s="533"/>
      <c r="S70" s="24">
        <v>0.18541666666666667</v>
      </c>
      <c r="T70" s="24">
        <v>0.25694444444444442</v>
      </c>
      <c r="U70" s="121">
        <f t="shared" ref="U70:U75" si="94">(S70-T69)*24*60</f>
        <v>8.0000000000000107</v>
      </c>
      <c r="V70" s="130">
        <f t="shared" si="89"/>
        <v>102.99999999999996</v>
      </c>
      <c r="W70" s="14"/>
      <c r="X70" s="14"/>
      <c r="Y70" s="528"/>
      <c r="Z70" s="528"/>
      <c r="AA70" s="11">
        <f t="shared" si="92"/>
        <v>-186.40776699029038</v>
      </c>
      <c r="AB70" s="123">
        <f t="shared" si="93"/>
        <v>0.92233009708737901</v>
      </c>
      <c r="AC70" s="533"/>
    </row>
    <row r="71" spans="1:29" ht="15.75" customHeight="1">
      <c r="A71" s="531" t="s">
        <v>388</v>
      </c>
      <c r="B71" s="131" t="s">
        <v>24</v>
      </c>
      <c r="C71" s="529" t="s">
        <v>42</v>
      </c>
      <c r="D71" s="529"/>
      <c r="E71" s="26">
        <v>25</v>
      </c>
      <c r="F71" s="131">
        <v>4412</v>
      </c>
      <c r="G71" s="121">
        <f t="shared" si="84"/>
        <v>110300</v>
      </c>
      <c r="H71" s="76" t="s">
        <v>52</v>
      </c>
      <c r="I71" s="129">
        <v>15</v>
      </c>
      <c r="J71" s="18">
        <v>2400</v>
      </c>
      <c r="K71" s="9">
        <f>J71/I71</f>
        <v>160</v>
      </c>
      <c r="L71" s="17">
        <v>15</v>
      </c>
      <c r="M71" s="10">
        <f t="shared" si="90"/>
        <v>2206.0000000000005</v>
      </c>
      <c r="N71" s="9">
        <f t="shared" si="86"/>
        <v>147.06666666666669</v>
      </c>
      <c r="O71" s="11">
        <f t="shared" si="87"/>
        <v>0</v>
      </c>
      <c r="P71" s="12">
        <f t="shared" si="88"/>
        <v>-12.933333333333309</v>
      </c>
      <c r="Q71" s="123">
        <f t="shared" si="91"/>
        <v>0.9191666666666668</v>
      </c>
      <c r="R71" s="533"/>
      <c r="S71" s="24">
        <v>0.26041666666666663</v>
      </c>
      <c r="T71" s="24">
        <v>0.34374999999999994</v>
      </c>
      <c r="U71" s="121">
        <f t="shared" si="94"/>
        <v>4.9999999999999822</v>
      </c>
      <c r="V71" s="130">
        <f t="shared" si="89"/>
        <v>119.99999999999997</v>
      </c>
      <c r="W71" s="14"/>
      <c r="X71" s="14"/>
      <c r="Y71" s="528"/>
      <c r="Z71" s="528"/>
      <c r="AA71" s="11">
        <f t="shared" si="92"/>
        <v>-193.99999999999955</v>
      </c>
      <c r="AB71" s="123">
        <f t="shared" si="93"/>
        <v>0.91916666666666691</v>
      </c>
      <c r="AC71" s="533"/>
    </row>
    <row r="72" spans="1:29" ht="15.75" customHeight="1">
      <c r="A72" s="531" t="s">
        <v>388</v>
      </c>
      <c r="B72" s="131" t="s">
        <v>24</v>
      </c>
      <c r="C72" s="529" t="s">
        <v>77</v>
      </c>
      <c r="D72" s="529"/>
      <c r="E72" s="26">
        <v>28.51</v>
      </c>
      <c r="F72" s="131">
        <v>4720</v>
      </c>
      <c r="G72" s="121">
        <f t="shared" si="84"/>
        <v>134567.20000000001</v>
      </c>
      <c r="H72" s="76" t="s">
        <v>52</v>
      </c>
      <c r="I72" s="129">
        <v>19</v>
      </c>
      <c r="J72" s="18">
        <v>2400</v>
      </c>
      <c r="K72" s="9">
        <f t="shared" ref="K72:K76" si="95">J72/I72</f>
        <v>126.31578947368421</v>
      </c>
      <c r="L72" s="17">
        <v>19</v>
      </c>
      <c r="M72" s="10">
        <f t="shared" si="90"/>
        <v>2212.4999999999995</v>
      </c>
      <c r="N72" s="9">
        <f t="shared" si="86"/>
        <v>116.4473684210526</v>
      </c>
      <c r="O72" s="11">
        <f t="shared" si="87"/>
        <v>0</v>
      </c>
      <c r="P72" s="12">
        <f t="shared" si="88"/>
        <v>-9.8684210526316036</v>
      </c>
      <c r="Q72" s="123">
        <f t="shared" si="91"/>
        <v>0.92187499999999978</v>
      </c>
      <c r="R72" s="533"/>
      <c r="S72" s="24">
        <v>0.3479166666666666</v>
      </c>
      <c r="T72" s="24">
        <v>0.4368055555555555</v>
      </c>
      <c r="U72" s="121">
        <f t="shared" si="94"/>
        <v>5.9999999999999787</v>
      </c>
      <c r="V72" s="130">
        <f t="shared" si="89"/>
        <v>128.00000000000003</v>
      </c>
      <c r="W72" s="14"/>
      <c r="X72" s="14"/>
      <c r="Y72" s="528"/>
      <c r="Z72" s="528"/>
      <c r="AA72" s="11">
        <f t="shared" si="92"/>
        <v>-187.50000000000045</v>
      </c>
      <c r="AB72" s="123">
        <f t="shared" si="93"/>
        <v>0.92187499999999978</v>
      </c>
      <c r="AC72" s="533"/>
    </row>
    <row r="73" spans="1:29" ht="15.75" customHeight="1">
      <c r="A73" s="531" t="s">
        <v>388</v>
      </c>
      <c r="B73" s="131" t="s">
        <v>24</v>
      </c>
      <c r="C73" s="529" t="s">
        <v>25</v>
      </c>
      <c r="D73" s="529"/>
      <c r="E73" s="26">
        <v>20.52</v>
      </c>
      <c r="F73" s="131">
        <v>3000</v>
      </c>
      <c r="G73" s="121">
        <f t="shared" si="84"/>
        <v>61560</v>
      </c>
      <c r="H73" s="76">
        <v>2</v>
      </c>
      <c r="I73" s="129">
        <v>18</v>
      </c>
      <c r="J73" s="18">
        <v>2400</v>
      </c>
      <c r="K73" s="9">
        <f t="shared" si="95"/>
        <v>133.33333333333334</v>
      </c>
      <c r="L73" s="17">
        <v>18</v>
      </c>
      <c r="M73" s="10">
        <f t="shared" si="90"/>
        <v>2222.2222222222213</v>
      </c>
      <c r="N73" s="9">
        <f t="shared" si="86"/>
        <v>123.45679012345674</v>
      </c>
      <c r="O73" s="11">
        <f t="shared" si="87"/>
        <v>0</v>
      </c>
      <c r="P73" s="12">
        <f t="shared" si="88"/>
        <v>-9.8765432098766013</v>
      </c>
      <c r="Q73" s="123">
        <f t="shared" si="91"/>
        <v>0.92592592592592549</v>
      </c>
      <c r="R73" s="533"/>
      <c r="S73" s="24">
        <v>0.44027777777777771</v>
      </c>
      <c r="T73" s="24">
        <v>0.49652777777777773</v>
      </c>
      <c r="U73" s="121">
        <f t="shared" si="94"/>
        <v>4.9999999999999822</v>
      </c>
      <c r="V73" s="130">
        <f t="shared" si="89"/>
        <v>81.000000000000028</v>
      </c>
      <c r="W73" s="14">
        <f>T73</f>
        <v>0.49652777777777773</v>
      </c>
      <c r="X73" s="14">
        <f>S74</f>
        <v>0.53680555555555554</v>
      </c>
      <c r="Y73" s="528"/>
      <c r="Z73" s="528"/>
      <c r="AA73" s="11">
        <f t="shared" si="92"/>
        <v>-177.77777777777874</v>
      </c>
      <c r="AB73" s="123">
        <f t="shared" si="93"/>
        <v>0.92592592592592549</v>
      </c>
      <c r="AC73" s="533"/>
    </row>
    <row r="74" spans="1:29" ht="15.75" customHeight="1">
      <c r="A74" s="531" t="s">
        <v>388</v>
      </c>
      <c r="B74" s="131" t="s">
        <v>24</v>
      </c>
      <c r="C74" s="534" t="s">
        <v>41</v>
      </c>
      <c r="D74" s="535"/>
      <c r="E74" s="26">
        <v>19.02</v>
      </c>
      <c r="F74" s="131">
        <v>7735</v>
      </c>
      <c r="G74" s="121">
        <f t="shared" si="84"/>
        <v>147119.69999999998</v>
      </c>
      <c r="H74" s="76" t="s">
        <v>52</v>
      </c>
      <c r="I74" s="129">
        <v>15</v>
      </c>
      <c r="J74" s="18">
        <v>2400</v>
      </c>
      <c r="K74" s="9">
        <f t="shared" si="95"/>
        <v>160</v>
      </c>
      <c r="L74" s="17">
        <v>15</v>
      </c>
      <c r="M74" s="10">
        <f t="shared" si="90"/>
        <v>2209.9999999999991</v>
      </c>
      <c r="N74" s="9">
        <f t="shared" si="86"/>
        <v>147.33333333333329</v>
      </c>
      <c r="O74" s="11">
        <f t="shared" si="87"/>
        <v>0</v>
      </c>
      <c r="P74" s="12">
        <f t="shared" si="88"/>
        <v>-12.666666666666714</v>
      </c>
      <c r="Q74" s="123">
        <f t="shared" si="91"/>
        <v>0.92083333333333306</v>
      </c>
      <c r="R74" s="533"/>
      <c r="S74" s="24">
        <v>0.53680555555555554</v>
      </c>
      <c r="T74" s="24">
        <v>0.68263888888888891</v>
      </c>
      <c r="U74" s="121">
        <f t="shared" si="94"/>
        <v>58.000000000000036</v>
      </c>
      <c r="V74" s="130">
        <f t="shared" si="89"/>
        <v>210.00000000000006</v>
      </c>
      <c r="W74" s="14"/>
      <c r="X74" s="14"/>
      <c r="Y74" s="536"/>
      <c r="Z74" s="537"/>
      <c r="AA74" s="11">
        <f t="shared" si="92"/>
        <v>-190.00000000000091</v>
      </c>
      <c r="AB74" s="123">
        <f t="shared" si="93"/>
        <v>0.92083333333333295</v>
      </c>
      <c r="AC74" s="533"/>
    </row>
    <row r="75" spans="1:29" ht="15.75" customHeight="1">
      <c r="A75" s="531" t="s">
        <v>387</v>
      </c>
      <c r="B75" s="131" t="s">
        <v>24</v>
      </c>
      <c r="C75" s="534" t="s">
        <v>25</v>
      </c>
      <c r="D75" s="535"/>
      <c r="E75" s="26">
        <v>20.52</v>
      </c>
      <c r="F75" s="131">
        <v>2033</v>
      </c>
      <c r="G75" s="121">
        <f t="shared" si="84"/>
        <v>41717.159999999996</v>
      </c>
      <c r="H75" s="76" t="s">
        <v>52</v>
      </c>
      <c r="I75" s="129">
        <v>18</v>
      </c>
      <c r="J75" s="18">
        <v>2400</v>
      </c>
      <c r="K75" s="9">
        <f t="shared" si="95"/>
        <v>133.33333333333334</v>
      </c>
      <c r="L75" s="17">
        <v>18</v>
      </c>
      <c r="M75" s="10">
        <f t="shared" si="90"/>
        <v>2217.8181818181833</v>
      </c>
      <c r="N75" s="9">
        <f t="shared" si="86"/>
        <v>123.2121212121213</v>
      </c>
      <c r="O75" s="11">
        <f t="shared" si="87"/>
        <v>0</v>
      </c>
      <c r="P75" s="12">
        <f t="shared" si="88"/>
        <v>-10.121212121212039</v>
      </c>
      <c r="Q75" s="123">
        <f t="shared" si="91"/>
        <v>0.92409090909090974</v>
      </c>
      <c r="R75" s="533"/>
      <c r="S75" s="24">
        <v>0.68819444444444444</v>
      </c>
      <c r="T75" s="24">
        <v>0.72638888888888886</v>
      </c>
      <c r="U75" s="121">
        <f t="shared" si="94"/>
        <v>7.9999999999999716</v>
      </c>
      <c r="V75" s="130">
        <f t="shared" si="89"/>
        <v>54.999999999999964</v>
      </c>
      <c r="W75" s="14"/>
      <c r="X75" s="14"/>
      <c r="Y75" s="536"/>
      <c r="Z75" s="537"/>
      <c r="AA75" s="11">
        <f t="shared" si="92"/>
        <v>-182.18181818181665</v>
      </c>
      <c r="AB75" s="123">
        <f t="shared" si="93"/>
        <v>0.92409090909090974</v>
      </c>
      <c r="AC75" s="533"/>
    </row>
    <row r="76" spans="1:29" ht="16.5" customHeight="1">
      <c r="A76" s="532" t="s">
        <v>388</v>
      </c>
      <c r="B76" s="26" t="s">
        <v>372</v>
      </c>
      <c r="C76" s="530"/>
      <c r="D76" s="530"/>
      <c r="E76" s="122"/>
      <c r="F76" s="16"/>
      <c r="G76" s="9"/>
      <c r="H76" s="131"/>
      <c r="I76" s="17">
        <v>17.25</v>
      </c>
      <c r="J76" s="18">
        <v>2400</v>
      </c>
      <c r="K76" s="9">
        <f t="shared" si="95"/>
        <v>139.13043478260869</v>
      </c>
      <c r="L76" s="17">
        <v>17.25</v>
      </c>
      <c r="M76" s="10">
        <f>AVERAGE(M68:M75)</f>
        <v>2220.0770191917036</v>
      </c>
      <c r="N76" s="9">
        <f>M76/L76</f>
        <v>128.70011705459152</v>
      </c>
      <c r="O76" s="11">
        <f>L76-I76</f>
        <v>0</v>
      </c>
      <c r="P76" s="12">
        <f>N76-K76</f>
        <v>-10.430317728017172</v>
      </c>
      <c r="Q76" s="123">
        <f t="shared" si="91"/>
        <v>0.92503209132987652</v>
      </c>
      <c r="R76" s="533"/>
      <c r="S76" s="24"/>
      <c r="T76" s="24"/>
      <c r="U76" s="9"/>
      <c r="V76" s="130"/>
      <c r="W76" s="9"/>
      <c r="X76" s="9"/>
      <c r="Y76" s="528"/>
      <c r="Z76" s="528"/>
      <c r="AA76" s="11">
        <f t="shared" si="92"/>
        <v>-179.92298080829642</v>
      </c>
      <c r="AB76" s="123">
        <f t="shared" si="93"/>
        <v>0.92503209132987652</v>
      </c>
      <c r="AC76" s="533"/>
    </row>
    <row r="77" spans="1:29">
      <c r="D77" s="19"/>
      <c r="E77" s="19"/>
    </row>
  </sheetData>
  <mergeCells count="200">
    <mergeCell ref="C61:D61"/>
    <mergeCell ref="R61:R67"/>
    <mergeCell ref="Y61:Z61"/>
    <mergeCell ref="A68:A76"/>
    <mergeCell ref="C68:D68"/>
    <mergeCell ref="R68:R76"/>
    <mergeCell ref="Y68:Z68"/>
    <mergeCell ref="AC68:AC76"/>
    <mergeCell ref="C69:D69"/>
    <mergeCell ref="Y69:Z69"/>
    <mergeCell ref="C70:D70"/>
    <mergeCell ref="Y70:Z70"/>
    <mergeCell ref="C71:D71"/>
    <mergeCell ref="C75:D75"/>
    <mergeCell ref="Y75:Z75"/>
    <mergeCell ref="C76:D76"/>
    <mergeCell ref="Y76:Z76"/>
    <mergeCell ref="Y71:Z71"/>
    <mergeCell ref="C72:D72"/>
    <mergeCell ref="Y72:Z72"/>
    <mergeCell ref="C73:D73"/>
    <mergeCell ref="Y73:Z73"/>
    <mergeCell ref="C74:D74"/>
    <mergeCell ref="Y74:Z74"/>
    <mergeCell ref="A55:A60"/>
    <mergeCell ref="C55:D55"/>
    <mergeCell ref="R55:R60"/>
    <mergeCell ref="Y55:Z55"/>
    <mergeCell ref="AC61:AC67"/>
    <mergeCell ref="C62:D62"/>
    <mergeCell ref="Y62:Z62"/>
    <mergeCell ref="C63:D63"/>
    <mergeCell ref="Y63:Z63"/>
    <mergeCell ref="C64:D64"/>
    <mergeCell ref="AC55:AC60"/>
    <mergeCell ref="C56:D56"/>
    <mergeCell ref="Y56:Z56"/>
    <mergeCell ref="C57:D57"/>
    <mergeCell ref="C60:D60"/>
    <mergeCell ref="Y60:Z60"/>
    <mergeCell ref="Y64:Z64"/>
    <mergeCell ref="C65:D65"/>
    <mergeCell ref="Y65:Z65"/>
    <mergeCell ref="C66:D66"/>
    <mergeCell ref="Y66:Z66"/>
    <mergeCell ref="C67:D67"/>
    <mergeCell ref="Y67:Z67"/>
    <mergeCell ref="A61:A67"/>
    <mergeCell ref="A46:A54"/>
    <mergeCell ref="C46:D46"/>
    <mergeCell ref="R46:R54"/>
    <mergeCell ref="Y46:Z46"/>
    <mergeCell ref="Y51:Z51"/>
    <mergeCell ref="C52:D52"/>
    <mergeCell ref="AC46:AC54"/>
    <mergeCell ref="C47:D47"/>
    <mergeCell ref="Y47:Z47"/>
    <mergeCell ref="C48:D48"/>
    <mergeCell ref="Y48:Z48"/>
    <mergeCell ref="C49:D49"/>
    <mergeCell ref="Y49:Z49"/>
    <mergeCell ref="C50:D50"/>
    <mergeCell ref="Y50:Z50"/>
    <mergeCell ref="C51:D51"/>
    <mergeCell ref="Y52:Z52"/>
    <mergeCell ref="C53:D53"/>
    <mergeCell ref="Y53:Z53"/>
    <mergeCell ref="C54:D54"/>
    <mergeCell ref="Y54:Z54"/>
    <mergeCell ref="AC35:AC45"/>
    <mergeCell ref="C36:D36"/>
    <mergeCell ref="Y36:Z36"/>
    <mergeCell ref="C37:D37"/>
    <mergeCell ref="Y37:Z37"/>
    <mergeCell ref="AC28:AC34"/>
    <mergeCell ref="C29:D29"/>
    <mergeCell ref="Y29:Z29"/>
    <mergeCell ref="C30:D30"/>
    <mergeCell ref="Y30:Z30"/>
    <mergeCell ref="C31:D31"/>
    <mergeCell ref="Y31:Z31"/>
    <mergeCell ref="C32:D32"/>
    <mergeCell ref="Y32:Z32"/>
    <mergeCell ref="C33:D33"/>
    <mergeCell ref="C41:D41"/>
    <mergeCell ref="Y41:Z41"/>
    <mergeCell ref="C42:D42"/>
    <mergeCell ref="Y42:Z42"/>
    <mergeCell ref="C43:D43"/>
    <mergeCell ref="Y43:Z43"/>
    <mergeCell ref="C38:D38"/>
    <mergeCell ref="Y38:Z38"/>
    <mergeCell ref="C39:D39"/>
    <mergeCell ref="A28:A34"/>
    <mergeCell ref="C28:D28"/>
    <mergeCell ref="R28:R34"/>
    <mergeCell ref="Y28:Z28"/>
    <mergeCell ref="Y33:Z33"/>
    <mergeCell ref="C34:D34"/>
    <mergeCell ref="Y34:Z34"/>
    <mergeCell ref="A35:A45"/>
    <mergeCell ref="C35:D35"/>
    <mergeCell ref="R35:R45"/>
    <mergeCell ref="Y35:Z35"/>
    <mergeCell ref="Y39:Z39"/>
    <mergeCell ref="C40:D40"/>
    <mergeCell ref="Y40:Z40"/>
    <mergeCell ref="C44:D44"/>
    <mergeCell ref="Y44:Z44"/>
    <mergeCell ref="C45:D45"/>
    <mergeCell ref="Y45:Z45"/>
    <mergeCell ref="AC19:AC27"/>
    <mergeCell ref="C20:D20"/>
    <mergeCell ref="Y20:Z20"/>
    <mergeCell ref="C21:D21"/>
    <mergeCell ref="Y21:Z21"/>
    <mergeCell ref="C22:D22"/>
    <mergeCell ref="Y22:Z22"/>
    <mergeCell ref="C23:D23"/>
    <mergeCell ref="Y23:Z23"/>
    <mergeCell ref="C24:D24"/>
    <mergeCell ref="C26:D26"/>
    <mergeCell ref="Y26:Z26"/>
    <mergeCell ref="C27:D27"/>
    <mergeCell ref="Y27:Z27"/>
    <mergeCell ref="A19:A27"/>
    <mergeCell ref="C19:D19"/>
    <mergeCell ref="R19:R27"/>
    <mergeCell ref="Y19:Z19"/>
    <mergeCell ref="Y24:Z24"/>
    <mergeCell ref="C25:D25"/>
    <mergeCell ref="Y25:Z25"/>
    <mergeCell ref="A14:A18"/>
    <mergeCell ref="C14:D14"/>
    <mergeCell ref="R14:R18"/>
    <mergeCell ref="Y14:Z14"/>
    <mergeCell ref="AC14:AC18"/>
    <mergeCell ref="C15:D15"/>
    <mergeCell ref="Y15:Z15"/>
    <mergeCell ref="C16:D16"/>
    <mergeCell ref="Y16:Z16"/>
    <mergeCell ref="C17:D17"/>
    <mergeCell ref="AC9:AC13"/>
    <mergeCell ref="C10:D10"/>
    <mergeCell ref="Y10:Z10"/>
    <mergeCell ref="C11:D11"/>
    <mergeCell ref="Y11:Z11"/>
    <mergeCell ref="C12:D12"/>
    <mergeCell ref="Y12:Z12"/>
    <mergeCell ref="C13:D13"/>
    <mergeCell ref="Y13:Z13"/>
    <mergeCell ref="Y17:Z17"/>
    <mergeCell ref="C18:D18"/>
    <mergeCell ref="Y18:Z18"/>
    <mergeCell ref="C8:D8"/>
    <mergeCell ref="Y8:Z8"/>
    <mergeCell ref="A9:A13"/>
    <mergeCell ref="C9:D9"/>
    <mergeCell ref="R9:R13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64:O73 O76 O5:O9 O13:O15 O54:O61 O18:O51">
    <cfRule type="cellIs" dxfId="319" priority="60" operator="greaterThan">
      <formula>0</formula>
    </cfRule>
  </conditionalFormatting>
  <conditionalFormatting sqref="P5:P7 P64:P66 AA64:AA66 P68:P73 P28:P33 P61 P9 P13:P15 P19:P26 P55:P59 P35:P51 AA5:AA61 AA68:AA76">
    <cfRule type="cellIs" dxfId="318" priority="64" operator="lessThan">
      <formula>0</formula>
    </cfRule>
  </conditionalFormatting>
  <conditionalFormatting sqref="AB64:AB66 Q64:Q73 Q76 Q5:Q9 Q13:Q15 Q54:Q61 Q18:Q51 AB5:AB61 AB68:AB76">
    <cfRule type="cellIs" dxfId="317" priority="61" operator="greaterThan">
      <formula>1</formula>
    </cfRule>
    <cfRule type="cellIs" dxfId="316" priority="62" operator="lessThan">
      <formula>0.8</formula>
    </cfRule>
  </conditionalFormatting>
  <conditionalFormatting sqref="AC14:AC15 R14:R15 AC64 R64:R73 R18:R24 AC18:AC24 R27:R42 AC27:AC42 R76 AC5:AC9 R5:R9 R45:R51 AC45:AC51 AC54:AC61 R54:R61">
    <cfRule type="cellIs" dxfId="315" priority="66" operator="lessThan">
      <formula>0.8</formula>
    </cfRule>
  </conditionalFormatting>
  <conditionalFormatting sqref="AC46">
    <cfRule type="cellIs" dxfId="314" priority="68" operator="lessThan">
      <formula>0.8</formula>
    </cfRule>
  </conditionalFormatting>
  <conditionalFormatting sqref="AC19:AC24">
    <cfRule type="cellIs" dxfId="313" priority="65" operator="lessThan">
      <formula>0.8</formula>
    </cfRule>
  </conditionalFormatting>
  <conditionalFormatting sqref="AC28">
    <cfRule type="cellIs" dxfId="312" priority="67" operator="lessThan">
      <formula>0.8</formula>
    </cfRule>
  </conditionalFormatting>
  <conditionalFormatting sqref="AC35:AC42">
    <cfRule type="cellIs" dxfId="311" priority="63" operator="lessThan">
      <formula>0.8</formula>
    </cfRule>
  </conditionalFormatting>
  <conditionalFormatting sqref="AA67">
    <cfRule type="cellIs" dxfId="310" priority="59" operator="lessThan">
      <formula>0</formula>
    </cfRule>
  </conditionalFormatting>
  <conditionalFormatting sqref="AB67">
    <cfRule type="cellIs" dxfId="309" priority="57" operator="greaterThan">
      <formula>1</formula>
    </cfRule>
    <cfRule type="cellIs" dxfId="308" priority="58" operator="lessThan">
      <formula>0.8</formula>
    </cfRule>
  </conditionalFormatting>
  <conditionalFormatting sqref="O16:O17">
    <cfRule type="cellIs" dxfId="307" priority="52" operator="greaterThan">
      <formula>0</formula>
    </cfRule>
  </conditionalFormatting>
  <conditionalFormatting sqref="P16:P17">
    <cfRule type="cellIs" dxfId="306" priority="55" operator="lessThan">
      <formula>0</formula>
    </cfRule>
  </conditionalFormatting>
  <conditionalFormatting sqref="Q16:Q17">
    <cfRule type="cellIs" dxfId="305" priority="53" operator="greaterThan">
      <formula>1</formula>
    </cfRule>
    <cfRule type="cellIs" dxfId="304" priority="54" operator="lessThan">
      <formula>0.8</formula>
    </cfRule>
  </conditionalFormatting>
  <conditionalFormatting sqref="R16:R17 AC16:AC17">
    <cfRule type="cellIs" dxfId="303" priority="56" operator="lessThan">
      <formula>0.8</formula>
    </cfRule>
  </conditionalFormatting>
  <conditionalFormatting sqref="O10:O12">
    <cfRule type="cellIs" dxfId="302" priority="48" operator="greaterThan">
      <formula>0</formula>
    </cfRule>
  </conditionalFormatting>
  <conditionalFormatting sqref="P10:P12">
    <cfRule type="cellIs" dxfId="301" priority="51" operator="lessThan">
      <formula>0</formula>
    </cfRule>
  </conditionalFormatting>
  <conditionalFormatting sqref="Q10:Q12">
    <cfRule type="cellIs" dxfId="300" priority="49" operator="greaterThan">
      <formula>1</formula>
    </cfRule>
    <cfRule type="cellIs" dxfId="299" priority="50" operator="lessThan">
      <formula>0.8</formula>
    </cfRule>
  </conditionalFormatting>
  <conditionalFormatting sqref="AC26 R26">
    <cfRule type="cellIs" dxfId="298" priority="47" operator="lessThan">
      <formula>0.8</formula>
    </cfRule>
  </conditionalFormatting>
  <conditionalFormatting sqref="R43 AC43">
    <cfRule type="cellIs" dxfId="297" priority="46" operator="lessThan">
      <formula>0.8</formula>
    </cfRule>
  </conditionalFormatting>
  <conditionalFormatting sqref="AC43">
    <cfRule type="cellIs" dxfId="296" priority="45" operator="lessThan">
      <formula>0.8</formula>
    </cfRule>
  </conditionalFormatting>
  <conditionalFormatting sqref="O63">
    <cfRule type="cellIs" dxfId="295" priority="40" operator="greaterThan">
      <formula>0</formula>
    </cfRule>
  </conditionalFormatting>
  <conditionalFormatting sqref="P63 AA63">
    <cfRule type="cellIs" dxfId="294" priority="43" operator="lessThan">
      <formula>0</formula>
    </cfRule>
  </conditionalFormatting>
  <conditionalFormatting sqref="Q63 AB63">
    <cfRule type="cellIs" dxfId="293" priority="41" operator="greaterThan">
      <formula>1</formula>
    </cfRule>
    <cfRule type="cellIs" dxfId="292" priority="42" operator="lessThan">
      <formula>0.8</formula>
    </cfRule>
  </conditionalFormatting>
  <conditionalFormatting sqref="R63 AC63">
    <cfRule type="cellIs" dxfId="291" priority="44" operator="lessThan">
      <formula>0.8</formula>
    </cfRule>
  </conditionalFormatting>
  <conditionalFormatting sqref="O74">
    <cfRule type="cellIs" dxfId="290" priority="35" operator="greaterThan">
      <formula>0</formula>
    </cfRule>
  </conditionalFormatting>
  <conditionalFormatting sqref="P74">
    <cfRule type="cellIs" dxfId="289" priority="38" operator="lessThan">
      <formula>0</formula>
    </cfRule>
  </conditionalFormatting>
  <conditionalFormatting sqref="Q74">
    <cfRule type="cellIs" dxfId="288" priority="36" operator="greaterThan">
      <formula>1</formula>
    </cfRule>
    <cfRule type="cellIs" dxfId="287" priority="37" operator="lessThan">
      <formula>0.8</formula>
    </cfRule>
  </conditionalFormatting>
  <conditionalFormatting sqref="R74">
    <cfRule type="cellIs" dxfId="286" priority="39" operator="lessThan">
      <formula>0.8</formula>
    </cfRule>
  </conditionalFormatting>
  <conditionalFormatting sqref="O52">
    <cfRule type="cellIs" dxfId="285" priority="29" operator="greaterThan">
      <formula>0</formula>
    </cfRule>
  </conditionalFormatting>
  <conditionalFormatting sqref="P52">
    <cfRule type="cellIs" dxfId="284" priority="33" operator="lessThan">
      <formula>0</formula>
    </cfRule>
  </conditionalFormatting>
  <conditionalFormatting sqref="Q52">
    <cfRule type="cellIs" dxfId="283" priority="30" operator="greaterThan">
      <formula>1</formula>
    </cfRule>
    <cfRule type="cellIs" dxfId="282" priority="31" operator="lessThan">
      <formula>0.8</formula>
    </cfRule>
  </conditionalFormatting>
  <conditionalFormatting sqref="R52 AC52">
    <cfRule type="cellIs" dxfId="281" priority="34" operator="lessThan">
      <formula>0.8</formula>
    </cfRule>
  </conditionalFormatting>
  <conditionalFormatting sqref="AC52">
    <cfRule type="cellIs" dxfId="280" priority="32" operator="lessThan">
      <formula>0.8</formula>
    </cfRule>
  </conditionalFormatting>
  <conditionalFormatting sqref="O53">
    <cfRule type="cellIs" dxfId="279" priority="23" operator="greaterThan">
      <formula>0</formula>
    </cfRule>
  </conditionalFormatting>
  <conditionalFormatting sqref="P53">
    <cfRule type="cellIs" dxfId="278" priority="27" operator="lessThan">
      <formula>0</formula>
    </cfRule>
  </conditionalFormatting>
  <conditionalFormatting sqref="Q53">
    <cfRule type="cellIs" dxfId="277" priority="24" operator="greaterThan">
      <formula>1</formula>
    </cfRule>
    <cfRule type="cellIs" dxfId="276" priority="25" operator="lessThan">
      <formula>0.8</formula>
    </cfRule>
  </conditionalFormatting>
  <conditionalFormatting sqref="R53 AC53">
    <cfRule type="cellIs" dxfId="275" priority="28" operator="lessThan">
      <formula>0.8</formula>
    </cfRule>
  </conditionalFormatting>
  <conditionalFormatting sqref="AC53">
    <cfRule type="cellIs" dxfId="274" priority="26" operator="lessThan">
      <formula>0.8</formula>
    </cfRule>
  </conditionalFormatting>
  <conditionalFormatting sqref="R25 AC25">
    <cfRule type="cellIs" dxfId="273" priority="22" operator="lessThan">
      <formula>0.8</formula>
    </cfRule>
  </conditionalFormatting>
  <conditionalFormatting sqref="AC25">
    <cfRule type="cellIs" dxfId="272" priority="21" operator="lessThan">
      <formula>0.8</formula>
    </cfRule>
  </conditionalFormatting>
  <conditionalFormatting sqref="O62">
    <cfRule type="cellIs" dxfId="271" priority="16" operator="greaterThan">
      <formula>0</formula>
    </cfRule>
  </conditionalFormatting>
  <conditionalFormatting sqref="P62 AA62">
    <cfRule type="cellIs" dxfId="270" priority="19" operator="lessThan">
      <formula>0</formula>
    </cfRule>
  </conditionalFormatting>
  <conditionalFormatting sqref="Q62 AB62">
    <cfRule type="cellIs" dxfId="269" priority="17" operator="greaterThan">
      <formula>1</formula>
    </cfRule>
    <cfRule type="cellIs" dxfId="268" priority="18" operator="lessThan">
      <formula>0.8</formula>
    </cfRule>
  </conditionalFormatting>
  <conditionalFormatting sqref="R62 AC62">
    <cfRule type="cellIs" dxfId="267" priority="20" operator="lessThan">
      <formula>0.8</formula>
    </cfRule>
  </conditionalFormatting>
  <conditionalFormatting sqref="P8">
    <cfRule type="cellIs" dxfId="266" priority="15" operator="lessThan">
      <formula>0</formula>
    </cfRule>
  </conditionalFormatting>
  <conditionalFormatting sqref="P18">
    <cfRule type="cellIs" dxfId="265" priority="14" operator="lessThan">
      <formula>0</formula>
    </cfRule>
  </conditionalFormatting>
  <conditionalFormatting sqref="P27">
    <cfRule type="cellIs" dxfId="264" priority="13" operator="lessThan">
      <formula>0</formula>
    </cfRule>
  </conditionalFormatting>
  <conditionalFormatting sqref="P34">
    <cfRule type="cellIs" dxfId="263" priority="12" operator="lessThan">
      <formula>0</formula>
    </cfRule>
  </conditionalFormatting>
  <conditionalFormatting sqref="P54">
    <cfRule type="cellIs" dxfId="262" priority="11" operator="lessThan">
      <formula>0</formula>
    </cfRule>
  </conditionalFormatting>
  <conditionalFormatting sqref="P60">
    <cfRule type="cellIs" dxfId="261" priority="10" operator="lessThan">
      <formula>0</formula>
    </cfRule>
  </conditionalFormatting>
  <conditionalFormatting sqref="P67">
    <cfRule type="cellIs" dxfId="260" priority="9" operator="lessThan">
      <formula>0</formula>
    </cfRule>
  </conditionalFormatting>
  <conditionalFormatting sqref="P76">
    <cfRule type="cellIs" dxfId="259" priority="8" operator="lessThan">
      <formula>0</formula>
    </cfRule>
  </conditionalFormatting>
  <conditionalFormatting sqref="R44 AC44">
    <cfRule type="cellIs" dxfId="258" priority="7" operator="lessThan">
      <formula>0.8</formula>
    </cfRule>
  </conditionalFormatting>
  <conditionalFormatting sqref="AC44">
    <cfRule type="cellIs" dxfId="257" priority="6" operator="lessThan">
      <formula>0.8</formula>
    </cfRule>
  </conditionalFormatting>
  <conditionalFormatting sqref="O75">
    <cfRule type="cellIs" dxfId="256" priority="1" operator="greaterThan">
      <formula>0</formula>
    </cfRule>
  </conditionalFormatting>
  <conditionalFormatting sqref="P75">
    <cfRule type="cellIs" dxfId="255" priority="4" operator="lessThan">
      <formula>0</formula>
    </cfRule>
  </conditionalFormatting>
  <conditionalFormatting sqref="Q75">
    <cfRule type="cellIs" dxfId="254" priority="2" operator="greaterThan">
      <formula>1</formula>
    </cfRule>
    <cfRule type="cellIs" dxfId="253" priority="3" operator="lessThan">
      <formula>0.8</formula>
    </cfRule>
  </conditionalFormatting>
  <conditionalFormatting sqref="R75">
    <cfRule type="cellIs" dxfId="252" priority="5" operator="lessThan">
      <formula>0.8</formula>
    </cfRule>
  </conditionalFormatting>
  <dataValidations count="1">
    <dataValidation type="list" allowBlank="1" showInputMessage="1" showErrorMessage="1" sqref="Z8 Z65:Z66 Y5:Z7 Y8:Y66 Z10:Z61 Y67:Z76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/>
  <dimension ref="B1:Q28"/>
  <sheetViews>
    <sheetView zoomScale="70" zoomScaleNormal="70" workbookViewId="0">
      <selection activeCell="C3" sqref="C3:D3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521" t="s">
        <v>121</v>
      </c>
      <c r="C1" s="521"/>
      <c r="D1" s="521"/>
      <c r="E1" s="521"/>
      <c r="F1" s="521"/>
      <c r="G1" s="521"/>
      <c r="H1" s="521"/>
      <c r="I1" s="521"/>
      <c r="J1" s="521"/>
      <c r="K1" s="28"/>
      <c r="L1" s="28"/>
      <c r="M1" s="28"/>
      <c r="N1" s="28"/>
      <c r="O1" s="28"/>
      <c r="P1" s="28"/>
    </row>
    <row r="2" spans="2:17" ht="27.75" customHeight="1">
      <c r="B2" s="522"/>
      <c r="C2" s="522"/>
      <c r="D2" s="522"/>
      <c r="E2" s="522"/>
      <c r="F2" s="522"/>
      <c r="G2" s="522"/>
      <c r="H2" s="522"/>
      <c r="I2" s="522"/>
      <c r="J2" s="522"/>
      <c r="K2" s="30"/>
      <c r="L2" s="30"/>
      <c r="M2" s="30"/>
      <c r="N2" s="28"/>
      <c r="O2" s="28"/>
      <c r="P2" s="28"/>
    </row>
    <row r="3" spans="2:17" ht="46.5" customHeight="1">
      <c r="B3" s="105" t="s">
        <v>122</v>
      </c>
      <c r="C3" s="523" t="str">
        <f>TEXT('0804 4度C'!A2,"yyyy.mm.ddaaaa")</f>
        <v>2025.08.04星期一</v>
      </c>
      <c r="D3" s="523"/>
      <c r="E3" s="105" t="s">
        <v>174</v>
      </c>
      <c r="F3" s="524">
        <f>'0804 4度C'!D1</f>
        <v>171646</v>
      </c>
      <c r="G3" s="524"/>
      <c r="H3" s="105" t="s">
        <v>90</v>
      </c>
      <c r="I3" s="581">
        <f>'0804 4度C'!F1</f>
        <v>5873416.1200000001</v>
      </c>
      <c r="J3" s="581"/>
      <c r="K3" s="31"/>
      <c r="L3" s="32"/>
      <c r="M3" s="33"/>
      <c r="N3" s="33"/>
    </row>
    <row r="4" spans="2:17" ht="28.5" customHeight="1">
      <c r="B4" s="516" t="s">
        <v>124</v>
      </c>
      <c r="C4" s="516" t="s">
        <v>259</v>
      </c>
      <c r="D4" s="516"/>
      <c r="E4" s="526" t="s">
        <v>260</v>
      </c>
      <c r="F4" s="526"/>
      <c r="G4" s="526" t="s">
        <v>261</v>
      </c>
      <c r="H4" s="526"/>
      <c r="I4" s="526" t="s">
        <v>262</v>
      </c>
      <c r="J4" s="526"/>
      <c r="L4" s="33"/>
      <c r="M4" s="33"/>
      <c r="N4" s="33"/>
    </row>
    <row r="5" spans="2:17" ht="28.5" customHeight="1">
      <c r="B5" s="516"/>
      <c r="C5" s="516" t="s">
        <v>109</v>
      </c>
      <c r="D5" s="516"/>
      <c r="E5" s="516" t="s">
        <v>125</v>
      </c>
      <c r="F5" s="516"/>
      <c r="G5" s="517" t="s">
        <v>263</v>
      </c>
      <c r="H5" s="517"/>
      <c r="I5" s="582" t="s">
        <v>264</v>
      </c>
      <c r="J5" s="582"/>
      <c r="K5" s="33"/>
      <c r="L5" s="33"/>
      <c r="M5" s="33"/>
      <c r="N5" s="33"/>
    </row>
    <row r="6" spans="2:17" ht="28.5" customHeight="1">
      <c r="B6" s="516"/>
      <c r="C6" s="516" t="s">
        <v>43</v>
      </c>
      <c r="D6" s="516"/>
      <c r="E6" s="519">
        <f>AVERAGE(D13:M13)</f>
        <v>148.51698902393181</v>
      </c>
      <c r="F6" s="516">
        <f>AVERAGE(D27:O27,D13:J13)</f>
        <v>154.16231196250016</v>
      </c>
      <c r="G6" s="520">
        <f>AVERAGE(D13:J13)</f>
        <v>154.16231196250016</v>
      </c>
      <c r="H6" s="520"/>
      <c r="I6" s="520">
        <f>AVERAGE(K13:M13)</f>
        <v>135.34456883393895</v>
      </c>
      <c r="J6" s="520"/>
      <c r="K6" s="33"/>
      <c r="L6" s="33"/>
      <c r="M6" s="33"/>
      <c r="N6" s="33"/>
    </row>
    <row r="7" spans="2:17" ht="28.5" customHeight="1">
      <c r="B7" s="516"/>
      <c r="C7" s="510" t="s">
        <v>44</v>
      </c>
      <c r="D7" s="510"/>
      <c r="E7" s="511">
        <f>AVERAGE(D14:M14)</f>
        <v>136.52359487374747</v>
      </c>
      <c r="F7" s="512">
        <f>AVERAGE(D28:O28,D14:J14)</f>
        <v>141.88325837363703</v>
      </c>
      <c r="G7" s="513">
        <f>AVERAGE(D14:J14)</f>
        <v>141.88325837363703</v>
      </c>
      <c r="H7" s="513"/>
      <c r="I7" s="513">
        <f>AVERAGE(K14:M14)</f>
        <v>124.01771337400514</v>
      </c>
      <c r="J7" s="513"/>
      <c r="K7" s="33"/>
      <c r="L7" s="33"/>
      <c r="M7" s="33"/>
      <c r="N7" s="33"/>
    </row>
    <row r="8" spans="2:17" ht="28.5" customHeight="1">
      <c r="B8" s="516"/>
      <c r="C8" s="510" t="s">
        <v>45</v>
      </c>
      <c r="D8" s="510"/>
      <c r="E8" s="514">
        <f>AVERAGE(D15:M15)</f>
        <v>0.9191283532617307</v>
      </c>
      <c r="F8" s="510">
        <f>AVERAGE(D15:J15,D29:O29)</f>
        <v>0.92030661905335032</v>
      </c>
      <c r="G8" s="515">
        <f>AVERAGE(D15:J15)</f>
        <v>0.92030661905335032</v>
      </c>
      <c r="H8" s="515"/>
      <c r="I8" s="515">
        <f>AVERAGE(K15:M15)</f>
        <v>0.91637906641461819</v>
      </c>
      <c r="J8" s="515"/>
      <c r="K8" s="34" t="s">
        <v>126</v>
      </c>
      <c r="L8" s="33"/>
      <c r="M8" s="33"/>
      <c r="N8" s="33"/>
    </row>
    <row r="9" spans="2:17" ht="28.5" customHeight="1" thickBot="1">
      <c r="H9" s="36"/>
      <c r="N9" s="33"/>
      <c r="O9" s="33"/>
      <c r="P9" s="33"/>
      <c r="Q9" s="33"/>
    </row>
    <row r="10" spans="2:17" ht="30" customHeight="1">
      <c r="B10" s="501" t="s">
        <v>127</v>
      </c>
      <c r="C10" s="502"/>
      <c r="D10" s="503" t="s">
        <v>128</v>
      </c>
      <c r="E10" s="504"/>
      <c r="F10" s="504"/>
      <c r="G10" s="504"/>
      <c r="H10" s="504"/>
      <c r="I10" s="504"/>
      <c r="J10" s="505"/>
      <c r="K10" s="506" t="s">
        <v>129</v>
      </c>
      <c r="L10" s="583"/>
      <c r="M10" s="507"/>
      <c r="P10" s="37"/>
      <c r="Q10" s="37"/>
    </row>
    <row r="11" spans="2:17" ht="17.25" customHeight="1">
      <c r="B11" s="493" t="s">
        <v>130</v>
      </c>
      <c r="C11" s="494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39">
        <v>6</v>
      </c>
      <c r="J11" s="40">
        <v>7</v>
      </c>
      <c r="K11" s="38">
        <v>1</v>
      </c>
      <c r="L11" s="39">
        <v>2</v>
      </c>
      <c r="M11" s="40">
        <v>3</v>
      </c>
      <c r="P11" s="37"/>
      <c r="Q11" s="37"/>
    </row>
    <row r="12" spans="2:17" ht="34.15" customHeight="1">
      <c r="B12" s="493"/>
      <c r="C12" s="494"/>
      <c r="D12" s="41" t="s">
        <v>131</v>
      </c>
      <c r="E12" s="42" t="s">
        <v>132</v>
      </c>
      <c r="F12" s="42" t="s">
        <v>133</v>
      </c>
      <c r="G12" s="42" t="s">
        <v>70</v>
      </c>
      <c r="H12" s="42" t="s">
        <v>134</v>
      </c>
      <c r="I12" s="42" t="s">
        <v>135</v>
      </c>
      <c r="J12" s="43" t="s">
        <v>136</v>
      </c>
      <c r="K12" s="41" t="s">
        <v>137</v>
      </c>
      <c r="L12" s="42" t="s">
        <v>138</v>
      </c>
      <c r="M12" s="43" t="s">
        <v>194</v>
      </c>
    </row>
    <row r="13" spans="2:17" ht="40.15" customHeight="1">
      <c r="B13" s="508" t="s">
        <v>116</v>
      </c>
      <c r="C13" s="44" t="s">
        <v>141</v>
      </c>
      <c r="D13" s="45">
        <f>SUMIFS('0804 4度C'!$K:$K,'0804 4度C'!$A:$A,"燴飯線",'0804 4度C'!$B:$B,"平均")</f>
        <v>117.64705882352941</v>
      </c>
      <c r="E13" s="46">
        <f>SUMIFS('0804 4度C'!$K:$K,'0804 4度C'!$A:$A,"沙拉線一線",'0804 4度C'!$B:$B,"平均")</f>
        <v>81.081081081081081</v>
      </c>
      <c r="F13" s="47">
        <f>SUMIFS('0804 4度C'!$K:$K,'0804 4度C'!$A:$A,"沙拉線二線",'0804 4度C'!$B:$B,"平均")</f>
        <v>93.333333333333329</v>
      </c>
      <c r="G13" s="47">
        <f>SUMIFS('0804 4度C'!$K:$K,'0804 4度C'!$A:$A,"沙拉線三線",'0804 4度C'!$B:$B,"平均")</f>
        <v>118.51851851851852</v>
      </c>
      <c r="H13" s="47">
        <f>SUMIFS('0804 4度C'!$K:$K,'0804 4度C'!$A:$A,"自動包裝線",'0804 4度C'!$B:$B,"平均")</f>
        <v>300</v>
      </c>
      <c r="I13" s="47">
        <f>SUMIFS('0804 4度C'!$K:$K,'0804 4度C'!$A:$A,"涼麵一線",'0804 4度C'!$B:$B,"平均")</f>
        <v>114.4578313253012</v>
      </c>
      <c r="J13" s="48">
        <f>SUMIFS('0804 4度C'!$K:$K,'0804 4度C'!$A:$A,"三明治四線",'0804 4度C'!$B:$B,"平均")</f>
        <v>254.09836065573774</v>
      </c>
      <c r="K13" s="49">
        <f>SUMIFS('0804 4度C'!$K:$K,'0804 4度C'!$A:$A,"三明治一線",'0804 4度C'!$B:$B,"平均")</f>
        <v>137.70491803278691</v>
      </c>
      <c r="L13" s="50">
        <f>SUMIFS('0804 4度C'!$K:$K,'0804 4度C'!$A:$A,"三明治二線",'0804 4度C'!$B:$B,"平均")</f>
        <v>127.1523178807947</v>
      </c>
      <c r="M13" s="48">
        <f>SUMIFS('0804 4度C'!$K:$K,'0804 4度C'!$A:$A,"自動包裝二線",'0804 4度C'!$B:$B,"平均")</f>
        <v>141.1764705882353</v>
      </c>
    </row>
    <row r="14" spans="2:17" ht="39.6" customHeight="1">
      <c r="B14" s="508"/>
      <c r="C14" s="51" t="s">
        <v>69</v>
      </c>
      <c r="D14" s="52">
        <f>SUMIFS('0804 4度C'!$N:$N,'0804 4度C'!$A:$A,"燴飯線",'0804 4度C'!$B:$B,"平均")</f>
        <v>109.03143369588211</v>
      </c>
      <c r="E14" s="53">
        <f>SUMIFS('0804 4度C'!$N:$N,'0804 4度C'!$A:$A,"沙拉線一線",'0804 4度C'!$B:$B,"平均")</f>
        <v>74.169544496120409</v>
      </c>
      <c r="F14" s="53">
        <f>SUMIFS('0804 4度C'!$N:$N,'0804 4度C'!$A:$A,"沙拉線二線",'0804 4度C'!$B:$B,"平均")</f>
        <v>85.450512555899564</v>
      </c>
      <c r="G14" s="53">
        <f>SUMIFS('0804 4度C'!$N:$N,'0804 4度C'!$A:$A,"沙拉線三線",'0804 4度C'!$B:$B,"平均")</f>
        <v>110.15549374651245</v>
      </c>
      <c r="H14" s="53">
        <f>SUMIFS('0804 4度C'!$N:$N,'0804 4度C'!$A:$A,"自動包裝線",'0804 4度C'!$B:$B,"平均")</f>
        <v>275.85781039827805</v>
      </c>
      <c r="I14" s="53">
        <f>SUMIFS('0804 4度C'!$N:$N,'0804 4度C'!$A:$A,"涼麵一線",'0804 4度C'!$B:$B,"平均")</f>
        <v>104.94635158983733</v>
      </c>
      <c r="J14" s="54">
        <f>SUMIFS('0804 4度C'!$N:$N,'0804 4度C'!$A:$A,"三明治四線",'0804 4度C'!$B:$B,"平均")</f>
        <v>233.57166213292913</v>
      </c>
      <c r="K14" s="55">
        <f>SUMIFS('0804 4度C'!$N:$N,'0804 4度C'!$A:$A,"三明治一線",'0804 4度C'!$B:$B,"平均")</f>
        <v>125.95752599955941</v>
      </c>
      <c r="L14" s="56">
        <f>SUMIFS('0804 4度C'!$N:$N,'0804 4度C'!$A:$A,"三明治二線",'0804 4度C'!$B:$B,"平均")</f>
        <v>116.82351960215276</v>
      </c>
      <c r="M14" s="54">
        <f>SUMIFS('0804 4度C'!$N:$N,'0804 4度C'!$A:$A,"自動包裝二線",'0804 4度C'!$B:$B,"平均")</f>
        <v>129.27209452030323</v>
      </c>
    </row>
    <row r="15" spans="2:17" ht="40.15" customHeight="1">
      <c r="B15" s="508"/>
      <c r="C15" s="57" t="s">
        <v>142</v>
      </c>
      <c r="D15" s="58">
        <f>D14/D13</f>
        <v>0.926767186414998</v>
      </c>
      <c r="E15" s="59">
        <f t="shared" ref="E15:M15" si="0">E14/E13</f>
        <v>0.91475771545215168</v>
      </c>
      <c r="F15" s="59">
        <f t="shared" si="0"/>
        <v>0.91554120595606681</v>
      </c>
      <c r="G15" s="59">
        <f t="shared" si="0"/>
        <v>0.92943697848619877</v>
      </c>
      <c r="H15" s="59">
        <f>H14/H13</f>
        <v>0.91952603466092686</v>
      </c>
      <c r="I15" s="59">
        <f>I14/I13</f>
        <v>0.91689970336384197</v>
      </c>
      <c r="J15" s="60">
        <f>J14/J13</f>
        <v>0.91921750903926935</v>
      </c>
      <c r="K15" s="58">
        <f>K14/K13</f>
        <v>0.91469155785394318</v>
      </c>
      <c r="L15" s="59">
        <f>L14/L13</f>
        <v>0.91876830520443054</v>
      </c>
      <c r="M15" s="60">
        <f t="shared" si="0"/>
        <v>0.91567733618548108</v>
      </c>
    </row>
    <row r="16" spans="2:17" ht="17.25" customHeight="1">
      <c r="B16" s="509" t="s">
        <v>265</v>
      </c>
      <c r="C16" s="106" t="s">
        <v>266</v>
      </c>
      <c r="D16" s="61">
        <f>VLOOKUP("燴飯線",'0804 4度C'!$A:$T,19,0)</f>
        <v>0.70833333333333337</v>
      </c>
      <c r="E16" s="24">
        <f>VLOOKUP("沙拉線一線",'0804 4度C'!$A:$T,19,0)</f>
        <v>0.13055555555555556</v>
      </c>
      <c r="F16" s="24">
        <f>VLOOKUP("沙拉線二線",'0804 4度C'!$A:$T,19,0)</f>
        <v>0.25</v>
      </c>
      <c r="G16" s="24">
        <f>VLOOKUP("沙拉線三線",'0804 4度C'!$A:$T,19,0)</f>
        <v>0.16666666666666666</v>
      </c>
      <c r="H16" s="24">
        <f>VLOOKUP("自動包裝線",'0804 4度C'!$A:$T,19,0)</f>
        <v>0.20833333333333334</v>
      </c>
      <c r="I16" s="24">
        <f>VLOOKUP("涼麵一線",'0804 4度C'!$A:$T,19,0)</f>
        <v>0.29166666666666669</v>
      </c>
      <c r="J16" s="62">
        <f>VLOOKUP("三明治四線",'0804 4度C'!$A:$T,19,0)</f>
        <v>0.20833333333333334</v>
      </c>
      <c r="K16" s="63">
        <f>VLOOKUP("三明治一線",'0804 4度C'!$A:$T,19,0)</f>
        <v>0.125</v>
      </c>
      <c r="L16" s="64">
        <f>VLOOKUP("三明治二線",'0804 4度C'!$A:$T,19,0)</f>
        <v>0.125</v>
      </c>
      <c r="M16" s="65">
        <f>VLOOKUP("自動包裝二線",'0804 4度C'!$A:$T,19,0)</f>
        <v>0.125</v>
      </c>
    </row>
    <row r="17" spans="2:13" ht="17.25" customHeight="1">
      <c r="B17" s="493"/>
      <c r="C17" s="106" t="s">
        <v>199</v>
      </c>
      <c r="D17" s="63">
        <f>LOOKUP(2,1/(('0804 4度C'!$A:$A="燴飯線")*('0804 4度C'!$T:$T&lt;&gt;"")),'0804 4度C'!$T:$T)</f>
        <v>0.83888888888888902</v>
      </c>
      <c r="E17" s="24">
        <f>LOOKUP(2,1/(('0804 4度C'!$A:$A="沙拉線一線")*('0804 4度C'!$T:$T&lt;&gt;"")),'0804 4度C'!$T:$T)</f>
        <v>0.67638888888888882</v>
      </c>
      <c r="F17" s="24">
        <f>LOOKUP(2,1/(('0804 4度C'!$A:$A="沙拉線二線")*('0804 4度C'!$T:$T&lt;&gt;"")),'0804 4度C'!$T:$T)</f>
        <v>0.84930555555555554</v>
      </c>
      <c r="G17" s="24">
        <f>LOOKUP(2,1/(('0804 4度C'!$A:$A="沙拉線三線")*('0804 4度C'!$T:$T&lt;&gt;"")),'0804 4度C'!$T:$T)</f>
        <v>0.83472222222222214</v>
      </c>
      <c r="H17" s="24">
        <f>LOOKUP(2,1/(('0804 4度C'!$A:$A="自動包裝線")*('0804 4度C'!$T:$T&lt;&gt;"")),'0804 4度C'!$T:$T)</f>
        <v>0.63402777777777763</v>
      </c>
      <c r="I17" s="24">
        <f>LOOKUP(2,1/(('0804 4度C'!$A:$A="涼麵一線")*('0804 4度C'!$T:$T&lt;&gt;"")),'0804 4度C'!$T:$T)</f>
        <v>0.85416666666666674</v>
      </c>
      <c r="J17" s="62">
        <f>LOOKUP(2,1/(('0804 4度C'!$A:$A="三明治四線")*('0804 4度C'!$T:$T&lt;&gt;"")),'0804 4度C'!$T:$T)</f>
        <v>0.50555555555555554</v>
      </c>
      <c r="K17" s="61">
        <f>LOOKUP(2,1/(('0804 4度C'!$A:$A="三明治一線")*('0804 4度C'!$T:$T&lt;&gt;"")),'0804 4度C'!$T:$T)</f>
        <v>0.67986111111111103</v>
      </c>
      <c r="L17" s="24">
        <f>LOOKUP(2,1/(('0804 4度C'!$A:$A="三明治二線")*('0804 4度C'!$T:$T&lt;&gt;"")),'0804 4度C'!$T:$T)</f>
        <v>0.67916666666666659</v>
      </c>
      <c r="M17" s="62">
        <f>LOOKUP(2,1/(('0804 4度C'!$A:$A="自動包裝二線")*('0804 4度C'!$T:$T&lt;&gt;"")),'0804 4度C'!$T:$T)</f>
        <v>0.6479166666666667</v>
      </c>
    </row>
    <row r="18" spans="2:13" ht="17.25" customHeight="1">
      <c r="B18" s="493" t="s">
        <v>267</v>
      </c>
      <c r="C18" s="494"/>
      <c r="D18" s="66">
        <f>SUMIFS('0804 4度C'!$I:$I,'0804 4度C'!$A:$A,"燴飯線",'0804 4度C'!$B:$B,"平均")</f>
        <v>17</v>
      </c>
      <c r="E18" s="67">
        <f>SUMIFS('0804 4度C'!$I:$I,'0804 4度C'!$A:$A,"沙拉線一線",'0804 4度C'!$B:$B,"平均")</f>
        <v>18.5</v>
      </c>
      <c r="F18" s="67">
        <f>SUMIFS('0804 4度C'!$I:$I,'0804 4度C'!$A:$A,"沙拉線二線",'0804 4度C'!$B:$B,"平均")</f>
        <v>18.75</v>
      </c>
      <c r="G18" s="67">
        <f>SUMIFS('0804 4度C'!$I:$I,'0804 4度C'!$A:$A,"沙拉線三線",'0804 4度C'!$B:$B,"平均")</f>
        <v>16.875</v>
      </c>
      <c r="H18" s="67">
        <f>SUMIFS('0804 4度C'!$I:$I,'0804 4度C'!$A:$A,"自動包裝線",'0804 4度C'!$B:$B,"平均")</f>
        <v>10</v>
      </c>
      <c r="I18" s="67">
        <f>SUMIFS('0804 4度C'!$I:$I,'0804 4度C'!$A:$A,"涼麵一線",'0804 4度C'!$B:$B,"平均")</f>
        <v>16.600000000000001</v>
      </c>
      <c r="J18" s="68">
        <f>SUMIFS('0804 4度C'!$I:$I,'0804 4度C'!$A:$A,"三明治四線",'0804 4度C'!$B:$B,"平均")</f>
        <v>10.166666666666666</v>
      </c>
      <c r="K18" s="66">
        <f>SUMIFS('0804 4度C'!$I:$I,'0804 4度C'!$A:$A,"三明治一線",'0804 4度C'!$B:$B,"平均")</f>
        <v>17.428571428571427</v>
      </c>
      <c r="L18" s="67">
        <f>SUMIFS('0804 4度C'!$I:$I,'0804 4度C'!$A:$A,"三明治二線",'0804 4度C'!$B:$B,"平均")</f>
        <v>18.875</v>
      </c>
      <c r="M18" s="68">
        <f>SUMIFS('0804 4度C'!$I:$I,'0804 4度C'!$A:$A,"自動包裝二線",'0804 4度C'!$B:$B,"平均")</f>
        <v>17</v>
      </c>
    </row>
    <row r="19" spans="2:13" ht="17.25" customHeight="1">
      <c r="B19" s="495" t="s">
        <v>92</v>
      </c>
      <c r="C19" s="496"/>
      <c r="D19" s="69" t="s">
        <v>46</v>
      </c>
      <c r="E19" s="70" t="s">
        <v>47</v>
      </c>
      <c r="F19" s="70" t="s">
        <v>93</v>
      </c>
      <c r="G19" s="70" t="s">
        <v>93</v>
      </c>
      <c r="H19" s="70" t="s">
        <v>48</v>
      </c>
      <c r="I19" s="70" t="s">
        <v>46</v>
      </c>
      <c r="J19" s="71" t="s">
        <v>48</v>
      </c>
      <c r="K19" s="69" t="s">
        <v>72</v>
      </c>
      <c r="L19" s="70" t="s">
        <v>72</v>
      </c>
      <c r="M19" s="71" t="s">
        <v>72</v>
      </c>
    </row>
    <row r="20" spans="2:13" ht="17.25" customHeight="1">
      <c r="B20" s="495" t="s">
        <v>148</v>
      </c>
      <c r="C20" s="496"/>
      <c r="D20" s="69"/>
      <c r="E20" s="70"/>
      <c r="F20" s="70" t="s">
        <v>149</v>
      </c>
      <c r="G20" s="70" t="s">
        <v>46</v>
      </c>
      <c r="H20" s="70"/>
      <c r="I20" s="70"/>
      <c r="J20" s="71"/>
      <c r="K20" s="69"/>
      <c r="L20" s="70"/>
      <c r="M20" s="71"/>
    </row>
    <row r="21" spans="2:13" ht="17.25" customHeight="1" thickBot="1">
      <c r="B21" s="497" t="s">
        <v>203</v>
      </c>
      <c r="C21" s="498"/>
      <c r="D21" s="72"/>
      <c r="E21" s="73" t="s">
        <v>268</v>
      </c>
      <c r="F21" s="499" t="s">
        <v>205</v>
      </c>
      <c r="G21" s="500"/>
      <c r="H21" s="73" t="s">
        <v>269</v>
      </c>
      <c r="I21" s="73" t="s">
        <v>152</v>
      </c>
      <c r="J21" s="74" t="s">
        <v>73</v>
      </c>
      <c r="K21" s="75"/>
      <c r="L21" s="73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25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5">
    <pageSetUpPr fitToPage="1"/>
  </sheetPr>
  <dimension ref="A1:AC74"/>
  <sheetViews>
    <sheetView zoomScale="80" zoomScaleNormal="80" workbookViewId="0">
      <pane ySplit="4" topLeftCell="A5" activePane="bottomLeft" state="frozen"/>
      <selection activeCell="C3" sqref="C3:D3"/>
      <selection pane="bottomLeft" activeCell="C3" sqref="C3:D3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270</v>
      </c>
      <c r="B1" s="1"/>
      <c r="C1" s="2" t="s">
        <v>271</v>
      </c>
      <c r="D1" s="3">
        <f>SUM(F5:F73)</f>
        <v>171646</v>
      </c>
      <c r="E1" s="108" t="s">
        <v>272</v>
      </c>
      <c r="F1" s="1">
        <f>SUM(G5:G73)</f>
        <v>5873416.1200000001</v>
      </c>
      <c r="G1" s="1" t="s">
        <v>273</v>
      </c>
      <c r="H1" s="4">
        <f>L8+L13+L53+L59+L18+L66+L35+L44+L27+L73</f>
        <v>161.1952380952381</v>
      </c>
      <c r="I1" s="572" t="s">
        <v>274</v>
      </c>
      <c r="J1" s="572"/>
      <c r="K1" s="572"/>
      <c r="L1" s="572" t="s">
        <v>275</v>
      </c>
      <c r="M1" s="572"/>
      <c r="N1" s="572"/>
      <c r="O1" s="572" t="s">
        <v>276</v>
      </c>
      <c r="P1" s="572"/>
      <c r="Q1" s="572"/>
      <c r="R1" s="572"/>
      <c r="S1" s="572" t="s">
        <v>277</v>
      </c>
      <c r="T1" s="572"/>
      <c r="U1" s="572"/>
      <c r="V1" s="572"/>
      <c r="W1" s="572"/>
      <c r="X1" s="572"/>
      <c r="Y1" s="572" t="s">
        <v>278</v>
      </c>
      <c r="Z1" s="572"/>
      <c r="AA1" s="572" t="s">
        <v>279</v>
      </c>
      <c r="AB1" s="573"/>
      <c r="AC1" s="573"/>
    </row>
    <row r="2" spans="1:29" ht="26.25" customHeight="1">
      <c r="A2" s="22">
        <v>45873</v>
      </c>
      <c r="B2" s="23" t="s">
        <v>280</v>
      </c>
      <c r="C2" s="2" t="s">
        <v>281</v>
      </c>
      <c r="D2" s="6">
        <f>AVERAGE(N8,N13,N53,N59,N18,N66,N27,N35,N44,N73)</f>
        <v>136.52359487374744</v>
      </c>
      <c r="E2" s="7" t="s">
        <v>0</v>
      </c>
      <c r="F2" s="8">
        <f>F1/D1</f>
        <v>34.218193957330783</v>
      </c>
      <c r="G2" s="1" t="s">
        <v>282</v>
      </c>
      <c r="H2" s="107">
        <f>COUNT(H5:H73)</f>
        <v>8</v>
      </c>
      <c r="I2" s="572"/>
      <c r="J2" s="572"/>
      <c r="K2" s="572"/>
      <c r="L2" s="572"/>
      <c r="M2" s="572"/>
      <c r="N2" s="572"/>
      <c r="O2" s="572"/>
      <c r="P2" s="572"/>
      <c r="Q2" s="572"/>
      <c r="R2" s="572"/>
      <c r="S2" s="572"/>
      <c r="T2" s="572"/>
      <c r="U2" s="572"/>
      <c r="V2" s="572"/>
      <c r="W2" s="572"/>
      <c r="X2" s="572"/>
      <c r="Y2" s="572"/>
      <c r="Z2" s="572"/>
      <c r="AA2" s="573"/>
      <c r="AB2" s="573"/>
      <c r="AC2" s="573"/>
    </row>
    <row r="3" spans="1:29" ht="23.25" customHeight="1">
      <c r="A3" s="528" t="s">
        <v>283</v>
      </c>
      <c r="B3" s="528" t="s">
        <v>284</v>
      </c>
      <c r="C3" s="528" t="s">
        <v>285</v>
      </c>
      <c r="D3" s="528"/>
      <c r="E3" s="570" t="s">
        <v>286</v>
      </c>
      <c r="F3" s="528" t="s">
        <v>287</v>
      </c>
      <c r="G3" s="570" t="s">
        <v>288</v>
      </c>
      <c r="H3" s="563" t="s">
        <v>289</v>
      </c>
      <c r="I3" s="561" t="s">
        <v>290</v>
      </c>
      <c r="J3" s="566" t="s">
        <v>291</v>
      </c>
      <c r="K3" s="568" t="s">
        <v>292</v>
      </c>
      <c r="L3" s="561" t="s">
        <v>293</v>
      </c>
      <c r="M3" s="566" t="s">
        <v>294</v>
      </c>
      <c r="N3" s="568" t="s">
        <v>295</v>
      </c>
      <c r="O3" s="561" t="s">
        <v>290</v>
      </c>
      <c r="P3" s="568" t="s">
        <v>295</v>
      </c>
      <c r="Q3" s="567" t="s">
        <v>296</v>
      </c>
      <c r="R3" s="542" t="s">
        <v>297</v>
      </c>
      <c r="S3" s="569" t="s">
        <v>1</v>
      </c>
      <c r="T3" s="569"/>
      <c r="U3" s="563" t="s">
        <v>2</v>
      </c>
      <c r="V3" s="563" t="s">
        <v>298</v>
      </c>
      <c r="W3" s="528" t="s">
        <v>299</v>
      </c>
      <c r="X3" s="528"/>
      <c r="Y3" s="564" t="s">
        <v>300</v>
      </c>
      <c r="Z3" s="565"/>
      <c r="AA3" s="566" t="s">
        <v>294</v>
      </c>
      <c r="AB3" s="567" t="s">
        <v>301</v>
      </c>
      <c r="AC3" s="542" t="s">
        <v>302</v>
      </c>
    </row>
    <row r="4" spans="1:29">
      <c r="A4" s="528"/>
      <c r="B4" s="528"/>
      <c r="C4" s="528"/>
      <c r="D4" s="528"/>
      <c r="E4" s="571"/>
      <c r="F4" s="528"/>
      <c r="G4" s="571"/>
      <c r="H4" s="563"/>
      <c r="I4" s="561"/>
      <c r="J4" s="566"/>
      <c r="K4" s="568"/>
      <c r="L4" s="561"/>
      <c r="M4" s="566"/>
      <c r="N4" s="568"/>
      <c r="O4" s="561"/>
      <c r="P4" s="568"/>
      <c r="Q4" s="567"/>
      <c r="R4" s="542"/>
      <c r="S4" s="109" t="s">
        <v>3</v>
      </c>
      <c r="T4" s="109" t="s">
        <v>4</v>
      </c>
      <c r="U4" s="563"/>
      <c r="V4" s="563"/>
      <c r="W4" s="108" t="s">
        <v>303</v>
      </c>
      <c r="X4" s="108" t="s">
        <v>304</v>
      </c>
      <c r="Y4" s="565"/>
      <c r="Z4" s="565"/>
      <c r="AA4" s="566"/>
      <c r="AB4" s="567"/>
      <c r="AC4" s="542"/>
    </row>
    <row r="5" spans="1:29">
      <c r="A5" s="560" t="s">
        <v>305</v>
      </c>
      <c r="B5" s="26" t="s">
        <v>13</v>
      </c>
      <c r="C5" s="562" t="s">
        <v>53</v>
      </c>
      <c r="D5" s="562"/>
      <c r="E5" s="26">
        <v>46.93</v>
      </c>
      <c r="F5" s="109">
        <v>967</v>
      </c>
      <c r="G5" s="108">
        <f>E5*F5</f>
        <v>45381.31</v>
      </c>
      <c r="H5" s="76" t="s">
        <v>52</v>
      </c>
      <c r="I5" s="111">
        <v>17</v>
      </c>
      <c r="J5" s="18">
        <v>2000</v>
      </c>
      <c r="K5" s="9">
        <f>J5/I5</f>
        <v>117.64705882352941</v>
      </c>
      <c r="L5" s="111">
        <v>17</v>
      </c>
      <c r="M5" s="10">
        <f>F5/V5*60</f>
        <v>1871.6129032258034</v>
      </c>
      <c r="N5" s="9">
        <f>M5/L5</f>
        <v>110.09487666034137</v>
      </c>
      <c r="O5" s="11">
        <f t="shared" ref="O5:O7" si="0">L5-I5</f>
        <v>0</v>
      </c>
      <c r="P5" s="12">
        <f t="shared" ref="P5:P7" si="1">N5-K5</f>
        <v>-7.5521821631880357</v>
      </c>
      <c r="Q5" s="113">
        <f>N5/K5</f>
        <v>0.93580645161290166</v>
      </c>
      <c r="R5" s="533">
        <f>Q8</f>
        <v>0.926767186414998</v>
      </c>
      <c r="S5" s="24">
        <v>0.70833333333333337</v>
      </c>
      <c r="T5" s="24">
        <v>0.72986111111111118</v>
      </c>
      <c r="U5" s="108"/>
      <c r="V5" s="110">
        <f>(T5-S5)*24*60</f>
        <v>31.00000000000005</v>
      </c>
      <c r="W5" s="13"/>
      <c r="X5" s="13"/>
      <c r="Y5" s="528"/>
      <c r="Z5" s="528"/>
      <c r="AA5" s="11">
        <f t="shared" ref="AA5:AA68" si="2">M5-J5</f>
        <v>-128.38709677419661</v>
      </c>
      <c r="AB5" s="113">
        <f t="shared" ref="AB5:AB7" si="3">M5/J5</f>
        <v>0.93580645161290166</v>
      </c>
      <c r="AC5" s="533">
        <f>AB8</f>
        <v>0.92676718641499789</v>
      </c>
    </row>
    <row r="6" spans="1:29">
      <c r="A6" s="561" t="s">
        <v>306</v>
      </c>
      <c r="B6" s="26" t="s">
        <v>13</v>
      </c>
      <c r="C6" s="562" t="s">
        <v>55</v>
      </c>
      <c r="D6" s="562"/>
      <c r="E6" s="26">
        <v>50.49</v>
      </c>
      <c r="F6" s="109">
        <v>2153</v>
      </c>
      <c r="G6" s="108">
        <f t="shared" ref="G6:G7" si="4">E6*F6</f>
        <v>108704.97</v>
      </c>
      <c r="H6" s="76" t="s">
        <v>52</v>
      </c>
      <c r="I6" s="111">
        <v>16</v>
      </c>
      <c r="J6" s="18">
        <v>2000</v>
      </c>
      <c r="K6" s="9">
        <f t="shared" ref="K6:K7" si="5">J6/I6</f>
        <v>125</v>
      </c>
      <c r="L6" s="111">
        <v>16</v>
      </c>
      <c r="M6" s="10">
        <f>F6/V6*60</f>
        <v>1845.4285714285695</v>
      </c>
      <c r="N6" s="9">
        <f t="shared" ref="N6:N7" si="6">M6/L6</f>
        <v>115.33928571428559</v>
      </c>
      <c r="O6" s="11">
        <f t="shared" si="0"/>
        <v>0</v>
      </c>
      <c r="P6" s="12">
        <f t="shared" si="1"/>
        <v>-9.6607142857144055</v>
      </c>
      <c r="Q6" s="113">
        <f t="shared" ref="Q6:Q7" si="7">N6/K6</f>
        <v>0.92271428571428471</v>
      </c>
      <c r="R6" s="533"/>
      <c r="S6" s="24">
        <v>0.73402777777777783</v>
      </c>
      <c r="T6" s="24">
        <v>0.78263888888888899</v>
      </c>
      <c r="U6" s="108">
        <f>(S6-T5)*24*60</f>
        <v>5.9999999999999787</v>
      </c>
      <c r="V6" s="110">
        <f>(T6-S6)*24*60</f>
        <v>70.000000000000071</v>
      </c>
      <c r="W6" s="14"/>
      <c r="X6" s="14"/>
      <c r="Y6" s="528"/>
      <c r="Z6" s="528"/>
      <c r="AA6" s="11">
        <f t="shared" si="2"/>
        <v>-154.57142857143049</v>
      </c>
      <c r="AB6" s="113">
        <f t="shared" si="3"/>
        <v>0.92271428571428471</v>
      </c>
      <c r="AC6" s="533"/>
    </row>
    <row r="7" spans="1:29">
      <c r="A7" s="561" t="s">
        <v>307</v>
      </c>
      <c r="B7" s="26" t="s">
        <v>13</v>
      </c>
      <c r="C7" s="558" t="s">
        <v>76</v>
      </c>
      <c r="D7" s="559"/>
      <c r="E7" s="26">
        <v>50.67</v>
      </c>
      <c r="F7" s="109">
        <v>2243</v>
      </c>
      <c r="G7" s="108">
        <f t="shared" si="4"/>
        <v>113652.81</v>
      </c>
      <c r="H7" s="76" t="s">
        <v>52</v>
      </c>
      <c r="I7" s="111">
        <v>18</v>
      </c>
      <c r="J7" s="18">
        <v>2000</v>
      </c>
      <c r="K7" s="9">
        <f t="shared" si="5"/>
        <v>111.11111111111111</v>
      </c>
      <c r="L7" s="111">
        <v>18</v>
      </c>
      <c r="M7" s="10">
        <f t="shared" ref="M7" si="8">F7/V7*60</f>
        <v>1843.5616438356151</v>
      </c>
      <c r="N7" s="9">
        <f t="shared" si="6"/>
        <v>102.42009132420084</v>
      </c>
      <c r="O7" s="11">
        <f t="shared" si="0"/>
        <v>0</v>
      </c>
      <c r="P7" s="12">
        <f t="shared" si="1"/>
        <v>-8.6910197869102745</v>
      </c>
      <c r="Q7" s="113">
        <f t="shared" si="7"/>
        <v>0.92178082191780752</v>
      </c>
      <c r="R7" s="533"/>
      <c r="S7" s="24">
        <v>0.78819444444444453</v>
      </c>
      <c r="T7" s="24">
        <v>0.83888888888888902</v>
      </c>
      <c r="U7" s="108">
        <f t="shared" ref="U7" si="9">(S7-T6)*24*60</f>
        <v>7.9999999999999716</v>
      </c>
      <c r="V7" s="110">
        <f t="shared" ref="V7" si="10">(T7-S7)*24*60</f>
        <v>73.000000000000057</v>
      </c>
      <c r="W7" s="14"/>
      <c r="X7" s="14"/>
      <c r="Y7" s="536"/>
      <c r="Z7" s="537"/>
      <c r="AA7" s="11">
        <f t="shared" si="2"/>
        <v>-156.43835616438491</v>
      </c>
      <c r="AB7" s="113">
        <f t="shared" si="3"/>
        <v>0.92178082191780752</v>
      </c>
      <c r="AC7" s="533"/>
    </row>
    <row r="8" spans="1:29">
      <c r="A8" s="561" t="s">
        <v>306</v>
      </c>
      <c r="B8" s="26" t="s">
        <v>308</v>
      </c>
      <c r="C8" s="530"/>
      <c r="D8" s="530"/>
      <c r="E8" s="112"/>
      <c r="F8" s="16"/>
      <c r="G8" s="9"/>
      <c r="H8" s="109"/>
      <c r="I8" s="17">
        <v>17</v>
      </c>
      <c r="J8" s="18">
        <v>2000</v>
      </c>
      <c r="K8" s="9">
        <f>J8/I8</f>
        <v>117.64705882352941</v>
      </c>
      <c r="L8" s="17">
        <v>17</v>
      </c>
      <c r="M8" s="10">
        <f>AVERAGE(M5:M7)</f>
        <v>1853.5343728299958</v>
      </c>
      <c r="N8" s="9">
        <f>M8/L8</f>
        <v>109.03143369588211</v>
      </c>
      <c r="O8" s="11">
        <f>L8-I8</f>
        <v>0</v>
      </c>
      <c r="P8" s="12">
        <f>N8-K8</f>
        <v>-8.6156251276472915</v>
      </c>
      <c r="Q8" s="113">
        <f>N8/K8</f>
        <v>0.926767186414998</v>
      </c>
      <c r="R8" s="533"/>
      <c r="S8" s="24"/>
      <c r="T8" s="24"/>
      <c r="U8" s="108"/>
      <c r="V8" s="110"/>
      <c r="W8" s="9"/>
      <c r="X8" s="9"/>
      <c r="Y8" s="528"/>
      <c r="Z8" s="528"/>
      <c r="AA8" s="11">
        <f t="shared" si="2"/>
        <v>-146.46562717000415</v>
      </c>
      <c r="AB8" s="113">
        <f>M8/J8</f>
        <v>0.92676718641499789</v>
      </c>
      <c r="AC8" s="533"/>
    </row>
    <row r="9" spans="1:29" ht="15.75" customHeight="1">
      <c r="A9" s="531" t="s">
        <v>309</v>
      </c>
      <c r="B9" s="26" t="s">
        <v>15</v>
      </c>
      <c r="C9" s="558" t="s">
        <v>16</v>
      </c>
      <c r="D9" s="559"/>
      <c r="E9" s="26">
        <v>39.619999999999997</v>
      </c>
      <c r="F9" s="109">
        <v>4760</v>
      </c>
      <c r="G9" s="108">
        <f t="shared" ref="G9:G12" si="11">E9*F9</f>
        <v>188591.19999999998</v>
      </c>
      <c r="H9" s="76" t="s">
        <v>52</v>
      </c>
      <c r="I9" s="111">
        <v>19</v>
      </c>
      <c r="J9" s="18">
        <v>1500</v>
      </c>
      <c r="K9" s="9">
        <f t="shared" ref="K9:K12" si="12">J9/I9</f>
        <v>78.94736842105263</v>
      </c>
      <c r="L9" s="111">
        <v>19</v>
      </c>
      <c r="M9" s="10">
        <f t="shared" ref="M9:M12" si="13">F9/V9*60</f>
        <v>1373.0769230769231</v>
      </c>
      <c r="N9" s="9">
        <f t="shared" ref="N9:N12" si="14">M9/L9</f>
        <v>72.267206477732799</v>
      </c>
      <c r="O9" s="11">
        <f t="shared" ref="O9:O12" si="15">L9-I9</f>
        <v>0</v>
      </c>
      <c r="P9" s="12">
        <f>N9-K9</f>
        <v>-6.6801619433198312</v>
      </c>
      <c r="Q9" s="113">
        <f>N9/K9</f>
        <v>0.91538461538461546</v>
      </c>
      <c r="R9" s="533">
        <f>Q13</f>
        <v>0.91475771545215168</v>
      </c>
      <c r="S9" s="24">
        <v>0.13055555555555556</v>
      </c>
      <c r="T9" s="24">
        <v>0.27500000000000002</v>
      </c>
      <c r="U9" s="108"/>
      <c r="V9" s="110">
        <f t="shared" ref="V9:V12" si="16">(T9-S9)*24*60</f>
        <v>208</v>
      </c>
      <c r="W9" s="24">
        <f>T9</f>
        <v>0.27500000000000002</v>
      </c>
      <c r="X9" s="24">
        <f>S10</f>
        <v>0.29722222222222222</v>
      </c>
      <c r="Y9" s="528"/>
      <c r="Z9" s="528"/>
      <c r="AA9" s="11">
        <f t="shared" si="2"/>
        <v>-126.92307692307691</v>
      </c>
      <c r="AB9" s="113">
        <f>M9/J9</f>
        <v>0.91538461538461535</v>
      </c>
      <c r="AC9" s="533">
        <f>AB13</f>
        <v>0.91475771545215168</v>
      </c>
    </row>
    <row r="10" spans="1:29" ht="15.75" customHeight="1">
      <c r="A10" s="531" t="s">
        <v>5</v>
      </c>
      <c r="B10" s="26" t="s">
        <v>15</v>
      </c>
      <c r="C10" s="558" t="s">
        <v>17</v>
      </c>
      <c r="D10" s="559"/>
      <c r="E10" s="26">
        <v>39.799999999999997</v>
      </c>
      <c r="F10" s="109">
        <v>2500</v>
      </c>
      <c r="G10" s="108">
        <f t="shared" si="11"/>
        <v>99500</v>
      </c>
      <c r="H10" s="76">
        <v>2</v>
      </c>
      <c r="I10" s="111">
        <v>18</v>
      </c>
      <c r="J10" s="18">
        <v>1500</v>
      </c>
      <c r="K10" s="9">
        <f t="shared" si="12"/>
        <v>83.333333333333329</v>
      </c>
      <c r="L10" s="111">
        <v>18</v>
      </c>
      <c r="M10" s="10">
        <f t="shared" si="13"/>
        <v>1376.1467889908254</v>
      </c>
      <c r="N10" s="9">
        <f t="shared" si="14"/>
        <v>76.452599388379184</v>
      </c>
      <c r="O10" s="11">
        <f t="shared" si="15"/>
        <v>0</v>
      </c>
      <c r="P10" s="12">
        <f t="shared" ref="P10:P12" si="17">N10-K10</f>
        <v>-6.8807339449541445</v>
      </c>
      <c r="Q10" s="113">
        <f t="shared" ref="Q10:Q12" si="18">N10/K10</f>
        <v>0.91743119266055029</v>
      </c>
      <c r="R10" s="533"/>
      <c r="S10" s="24">
        <v>0.29722222222222222</v>
      </c>
      <c r="T10" s="24">
        <v>0.37291666666666667</v>
      </c>
      <c r="U10" s="108">
        <f>(S10-T9)*24*60</f>
        <v>31.999999999999964</v>
      </c>
      <c r="V10" s="110">
        <f t="shared" si="16"/>
        <v>109.00000000000001</v>
      </c>
      <c r="W10" s="24"/>
      <c r="X10" s="24"/>
      <c r="Y10" s="528"/>
      <c r="Z10" s="528"/>
      <c r="AA10" s="11">
        <f t="shared" si="2"/>
        <v>-123.85321100917463</v>
      </c>
      <c r="AB10" s="113">
        <f t="shared" ref="AB10:AB27" si="19">M10/J10</f>
        <v>0.91743119266055029</v>
      </c>
      <c r="AC10" s="533"/>
    </row>
    <row r="11" spans="1:29" ht="15.75" customHeight="1">
      <c r="A11" s="531" t="s">
        <v>5</v>
      </c>
      <c r="B11" s="26" t="s">
        <v>15</v>
      </c>
      <c r="C11" s="558" t="s">
        <v>80</v>
      </c>
      <c r="D11" s="559"/>
      <c r="E11" s="26">
        <v>39.29</v>
      </c>
      <c r="F11" s="109">
        <v>4107</v>
      </c>
      <c r="G11" s="108">
        <f t="shared" si="11"/>
        <v>161364.03</v>
      </c>
      <c r="H11" s="76" t="s">
        <v>52</v>
      </c>
      <c r="I11" s="111">
        <v>19</v>
      </c>
      <c r="J11" s="18">
        <v>1500</v>
      </c>
      <c r="K11" s="9">
        <f t="shared" si="12"/>
        <v>78.94736842105263</v>
      </c>
      <c r="L11" s="111">
        <v>19</v>
      </c>
      <c r="M11" s="10">
        <f t="shared" si="13"/>
        <v>1369</v>
      </c>
      <c r="N11" s="9">
        <f t="shared" si="14"/>
        <v>72.05263157894737</v>
      </c>
      <c r="O11" s="11">
        <f t="shared" si="15"/>
        <v>0</v>
      </c>
      <c r="P11" s="12">
        <f t="shared" si="17"/>
        <v>-6.8947368421052602</v>
      </c>
      <c r="Q11" s="113">
        <f t="shared" si="18"/>
        <v>0.91266666666666674</v>
      </c>
      <c r="R11" s="533"/>
      <c r="S11" s="24">
        <v>0.38194444444444442</v>
      </c>
      <c r="T11" s="24">
        <v>0.50694444444444442</v>
      </c>
      <c r="U11" s="108">
        <f t="shared" ref="U11:U12" si="20">(S11-T10)*24*60</f>
        <v>12.999999999999954</v>
      </c>
      <c r="V11" s="110">
        <f t="shared" si="16"/>
        <v>180</v>
      </c>
      <c r="W11" s="24">
        <f>T11</f>
        <v>0.50694444444444442</v>
      </c>
      <c r="X11" s="24">
        <f>S12</f>
        <v>0.54722222222222217</v>
      </c>
      <c r="Y11" s="528"/>
      <c r="Z11" s="528"/>
      <c r="AA11" s="11">
        <f t="shared" si="2"/>
        <v>-131</v>
      </c>
      <c r="AB11" s="113">
        <f t="shared" si="19"/>
        <v>0.91266666666666663</v>
      </c>
      <c r="AC11" s="533"/>
    </row>
    <row r="12" spans="1:29" ht="15.75" customHeight="1">
      <c r="A12" s="531" t="s">
        <v>5</v>
      </c>
      <c r="B12" s="26" t="s">
        <v>15</v>
      </c>
      <c r="C12" s="558" t="s">
        <v>17</v>
      </c>
      <c r="D12" s="559"/>
      <c r="E12" s="26">
        <v>39.799999999999997</v>
      </c>
      <c r="F12" s="109">
        <v>4248</v>
      </c>
      <c r="G12" s="108">
        <f t="shared" si="11"/>
        <v>169070.4</v>
      </c>
      <c r="H12" s="76" t="s">
        <v>52</v>
      </c>
      <c r="I12" s="111">
        <v>18</v>
      </c>
      <c r="J12" s="18">
        <v>1500</v>
      </c>
      <c r="K12" s="9">
        <f t="shared" si="12"/>
        <v>83.333333333333329</v>
      </c>
      <c r="L12" s="111">
        <v>18</v>
      </c>
      <c r="M12" s="10">
        <f t="shared" si="13"/>
        <v>1370.3225806451615</v>
      </c>
      <c r="N12" s="9">
        <f t="shared" si="14"/>
        <v>76.129032258064527</v>
      </c>
      <c r="O12" s="11">
        <f t="shared" si="15"/>
        <v>0</v>
      </c>
      <c r="P12" s="12">
        <f t="shared" si="17"/>
        <v>-7.2043010752688019</v>
      </c>
      <c r="Q12" s="113">
        <f t="shared" si="18"/>
        <v>0.91354838709677433</v>
      </c>
      <c r="R12" s="533"/>
      <c r="S12" s="24">
        <v>0.54722222222222217</v>
      </c>
      <c r="T12" s="24">
        <v>0.67638888888888882</v>
      </c>
      <c r="U12" s="108">
        <f t="shared" si="20"/>
        <v>57.999999999999957</v>
      </c>
      <c r="V12" s="110">
        <f t="shared" si="16"/>
        <v>185.99999999999997</v>
      </c>
      <c r="W12" s="24"/>
      <c r="X12" s="24"/>
      <c r="Y12" s="528"/>
      <c r="Z12" s="528"/>
      <c r="AA12" s="11">
        <f t="shared" si="2"/>
        <v>-129.67741935483855</v>
      </c>
      <c r="AB12" s="113">
        <f t="shared" si="19"/>
        <v>0.91354838709677433</v>
      </c>
      <c r="AC12" s="533"/>
    </row>
    <row r="13" spans="1:29" ht="16.5" customHeight="1">
      <c r="A13" s="531" t="s">
        <v>5</v>
      </c>
      <c r="B13" s="26" t="s">
        <v>308</v>
      </c>
      <c r="C13" s="530"/>
      <c r="D13" s="530"/>
      <c r="E13" s="112"/>
      <c r="F13" s="18"/>
      <c r="G13" s="10"/>
      <c r="H13" s="109"/>
      <c r="I13" s="17">
        <v>18.5</v>
      </c>
      <c r="J13" s="18">
        <v>1500</v>
      </c>
      <c r="K13" s="9">
        <f>J13/I13</f>
        <v>81.081081081081081</v>
      </c>
      <c r="L13" s="17">
        <v>18.5</v>
      </c>
      <c r="M13" s="10">
        <f>AVERAGE(M9:M12)</f>
        <v>1372.1365731782275</v>
      </c>
      <c r="N13" s="9">
        <f>M13/L13</f>
        <v>74.169544496120409</v>
      </c>
      <c r="O13" s="11">
        <f>L13-I13</f>
        <v>0</v>
      </c>
      <c r="P13" s="12">
        <f>N13-K13</f>
        <v>-6.9115365849606718</v>
      </c>
      <c r="Q13" s="113">
        <f>N13/K13</f>
        <v>0.91475771545215168</v>
      </c>
      <c r="R13" s="533"/>
      <c r="S13" s="24"/>
      <c r="T13" s="24"/>
      <c r="U13" s="9"/>
      <c r="V13" s="110"/>
      <c r="W13" s="9"/>
      <c r="X13" s="9"/>
      <c r="Y13" s="528"/>
      <c r="Z13" s="528"/>
      <c r="AA13" s="11">
        <f t="shared" si="2"/>
        <v>-127.86342682177246</v>
      </c>
      <c r="AB13" s="113">
        <f t="shared" si="19"/>
        <v>0.91475771545215168</v>
      </c>
      <c r="AC13" s="533"/>
    </row>
    <row r="14" spans="1:29" ht="16.5" customHeight="1">
      <c r="A14" s="556" t="s">
        <v>310</v>
      </c>
      <c r="B14" s="109" t="s">
        <v>21</v>
      </c>
      <c r="C14" s="552" t="s">
        <v>19</v>
      </c>
      <c r="D14" s="552"/>
      <c r="E14" s="26">
        <v>41</v>
      </c>
      <c r="F14" s="109">
        <v>1940</v>
      </c>
      <c r="G14" s="108">
        <f t="shared" ref="G14:G17" si="21">E14*F14</f>
        <v>79540</v>
      </c>
      <c r="H14" s="76" t="s">
        <v>52</v>
      </c>
      <c r="I14" s="111">
        <v>26</v>
      </c>
      <c r="J14" s="18">
        <v>1500</v>
      </c>
      <c r="K14" s="9">
        <f>J14/I14</f>
        <v>57.692307692307693</v>
      </c>
      <c r="L14" s="111">
        <v>26</v>
      </c>
      <c r="M14" s="10">
        <f>F14/V14*60</f>
        <v>1369.4117647058822</v>
      </c>
      <c r="N14" s="9">
        <f t="shared" ref="N14:N26" si="22">M14/L14</f>
        <v>52.66968325791855</v>
      </c>
      <c r="O14" s="11">
        <f t="shared" ref="O14" si="23">L14-I14</f>
        <v>0</v>
      </c>
      <c r="P14" s="12">
        <f t="shared" ref="P14" si="24">N14-K14</f>
        <v>-5.0226244343891437</v>
      </c>
      <c r="Q14" s="113">
        <f>N14/K14</f>
        <v>0.91294117647058814</v>
      </c>
      <c r="R14" s="533">
        <f>Q18</f>
        <v>0.91554120595606681</v>
      </c>
      <c r="S14" s="24">
        <v>0.25</v>
      </c>
      <c r="T14" s="24">
        <v>0.30902777777777779</v>
      </c>
      <c r="U14" s="108"/>
      <c r="V14" s="110">
        <f>(T14-S14)*24*60</f>
        <v>85.000000000000014</v>
      </c>
      <c r="W14" s="15"/>
      <c r="X14" s="15"/>
      <c r="Y14" s="528"/>
      <c r="Z14" s="528"/>
      <c r="AA14" s="11">
        <f t="shared" si="2"/>
        <v>-130.58823529411779</v>
      </c>
      <c r="AB14" s="113">
        <f t="shared" si="19"/>
        <v>0.91294117647058814</v>
      </c>
      <c r="AC14" s="533">
        <f>AB18</f>
        <v>0.91554120595606669</v>
      </c>
    </row>
    <row r="15" spans="1:29" ht="16.5" customHeight="1">
      <c r="A15" s="557" t="s">
        <v>6</v>
      </c>
      <c r="B15" s="109" t="s">
        <v>15</v>
      </c>
      <c r="C15" s="552" t="s">
        <v>49</v>
      </c>
      <c r="D15" s="552"/>
      <c r="E15" s="26">
        <v>39.29</v>
      </c>
      <c r="F15" s="109">
        <v>3490</v>
      </c>
      <c r="G15" s="108">
        <f t="shared" si="21"/>
        <v>137122.1</v>
      </c>
      <c r="H15" s="76" t="s">
        <v>52</v>
      </c>
      <c r="I15" s="111">
        <v>16</v>
      </c>
      <c r="J15" s="18">
        <v>1500</v>
      </c>
      <c r="K15" s="9">
        <f>J15/I15</f>
        <v>93.75</v>
      </c>
      <c r="L15" s="111">
        <v>16</v>
      </c>
      <c r="M15" s="10">
        <f>F15/V15*60</f>
        <v>1368.627450980392</v>
      </c>
      <c r="N15" s="9">
        <f t="shared" si="22"/>
        <v>85.539215686274503</v>
      </c>
      <c r="O15" s="11">
        <f>L15-I15</f>
        <v>0</v>
      </c>
      <c r="P15" s="12">
        <f>N15-K15</f>
        <v>-8.2107843137254974</v>
      </c>
      <c r="Q15" s="113">
        <f>N15/K15</f>
        <v>0.91241830065359475</v>
      </c>
      <c r="R15" s="533"/>
      <c r="S15" s="24">
        <v>0.31736111111111109</v>
      </c>
      <c r="T15" s="24">
        <v>0.4236111111111111</v>
      </c>
      <c r="U15" s="108">
        <f>(S15-T14)*24*60</f>
        <v>11.999999999999957</v>
      </c>
      <c r="V15" s="110">
        <f>(T15-S15)*24*60</f>
        <v>153.00000000000003</v>
      </c>
      <c r="W15" s="14"/>
      <c r="X15" s="14"/>
      <c r="Y15" s="528"/>
      <c r="Z15" s="528"/>
      <c r="AA15" s="11">
        <f t="shared" si="2"/>
        <v>-131.37254901960796</v>
      </c>
      <c r="AB15" s="113">
        <f t="shared" si="19"/>
        <v>0.91241830065359475</v>
      </c>
      <c r="AC15" s="533"/>
    </row>
    <row r="16" spans="1:29" ht="16.5" customHeight="1">
      <c r="A16" s="557" t="s">
        <v>6</v>
      </c>
      <c r="B16" s="109" t="s">
        <v>13</v>
      </c>
      <c r="C16" s="552" t="s">
        <v>57</v>
      </c>
      <c r="D16" s="552"/>
      <c r="E16" s="26">
        <v>50.98</v>
      </c>
      <c r="F16" s="109">
        <v>2908</v>
      </c>
      <c r="G16" s="108">
        <f t="shared" si="21"/>
        <v>148249.84</v>
      </c>
      <c r="H16" s="76" t="s">
        <v>52</v>
      </c>
      <c r="I16" s="111">
        <v>17</v>
      </c>
      <c r="J16" s="18">
        <v>2000</v>
      </c>
      <c r="K16" s="9">
        <f t="shared" ref="K16:K17" si="25">J16/I16</f>
        <v>117.64705882352941</v>
      </c>
      <c r="L16" s="111">
        <v>17</v>
      </c>
      <c r="M16" s="10">
        <f t="shared" ref="M16:M17" si="26">F16/V16*60</f>
        <v>1836.6315789473688</v>
      </c>
      <c r="N16" s="9">
        <f t="shared" si="22"/>
        <v>108.0371517027864</v>
      </c>
      <c r="O16" s="11">
        <f t="shared" ref="O16:O17" si="27">L16-I16</f>
        <v>0</v>
      </c>
      <c r="P16" s="12">
        <f t="shared" ref="P16:P17" si="28">N16-K16</f>
        <v>-9.6099071207430029</v>
      </c>
      <c r="Q16" s="113">
        <f t="shared" ref="Q16:Q26" si="29">N16/K16</f>
        <v>0.91831578947368442</v>
      </c>
      <c r="R16" s="533"/>
      <c r="S16" s="24">
        <v>0.70833333333333337</v>
      </c>
      <c r="T16" s="24">
        <v>0.77430555555555558</v>
      </c>
      <c r="U16" s="108"/>
      <c r="V16" s="110">
        <f t="shared" ref="V16:V17" si="30">(T16-S16)*24*60</f>
        <v>94.999999999999986</v>
      </c>
      <c r="W16" s="14"/>
      <c r="X16" s="14"/>
      <c r="Y16" s="528"/>
      <c r="Z16" s="528"/>
      <c r="AA16" s="11">
        <f t="shared" si="2"/>
        <v>-163.36842105263122</v>
      </c>
      <c r="AB16" s="113">
        <f t="shared" si="19"/>
        <v>0.91831578947368442</v>
      </c>
      <c r="AC16" s="533"/>
    </row>
    <row r="17" spans="1:29" ht="16.5" customHeight="1">
      <c r="A17" s="557" t="s">
        <v>6</v>
      </c>
      <c r="B17" s="109" t="s">
        <v>13</v>
      </c>
      <c r="C17" s="552" t="s">
        <v>54</v>
      </c>
      <c r="D17" s="552"/>
      <c r="E17" s="26">
        <v>50.92</v>
      </c>
      <c r="F17" s="109">
        <v>3118</v>
      </c>
      <c r="G17" s="108">
        <f t="shared" si="21"/>
        <v>158768.56</v>
      </c>
      <c r="H17" s="76" t="s">
        <v>52</v>
      </c>
      <c r="I17" s="111">
        <v>16</v>
      </c>
      <c r="J17" s="18">
        <v>2000</v>
      </c>
      <c r="K17" s="9">
        <f t="shared" si="25"/>
        <v>125</v>
      </c>
      <c r="L17" s="111">
        <v>16</v>
      </c>
      <c r="M17" s="10">
        <f t="shared" si="26"/>
        <v>1834.1176470588243</v>
      </c>
      <c r="N17" s="9">
        <f t="shared" si="22"/>
        <v>114.63235294117652</v>
      </c>
      <c r="O17" s="11">
        <f t="shared" si="27"/>
        <v>0</v>
      </c>
      <c r="P17" s="12">
        <f t="shared" si="28"/>
        <v>-10.367647058823479</v>
      </c>
      <c r="Q17" s="113">
        <f t="shared" si="29"/>
        <v>0.91705882352941215</v>
      </c>
      <c r="R17" s="533"/>
      <c r="S17" s="24">
        <v>0.77847222222222223</v>
      </c>
      <c r="T17" s="24">
        <v>0.84930555555555554</v>
      </c>
      <c r="U17" s="108">
        <f t="shared" ref="U17" si="31">(S17-T16)*24*60</f>
        <v>5.9999999999999787</v>
      </c>
      <c r="V17" s="110">
        <f t="shared" si="30"/>
        <v>101.99999999999996</v>
      </c>
      <c r="W17" s="14"/>
      <c r="X17" s="14"/>
      <c r="Y17" s="528"/>
      <c r="Z17" s="528"/>
      <c r="AA17" s="11">
        <f t="shared" si="2"/>
        <v>-165.88235294117567</v>
      </c>
      <c r="AB17" s="113">
        <f t="shared" si="19"/>
        <v>0.91705882352941215</v>
      </c>
      <c r="AC17" s="533"/>
    </row>
    <row r="18" spans="1:29" ht="16.5" customHeight="1">
      <c r="A18" s="557" t="s">
        <v>6</v>
      </c>
      <c r="B18" s="26" t="s">
        <v>308</v>
      </c>
      <c r="C18" s="530"/>
      <c r="D18" s="530"/>
      <c r="E18" s="112"/>
      <c r="F18" s="16"/>
      <c r="G18" s="9"/>
      <c r="H18" s="109"/>
      <c r="I18" s="17">
        <f>AVERAGE(I14:I17)</f>
        <v>18.75</v>
      </c>
      <c r="J18" s="18">
        <v>1750</v>
      </c>
      <c r="K18" s="9">
        <f>J18/I18</f>
        <v>93.333333333333329</v>
      </c>
      <c r="L18" s="17">
        <f>AVERAGE(L14:L17)</f>
        <v>18.75</v>
      </c>
      <c r="M18" s="10">
        <f>AVERAGE(M14:M17)</f>
        <v>1602.1971104231168</v>
      </c>
      <c r="N18" s="9">
        <f t="shared" si="22"/>
        <v>85.450512555899564</v>
      </c>
      <c r="O18" s="11">
        <f>L18-I18</f>
        <v>0</v>
      </c>
      <c r="P18" s="12">
        <f>N18-K18</f>
        <v>-7.8828207774337642</v>
      </c>
      <c r="Q18" s="113">
        <f t="shared" si="29"/>
        <v>0.91554120595606681</v>
      </c>
      <c r="R18" s="533"/>
      <c r="S18" s="24"/>
      <c r="T18" s="24"/>
      <c r="U18" s="108"/>
      <c r="V18" s="110"/>
      <c r="W18" s="9"/>
      <c r="X18" s="9"/>
      <c r="Y18" s="528"/>
      <c r="Z18" s="528"/>
      <c r="AA18" s="11">
        <f t="shared" si="2"/>
        <v>-147.80288957688322</v>
      </c>
      <c r="AB18" s="113">
        <f t="shared" si="19"/>
        <v>0.91554120595606669</v>
      </c>
      <c r="AC18" s="533"/>
    </row>
    <row r="19" spans="1:29" ht="15.75" customHeight="1">
      <c r="A19" s="554" t="s">
        <v>311</v>
      </c>
      <c r="B19" s="26" t="s">
        <v>21</v>
      </c>
      <c r="C19" s="552" t="s">
        <v>22</v>
      </c>
      <c r="D19" s="552"/>
      <c r="E19" s="26">
        <v>43.14</v>
      </c>
      <c r="F19" s="109">
        <v>1212</v>
      </c>
      <c r="G19" s="108">
        <f t="shared" ref="G19:G26" si="32">E19*F19</f>
        <v>52285.68</v>
      </c>
      <c r="H19" s="76" t="s">
        <v>52</v>
      </c>
      <c r="I19" s="111">
        <v>17</v>
      </c>
      <c r="J19" s="18">
        <v>2000</v>
      </c>
      <c r="K19" s="9">
        <f t="shared" ref="K19:K27" si="33">J19/I19</f>
        <v>117.64705882352941</v>
      </c>
      <c r="L19" s="111">
        <v>17</v>
      </c>
      <c r="M19" s="10">
        <f t="shared" ref="M19:M26" si="34">F19/V19*60</f>
        <v>1864.6153846153857</v>
      </c>
      <c r="N19" s="9">
        <f t="shared" si="22"/>
        <v>109.6832579185521</v>
      </c>
      <c r="O19" s="11">
        <f t="shared" ref="O19:O26" si="35">L19-I19</f>
        <v>0</v>
      </c>
      <c r="P19" s="12">
        <f t="shared" ref="P19:P26" si="36">N19-K19</f>
        <v>-7.9638009049773046</v>
      </c>
      <c r="Q19" s="113">
        <f t="shared" si="29"/>
        <v>0.93230769230769295</v>
      </c>
      <c r="R19" s="533">
        <f>Q27</f>
        <v>0.92943697848619877</v>
      </c>
      <c r="S19" s="24">
        <v>0.16666666666666666</v>
      </c>
      <c r="T19" s="24">
        <v>0.19374999999999998</v>
      </c>
      <c r="U19" s="108"/>
      <c r="V19" s="110">
        <f>(T19-S19)*24*60</f>
        <v>38.999999999999979</v>
      </c>
      <c r="W19" s="15">
        <f>T19</f>
        <v>0.19374999999999998</v>
      </c>
      <c r="X19" s="15">
        <f>S20</f>
        <v>0.21388888888888888</v>
      </c>
      <c r="Y19" s="528"/>
      <c r="Z19" s="528"/>
      <c r="AA19" s="11">
        <f t="shared" si="2"/>
        <v>-135.38461538461434</v>
      </c>
      <c r="AB19" s="113">
        <f t="shared" si="19"/>
        <v>0.93230769230769284</v>
      </c>
      <c r="AC19" s="533">
        <f>AB27</f>
        <v>0.92943697848619877</v>
      </c>
    </row>
    <row r="20" spans="1:29" ht="15.75" customHeight="1">
      <c r="A20" s="555" t="s">
        <v>7</v>
      </c>
      <c r="B20" s="26" t="s">
        <v>13</v>
      </c>
      <c r="C20" s="552" t="s">
        <v>23</v>
      </c>
      <c r="D20" s="552"/>
      <c r="E20" s="26">
        <v>57.73</v>
      </c>
      <c r="F20" s="109">
        <v>3133</v>
      </c>
      <c r="G20" s="108">
        <f t="shared" si="32"/>
        <v>180868.09</v>
      </c>
      <c r="H20" s="76" t="s">
        <v>52</v>
      </c>
      <c r="I20" s="111">
        <v>16</v>
      </c>
      <c r="J20" s="18">
        <v>2000</v>
      </c>
      <c r="K20" s="9">
        <f t="shared" si="33"/>
        <v>125</v>
      </c>
      <c r="L20" s="111">
        <v>16</v>
      </c>
      <c r="M20" s="10">
        <f t="shared" si="34"/>
        <v>1825.0485436893202</v>
      </c>
      <c r="N20" s="9">
        <f t="shared" si="22"/>
        <v>114.06553398058252</v>
      </c>
      <c r="O20" s="11">
        <f t="shared" si="35"/>
        <v>0</v>
      </c>
      <c r="P20" s="12">
        <f t="shared" si="36"/>
        <v>-10.934466019417485</v>
      </c>
      <c r="Q20" s="113">
        <f t="shared" si="29"/>
        <v>0.91252427184466012</v>
      </c>
      <c r="R20" s="533"/>
      <c r="S20" s="24">
        <v>0.21388888888888888</v>
      </c>
      <c r="T20" s="24">
        <v>0.28541666666666665</v>
      </c>
      <c r="U20" s="108">
        <f>(S20-T19)*24*60</f>
        <v>29.000000000000018</v>
      </c>
      <c r="V20" s="110">
        <f t="shared" ref="V20:V26" si="37">(T20-S20)*24*60</f>
        <v>103</v>
      </c>
      <c r="W20" s="14"/>
      <c r="X20" s="108"/>
      <c r="Y20" s="528"/>
      <c r="Z20" s="528"/>
      <c r="AA20" s="11">
        <f t="shared" si="2"/>
        <v>-174.95145631067976</v>
      </c>
      <c r="AB20" s="113">
        <f t="shared" si="19"/>
        <v>0.91252427184466012</v>
      </c>
      <c r="AC20" s="533"/>
    </row>
    <row r="21" spans="1:29" ht="15.75" customHeight="1">
      <c r="A21" s="555" t="s">
        <v>7</v>
      </c>
      <c r="B21" s="26" t="s">
        <v>13</v>
      </c>
      <c r="C21" s="552" t="s">
        <v>14</v>
      </c>
      <c r="D21" s="552"/>
      <c r="E21" s="26">
        <v>53.68</v>
      </c>
      <c r="F21" s="109">
        <v>1996</v>
      </c>
      <c r="G21" s="108">
        <f t="shared" si="32"/>
        <v>107145.28</v>
      </c>
      <c r="H21" s="76" t="s">
        <v>52</v>
      </c>
      <c r="I21" s="111">
        <v>17</v>
      </c>
      <c r="J21" s="18">
        <v>2000</v>
      </c>
      <c r="K21" s="9">
        <f t="shared" si="33"/>
        <v>117.64705882352941</v>
      </c>
      <c r="L21" s="111">
        <v>17</v>
      </c>
      <c r="M21" s="10">
        <f t="shared" si="34"/>
        <v>1842.4615384615381</v>
      </c>
      <c r="N21" s="9">
        <f t="shared" si="22"/>
        <v>108.38009049773754</v>
      </c>
      <c r="O21" s="11">
        <f t="shared" si="35"/>
        <v>0</v>
      </c>
      <c r="P21" s="12">
        <f t="shared" si="36"/>
        <v>-9.2669683257918649</v>
      </c>
      <c r="Q21" s="113">
        <f t="shared" si="29"/>
        <v>0.92123076923076919</v>
      </c>
      <c r="R21" s="533"/>
      <c r="S21" s="24">
        <v>0.29097222222222219</v>
      </c>
      <c r="T21" s="24">
        <v>0.33611111111111108</v>
      </c>
      <c r="U21" s="108">
        <f t="shared" ref="U21:U26" si="38">(S21-T20)*24*60</f>
        <v>7.9999999999999716</v>
      </c>
      <c r="V21" s="110">
        <f t="shared" si="37"/>
        <v>65.000000000000014</v>
      </c>
      <c r="W21" s="14"/>
      <c r="X21" s="108"/>
      <c r="Y21" s="528"/>
      <c r="Z21" s="528"/>
      <c r="AA21" s="11">
        <f t="shared" si="2"/>
        <v>-157.53846153846189</v>
      </c>
      <c r="AB21" s="113">
        <f t="shared" si="19"/>
        <v>0.92123076923076908</v>
      </c>
      <c r="AC21" s="533"/>
    </row>
    <row r="22" spans="1:29" ht="15.75" customHeight="1">
      <c r="A22" s="555" t="s">
        <v>7</v>
      </c>
      <c r="B22" s="26" t="s">
        <v>13</v>
      </c>
      <c r="C22" s="552" t="s">
        <v>63</v>
      </c>
      <c r="D22" s="552"/>
      <c r="E22" s="26">
        <v>50.67</v>
      </c>
      <c r="F22" s="109">
        <v>1048</v>
      </c>
      <c r="G22" s="108">
        <f t="shared" si="32"/>
        <v>53102.16</v>
      </c>
      <c r="H22" s="76" t="s">
        <v>52</v>
      </c>
      <c r="I22" s="111">
        <v>16</v>
      </c>
      <c r="J22" s="18">
        <v>2000</v>
      </c>
      <c r="K22" s="9">
        <f t="shared" si="33"/>
        <v>125</v>
      </c>
      <c r="L22" s="111">
        <v>16</v>
      </c>
      <c r="M22" s="10">
        <f t="shared" si="34"/>
        <v>1849.4117647058847</v>
      </c>
      <c r="N22" s="9">
        <f t="shared" si="22"/>
        <v>115.58823529411779</v>
      </c>
      <c r="O22" s="11">
        <f t="shared" si="35"/>
        <v>0</v>
      </c>
      <c r="P22" s="12">
        <f t="shared" si="36"/>
        <v>-9.4117647058822058</v>
      </c>
      <c r="Q22" s="113">
        <f t="shared" si="29"/>
        <v>0.92470588235294238</v>
      </c>
      <c r="R22" s="533"/>
      <c r="S22" s="24">
        <v>0.34027777777777773</v>
      </c>
      <c r="T22" s="24">
        <v>0.36388888888888882</v>
      </c>
      <c r="U22" s="108">
        <f t="shared" si="38"/>
        <v>5.9999999999999787</v>
      </c>
      <c r="V22" s="110">
        <f t="shared" si="37"/>
        <v>33.999999999999957</v>
      </c>
      <c r="W22" s="14"/>
      <c r="X22" s="108"/>
      <c r="Y22" s="528"/>
      <c r="Z22" s="528"/>
      <c r="AA22" s="11">
        <f t="shared" si="2"/>
        <v>-150.58823529411529</v>
      </c>
      <c r="AB22" s="113">
        <f t="shared" si="19"/>
        <v>0.92470588235294238</v>
      </c>
      <c r="AC22" s="533"/>
    </row>
    <row r="23" spans="1:29" ht="15.75" customHeight="1">
      <c r="A23" s="555" t="s">
        <v>7</v>
      </c>
      <c r="B23" s="26" t="s">
        <v>13</v>
      </c>
      <c r="C23" s="552" t="s">
        <v>81</v>
      </c>
      <c r="D23" s="552"/>
      <c r="E23" s="26">
        <v>58.17</v>
      </c>
      <c r="F23" s="109">
        <v>2937</v>
      </c>
      <c r="G23" s="108">
        <f t="shared" si="32"/>
        <v>170845.29</v>
      </c>
      <c r="H23" s="76" t="s">
        <v>52</v>
      </c>
      <c r="I23" s="111">
        <v>18</v>
      </c>
      <c r="J23" s="18">
        <v>2000</v>
      </c>
      <c r="K23" s="9">
        <f t="shared" si="33"/>
        <v>111.11111111111111</v>
      </c>
      <c r="L23" s="111">
        <v>18</v>
      </c>
      <c r="M23" s="10">
        <f t="shared" si="34"/>
        <v>1835.6250000000007</v>
      </c>
      <c r="N23" s="9">
        <f t="shared" si="22"/>
        <v>101.9791666666667</v>
      </c>
      <c r="O23" s="11">
        <f t="shared" si="35"/>
        <v>0</v>
      </c>
      <c r="P23" s="12">
        <f t="shared" si="36"/>
        <v>-9.1319444444444144</v>
      </c>
      <c r="Q23" s="113">
        <f t="shared" si="29"/>
        <v>0.91781250000000025</v>
      </c>
      <c r="R23" s="533"/>
      <c r="S23" s="24">
        <v>0.36805555555555547</v>
      </c>
      <c r="T23" s="24">
        <v>0.43472222222222212</v>
      </c>
      <c r="U23" s="108">
        <f t="shared" si="38"/>
        <v>5.9999999999999787</v>
      </c>
      <c r="V23" s="110">
        <f t="shared" si="37"/>
        <v>95.999999999999972</v>
      </c>
      <c r="W23" s="14"/>
      <c r="X23" s="108"/>
      <c r="Y23" s="528"/>
      <c r="Z23" s="528"/>
      <c r="AA23" s="11">
        <f t="shared" si="2"/>
        <v>-164.37499999999932</v>
      </c>
      <c r="AB23" s="113">
        <f t="shared" si="19"/>
        <v>0.91781250000000036</v>
      </c>
      <c r="AC23" s="533"/>
    </row>
    <row r="24" spans="1:29" ht="15.75" customHeight="1">
      <c r="A24" s="555" t="s">
        <v>7</v>
      </c>
      <c r="B24" s="26" t="s">
        <v>13</v>
      </c>
      <c r="C24" s="552" t="s">
        <v>85</v>
      </c>
      <c r="D24" s="552"/>
      <c r="E24" s="26">
        <v>54.09</v>
      </c>
      <c r="F24" s="109">
        <v>4093</v>
      </c>
      <c r="G24" s="108">
        <f t="shared" si="32"/>
        <v>221390.37000000002</v>
      </c>
      <c r="H24" s="76" t="s">
        <v>52</v>
      </c>
      <c r="I24" s="111">
        <v>20</v>
      </c>
      <c r="J24" s="18">
        <v>2000</v>
      </c>
      <c r="K24" s="9">
        <f t="shared" si="33"/>
        <v>100</v>
      </c>
      <c r="L24" s="111">
        <v>20</v>
      </c>
      <c r="M24" s="10">
        <f t="shared" si="34"/>
        <v>1832.6865671641792</v>
      </c>
      <c r="N24" s="9">
        <f t="shared" si="22"/>
        <v>91.634328358208961</v>
      </c>
      <c r="O24" s="11">
        <f t="shared" si="35"/>
        <v>0</v>
      </c>
      <c r="P24" s="12">
        <f t="shared" si="36"/>
        <v>-8.3656716417910388</v>
      </c>
      <c r="Q24" s="113">
        <f t="shared" si="29"/>
        <v>0.91634328358208961</v>
      </c>
      <c r="R24" s="533"/>
      <c r="S24" s="24">
        <v>0.70833333333333337</v>
      </c>
      <c r="T24" s="24">
        <v>0.80138888888888893</v>
      </c>
      <c r="U24" s="108"/>
      <c r="V24" s="110">
        <f t="shared" si="37"/>
        <v>134</v>
      </c>
      <c r="W24" s="14"/>
      <c r="X24" s="15"/>
      <c r="Y24" s="528"/>
      <c r="Z24" s="528"/>
      <c r="AA24" s="11">
        <f t="shared" si="2"/>
        <v>-167.31343283582078</v>
      </c>
      <c r="AB24" s="113">
        <f t="shared" si="19"/>
        <v>0.91634328358208961</v>
      </c>
      <c r="AC24" s="533"/>
    </row>
    <row r="25" spans="1:29" ht="15.75" customHeight="1">
      <c r="A25" s="555" t="s">
        <v>7</v>
      </c>
      <c r="B25" s="26" t="s">
        <v>13</v>
      </c>
      <c r="C25" s="552" t="s">
        <v>56</v>
      </c>
      <c r="D25" s="552"/>
      <c r="E25" s="26">
        <v>53.27</v>
      </c>
      <c r="F25" s="109">
        <v>481</v>
      </c>
      <c r="G25" s="108">
        <f t="shared" si="32"/>
        <v>25622.870000000003</v>
      </c>
      <c r="H25" s="76" t="s">
        <v>52</v>
      </c>
      <c r="I25" s="111">
        <v>15</v>
      </c>
      <c r="J25" s="18">
        <v>2000</v>
      </c>
      <c r="K25" s="9">
        <f t="shared" si="33"/>
        <v>133.33333333333334</v>
      </c>
      <c r="L25" s="111">
        <v>15</v>
      </c>
      <c r="M25" s="10">
        <f t="shared" si="34"/>
        <v>1924.000000000007</v>
      </c>
      <c r="N25" s="9">
        <f t="shared" si="22"/>
        <v>128.26666666666713</v>
      </c>
      <c r="O25" s="11">
        <f t="shared" si="35"/>
        <v>0</v>
      </c>
      <c r="P25" s="12">
        <f t="shared" si="36"/>
        <v>-5.0666666666662081</v>
      </c>
      <c r="Q25" s="113">
        <f t="shared" si="29"/>
        <v>0.96200000000000341</v>
      </c>
      <c r="R25" s="533"/>
      <c r="S25" s="24">
        <v>0.80555555555555558</v>
      </c>
      <c r="T25" s="24">
        <v>0.81597222222222221</v>
      </c>
      <c r="U25" s="108">
        <f t="shared" si="38"/>
        <v>5.9999999999999787</v>
      </c>
      <c r="V25" s="110">
        <f t="shared" si="37"/>
        <v>14.999999999999947</v>
      </c>
      <c r="W25" s="14"/>
      <c r="X25" s="15"/>
      <c r="Y25" s="536"/>
      <c r="Z25" s="537"/>
      <c r="AA25" s="11">
        <f t="shared" si="2"/>
        <v>-75.999999999992951</v>
      </c>
      <c r="AB25" s="113">
        <f t="shared" si="19"/>
        <v>0.96200000000000352</v>
      </c>
      <c r="AC25" s="533"/>
    </row>
    <row r="26" spans="1:29" ht="15.75" customHeight="1">
      <c r="A26" s="555" t="s">
        <v>7</v>
      </c>
      <c r="B26" s="26" t="s">
        <v>13</v>
      </c>
      <c r="C26" s="584" t="s">
        <v>83</v>
      </c>
      <c r="D26" s="585"/>
      <c r="E26" s="26">
        <v>49.91</v>
      </c>
      <c r="F26" s="109">
        <v>664</v>
      </c>
      <c r="G26" s="108">
        <f t="shared" si="32"/>
        <v>33140.239999999998</v>
      </c>
      <c r="H26" s="76" t="s">
        <v>52</v>
      </c>
      <c r="I26" s="111">
        <v>16</v>
      </c>
      <c r="J26" s="18">
        <v>2000</v>
      </c>
      <c r="K26" s="9">
        <f t="shared" si="33"/>
        <v>125</v>
      </c>
      <c r="L26" s="111">
        <v>16</v>
      </c>
      <c r="M26" s="10">
        <f t="shared" si="34"/>
        <v>1897.1428571428639</v>
      </c>
      <c r="N26" s="9">
        <f t="shared" si="22"/>
        <v>118.571428571429</v>
      </c>
      <c r="O26" s="11">
        <f t="shared" si="35"/>
        <v>0</v>
      </c>
      <c r="P26" s="12">
        <f t="shared" si="36"/>
        <v>-6.4285714285710043</v>
      </c>
      <c r="Q26" s="113">
        <f t="shared" si="29"/>
        <v>0.94857142857143195</v>
      </c>
      <c r="R26" s="533"/>
      <c r="S26" s="24">
        <v>0.82013888888888886</v>
      </c>
      <c r="T26" s="24">
        <v>0.83472222222222214</v>
      </c>
      <c r="U26" s="108">
        <f t="shared" si="38"/>
        <v>5.9999999999999787</v>
      </c>
      <c r="V26" s="110">
        <f t="shared" si="37"/>
        <v>20.999999999999925</v>
      </c>
      <c r="W26" s="14"/>
      <c r="X26" s="14"/>
      <c r="Y26" s="536"/>
      <c r="Z26" s="537"/>
      <c r="AA26" s="11">
        <f t="shared" si="2"/>
        <v>-102.85714285713607</v>
      </c>
      <c r="AB26" s="113">
        <f t="shared" si="19"/>
        <v>0.94857142857143195</v>
      </c>
      <c r="AC26" s="533"/>
    </row>
    <row r="27" spans="1:29" ht="15.75" customHeight="1">
      <c r="A27" s="555" t="s">
        <v>7</v>
      </c>
      <c r="B27" s="26" t="s">
        <v>308</v>
      </c>
      <c r="C27" s="530"/>
      <c r="D27" s="530"/>
      <c r="E27" s="112"/>
      <c r="F27" s="109"/>
      <c r="G27" s="108"/>
      <c r="H27" s="109"/>
      <c r="I27" s="17">
        <v>16.875</v>
      </c>
      <c r="J27" s="18">
        <v>2000</v>
      </c>
      <c r="K27" s="9">
        <f t="shared" si="33"/>
        <v>118.51851851851852</v>
      </c>
      <c r="L27" s="17">
        <v>16.875</v>
      </c>
      <c r="M27" s="10">
        <f>AVERAGE(M19:M26)</f>
        <v>1858.8739569723975</v>
      </c>
      <c r="N27" s="9">
        <f>M27/L27</f>
        <v>110.15549374651245</v>
      </c>
      <c r="O27" s="11">
        <f>L27-I27</f>
        <v>0</v>
      </c>
      <c r="P27" s="12">
        <f>N27-K27</f>
        <v>-8.3630247720060709</v>
      </c>
      <c r="Q27" s="113">
        <f>N27/K27</f>
        <v>0.92943697848619877</v>
      </c>
      <c r="R27" s="533"/>
      <c r="S27" s="24"/>
      <c r="T27" s="24"/>
      <c r="U27" s="9"/>
      <c r="V27" s="110"/>
      <c r="W27" s="9"/>
      <c r="X27" s="9"/>
      <c r="Y27" s="528"/>
      <c r="Z27" s="528"/>
      <c r="AA27" s="11">
        <f t="shared" si="2"/>
        <v>-141.12604302760246</v>
      </c>
      <c r="AB27" s="113">
        <f t="shared" si="19"/>
        <v>0.92943697848619877</v>
      </c>
      <c r="AC27" s="533"/>
    </row>
    <row r="28" spans="1:29" ht="15.75" customHeight="1">
      <c r="A28" s="553" t="s">
        <v>312</v>
      </c>
      <c r="B28" s="26" t="s">
        <v>24</v>
      </c>
      <c r="C28" s="552" t="s">
        <v>26</v>
      </c>
      <c r="D28" s="552"/>
      <c r="E28" s="26">
        <v>26.2</v>
      </c>
      <c r="F28" s="109">
        <v>4124</v>
      </c>
      <c r="G28" s="108">
        <f t="shared" ref="G28:G34" si="39">E28*F28</f>
        <v>108048.8</v>
      </c>
      <c r="H28" s="76" t="s">
        <v>52</v>
      </c>
      <c r="I28" s="111">
        <v>20</v>
      </c>
      <c r="J28" s="18">
        <v>2400</v>
      </c>
      <c r="K28" s="9">
        <f>J28/I28</f>
        <v>120</v>
      </c>
      <c r="L28" s="111">
        <v>20</v>
      </c>
      <c r="M28" s="10">
        <f t="shared" ref="M28:M34" si="40">F28/V28*60</f>
        <v>2189.7345132743362</v>
      </c>
      <c r="N28" s="9">
        <f t="shared" ref="N28:N34" si="41">M28/L28</f>
        <v>109.48672566371681</v>
      </c>
      <c r="O28" s="11">
        <f t="shared" ref="O28:O34" si="42">L28-I28</f>
        <v>0</v>
      </c>
      <c r="P28" s="12">
        <f t="shared" ref="P28:P34" si="43">N28-K28</f>
        <v>-10.513274336283189</v>
      </c>
      <c r="Q28" s="113">
        <f t="shared" ref="Q28:Q34" si="44">N28/K28</f>
        <v>0.9123893805309734</v>
      </c>
      <c r="R28" s="533">
        <f>Q35</f>
        <v>0.91469155785394318</v>
      </c>
      <c r="S28" s="24">
        <v>0.125</v>
      </c>
      <c r="T28" s="24">
        <v>0.20347222222222222</v>
      </c>
      <c r="U28" s="108"/>
      <c r="V28" s="110">
        <f t="shared" ref="V28:V34" si="45">(T28-S28)*24*60</f>
        <v>113</v>
      </c>
      <c r="W28" s="14">
        <f>T28</f>
        <v>0.20347222222222222</v>
      </c>
      <c r="X28" s="14">
        <f>S29</f>
        <v>0.22222222222222224</v>
      </c>
      <c r="Y28" s="528"/>
      <c r="Z28" s="528"/>
      <c r="AA28" s="11">
        <f t="shared" si="2"/>
        <v>-210.26548672566378</v>
      </c>
      <c r="AB28" s="113">
        <f>M28/J28</f>
        <v>0.9123893805309734</v>
      </c>
      <c r="AC28" s="533">
        <f>AB35</f>
        <v>0.91469155785394318</v>
      </c>
    </row>
    <row r="29" spans="1:29" ht="15.75" customHeight="1">
      <c r="A29" s="553" t="s">
        <v>8</v>
      </c>
      <c r="B29" s="26" t="s">
        <v>24</v>
      </c>
      <c r="C29" s="552" t="s">
        <v>25</v>
      </c>
      <c r="D29" s="552"/>
      <c r="E29" s="26">
        <v>20.52</v>
      </c>
      <c r="F29" s="109">
        <v>4454</v>
      </c>
      <c r="G29" s="108">
        <f t="shared" si="39"/>
        <v>91396.08</v>
      </c>
      <c r="H29" s="76" t="s">
        <v>52</v>
      </c>
      <c r="I29" s="111">
        <v>18</v>
      </c>
      <c r="J29" s="18">
        <v>2400</v>
      </c>
      <c r="K29" s="9">
        <f t="shared" ref="K29:K35" si="46">J29/I29</f>
        <v>133.33333333333334</v>
      </c>
      <c r="L29" s="111">
        <v>18</v>
      </c>
      <c r="M29" s="10">
        <f t="shared" si="40"/>
        <v>2190.4918032786886</v>
      </c>
      <c r="N29" s="9">
        <f t="shared" si="41"/>
        <v>121.69398907103826</v>
      </c>
      <c r="O29" s="11">
        <f t="shared" si="42"/>
        <v>0</v>
      </c>
      <c r="P29" s="12">
        <f t="shared" si="43"/>
        <v>-11.639344262295083</v>
      </c>
      <c r="Q29" s="113">
        <f t="shared" si="44"/>
        <v>0.91270491803278686</v>
      </c>
      <c r="R29" s="533"/>
      <c r="S29" s="24">
        <v>0.22222222222222224</v>
      </c>
      <c r="T29" s="24">
        <v>0.30694444444444446</v>
      </c>
      <c r="U29" s="108">
        <f>(S29-T28)*24*60</f>
        <v>27.000000000000025</v>
      </c>
      <c r="V29" s="110">
        <f t="shared" si="45"/>
        <v>122</v>
      </c>
      <c r="W29" s="14"/>
      <c r="X29" s="14"/>
      <c r="Y29" s="528"/>
      <c r="Z29" s="528"/>
      <c r="AA29" s="11">
        <f t="shared" si="2"/>
        <v>-209.50819672131138</v>
      </c>
      <c r="AB29" s="113">
        <f t="shared" ref="AB29:AB34" si="47">M29/J29</f>
        <v>0.91270491803278697</v>
      </c>
      <c r="AC29" s="533"/>
    </row>
    <row r="30" spans="1:29" ht="15.75" customHeight="1">
      <c r="A30" s="553" t="s">
        <v>8</v>
      </c>
      <c r="B30" s="26" t="s">
        <v>24</v>
      </c>
      <c r="C30" s="552" t="s">
        <v>79</v>
      </c>
      <c r="D30" s="552"/>
      <c r="E30" s="26">
        <v>31.29</v>
      </c>
      <c r="F30" s="109">
        <v>3500</v>
      </c>
      <c r="G30" s="108">
        <f t="shared" si="39"/>
        <v>109515</v>
      </c>
      <c r="H30" s="76">
        <v>2</v>
      </c>
      <c r="I30" s="111">
        <v>16</v>
      </c>
      <c r="J30" s="18">
        <v>2400</v>
      </c>
      <c r="K30" s="9">
        <f t="shared" si="46"/>
        <v>150</v>
      </c>
      <c r="L30" s="111">
        <v>16</v>
      </c>
      <c r="M30" s="10">
        <f t="shared" si="40"/>
        <v>2187.5000000000005</v>
      </c>
      <c r="N30" s="9">
        <f t="shared" si="41"/>
        <v>136.71875000000003</v>
      </c>
      <c r="O30" s="11">
        <f t="shared" si="42"/>
        <v>0</v>
      </c>
      <c r="P30" s="12">
        <f t="shared" si="43"/>
        <v>-13.281249999999972</v>
      </c>
      <c r="Q30" s="113">
        <f t="shared" si="44"/>
        <v>0.91145833333333348</v>
      </c>
      <c r="R30" s="533"/>
      <c r="S30" s="24">
        <v>0.31111111111111112</v>
      </c>
      <c r="T30" s="24">
        <v>0.37777777777777777</v>
      </c>
      <c r="U30" s="108">
        <f t="shared" ref="U30:U34" si="48">(S30-T29)*24*60</f>
        <v>5.9999999999999787</v>
      </c>
      <c r="V30" s="110">
        <f t="shared" si="45"/>
        <v>95.999999999999972</v>
      </c>
      <c r="W30" s="14"/>
      <c r="X30" s="14"/>
      <c r="Y30" s="528"/>
      <c r="Z30" s="528"/>
      <c r="AA30" s="11">
        <f t="shared" si="2"/>
        <v>-212.49999999999955</v>
      </c>
      <c r="AB30" s="113">
        <f t="shared" si="47"/>
        <v>0.91145833333333348</v>
      </c>
      <c r="AC30" s="533"/>
    </row>
    <row r="31" spans="1:29" ht="15.75" customHeight="1">
      <c r="A31" s="553" t="s">
        <v>8</v>
      </c>
      <c r="B31" s="26" t="s">
        <v>24</v>
      </c>
      <c r="C31" s="552" t="s">
        <v>68</v>
      </c>
      <c r="D31" s="552"/>
      <c r="E31" s="26">
        <v>24.25</v>
      </c>
      <c r="F31" s="109">
        <v>3000</v>
      </c>
      <c r="G31" s="108">
        <f t="shared" si="39"/>
        <v>72750</v>
      </c>
      <c r="H31" s="76">
        <v>2</v>
      </c>
      <c r="I31" s="111">
        <v>18</v>
      </c>
      <c r="J31" s="18">
        <v>2400</v>
      </c>
      <c r="K31" s="9">
        <f t="shared" si="46"/>
        <v>133.33333333333334</v>
      </c>
      <c r="L31" s="111">
        <v>18</v>
      </c>
      <c r="M31" s="10">
        <f t="shared" si="40"/>
        <v>2195.1219512195112</v>
      </c>
      <c r="N31" s="9">
        <f t="shared" si="41"/>
        <v>121.95121951219507</v>
      </c>
      <c r="O31" s="11">
        <f t="shared" si="42"/>
        <v>0</v>
      </c>
      <c r="P31" s="12">
        <f t="shared" si="43"/>
        <v>-11.382113821138276</v>
      </c>
      <c r="Q31" s="113">
        <f t="shared" si="44"/>
        <v>0.91463414634146289</v>
      </c>
      <c r="R31" s="533"/>
      <c r="S31" s="24">
        <v>0.38194444444444442</v>
      </c>
      <c r="T31" s="24">
        <v>0.43888888888888888</v>
      </c>
      <c r="U31" s="108">
        <f t="shared" si="48"/>
        <v>5.9999999999999787</v>
      </c>
      <c r="V31" s="110">
        <f t="shared" si="45"/>
        <v>82.000000000000028</v>
      </c>
      <c r="W31" s="14"/>
      <c r="X31" s="14"/>
      <c r="Y31" s="528"/>
      <c r="Z31" s="528"/>
      <c r="AA31" s="11">
        <f t="shared" si="2"/>
        <v>-204.87804878048883</v>
      </c>
      <c r="AB31" s="113">
        <f t="shared" si="47"/>
        <v>0.91463414634146301</v>
      </c>
      <c r="AC31" s="533"/>
    </row>
    <row r="32" spans="1:29" ht="15.75" customHeight="1">
      <c r="A32" s="553" t="s">
        <v>8</v>
      </c>
      <c r="B32" s="26" t="s">
        <v>24</v>
      </c>
      <c r="C32" s="552" t="s">
        <v>62</v>
      </c>
      <c r="D32" s="552"/>
      <c r="E32" s="26">
        <v>22.35</v>
      </c>
      <c r="F32" s="109">
        <v>2330</v>
      </c>
      <c r="G32" s="108">
        <f t="shared" si="39"/>
        <v>52075.5</v>
      </c>
      <c r="H32" s="76" t="s">
        <v>52</v>
      </c>
      <c r="I32" s="111">
        <v>16</v>
      </c>
      <c r="J32" s="18">
        <v>2400</v>
      </c>
      <c r="K32" s="9">
        <f t="shared" si="46"/>
        <v>150</v>
      </c>
      <c r="L32" s="111">
        <v>16</v>
      </c>
      <c r="M32" s="10">
        <f t="shared" si="40"/>
        <v>2219.0476190476184</v>
      </c>
      <c r="N32" s="9">
        <f t="shared" si="41"/>
        <v>138.69047619047615</v>
      </c>
      <c r="O32" s="11">
        <f t="shared" si="42"/>
        <v>0</v>
      </c>
      <c r="P32" s="12">
        <f t="shared" si="43"/>
        <v>-11.309523809523853</v>
      </c>
      <c r="Q32" s="113">
        <f t="shared" si="44"/>
        <v>0.92460317460317432</v>
      </c>
      <c r="R32" s="533"/>
      <c r="S32" s="24">
        <v>0.44374999999999998</v>
      </c>
      <c r="T32" s="24">
        <v>0.48749999999999999</v>
      </c>
      <c r="U32" s="108">
        <f t="shared" si="48"/>
        <v>6.9999999999999751</v>
      </c>
      <c r="V32" s="110">
        <f t="shared" si="45"/>
        <v>63.000000000000014</v>
      </c>
      <c r="W32" s="14">
        <f>T32</f>
        <v>0.48749999999999999</v>
      </c>
      <c r="X32" s="14">
        <f>S33</f>
        <v>0.52708333333333324</v>
      </c>
      <c r="Y32" s="528"/>
      <c r="Z32" s="528"/>
      <c r="AA32" s="11">
        <f t="shared" si="2"/>
        <v>-180.95238095238165</v>
      </c>
      <c r="AB32" s="113">
        <f t="shared" si="47"/>
        <v>0.92460317460317432</v>
      </c>
      <c r="AC32" s="533"/>
    </row>
    <row r="33" spans="1:29" ht="15.75" customHeight="1">
      <c r="A33" s="553" t="s">
        <v>8</v>
      </c>
      <c r="B33" s="26" t="s">
        <v>24</v>
      </c>
      <c r="C33" s="552" t="s">
        <v>79</v>
      </c>
      <c r="D33" s="552"/>
      <c r="E33" s="26">
        <v>31.29</v>
      </c>
      <c r="F33" s="109">
        <v>5286</v>
      </c>
      <c r="G33" s="108">
        <f t="shared" si="39"/>
        <v>165398.94</v>
      </c>
      <c r="H33" s="76" t="s">
        <v>52</v>
      </c>
      <c r="I33" s="111">
        <v>16</v>
      </c>
      <c r="J33" s="18">
        <v>2400</v>
      </c>
      <c r="K33" s="9">
        <f t="shared" si="46"/>
        <v>150</v>
      </c>
      <c r="L33" s="111">
        <v>16</v>
      </c>
      <c r="M33" s="10">
        <f t="shared" si="40"/>
        <v>2187.3103448275865</v>
      </c>
      <c r="N33" s="9">
        <f t="shared" si="41"/>
        <v>136.70689655172416</v>
      </c>
      <c r="O33" s="11">
        <f t="shared" si="42"/>
        <v>0</v>
      </c>
      <c r="P33" s="12">
        <f t="shared" si="43"/>
        <v>-13.293103448275843</v>
      </c>
      <c r="Q33" s="113">
        <f t="shared" si="44"/>
        <v>0.91137931034482766</v>
      </c>
      <c r="R33" s="533"/>
      <c r="S33" s="24">
        <v>0.52708333333333324</v>
      </c>
      <c r="T33" s="24">
        <v>0.62777777777777766</v>
      </c>
      <c r="U33" s="108">
        <f t="shared" si="48"/>
        <v>56.999999999999879</v>
      </c>
      <c r="V33" s="110">
        <f t="shared" si="45"/>
        <v>144.99999999999997</v>
      </c>
      <c r="W33" s="14"/>
      <c r="X33" s="14"/>
      <c r="Y33" s="528"/>
      <c r="Z33" s="528"/>
      <c r="AA33" s="11">
        <f t="shared" si="2"/>
        <v>-212.6896551724135</v>
      </c>
      <c r="AB33" s="113">
        <f t="shared" si="47"/>
        <v>0.91137931034482766</v>
      </c>
      <c r="AC33" s="533"/>
    </row>
    <row r="34" spans="1:29" ht="15.75" customHeight="1">
      <c r="A34" s="553" t="s">
        <v>8</v>
      </c>
      <c r="B34" s="26" t="s">
        <v>24</v>
      </c>
      <c r="C34" s="552" t="s">
        <v>68</v>
      </c>
      <c r="D34" s="552"/>
      <c r="E34" s="26">
        <v>24.25</v>
      </c>
      <c r="F34" s="109">
        <v>2454</v>
      </c>
      <c r="G34" s="108">
        <f t="shared" si="39"/>
        <v>59509.5</v>
      </c>
      <c r="H34" s="76" t="s">
        <v>52</v>
      </c>
      <c r="I34" s="111">
        <v>18</v>
      </c>
      <c r="J34" s="18">
        <v>2400</v>
      </c>
      <c r="K34" s="9">
        <f t="shared" si="46"/>
        <v>133.33333333333334</v>
      </c>
      <c r="L34" s="111">
        <v>18</v>
      </c>
      <c r="M34" s="10">
        <f t="shared" si="40"/>
        <v>2197.6119402985046</v>
      </c>
      <c r="N34" s="9">
        <f t="shared" si="41"/>
        <v>122.08955223880581</v>
      </c>
      <c r="O34" s="11">
        <f t="shared" si="42"/>
        <v>0</v>
      </c>
      <c r="P34" s="12">
        <f t="shared" si="43"/>
        <v>-11.243781094527534</v>
      </c>
      <c r="Q34" s="113">
        <f t="shared" si="44"/>
        <v>0.91567164179104354</v>
      </c>
      <c r="R34" s="533"/>
      <c r="S34" s="24">
        <v>0.63333333333333319</v>
      </c>
      <c r="T34" s="24">
        <v>0.67986111111111103</v>
      </c>
      <c r="U34" s="108">
        <f t="shared" si="48"/>
        <v>7.9999999999999716</v>
      </c>
      <c r="V34" s="110">
        <f t="shared" si="45"/>
        <v>67.000000000000085</v>
      </c>
      <c r="W34" s="14"/>
      <c r="X34" s="14"/>
      <c r="Y34" s="528"/>
      <c r="Z34" s="528"/>
      <c r="AA34" s="11">
        <f t="shared" si="2"/>
        <v>-202.38805970149542</v>
      </c>
      <c r="AB34" s="113">
        <f t="shared" si="47"/>
        <v>0.91567164179104354</v>
      </c>
      <c r="AC34" s="533"/>
    </row>
    <row r="35" spans="1:29" ht="15.75" customHeight="1">
      <c r="A35" s="553" t="s">
        <v>8</v>
      </c>
      <c r="B35" s="26" t="s">
        <v>313</v>
      </c>
      <c r="C35" s="530"/>
      <c r="D35" s="530"/>
      <c r="E35" s="112"/>
      <c r="F35" s="109"/>
      <c r="G35" s="108"/>
      <c r="H35" s="109"/>
      <c r="I35" s="17">
        <v>17.428571428571427</v>
      </c>
      <c r="J35" s="18">
        <v>2400</v>
      </c>
      <c r="K35" s="9">
        <f t="shared" si="46"/>
        <v>137.70491803278691</v>
      </c>
      <c r="L35" s="17">
        <v>17.428571428571427</v>
      </c>
      <c r="M35" s="10">
        <f>AVERAGE(M28:M34)</f>
        <v>2195.2597388494637</v>
      </c>
      <c r="N35" s="9">
        <f>M35/L35</f>
        <v>125.95752599955941</v>
      </c>
      <c r="O35" s="11">
        <f>L35-I35</f>
        <v>0</v>
      </c>
      <c r="P35" s="12">
        <f>N35-K35</f>
        <v>-11.747392033227499</v>
      </c>
      <c r="Q35" s="113">
        <f>N35/K35</f>
        <v>0.91469155785394318</v>
      </c>
      <c r="R35" s="533"/>
      <c r="S35" s="24"/>
      <c r="T35" s="24"/>
      <c r="U35" s="108"/>
      <c r="V35" s="110"/>
      <c r="W35" s="108"/>
      <c r="X35" s="108"/>
      <c r="Y35" s="528"/>
      <c r="Z35" s="528"/>
      <c r="AA35" s="11">
        <f t="shared" si="2"/>
        <v>-204.7402611505363</v>
      </c>
      <c r="AB35" s="113">
        <f>M35/J35</f>
        <v>0.91469155785394318</v>
      </c>
      <c r="AC35" s="533"/>
    </row>
    <row r="36" spans="1:29" ht="15.75" customHeight="1">
      <c r="A36" s="550" t="s">
        <v>314</v>
      </c>
      <c r="B36" s="26" t="s">
        <v>24</v>
      </c>
      <c r="C36" s="529" t="s">
        <v>28</v>
      </c>
      <c r="D36" s="529"/>
      <c r="E36" s="26">
        <v>26.2</v>
      </c>
      <c r="F36" s="109">
        <v>2500</v>
      </c>
      <c r="G36" s="108">
        <f t="shared" ref="G36:G43" si="49">E36*F36</f>
        <v>65500</v>
      </c>
      <c r="H36" s="76">
        <v>2</v>
      </c>
      <c r="I36" s="111">
        <v>18</v>
      </c>
      <c r="J36" s="18">
        <v>2400</v>
      </c>
      <c r="K36" s="9">
        <f>J36/I36</f>
        <v>133.33333333333334</v>
      </c>
      <c r="L36" s="111">
        <v>18</v>
      </c>
      <c r="M36" s="10">
        <f>F36/V36*60</f>
        <v>2205.8823529411766</v>
      </c>
      <c r="N36" s="9">
        <f>M36/L36</f>
        <v>122.54901960784315</v>
      </c>
      <c r="O36" s="11">
        <f t="shared" ref="O36:O43" si="50">L36-I36</f>
        <v>0</v>
      </c>
      <c r="P36" s="12">
        <f t="shared" ref="P36:P53" si="51">N36-K36</f>
        <v>-10.784313725490193</v>
      </c>
      <c r="Q36" s="113">
        <f t="shared" ref="Q36:Q48" si="52">N36/K36</f>
        <v>0.91911764705882359</v>
      </c>
      <c r="R36" s="533">
        <f>Q44</f>
        <v>0.91876830520443054</v>
      </c>
      <c r="S36" s="24">
        <v>0.125</v>
      </c>
      <c r="T36" s="24">
        <v>0.17222222222222222</v>
      </c>
      <c r="U36" s="108"/>
      <c r="V36" s="110">
        <f t="shared" ref="V36:V43" si="53">(T36-S36)*24*60</f>
        <v>68</v>
      </c>
      <c r="W36" s="15">
        <f>T36</f>
        <v>0.17222222222222222</v>
      </c>
      <c r="X36" s="15">
        <f>S37</f>
        <v>0.19097222222222221</v>
      </c>
      <c r="Y36" s="528"/>
      <c r="Z36" s="528"/>
      <c r="AA36" s="11">
        <f t="shared" si="2"/>
        <v>-194.11764705882342</v>
      </c>
      <c r="AB36" s="113">
        <f>M36/J36</f>
        <v>0.91911764705882359</v>
      </c>
      <c r="AC36" s="533">
        <f>AB44</f>
        <v>0.91876830520443054</v>
      </c>
    </row>
    <row r="37" spans="1:29" ht="15.75" customHeight="1">
      <c r="A37" s="550" t="s">
        <v>314</v>
      </c>
      <c r="B37" s="26" t="s">
        <v>24</v>
      </c>
      <c r="C37" s="529" t="s">
        <v>30</v>
      </c>
      <c r="D37" s="529"/>
      <c r="E37" s="26">
        <v>24.45</v>
      </c>
      <c r="F37" s="109">
        <v>2320</v>
      </c>
      <c r="G37" s="108">
        <f t="shared" si="49"/>
        <v>56724</v>
      </c>
      <c r="H37" s="76" t="s">
        <v>52</v>
      </c>
      <c r="I37" s="111">
        <v>20</v>
      </c>
      <c r="J37" s="18">
        <v>2400</v>
      </c>
      <c r="K37" s="9">
        <f t="shared" ref="K37:K52" si="54">J37/I37</f>
        <v>120</v>
      </c>
      <c r="L37" s="111">
        <v>20</v>
      </c>
      <c r="M37" s="10">
        <f t="shared" ref="M37:M43" si="55">F37/V37*60</f>
        <v>2209.5238095238087</v>
      </c>
      <c r="N37" s="9">
        <f t="shared" ref="N37:N43" si="56">M37/L37</f>
        <v>110.47619047619044</v>
      </c>
      <c r="O37" s="11">
        <f t="shared" si="50"/>
        <v>0</v>
      </c>
      <c r="P37" s="12">
        <f t="shared" si="51"/>
        <v>-9.523809523809561</v>
      </c>
      <c r="Q37" s="113">
        <f t="shared" si="52"/>
        <v>0.92063492063492036</v>
      </c>
      <c r="R37" s="533"/>
      <c r="S37" s="24">
        <v>0.19097222222222221</v>
      </c>
      <c r="T37" s="24">
        <v>0.23472222222222222</v>
      </c>
      <c r="U37" s="108">
        <f>(S37-T36)*24*60</f>
        <v>26.999999999999986</v>
      </c>
      <c r="V37" s="110">
        <f t="shared" si="53"/>
        <v>63.000000000000014</v>
      </c>
      <c r="W37" s="108"/>
      <c r="X37" s="108"/>
      <c r="Y37" s="528"/>
      <c r="Z37" s="528"/>
      <c r="AA37" s="11">
        <f t="shared" si="2"/>
        <v>-190.47619047619128</v>
      </c>
      <c r="AB37" s="113">
        <f t="shared" ref="AB37:AB66" si="57">M37/J37</f>
        <v>0.92063492063492025</v>
      </c>
      <c r="AC37" s="533"/>
    </row>
    <row r="38" spans="1:29">
      <c r="A38" s="551" t="s">
        <v>314</v>
      </c>
      <c r="B38" s="26" t="s">
        <v>24</v>
      </c>
      <c r="C38" s="529" t="s">
        <v>31</v>
      </c>
      <c r="D38" s="529"/>
      <c r="E38" s="26">
        <v>26.2</v>
      </c>
      <c r="F38" s="109">
        <v>3284</v>
      </c>
      <c r="G38" s="108">
        <f t="shared" si="49"/>
        <v>86040.8</v>
      </c>
      <c r="H38" s="76" t="s">
        <v>52</v>
      </c>
      <c r="I38" s="111">
        <v>20</v>
      </c>
      <c r="J38" s="18">
        <v>2400</v>
      </c>
      <c r="K38" s="9">
        <f t="shared" si="54"/>
        <v>120</v>
      </c>
      <c r="L38" s="111">
        <v>20</v>
      </c>
      <c r="M38" s="10">
        <f t="shared" si="55"/>
        <v>2189.3333333333326</v>
      </c>
      <c r="N38" s="9">
        <f t="shared" si="56"/>
        <v>109.46666666666663</v>
      </c>
      <c r="O38" s="11">
        <f t="shared" si="50"/>
        <v>0</v>
      </c>
      <c r="P38" s="12">
        <f t="shared" si="51"/>
        <v>-10.533333333333374</v>
      </c>
      <c r="Q38" s="113">
        <f t="shared" si="52"/>
        <v>0.91222222222222193</v>
      </c>
      <c r="R38" s="533"/>
      <c r="S38" s="24">
        <v>0.23958333333333334</v>
      </c>
      <c r="T38" s="24">
        <v>0.30208333333333337</v>
      </c>
      <c r="U38" s="108">
        <f t="shared" ref="U38:U43" si="58">(S38-T37)*24*60</f>
        <v>7.0000000000000151</v>
      </c>
      <c r="V38" s="110">
        <f t="shared" si="53"/>
        <v>90.000000000000043</v>
      </c>
      <c r="W38" s="108"/>
      <c r="X38" s="108"/>
      <c r="Y38" s="528"/>
      <c r="Z38" s="528"/>
      <c r="AA38" s="11">
        <f t="shared" si="2"/>
        <v>-210.66666666666742</v>
      </c>
      <c r="AB38" s="113">
        <f t="shared" si="57"/>
        <v>0.91222222222222193</v>
      </c>
      <c r="AC38" s="533"/>
    </row>
    <row r="39" spans="1:29">
      <c r="A39" s="551" t="s">
        <v>315</v>
      </c>
      <c r="B39" s="26" t="s">
        <v>24</v>
      </c>
      <c r="C39" s="529" t="s">
        <v>29</v>
      </c>
      <c r="D39" s="529"/>
      <c r="E39" s="26">
        <v>26.39</v>
      </c>
      <c r="F39" s="109">
        <v>3200</v>
      </c>
      <c r="G39" s="108">
        <f t="shared" si="49"/>
        <v>84448</v>
      </c>
      <c r="H39" s="76">
        <v>2</v>
      </c>
      <c r="I39" s="111">
        <v>19</v>
      </c>
      <c r="J39" s="18">
        <v>2400</v>
      </c>
      <c r="K39" s="9">
        <f t="shared" si="54"/>
        <v>126.31578947368421</v>
      </c>
      <c r="L39" s="111">
        <v>19</v>
      </c>
      <c r="M39" s="10">
        <f t="shared" si="55"/>
        <v>2206.8965517241372</v>
      </c>
      <c r="N39" s="9">
        <f t="shared" si="56"/>
        <v>116.15245009074407</v>
      </c>
      <c r="O39" s="11">
        <f t="shared" si="50"/>
        <v>0</v>
      </c>
      <c r="P39" s="12">
        <f t="shared" si="51"/>
        <v>-10.163339382940137</v>
      </c>
      <c r="Q39" s="113">
        <f t="shared" si="52"/>
        <v>0.91954022988505724</v>
      </c>
      <c r="R39" s="533"/>
      <c r="S39" s="24">
        <v>0.30763888888888891</v>
      </c>
      <c r="T39" s="24">
        <v>0.36805555555555558</v>
      </c>
      <c r="U39" s="108">
        <f t="shared" si="58"/>
        <v>7.9999999999999716</v>
      </c>
      <c r="V39" s="110">
        <f t="shared" si="53"/>
        <v>87.000000000000014</v>
      </c>
      <c r="W39" s="14"/>
      <c r="X39" s="14"/>
      <c r="Y39" s="528"/>
      <c r="Z39" s="528"/>
      <c r="AA39" s="11">
        <f t="shared" si="2"/>
        <v>-193.10344827586277</v>
      </c>
      <c r="AB39" s="113">
        <f t="shared" si="57"/>
        <v>0.91954022988505713</v>
      </c>
      <c r="AC39" s="533"/>
    </row>
    <row r="40" spans="1:29">
      <c r="A40" s="551" t="s">
        <v>314</v>
      </c>
      <c r="B40" s="26" t="s">
        <v>24</v>
      </c>
      <c r="C40" s="529" t="s">
        <v>27</v>
      </c>
      <c r="D40" s="529"/>
      <c r="E40" s="26">
        <v>20.52</v>
      </c>
      <c r="F40" s="109">
        <v>3166</v>
      </c>
      <c r="G40" s="108">
        <f t="shared" si="49"/>
        <v>64966.32</v>
      </c>
      <c r="H40" s="76" t="s">
        <v>52</v>
      </c>
      <c r="I40" s="111">
        <v>18</v>
      </c>
      <c r="J40" s="18">
        <v>2400</v>
      </c>
      <c r="K40" s="9">
        <f t="shared" si="54"/>
        <v>133.33333333333334</v>
      </c>
      <c r="L40" s="111">
        <v>18</v>
      </c>
      <c r="M40" s="10">
        <f t="shared" si="55"/>
        <v>2208.8372093023249</v>
      </c>
      <c r="N40" s="9">
        <f t="shared" si="56"/>
        <v>122.71317829457361</v>
      </c>
      <c r="O40" s="11">
        <f t="shared" si="50"/>
        <v>0</v>
      </c>
      <c r="P40" s="12">
        <f t="shared" si="51"/>
        <v>-10.620155038759734</v>
      </c>
      <c r="Q40" s="113">
        <f t="shared" si="52"/>
        <v>0.92034883720930205</v>
      </c>
      <c r="R40" s="533"/>
      <c r="S40" s="24">
        <v>0.37222222222222223</v>
      </c>
      <c r="T40" s="24">
        <v>0.43194444444444446</v>
      </c>
      <c r="U40" s="108">
        <f t="shared" si="58"/>
        <v>5.9999999999999787</v>
      </c>
      <c r="V40" s="110">
        <f t="shared" si="53"/>
        <v>86.000000000000014</v>
      </c>
      <c r="W40" s="14"/>
      <c r="X40" s="14"/>
      <c r="Y40" s="528"/>
      <c r="Z40" s="528"/>
      <c r="AA40" s="11">
        <f t="shared" si="2"/>
        <v>-191.16279069767506</v>
      </c>
      <c r="AB40" s="113">
        <f t="shared" si="57"/>
        <v>0.92034883720930205</v>
      </c>
      <c r="AC40" s="533"/>
    </row>
    <row r="41" spans="1:29">
      <c r="A41" s="551" t="s">
        <v>314</v>
      </c>
      <c r="B41" s="26" t="s">
        <v>24</v>
      </c>
      <c r="C41" s="529" t="s">
        <v>50</v>
      </c>
      <c r="D41" s="529"/>
      <c r="E41" s="26">
        <v>26.2</v>
      </c>
      <c r="F41" s="109">
        <v>4259</v>
      </c>
      <c r="G41" s="108">
        <f t="shared" si="49"/>
        <v>111585.8</v>
      </c>
      <c r="H41" s="76" t="s">
        <v>52</v>
      </c>
      <c r="I41" s="111">
        <v>19</v>
      </c>
      <c r="J41" s="18">
        <v>2400</v>
      </c>
      <c r="K41" s="9">
        <f t="shared" si="54"/>
        <v>126.31578947368421</v>
      </c>
      <c r="L41" s="111">
        <v>19</v>
      </c>
      <c r="M41" s="10">
        <f t="shared" si="55"/>
        <v>2202.9310344827572</v>
      </c>
      <c r="N41" s="9">
        <f t="shared" si="56"/>
        <v>115.94373865698722</v>
      </c>
      <c r="O41" s="11">
        <f t="shared" si="50"/>
        <v>0</v>
      </c>
      <c r="P41" s="12">
        <f t="shared" si="51"/>
        <v>-10.372050816696984</v>
      </c>
      <c r="Q41" s="113">
        <f t="shared" si="52"/>
        <v>0.91788793103448219</v>
      </c>
      <c r="R41" s="533"/>
      <c r="S41" s="24">
        <v>0.4375</v>
      </c>
      <c r="T41" s="24">
        <v>0.5180555555555556</v>
      </c>
      <c r="U41" s="108">
        <f t="shared" si="58"/>
        <v>7.9999999999999716</v>
      </c>
      <c r="V41" s="110">
        <f t="shared" si="53"/>
        <v>116.00000000000007</v>
      </c>
      <c r="W41" s="14">
        <f>T41</f>
        <v>0.5180555555555556</v>
      </c>
      <c r="X41" s="14">
        <f>S42</f>
        <v>0.55763888888888891</v>
      </c>
      <c r="Y41" s="528"/>
      <c r="Z41" s="528"/>
      <c r="AA41" s="11">
        <f t="shared" si="2"/>
        <v>-197.06896551724276</v>
      </c>
      <c r="AB41" s="113">
        <f t="shared" si="57"/>
        <v>0.91788793103448219</v>
      </c>
      <c r="AC41" s="533"/>
    </row>
    <row r="42" spans="1:29">
      <c r="A42" s="551" t="s">
        <v>315</v>
      </c>
      <c r="B42" s="26" t="s">
        <v>24</v>
      </c>
      <c r="C42" s="529" t="s">
        <v>28</v>
      </c>
      <c r="D42" s="529"/>
      <c r="E42" s="26">
        <v>26.2</v>
      </c>
      <c r="F42" s="109">
        <v>3993</v>
      </c>
      <c r="G42" s="108">
        <f t="shared" si="49"/>
        <v>104616.59999999999</v>
      </c>
      <c r="H42" s="76" t="s">
        <v>52</v>
      </c>
      <c r="I42" s="111">
        <v>18</v>
      </c>
      <c r="J42" s="18">
        <v>2400</v>
      </c>
      <c r="K42" s="9">
        <f t="shared" si="54"/>
        <v>133.33333333333334</v>
      </c>
      <c r="L42" s="111">
        <v>18</v>
      </c>
      <c r="M42" s="10">
        <f t="shared" si="55"/>
        <v>2197.9816513761484</v>
      </c>
      <c r="N42" s="9">
        <f t="shared" si="56"/>
        <v>122.11009174311936</v>
      </c>
      <c r="O42" s="11">
        <f t="shared" si="50"/>
        <v>0</v>
      </c>
      <c r="P42" s="12">
        <f t="shared" si="51"/>
        <v>-11.223241590213988</v>
      </c>
      <c r="Q42" s="113">
        <f t="shared" si="52"/>
        <v>0.91582568807339515</v>
      </c>
      <c r="R42" s="533"/>
      <c r="S42" s="24">
        <v>0.55763888888888891</v>
      </c>
      <c r="T42" s="24">
        <v>0.6333333333333333</v>
      </c>
      <c r="U42" s="108">
        <f t="shared" si="58"/>
        <v>56.999999999999957</v>
      </c>
      <c r="V42" s="110">
        <f t="shared" si="53"/>
        <v>108.99999999999993</v>
      </c>
      <c r="W42" s="14"/>
      <c r="X42" s="14"/>
      <c r="Y42" s="536"/>
      <c r="Z42" s="537"/>
      <c r="AA42" s="11">
        <f t="shared" si="2"/>
        <v>-202.01834862385158</v>
      </c>
      <c r="AB42" s="113">
        <f t="shared" si="57"/>
        <v>0.91582568807339515</v>
      </c>
      <c r="AC42" s="533"/>
    </row>
    <row r="43" spans="1:29">
      <c r="A43" s="551" t="s">
        <v>315</v>
      </c>
      <c r="B43" s="26" t="s">
        <v>24</v>
      </c>
      <c r="C43" s="529" t="s">
        <v>29</v>
      </c>
      <c r="D43" s="529"/>
      <c r="E43" s="26">
        <v>26.39</v>
      </c>
      <c r="F43" s="109">
        <v>2145</v>
      </c>
      <c r="G43" s="108">
        <f t="shared" si="49"/>
        <v>56606.55</v>
      </c>
      <c r="H43" s="76" t="s">
        <v>52</v>
      </c>
      <c r="I43" s="111">
        <v>19</v>
      </c>
      <c r="J43" s="18">
        <v>2400</v>
      </c>
      <c r="K43" s="9">
        <f t="shared" si="54"/>
        <v>126.31578947368421</v>
      </c>
      <c r="L43" s="111">
        <v>19</v>
      </c>
      <c r="M43" s="10">
        <f t="shared" si="55"/>
        <v>2218.9655172413809</v>
      </c>
      <c r="N43" s="9">
        <f t="shared" si="56"/>
        <v>116.78765880217794</v>
      </c>
      <c r="O43" s="11">
        <f t="shared" si="50"/>
        <v>0</v>
      </c>
      <c r="P43" s="12">
        <f t="shared" si="51"/>
        <v>-9.5281306715062613</v>
      </c>
      <c r="Q43" s="113">
        <f t="shared" si="52"/>
        <v>0.9245689655172421</v>
      </c>
      <c r="R43" s="533"/>
      <c r="S43" s="24">
        <v>0.63888888888888884</v>
      </c>
      <c r="T43" s="24">
        <v>0.67916666666666659</v>
      </c>
      <c r="U43" s="108">
        <f t="shared" si="58"/>
        <v>7.9999999999999716</v>
      </c>
      <c r="V43" s="110">
        <f t="shared" si="53"/>
        <v>57.999999999999957</v>
      </c>
      <c r="W43" s="14"/>
      <c r="X43" s="14"/>
      <c r="Y43" s="536"/>
      <c r="Z43" s="537"/>
      <c r="AA43" s="11">
        <f t="shared" si="2"/>
        <v>-181.03448275861911</v>
      </c>
      <c r="AB43" s="113">
        <f t="shared" si="57"/>
        <v>0.92456896551724199</v>
      </c>
      <c r="AC43" s="533"/>
    </row>
    <row r="44" spans="1:29">
      <c r="A44" s="551" t="s">
        <v>315</v>
      </c>
      <c r="B44" s="16" t="s">
        <v>308</v>
      </c>
      <c r="C44" s="530"/>
      <c r="D44" s="530"/>
      <c r="E44" s="112"/>
      <c r="F44" s="16"/>
      <c r="G44" s="9"/>
      <c r="H44" s="109"/>
      <c r="I44" s="17">
        <v>18.875</v>
      </c>
      <c r="J44" s="18">
        <v>2400</v>
      </c>
      <c r="K44" s="9">
        <f t="shared" si="54"/>
        <v>127.1523178807947</v>
      </c>
      <c r="L44" s="17">
        <v>18.875</v>
      </c>
      <c r="M44" s="10">
        <f>AVERAGE(M36:M43)</f>
        <v>2205.0439324906333</v>
      </c>
      <c r="N44" s="9">
        <f>M44/L44</f>
        <v>116.82351960215276</v>
      </c>
      <c r="O44" s="11">
        <f>L44-I44</f>
        <v>0</v>
      </c>
      <c r="P44" s="12">
        <f t="shared" si="51"/>
        <v>-10.328798278641941</v>
      </c>
      <c r="Q44" s="113">
        <f t="shared" si="52"/>
        <v>0.91876830520443054</v>
      </c>
      <c r="R44" s="533"/>
      <c r="S44" s="24"/>
      <c r="T44" s="24"/>
      <c r="U44" s="9"/>
      <c r="V44" s="110"/>
      <c r="W44" s="9"/>
      <c r="X44" s="9"/>
      <c r="Y44" s="528"/>
      <c r="Z44" s="528"/>
      <c r="AA44" s="11">
        <f t="shared" si="2"/>
        <v>-194.95606750936668</v>
      </c>
      <c r="AB44" s="113">
        <f t="shared" si="57"/>
        <v>0.91876830520443054</v>
      </c>
      <c r="AC44" s="533"/>
    </row>
    <row r="45" spans="1:29" ht="15.75" customHeight="1">
      <c r="A45" s="544" t="s">
        <v>316</v>
      </c>
      <c r="B45" s="26" t="s">
        <v>32</v>
      </c>
      <c r="C45" s="534" t="s">
        <v>33</v>
      </c>
      <c r="D45" s="535"/>
      <c r="E45" s="26">
        <v>27.17</v>
      </c>
      <c r="F45" s="109">
        <v>2600</v>
      </c>
      <c r="G45" s="108">
        <f t="shared" ref="G45:G52" si="59">E45*F45</f>
        <v>70642</v>
      </c>
      <c r="H45" s="76">
        <v>2</v>
      </c>
      <c r="I45" s="111">
        <v>10</v>
      </c>
      <c r="J45" s="18">
        <v>3000</v>
      </c>
      <c r="K45" s="9">
        <f t="shared" si="54"/>
        <v>300</v>
      </c>
      <c r="L45" s="111">
        <v>10</v>
      </c>
      <c r="M45" s="10">
        <f t="shared" ref="M45:M46" si="60">F45/V45*60</f>
        <v>2736.8421052631579</v>
      </c>
      <c r="N45" s="10">
        <f t="shared" ref="N45:N53" si="61">M45/L45</f>
        <v>273.68421052631578</v>
      </c>
      <c r="O45" s="11">
        <f t="shared" ref="O45:O53" si="62">L45-I45</f>
        <v>0</v>
      </c>
      <c r="P45" s="12">
        <f t="shared" si="51"/>
        <v>-26.31578947368422</v>
      </c>
      <c r="Q45" s="113">
        <f t="shared" si="52"/>
        <v>0.91228070175438591</v>
      </c>
      <c r="R45" s="547">
        <f>Q53</f>
        <v>0.91952603466092686</v>
      </c>
      <c r="S45" s="24">
        <v>0.20833333333333334</v>
      </c>
      <c r="T45" s="24">
        <v>0.24791666666666667</v>
      </c>
      <c r="U45" s="15"/>
      <c r="V45" s="110">
        <f t="shared" ref="V45:V52" si="63">(T45-S45)*24*60</f>
        <v>57</v>
      </c>
      <c r="W45" s="108"/>
      <c r="X45" s="108"/>
      <c r="Y45" s="536"/>
      <c r="Z45" s="537"/>
      <c r="AA45" s="11">
        <f t="shared" si="2"/>
        <v>-263.15789473684208</v>
      </c>
      <c r="AB45" s="113">
        <f t="shared" si="57"/>
        <v>0.91228070175438603</v>
      </c>
      <c r="AC45" s="547">
        <f>AB53</f>
        <v>0.91952603466092675</v>
      </c>
    </row>
    <row r="46" spans="1:29" ht="15.75" customHeight="1">
      <c r="A46" s="545" t="s">
        <v>9</v>
      </c>
      <c r="B46" s="26" t="s">
        <v>32</v>
      </c>
      <c r="C46" s="534" t="s">
        <v>34</v>
      </c>
      <c r="D46" s="535"/>
      <c r="E46" s="26">
        <v>21.13</v>
      </c>
      <c r="F46" s="109">
        <v>3000</v>
      </c>
      <c r="G46" s="108">
        <f t="shared" si="59"/>
        <v>63390</v>
      </c>
      <c r="H46" s="76">
        <v>2</v>
      </c>
      <c r="I46" s="111">
        <v>10</v>
      </c>
      <c r="J46" s="18">
        <v>3000</v>
      </c>
      <c r="K46" s="9">
        <f t="shared" si="54"/>
        <v>300</v>
      </c>
      <c r="L46" s="111">
        <v>10</v>
      </c>
      <c r="M46" s="10">
        <f t="shared" si="60"/>
        <v>2769.2307692307686</v>
      </c>
      <c r="N46" s="10">
        <f t="shared" si="61"/>
        <v>276.92307692307685</v>
      </c>
      <c r="O46" s="11">
        <f t="shared" si="62"/>
        <v>0</v>
      </c>
      <c r="P46" s="12">
        <f t="shared" si="51"/>
        <v>-23.076923076923151</v>
      </c>
      <c r="Q46" s="113">
        <f t="shared" si="52"/>
        <v>0.9230769230769228</v>
      </c>
      <c r="R46" s="548"/>
      <c r="S46" s="24">
        <v>0.25347222222222221</v>
      </c>
      <c r="T46" s="24">
        <v>0.2986111111111111</v>
      </c>
      <c r="U46" s="108">
        <f>(S46-T45)*24*60</f>
        <v>7.9999999999999716</v>
      </c>
      <c r="V46" s="110">
        <f t="shared" si="63"/>
        <v>65.000000000000014</v>
      </c>
      <c r="W46" s="14"/>
      <c r="X46" s="14"/>
      <c r="Y46" s="536"/>
      <c r="Z46" s="537"/>
      <c r="AA46" s="11">
        <f t="shared" si="2"/>
        <v>-230.7692307692314</v>
      </c>
      <c r="AB46" s="113">
        <f t="shared" si="57"/>
        <v>0.92307692307692291</v>
      </c>
      <c r="AC46" s="548"/>
    </row>
    <row r="47" spans="1:29" ht="15.75" customHeight="1">
      <c r="A47" s="545" t="s">
        <v>9</v>
      </c>
      <c r="B47" s="26" t="s">
        <v>32</v>
      </c>
      <c r="C47" s="534" t="s">
        <v>40</v>
      </c>
      <c r="D47" s="535"/>
      <c r="E47" s="26">
        <v>35.119999999999997</v>
      </c>
      <c r="F47" s="109">
        <v>4825</v>
      </c>
      <c r="G47" s="108">
        <f t="shared" si="59"/>
        <v>169454</v>
      </c>
      <c r="H47" s="76" t="s">
        <v>52</v>
      </c>
      <c r="I47" s="111">
        <v>10</v>
      </c>
      <c r="J47" s="18">
        <v>3000</v>
      </c>
      <c r="K47" s="9">
        <f t="shared" si="54"/>
        <v>300</v>
      </c>
      <c r="L47" s="111">
        <v>10</v>
      </c>
      <c r="M47" s="10">
        <f>F47/V47*60</f>
        <v>2757.1428571428564</v>
      </c>
      <c r="N47" s="10">
        <f t="shared" si="61"/>
        <v>275.71428571428567</v>
      </c>
      <c r="O47" s="11">
        <f t="shared" si="62"/>
        <v>0</v>
      </c>
      <c r="P47" s="12">
        <f t="shared" si="51"/>
        <v>-24.285714285714334</v>
      </c>
      <c r="Q47" s="113">
        <f t="shared" si="52"/>
        <v>0.91904761904761889</v>
      </c>
      <c r="R47" s="548"/>
      <c r="S47" s="24">
        <v>0.30416666666666664</v>
      </c>
      <c r="T47" s="24">
        <v>0.37708333333333333</v>
      </c>
      <c r="U47" s="108">
        <f t="shared" ref="U47:U52" si="64">(S47-T46)*24*60</f>
        <v>7.9999999999999716</v>
      </c>
      <c r="V47" s="110">
        <f t="shared" si="63"/>
        <v>105.00000000000003</v>
      </c>
      <c r="W47" s="14"/>
      <c r="X47" s="14"/>
      <c r="Y47" s="536"/>
      <c r="Z47" s="537"/>
      <c r="AA47" s="11">
        <f t="shared" si="2"/>
        <v>-242.85714285714357</v>
      </c>
      <c r="AB47" s="113">
        <f t="shared" si="57"/>
        <v>0.91904761904761878</v>
      </c>
      <c r="AC47" s="548"/>
    </row>
    <row r="48" spans="1:29" ht="15.75" customHeight="1">
      <c r="A48" s="545" t="s">
        <v>9</v>
      </c>
      <c r="B48" s="26" t="s">
        <v>32</v>
      </c>
      <c r="C48" s="534" t="s">
        <v>61</v>
      </c>
      <c r="D48" s="535"/>
      <c r="E48" s="26">
        <v>40.18</v>
      </c>
      <c r="F48" s="109">
        <v>2325</v>
      </c>
      <c r="G48" s="108">
        <f t="shared" si="59"/>
        <v>93418.5</v>
      </c>
      <c r="H48" s="76" t="s">
        <v>52</v>
      </c>
      <c r="I48" s="111">
        <v>10</v>
      </c>
      <c r="J48" s="18">
        <v>3000</v>
      </c>
      <c r="K48" s="9">
        <f t="shared" si="54"/>
        <v>300</v>
      </c>
      <c r="L48" s="111">
        <v>10</v>
      </c>
      <c r="M48" s="10">
        <f t="shared" ref="M48:M52" si="65">F48/V48*60</f>
        <v>2735.2941176470599</v>
      </c>
      <c r="N48" s="10">
        <f t="shared" si="61"/>
        <v>273.52941176470597</v>
      </c>
      <c r="O48" s="11">
        <f t="shared" si="62"/>
        <v>0</v>
      </c>
      <c r="P48" s="12">
        <f t="shared" si="51"/>
        <v>-26.470588235294031</v>
      </c>
      <c r="Q48" s="113">
        <f t="shared" si="52"/>
        <v>0.91176470588235325</v>
      </c>
      <c r="R48" s="548"/>
      <c r="S48" s="24">
        <v>0.38263888888888886</v>
      </c>
      <c r="T48" s="24">
        <v>0.41805555555555551</v>
      </c>
      <c r="U48" s="108">
        <f t="shared" si="64"/>
        <v>7.9999999999999716</v>
      </c>
      <c r="V48" s="110">
        <f t="shared" si="63"/>
        <v>50.999999999999979</v>
      </c>
      <c r="W48" s="14"/>
      <c r="X48" s="14"/>
      <c r="Y48" s="536"/>
      <c r="Z48" s="537"/>
      <c r="AA48" s="11">
        <f t="shared" si="2"/>
        <v>-264.70588235294008</v>
      </c>
      <c r="AB48" s="113">
        <f t="shared" si="57"/>
        <v>0.91176470588235325</v>
      </c>
      <c r="AC48" s="548"/>
    </row>
    <row r="49" spans="1:29" ht="15.75" customHeight="1">
      <c r="A49" s="545" t="s">
        <v>9</v>
      </c>
      <c r="B49" s="26" t="s">
        <v>32</v>
      </c>
      <c r="C49" s="534" t="s">
        <v>64</v>
      </c>
      <c r="D49" s="535"/>
      <c r="E49" s="26">
        <v>28.5</v>
      </c>
      <c r="F49" s="109">
        <v>1457</v>
      </c>
      <c r="G49" s="108">
        <f t="shared" si="59"/>
        <v>41524.5</v>
      </c>
      <c r="H49" s="76" t="s">
        <v>52</v>
      </c>
      <c r="I49" s="111">
        <v>10</v>
      </c>
      <c r="J49" s="18">
        <v>3000</v>
      </c>
      <c r="K49" s="9">
        <f t="shared" si="54"/>
        <v>300</v>
      </c>
      <c r="L49" s="111">
        <v>10</v>
      </c>
      <c r="M49" s="10">
        <f t="shared" si="65"/>
        <v>2820.0000000000027</v>
      </c>
      <c r="N49" s="10">
        <f t="shared" si="61"/>
        <v>282.00000000000028</v>
      </c>
      <c r="O49" s="11">
        <f t="shared" si="62"/>
        <v>0</v>
      </c>
      <c r="P49" s="12">
        <f t="shared" si="51"/>
        <v>-17.999999999999716</v>
      </c>
      <c r="Q49" s="113">
        <f>N49/K49</f>
        <v>0.94000000000000095</v>
      </c>
      <c r="R49" s="548"/>
      <c r="S49" s="24">
        <v>0.42291666666666661</v>
      </c>
      <c r="T49" s="24">
        <v>0.44444444444444436</v>
      </c>
      <c r="U49" s="108">
        <f t="shared" si="64"/>
        <v>6.9999999999999751</v>
      </c>
      <c r="V49" s="110">
        <f t="shared" si="63"/>
        <v>30.999999999999972</v>
      </c>
      <c r="W49" s="14"/>
      <c r="X49" s="14"/>
      <c r="Y49" s="536"/>
      <c r="Z49" s="537"/>
      <c r="AA49" s="11">
        <f t="shared" si="2"/>
        <v>-179.99999999999727</v>
      </c>
      <c r="AB49" s="113">
        <f t="shared" si="57"/>
        <v>0.94000000000000095</v>
      </c>
      <c r="AC49" s="548"/>
    </row>
    <row r="50" spans="1:29" ht="15.75" customHeight="1">
      <c r="A50" s="545" t="s">
        <v>9</v>
      </c>
      <c r="B50" s="26" t="s">
        <v>32</v>
      </c>
      <c r="C50" s="534" t="s">
        <v>78</v>
      </c>
      <c r="D50" s="535"/>
      <c r="E50" s="26">
        <v>35.869999999999997</v>
      </c>
      <c r="F50" s="109">
        <v>3652</v>
      </c>
      <c r="G50" s="108">
        <f t="shared" si="59"/>
        <v>130997.23999999999</v>
      </c>
      <c r="H50" s="76" t="s">
        <v>52</v>
      </c>
      <c r="I50" s="111">
        <v>10</v>
      </c>
      <c r="J50" s="18">
        <v>3000</v>
      </c>
      <c r="K50" s="9">
        <f t="shared" si="54"/>
        <v>300</v>
      </c>
      <c r="L50" s="111">
        <v>10</v>
      </c>
      <c r="M50" s="10">
        <f t="shared" si="65"/>
        <v>2739.0000000000018</v>
      </c>
      <c r="N50" s="10">
        <f t="shared" si="61"/>
        <v>273.9000000000002</v>
      </c>
      <c r="O50" s="11">
        <f t="shared" si="62"/>
        <v>0</v>
      </c>
      <c r="P50" s="12">
        <f t="shared" si="51"/>
        <v>-26.099999999999795</v>
      </c>
      <c r="Q50" s="113">
        <f t="shared" ref="Q50:Q53" si="66">N50/K50</f>
        <v>0.9130000000000007</v>
      </c>
      <c r="R50" s="548"/>
      <c r="S50" s="24">
        <v>0.44791666666666657</v>
      </c>
      <c r="T50" s="24">
        <v>0.5034722222222221</v>
      </c>
      <c r="U50" s="108">
        <f t="shared" si="64"/>
        <v>4.9999999999999822</v>
      </c>
      <c r="V50" s="110">
        <f t="shared" si="63"/>
        <v>79.999999999999957</v>
      </c>
      <c r="W50" s="14">
        <f>T50</f>
        <v>0.5034722222222221</v>
      </c>
      <c r="X50" s="14">
        <f>S51</f>
        <v>0.54374999999999984</v>
      </c>
      <c r="Y50" s="536"/>
      <c r="Z50" s="537"/>
      <c r="AA50" s="11">
        <f t="shared" si="2"/>
        <v>-260.99999999999818</v>
      </c>
      <c r="AB50" s="113">
        <f t="shared" si="57"/>
        <v>0.91300000000000059</v>
      </c>
      <c r="AC50" s="548"/>
    </row>
    <row r="51" spans="1:29" ht="15.75" customHeight="1">
      <c r="A51" s="545" t="s">
        <v>9</v>
      </c>
      <c r="B51" s="26" t="s">
        <v>32</v>
      </c>
      <c r="C51" s="534" t="s">
        <v>33</v>
      </c>
      <c r="D51" s="535"/>
      <c r="E51" s="26">
        <v>27.17</v>
      </c>
      <c r="F51" s="109">
        <v>3754</v>
      </c>
      <c r="G51" s="108">
        <f t="shared" si="59"/>
        <v>101996.18000000001</v>
      </c>
      <c r="H51" s="76" t="s">
        <v>52</v>
      </c>
      <c r="I51" s="111">
        <v>10</v>
      </c>
      <c r="J51" s="18">
        <v>3000</v>
      </c>
      <c r="K51" s="9">
        <f t="shared" si="54"/>
        <v>300</v>
      </c>
      <c r="L51" s="111">
        <v>10</v>
      </c>
      <c r="M51" s="10">
        <f t="shared" si="65"/>
        <v>2746.8292682926822</v>
      </c>
      <c r="N51" s="10">
        <f t="shared" si="61"/>
        <v>274.68292682926824</v>
      </c>
      <c r="O51" s="11">
        <f t="shared" si="62"/>
        <v>0</v>
      </c>
      <c r="P51" s="12">
        <f t="shared" si="51"/>
        <v>-25.31707317073176</v>
      </c>
      <c r="Q51" s="113">
        <f t="shared" si="66"/>
        <v>0.91560975609756079</v>
      </c>
      <c r="R51" s="548"/>
      <c r="S51" s="24">
        <v>0.54374999999999984</v>
      </c>
      <c r="T51" s="24">
        <v>0.60069444444444431</v>
      </c>
      <c r="U51" s="108">
        <f t="shared" si="64"/>
        <v>57.999999999999957</v>
      </c>
      <c r="V51" s="110">
        <f t="shared" si="63"/>
        <v>82.000000000000028</v>
      </c>
      <c r="W51" s="14"/>
      <c r="X51" s="14"/>
      <c r="Y51" s="536"/>
      <c r="Z51" s="537"/>
      <c r="AA51" s="11">
        <f t="shared" si="2"/>
        <v>-253.17073170731783</v>
      </c>
      <c r="AB51" s="113">
        <f t="shared" si="57"/>
        <v>0.91560975609756068</v>
      </c>
      <c r="AC51" s="548"/>
    </row>
    <row r="52" spans="1:29" ht="15.75" customHeight="1">
      <c r="A52" s="545" t="s">
        <v>9</v>
      </c>
      <c r="B52" s="26" t="s">
        <v>32</v>
      </c>
      <c r="C52" s="534" t="s">
        <v>34</v>
      </c>
      <c r="D52" s="535"/>
      <c r="E52" s="26">
        <v>21.13</v>
      </c>
      <c r="F52" s="109">
        <v>1935</v>
      </c>
      <c r="G52" s="108">
        <f t="shared" si="59"/>
        <v>40886.549999999996</v>
      </c>
      <c r="H52" s="76" t="s">
        <v>52</v>
      </c>
      <c r="I52" s="111">
        <v>10</v>
      </c>
      <c r="J52" s="18">
        <v>3000</v>
      </c>
      <c r="K52" s="9">
        <f t="shared" si="54"/>
        <v>300</v>
      </c>
      <c r="L52" s="111">
        <v>10</v>
      </c>
      <c r="M52" s="10">
        <f t="shared" si="65"/>
        <v>2764.2857142857133</v>
      </c>
      <c r="N52" s="10">
        <f t="shared" si="61"/>
        <v>276.42857142857133</v>
      </c>
      <c r="O52" s="11">
        <f t="shared" si="62"/>
        <v>0</v>
      </c>
      <c r="P52" s="12">
        <f t="shared" si="51"/>
        <v>-23.571428571428669</v>
      </c>
      <c r="Q52" s="113">
        <f t="shared" si="66"/>
        <v>0.92142857142857115</v>
      </c>
      <c r="R52" s="548"/>
      <c r="S52" s="24">
        <v>0.60486111111111096</v>
      </c>
      <c r="T52" s="24">
        <v>0.63402777777777763</v>
      </c>
      <c r="U52" s="108">
        <f t="shared" si="64"/>
        <v>5.9999999999999787</v>
      </c>
      <c r="V52" s="110">
        <f t="shared" si="63"/>
        <v>42.000000000000014</v>
      </c>
      <c r="W52" s="14"/>
      <c r="X52" s="14"/>
      <c r="Y52" s="536"/>
      <c r="Z52" s="537"/>
      <c r="AA52" s="11">
        <f t="shared" si="2"/>
        <v>-235.71428571428669</v>
      </c>
      <c r="AB52" s="113">
        <f t="shared" si="57"/>
        <v>0.92142857142857115</v>
      </c>
      <c r="AC52" s="548"/>
    </row>
    <row r="53" spans="1:29" ht="15.75" customHeight="1">
      <c r="A53" s="546" t="s">
        <v>9</v>
      </c>
      <c r="B53" s="26" t="s">
        <v>308</v>
      </c>
      <c r="C53" s="540"/>
      <c r="D53" s="541"/>
      <c r="E53" s="118"/>
      <c r="F53" s="109"/>
      <c r="G53" s="108"/>
      <c r="H53" s="109"/>
      <c r="I53" s="17">
        <v>10</v>
      </c>
      <c r="J53" s="18">
        <v>3000</v>
      </c>
      <c r="K53" s="9">
        <f>J53/I53</f>
        <v>300</v>
      </c>
      <c r="L53" s="17">
        <v>10</v>
      </c>
      <c r="M53" s="10">
        <f>AVERAGE(M45:M52)</f>
        <v>2758.5781039827802</v>
      </c>
      <c r="N53" s="9">
        <f t="shared" si="61"/>
        <v>275.85781039827805</v>
      </c>
      <c r="O53" s="11">
        <f t="shared" si="62"/>
        <v>0</v>
      </c>
      <c r="P53" s="12">
        <f t="shared" si="51"/>
        <v>-24.142189601721952</v>
      </c>
      <c r="Q53" s="113">
        <f t="shared" si="66"/>
        <v>0.91952603466092686</v>
      </c>
      <c r="R53" s="549"/>
      <c r="S53" s="24"/>
      <c r="T53" s="24"/>
      <c r="U53" s="108"/>
      <c r="V53" s="110"/>
      <c r="W53" s="14"/>
      <c r="X53" s="14"/>
      <c r="Y53" s="536"/>
      <c r="Z53" s="537"/>
      <c r="AA53" s="11">
        <f t="shared" si="2"/>
        <v>-241.42189601721975</v>
      </c>
      <c r="AB53" s="113">
        <f t="shared" si="57"/>
        <v>0.91952603466092675</v>
      </c>
      <c r="AC53" s="549"/>
    </row>
    <row r="54" spans="1:29" ht="15.75" customHeight="1">
      <c r="A54" s="542" t="s">
        <v>317</v>
      </c>
      <c r="B54" s="26" t="s">
        <v>15</v>
      </c>
      <c r="C54" s="529" t="s">
        <v>20</v>
      </c>
      <c r="D54" s="529"/>
      <c r="E54" s="26">
        <v>46</v>
      </c>
      <c r="F54" s="27">
        <v>3258</v>
      </c>
      <c r="G54" s="108">
        <f t="shared" ref="G54:G58" si="67">E54*F54</f>
        <v>149868</v>
      </c>
      <c r="H54" s="76" t="s">
        <v>52</v>
      </c>
      <c r="I54" s="111">
        <v>17</v>
      </c>
      <c r="J54" s="18">
        <v>2000</v>
      </c>
      <c r="K54" s="9">
        <f t="shared" ref="K54:K58" si="68">J54/I54</f>
        <v>117.64705882352941</v>
      </c>
      <c r="L54" s="111">
        <v>17</v>
      </c>
      <c r="M54" s="10">
        <f t="shared" ref="M54:M58" si="69">F54/V54*60</f>
        <v>1826.915887850467</v>
      </c>
      <c r="N54" s="10">
        <f>M54/L54</f>
        <v>107.46564046179218</v>
      </c>
      <c r="O54" s="11">
        <f>L54-I54</f>
        <v>0</v>
      </c>
      <c r="P54" s="12">
        <f>N54-K54</f>
        <v>-10.181418361737229</v>
      </c>
      <c r="Q54" s="113">
        <f>N54/K54</f>
        <v>0.9134579439252335</v>
      </c>
      <c r="R54" s="533">
        <f>Q59</f>
        <v>0.91689970336384197</v>
      </c>
      <c r="S54" s="24">
        <v>0.29166666666666669</v>
      </c>
      <c r="T54" s="24">
        <v>0.36597222222222225</v>
      </c>
      <c r="U54" s="15"/>
      <c r="V54" s="110">
        <f t="shared" ref="V54:V58" si="70">(T54-S54)*24*60</f>
        <v>107.00000000000001</v>
      </c>
      <c r="W54" s="15"/>
      <c r="X54" s="15"/>
      <c r="Y54" s="528"/>
      <c r="Z54" s="528"/>
      <c r="AA54" s="11">
        <f t="shared" si="2"/>
        <v>-173.08411214953298</v>
      </c>
      <c r="AB54" s="113">
        <f t="shared" si="57"/>
        <v>0.9134579439252335</v>
      </c>
      <c r="AC54" s="533">
        <f>AB59</f>
        <v>0.91689970336384197</v>
      </c>
    </row>
    <row r="55" spans="1:29" ht="15.75" customHeight="1">
      <c r="A55" s="542" t="s">
        <v>10</v>
      </c>
      <c r="B55" s="26" t="s">
        <v>15</v>
      </c>
      <c r="C55" s="529" t="s">
        <v>65</v>
      </c>
      <c r="D55" s="529"/>
      <c r="E55" s="26">
        <v>46</v>
      </c>
      <c r="F55" s="27">
        <v>3790</v>
      </c>
      <c r="G55" s="108">
        <f t="shared" si="67"/>
        <v>174340</v>
      </c>
      <c r="H55" s="76" t="s">
        <v>52</v>
      </c>
      <c r="I55" s="111">
        <v>18</v>
      </c>
      <c r="J55" s="18">
        <v>2000</v>
      </c>
      <c r="K55" s="9">
        <f t="shared" si="68"/>
        <v>111.11111111111111</v>
      </c>
      <c r="L55" s="111">
        <v>18</v>
      </c>
      <c r="M55" s="10">
        <f t="shared" si="69"/>
        <v>1833.8709677419349</v>
      </c>
      <c r="N55" s="10">
        <f t="shared" ref="N55:N58" si="71">M55/L55</f>
        <v>101.88172043010749</v>
      </c>
      <c r="O55" s="11">
        <f t="shared" ref="O55:O58" si="72">L55-I55</f>
        <v>0</v>
      </c>
      <c r="P55" s="12">
        <f t="shared" ref="P55:P58" si="73">N55-K55</f>
        <v>-9.2293906810036219</v>
      </c>
      <c r="Q55" s="113">
        <f t="shared" ref="Q55:Q58" si="74">N55/K55</f>
        <v>0.91693548387096746</v>
      </c>
      <c r="R55" s="533"/>
      <c r="S55" s="24">
        <v>0.37083333333333335</v>
      </c>
      <c r="T55" s="24">
        <v>0.45694444444444449</v>
      </c>
      <c r="U55" s="108">
        <f t="shared" ref="U55:U58" si="75">(S55-T54)*24*60</f>
        <v>6.9999999999999751</v>
      </c>
      <c r="V55" s="110">
        <f t="shared" si="70"/>
        <v>124.00000000000004</v>
      </c>
      <c r="W55" s="14"/>
      <c r="X55" s="14"/>
      <c r="Y55" s="528"/>
      <c r="Z55" s="528"/>
      <c r="AA55" s="11">
        <f t="shared" si="2"/>
        <v>-166.12903225806508</v>
      </c>
      <c r="AB55" s="113">
        <f t="shared" si="57"/>
        <v>0.91693548387096746</v>
      </c>
      <c r="AC55" s="533"/>
    </row>
    <row r="56" spans="1:29" ht="15.75" customHeight="1">
      <c r="A56" s="542" t="s">
        <v>10</v>
      </c>
      <c r="B56" s="26" t="s">
        <v>13</v>
      </c>
      <c r="C56" s="534" t="s">
        <v>59</v>
      </c>
      <c r="D56" s="535"/>
      <c r="E56" s="26">
        <v>55.56</v>
      </c>
      <c r="F56" s="27">
        <v>2246</v>
      </c>
      <c r="G56" s="108">
        <f t="shared" si="67"/>
        <v>124787.76000000001</v>
      </c>
      <c r="H56" s="76" t="s">
        <v>52</v>
      </c>
      <c r="I56" s="111">
        <v>17</v>
      </c>
      <c r="J56" s="18">
        <v>2000</v>
      </c>
      <c r="K56" s="9">
        <f t="shared" si="68"/>
        <v>117.64705882352941</v>
      </c>
      <c r="L56" s="111">
        <v>17</v>
      </c>
      <c r="M56" s="10">
        <f t="shared" si="69"/>
        <v>1821.0810810810797</v>
      </c>
      <c r="N56" s="10">
        <f t="shared" si="71"/>
        <v>107.12241653418116</v>
      </c>
      <c r="O56" s="11">
        <f t="shared" si="72"/>
        <v>0</v>
      </c>
      <c r="P56" s="12">
        <f t="shared" si="73"/>
        <v>-10.52464228934825</v>
      </c>
      <c r="Q56" s="113">
        <f t="shared" si="74"/>
        <v>0.9105405405405399</v>
      </c>
      <c r="R56" s="533"/>
      <c r="S56" s="24">
        <v>0.70833333333333337</v>
      </c>
      <c r="T56" s="24">
        <v>0.7597222222222223</v>
      </c>
      <c r="U56" s="108"/>
      <c r="V56" s="110">
        <f t="shared" si="70"/>
        <v>74.000000000000057</v>
      </c>
      <c r="W56" s="14"/>
      <c r="X56" s="14"/>
      <c r="Y56" s="114"/>
      <c r="Z56" s="115"/>
      <c r="AA56" s="11">
        <f t="shared" si="2"/>
        <v>-178.91891891892033</v>
      </c>
      <c r="AB56" s="113">
        <f t="shared" si="57"/>
        <v>0.91054054054053979</v>
      </c>
      <c r="AC56" s="533"/>
    </row>
    <row r="57" spans="1:29" ht="15.75" customHeight="1">
      <c r="A57" s="542" t="s">
        <v>10</v>
      </c>
      <c r="B57" s="26" t="s">
        <v>13</v>
      </c>
      <c r="C57" s="116" t="s">
        <v>58</v>
      </c>
      <c r="D57" s="117"/>
      <c r="E57" s="26">
        <v>55.32</v>
      </c>
      <c r="F57" s="27">
        <v>1633</v>
      </c>
      <c r="G57" s="108">
        <f t="shared" si="67"/>
        <v>90337.56</v>
      </c>
      <c r="H57" s="76" t="s">
        <v>52</v>
      </c>
      <c r="I57" s="111">
        <v>15</v>
      </c>
      <c r="J57" s="18">
        <v>2000</v>
      </c>
      <c r="K57" s="9">
        <f t="shared" si="68"/>
        <v>133.33333333333334</v>
      </c>
      <c r="L57" s="111">
        <v>15</v>
      </c>
      <c r="M57" s="10">
        <f t="shared" si="69"/>
        <v>1848.67924528302</v>
      </c>
      <c r="N57" s="10">
        <f t="shared" si="71"/>
        <v>123.24528301886799</v>
      </c>
      <c r="O57" s="11">
        <f t="shared" si="72"/>
        <v>0</v>
      </c>
      <c r="P57" s="12">
        <f t="shared" si="73"/>
        <v>-10.088050314465349</v>
      </c>
      <c r="Q57" s="113">
        <f t="shared" si="74"/>
        <v>0.92433962264150993</v>
      </c>
      <c r="R57" s="533"/>
      <c r="S57" s="24">
        <v>0.76388888888888895</v>
      </c>
      <c r="T57" s="24">
        <v>0.80069444444444449</v>
      </c>
      <c r="U57" s="108">
        <f t="shared" si="75"/>
        <v>5.9999999999999787</v>
      </c>
      <c r="V57" s="110">
        <f t="shared" si="70"/>
        <v>52.999999999999972</v>
      </c>
      <c r="W57" s="14"/>
      <c r="X57" s="14"/>
      <c r="Y57" s="114"/>
      <c r="Z57" s="115"/>
      <c r="AA57" s="11">
        <f t="shared" si="2"/>
        <v>-151.32075471697999</v>
      </c>
      <c r="AB57" s="113">
        <f t="shared" si="57"/>
        <v>0.92433962264151004</v>
      </c>
      <c r="AC57" s="533"/>
    </row>
    <row r="58" spans="1:29" ht="15.75" customHeight="1">
      <c r="A58" s="542" t="s">
        <v>10</v>
      </c>
      <c r="B58" s="26" t="s">
        <v>13</v>
      </c>
      <c r="C58" s="116" t="s">
        <v>60</v>
      </c>
      <c r="D58" s="117"/>
      <c r="E58" s="26">
        <v>57.73</v>
      </c>
      <c r="F58" s="27">
        <v>1587</v>
      </c>
      <c r="G58" s="108">
        <f t="shared" si="67"/>
        <v>91617.51</v>
      </c>
      <c r="H58" s="76" t="s">
        <v>52</v>
      </c>
      <c r="I58" s="111">
        <v>16</v>
      </c>
      <c r="J58" s="18">
        <v>1500</v>
      </c>
      <c r="K58" s="9">
        <f t="shared" si="68"/>
        <v>93.75</v>
      </c>
      <c r="L58" s="111">
        <v>16</v>
      </c>
      <c r="M58" s="10">
        <f t="shared" si="69"/>
        <v>1379.9999999999984</v>
      </c>
      <c r="N58" s="10">
        <f t="shared" si="71"/>
        <v>86.249999999999901</v>
      </c>
      <c r="O58" s="11">
        <f t="shared" si="72"/>
        <v>0</v>
      </c>
      <c r="P58" s="12">
        <f t="shared" si="73"/>
        <v>-7.5000000000000995</v>
      </c>
      <c r="Q58" s="113">
        <f t="shared" si="74"/>
        <v>0.91999999999999893</v>
      </c>
      <c r="R58" s="533"/>
      <c r="S58" s="24">
        <v>0.80625000000000002</v>
      </c>
      <c r="T58" s="24">
        <v>0.85416666666666674</v>
      </c>
      <c r="U58" s="108">
        <f t="shared" si="75"/>
        <v>7.9999999999999716</v>
      </c>
      <c r="V58" s="110">
        <f t="shared" si="70"/>
        <v>69.000000000000071</v>
      </c>
      <c r="W58" s="14"/>
      <c r="X58" s="14"/>
      <c r="Y58" s="114"/>
      <c r="Z58" s="115"/>
      <c r="AA58" s="11">
        <f t="shared" si="2"/>
        <v>-120.00000000000159</v>
      </c>
      <c r="AB58" s="113">
        <f t="shared" si="57"/>
        <v>0.91999999999999893</v>
      </c>
      <c r="AC58" s="533"/>
    </row>
    <row r="59" spans="1:29">
      <c r="A59" s="543" t="s">
        <v>10</v>
      </c>
      <c r="B59" s="26" t="s">
        <v>308</v>
      </c>
      <c r="C59" s="530"/>
      <c r="D59" s="530"/>
      <c r="E59" s="112"/>
      <c r="F59" s="16"/>
      <c r="G59" s="9"/>
      <c r="H59" s="109"/>
      <c r="I59" s="17">
        <v>16.600000000000001</v>
      </c>
      <c r="J59" s="18">
        <v>1900</v>
      </c>
      <c r="K59" s="9">
        <f>J59/I59</f>
        <v>114.4578313253012</v>
      </c>
      <c r="L59" s="17">
        <v>16.600000000000001</v>
      </c>
      <c r="M59" s="10">
        <f>AVERAGE(M54:M58)</f>
        <v>1742.1094363912998</v>
      </c>
      <c r="N59" s="9">
        <f>M59/L59</f>
        <v>104.94635158983733</v>
      </c>
      <c r="O59" s="11">
        <f>L59-I59</f>
        <v>0</v>
      </c>
      <c r="P59" s="12">
        <f>N59-K59</f>
        <v>-9.5114797354638654</v>
      </c>
      <c r="Q59" s="113">
        <f>N59/K59</f>
        <v>0.91689970336384197</v>
      </c>
      <c r="R59" s="533"/>
      <c r="S59" s="25"/>
      <c r="T59" s="24"/>
      <c r="U59" s="9"/>
      <c r="V59" s="110"/>
      <c r="W59" s="9"/>
      <c r="X59" s="9"/>
      <c r="Y59" s="528"/>
      <c r="Z59" s="528"/>
      <c r="AA59" s="11">
        <f t="shared" si="2"/>
        <v>-157.89056360870018</v>
      </c>
      <c r="AB59" s="113">
        <f t="shared" si="57"/>
        <v>0.91689970336384197</v>
      </c>
      <c r="AC59" s="533"/>
    </row>
    <row r="60" spans="1:29" ht="15.75" customHeight="1">
      <c r="A60" s="538" t="s">
        <v>318</v>
      </c>
      <c r="B60" s="109" t="s">
        <v>32</v>
      </c>
      <c r="C60" s="529" t="s">
        <v>35</v>
      </c>
      <c r="D60" s="529"/>
      <c r="E60" s="26">
        <v>26.78</v>
      </c>
      <c r="F60" s="27">
        <v>2701</v>
      </c>
      <c r="G60" s="108">
        <f t="shared" ref="G60:G65" si="76">E60*F60</f>
        <v>72332.78</v>
      </c>
      <c r="H60" s="76" t="s">
        <v>52</v>
      </c>
      <c r="I60" s="111">
        <v>10</v>
      </c>
      <c r="J60" s="18">
        <v>3000</v>
      </c>
      <c r="K60" s="9">
        <f t="shared" ref="K60:K65" si="77">J60/I60</f>
        <v>300</v>
      </c>
      <c r="L60" s="17">
        <v>10</v>
      </c>
      <c r="M60" s="10">
        <f t="shared" ref="M60:M65" si="78">F60/V60*60</f>
        <v>2746.7796610169494</v>
      </c>
      <c r="N60" s="9">
        <f>M60/L60</f>
        <v>274.67796610169495</v>
      </c>
      <c r="O60" s="11">
        <f t="shared" ref="O60:O65" si="79">L60-I60</f>
        <v>0</v>
      </c>
      <c r="P60" s="12">
        <f t="shared" ref="P60:P65" si="80">N60-K60</f>
        <v>-25.322033898305051</v>
      </c>
      <c r="Q60" s="113">
        <f>N60/K60</f>
        <v>0.91559322033898316</v>
      </c>
      <c r="R60" s="533">
        <f>Q66</f>
        <v>0.91921750903926935</v>
      </c>
      <c r="S60" s="24">
        <v>0.20833333333333334</v>
      </c>
      <c r="T60" s="24">
        <v>0.24930555555555556</v>
      </c>
      <c r="U60" s="108"/>
      <c r="V60" s="110">
        <f t="shared" ref="V60:V65" si="81">(T60-S60)*24*60</f>
        <v>58.999999999999993</v>
      </c>
      <c r="W60" s="15"/>
      <c r="X60" s="15"/>
      <c r="Y60" s="528"/>
      <c r="Z60" s="528"/>
      <c r="AA60" s="11">
        <f t="shared" si="2"/>
        <v>-253.22033898305062</v>
      </c>
      <c r="AB60" s="113">
        <f t="shared" si="57"/>
        <v>0.91559322033898316</v>
      </c>
      <c r="AC60" s="533">
        <f>AB66</f>
        <v>0.91921750903926935</v>
      </c>
    </row>
    <row r="61" spans="1:29" ht="15.75" customHeight="1">
      <c r="A61" s="538" t="s">
        <v>11</v>
      </c>
      <c r="B61" s="109" t="s">
        <v>32</v>
      </c>
      <c r="C61" s="529" t="s">
        <v>39</v>
      </c>
      <c r="D61" s="529"/>
      <c r="E61" s="26">
        <v>35.369999999999997</v>
      </c>
      <c r="F61" s="27">
        <v>1627</v>
      </c>
      <c r="G61" s="108">
        <f t="shared" si="76"/>
        <v>57546.99</v>
      </c>
      <c r="H61" s="76" t="s">
        <v>52</v>
      </c>
      <c r="I61" s="111">
        <v>10</v>
      </c>
      <c r="J61" s="18">
        <v>3000</v>
      </c>
      <c r="K61" s="9">
        <f t="shared" si="77"/>
        <v>300</v>
      </c>
      <c r="L61" s="17">
        <v>10</v>
      </c>
      <c r="M61" s="10">
        <f t="shared" si="78"/>
        <v>2789.1428571428542</v>
      </c>
      <c r="N61" s="9">
        <f t="shared" ref="N61:N65" si="82">M61/L61</f>
        <v>278.91428571428543</v>
      </c>
      <c r="O61" s="11">
        <f t="shared" si="79"/>
        <v>0</v>
      </c>
      <c r="P61" s="12">
        <f t="shared" si="80"/>
        <v>-21.085714285714573</v>
      </c>
      <c r="Q61" s="113">
        <f t="shared" ref="Q61:Q65" si="83">N61/K61</f>
        <v>0.92971428571428472</v>
      </c>
      <c r="R61" s="533"/>
      <c r="S61" s="24">
        <v>0.25277777777777777</v>
      </c>
      <c r="T61" s="24">
        <v>0.27708333333333335</v>
      </c>
      <c r="U61" s="108">
        <f>(S61-T60)*24*60</f>
        <v>4.9999999999999822</v>
      </c>
      <c r="V61" s="110">
        <f t="shared" si="81"/>
        <v>35.000000000000036</v>
      </c>
      <c r="W61" s="108"/>
      <c r="X61" s="108"/>
      <c r="Y61" s="528"/>
      <c r="Z61" s="528"/>
      <c r="AA61" s="11">
        <f t="shared" si="2"/>
        <v>-210.85714285714585</v>
      </c>
      <c r="AB61" s="113">
        <f t="shared" si="57"/>
        <v>0.92971428571428472</v>
      </c>
      <c r="AC61" s="533"/>
    </row>
    <row r="62" spans="1:29" ht="15.75" customHeight="1">
      <c r="A62" s="538" t="s">
        <v>11</v>
      </c>
      <c r="B62" s="109" t="s">
        <v>32</v>
      </c>
      <c r="C62" s="529" t="s">
        <v>38</v>
      </c>
      <c r="D62" s="529"/>
      <c r="E62" s="26">
        <v>34.35</v>
      </c>
      <c r="F62" s="27">
        <v>1472</v>
      </c>
      <c r="G62" s="108">
        <f t="shared" si="76"/>
        <v>50563.200000000004</v>
      </c>
      <c r="H62" s="76" t="s">
        <v>52</v>
      </c>
      <c r="I62" s="111">
        <v>10</v>
      </c>
      <c r="J62" s="18">
        <v>3000</v>
      </c>
      <c r="K62" s="9">
        <f t="shared" si="77"/>
        <v>300</v>
      </c>
      <c r="L62" s="17">
        <v>10</v>
      </c>
      <c r="M62" s="10">
        <f t="shared" si="78"/>
        <v>2760.0000000000032</v>
      </c>
      <c r="N62" s="9">
        <f t="shared" si="82"/>
        <v>276.00000000000034</v>
      </c>
      <c r="O62" s="11">
        <f t="shared" si="79"/>
        <v>0</v>
      </c>
      <c r="P62" s="12">
        <f t="shared" si="80"/>
        <v>-23.999999999999659</v>
      </c>
      <c r="Q62" s="113">
        <f t="shared" si="83"/>
        <v>0.92000000000000115</v>
      </c>
      <c r="R62" s="533"/>
      <c r="S62" s="24">
        <v>0.28125</v>
      </c>
      <c r="T62" s="24">
        <v>0.3034722222222222</v>
      </c>
      <c r="U62" s="108">
        <f t="shared" ref="U62:U65" si="84">(S62-T61)*24*60</f>
        <v>5.9999999999999787</v>
      </c>
      <c r="V62" s="110">
        <f t="shared" si="81"/>
        <v>31.999999999999964</v>
      </c>
      <c r="W62" s="108"/>
      <c r="X62" s="108"/>
      <c r="Y62" s="528"/>
      <c r="Z62" s="528"/>
      <c r="AA62" s="11">
        <f t="shared" si="2"/>
        <v>-239.99999999999682</v>
      </c>
      <c r="AB62" s="113">
        <f t="shared" si="57"/>
        <v>0.92000000000000104</v>
      </c>
      <c r="AC62" s="533"/>
    </row>
    <row r="63" spans="1:29" ht="15.75" customHeight="1">
      <c r="A63" s="538" t="s">
        <v>11</v>
      </c>
      <c r="B63" s="109" t="s">
        <v>15</v>
      </c>
      <c r="C63" s="529" t="s">
        <v>36</v>
      </c>
      <c r="D63" s="529"/>
      <c r="E63" s="26">
        <v>26.97</v>
      </c>
      <c r="F63" s="27">
        <v>3384</v>
      </c>
      <c r="G63" s="108">
        <f t="shared" si="76"/>
        <v>91266.48</v>
      </c>
      <c r="H63" s="76" t="s">
        <v>52</v>
      </c>
      <c r="I63" s="111">
        <v>8</v>
      </c>
      <c r="J63" s="18">
        <v>1500</v>
      </c>
      <c r="K63" s="9">
        <f t="shared" si="77"/>
        <v>187.5</v>
      </c>
      <c r="L63" s="17">
        <v>8</v>
      </c>
      <c r="M63" s="10">
        <f t="shared" si="78"/>
        <v>1371.8918918918916</v>
      </c>
      <c r="N63" s="9">
        <f t="shared" si="82"/>
        <v>171.48648648648646</v>
      </c>
      <c r="O63" s="11">
        <f t="shared" si="79"/>
        <v>0</v>
      </c>
      <c r="P63" s="12">
        <f t="shared" si="80"/>
        <v>-16.013513513513544</v>
      </c>
      <c r="Q63" s="113">
        <f t="shared" si="83"/>
        <v>0.91459459459459447</v>
      </c>
      <c r="R63" s="533"/>
      <c r="S63" s="24">
        <v>0.30833333333333329</v>
      </c>
      <c r="T63" s="24">
        <v>0.41111111111111109</v>
      </c>
      <c r="U63" s="108">
        <f t="shared" si="84"/>
        <v>6.9999999999999751</v>
      </c>
      <c r="V63" s="110">
        <f t="shared" si="81"/>
        <v>148.00000000000003</v>
      </c>
      <c r="W63" s="108"/>
      <c r="X63" s="108"/>
      <c r="Y63" s="528"/>
      <c r="Z63" s="528"/>
      <c r="AA63" s="11">
        <f t="shared" si="2"/>
        <v>-128.10810810810835</v>
      </c>
      <c r="AB63" s="113">
        <f t="shared" si="57"/>
        <v>0.91459459459459447</v>
      </c>
      <c r="AC63" s="533"/>
    </row>
    <row r="64" spans="1:29">
      <c r="A64" s="539" t="s">
        <v>11</v>
      </c>
      <c r="B64" s="109" t="s">
        <v>32</v>
      </c>
      <c r="C64" s="529" t="s">
        <v>37</v>
      </c>
      <c r="D64" s="529"/>
      <c r="E64" s="26">
        <v>35.119999999999997</v>
      </c>
      <c r="F64" s="27">
        <v>1197</v>
      </c>
      <c r="G64" s="108">
        <f t="shared" si="76"/>
        <v>42038.64</v>
      </c>
      <c r="H64" s="76" t="s">
        <v>52</v>
      </c>
      <c r="I64" s="111">
        <v>13</v>
      </c>
      <c r="J64" s="18">
        <v>2000</v>
      </c>
      <c r="K64" s="9">
        <f t="shared" si="77"/>
        <v>153.84615384615384</v>
      </c>
      <c r="L64" s="17">
        <v>13</v>
      </c>
      <c r="M64" s="10">
        <f t="shared" si="78"/>
        <v>1841.5384615384605</v>
      </c>
      <c r="N64" s="9">
        <f t="shared" si="82"/>
        <v>141.65680473372774</v>
      </c>
      <c r="O64" s="11">
        <f t="shared" si="79"/>
        <v>0</v>
      </c>
      <c r="P64" s="12">
        <f t="shared" si="80"/>
        <v>-12.1893491124261</v>
      </c>
      <c r="Q64" s="113">
        <f t="shared" si="83"/>
        <v>0.92076923076923034</v>
      </c>
      <c r="R64" s="533"/>
      <c r="S64" s="24">
        <v>0.41666666666666663</v>
      </c>
      <c r="T64" s="24">
        <v>0.44374999999999998</v>
      </c>
      <c r="U64" s="108">
        <f t="shared" si="84"/>
        <v>7.9999999999999716</v>
      </c>
      <c r="V64" s="110">
        <f t="shared" si="81"/>
        <v>39.000000000000021</v>
      </c>
      <c r="W64" s="14"/>
      <c r="X64" s="14"/>
      <c r="Y64" s="528"/>
      <c r="Z64" s="528"/>
      <c r="AA64" s="11">
        <f t="shared" si="2"/>
        <v>-158.46153846153948</v>
      </c>
      <c r="AB64" s="113">
        <f t="shared" si="57"/>
        <v>0.92076923076923023</v>
      </c>
      <c r="AC64" s="533"/>
    </row>
    <row r="65" spans="1:29" ht="15" customHeight="1">
      <c r="A65" s="539" t="s">
        <v>11</v>
      </c>
      <c r="B65" s="109" t="s">
        <v>32</v>
      </c>
      <c r="C65" s="534" t="s">
        <v>84</v>
      </c>
      <c r="D65" s="535"/>
      <c r="E65" s="26">
        <v>35.869999999999997</v>
      </c>
      <c r="F65" s="27">
        <v>3697</v>
      </c>
      <c r="G65" s="108">
        <f t="shared" si="76"/>
        <v>132611.38999999998</v>
      </c>
      <c r="H65" s="76" t="s">
        <v>52</v>
      </c>
      <c r="I65" s="111">
        <v>10</v>
      </c>
      <c r="J65" s="18">
        <v>3000</v>
      </c>
      <c r="K65" s="9">
        <f t="shared" si="77"/>
        <v>300</v>
      </c>
      <c r="L65" s="17">
        <v>10</v>
      </c>
      <c r="M65" s="10">
        <f t="shared" si="78"/>
        <v>2738.5185185185178</v>
      </c>
      <c r="N65" s="9">
        <f t="shared" si="82"/>
        <v>273.85185185185179</v>
      </c>
      <c r="O65" s="11">
        <f t="shared" si="79"/>
        <v>0</v>
      </c>
      <c r="P65" s="12">
        <f t="shared" si="80"/>
        <v>-26.148148148148209</v>
      </c>
      <c r="Q65" s="113">
        <f t="shared" si="83"/>
        <v>0.91283950617283927</v>
      </c>
      <c r="R65" s="533"/>
      <c r="S65" s="24">
        <v>0.44930555555555551</v>
      </c>
      <c r="T65" s="24">
        <v>0.50555555555555554</v>
      </c>
      <c r="U65" s="108">
        <f t="shared" si="84"/>
        <v>7.9999999999999716</v>
      </c>
      <c r="V65" s="110">
        <f t="shared" si="81"/>
        <v>81.000000000000028</v>
      </c>
      <c r="W65" s="108"/>
      <c r="X65" s="108"/>
      <c r="Y65" s="536"/>
      <c r="Z65" s="537"/>
      <c r="AA65" s="11">
        <f t="shared" si="2"/>
        <v>-261.48148148148221</v>
      </c>
      <c r="AB65" s="113">
        <f t="shared" si="57"/>
        <v>0.91283950617283927</v>
      </c>
      <c r="AC65" s="533"/>
    </row>
    <row r="66" spans="1:29">
      <c r="A66" s="539" t="s">
        <v>11</v>
      </c>
      <c r="B66" s="26" t="s">
        <v>313</v>
      </c>
      <c r="C66" s="530"/>
      <c r="D66" s="530"/>
      <c r="E66" s="112"/>
      <c r="F66" s="16"/>
      <c r="G66" s="9"/>
      <c r="H66" s="109"/>
      <c r="I66" s="17">
        <v>10.166666666666666</v>
      </c>
      <c r="J66" s="18">
        <v>2583.3333333333335</v>
      </c>
      <c r="K66" s="9">
        <f>J66/I66</f>
        <v>254.09836065573774</v>
      </c>
      <c r="L66" s="17">
        <v>10.166666666666666</v>
      </c>
      <c r="M66" s="10">
        <f>AVERAGE(M60:M65)</f>
        <v>2374.6452316847794</v>
      </c>
      <c r="N66" s="9">
        <f>M66/L66</f>
        <v>233.57166213292913</v>
      </c>
      <c r="O66" s="11">
        <f>L66-I66</f>
        <v>0</v>
      </c>
      <c r="P66" s="12">
        <f>N66-K66</f>
        <v>-20.526698522808601</v>
      </c>
      <c r="Q66" s="113">
        <f>N66/K66</f>
        <v>0.91921750903926935</v>
      </c>
      <c r="R66" s="533"/>
      <c r="S66" s="24"/>
      <c r="T66" s="24"/>
      <c r="U66" s="9"/>
      <c r="V66" s="110"/>
      <c r="W66" s="9"/>
      <c r="X66" s="9"/>
      <c r="Y66" s="528"/>
      <c r="Z66" s="528"/>
      <c r="AA66" s="11">
        <f t="shared" si="2"/>
        <v>-208.68810164855404</v>
      </c>
      <c r="AB66" s="113">
        <f t="shared" si="57"/>
        <v>0.91921750903926935</v>
      </c>
      <c r="AC66" s="533"/>
    </row>
    <row r="67" spans="1:29" ht="15.75" customHeight="1">
      <c r="A67" s="531" t="s">
        <v>319</v>
      </c>
      <c r="B67" s="109" t="s">
        <v>24</v>
      </c>
      <c r="C67" s="529" t="s">
        <v>67</v>
      </c>
      <c r="D67" s="529"/>
      <c r="E67" s="26">
        <v>32.03</v>
      </c>
      <c r="F67" s="109">
        <v>1254</v>
      </c>
      <c r="G67" s="108">
        <f t="shared" ref="G67:G72" si="85">E67*F67</f>
        <v>40165.620000000003</v>
      </c>
      <c r="H67" s="76" t="s">
        <v>52</v>
      </c>
      <c r="I67" s="111">
        <v>19</v>
      </c>
      <c r="J67" s="18">
        <v>2400</v>
      </c>
      <c r="K67" s="9">
        <f t="shared" ref="K67:K69" si="86">J67/I67</f>
        <v>126.31578947368421</v>
      </c>
      <c r="L67" s="17">
        <v>19</v>
      </c>
      <c r="M67" s="10">
        <f>F67/V67*60</f>
        <v>2212.9411764705883</v>
      </c>
      <c r="N67" s="9">
        <f t="shared" ref="N67:N72" si="87">M67/L67</f>
        <v>116.47058823529412</v>
      </c>
      <c r="O67" s="11">
        <f t="shared" ref="O67:O72" si="88">L67-I67</f>
        <v>0</v>
      </c>
      <c r="P67" s="12">
        <f t="shared" ref="P67:P72" si="89">N67-K67</f>
        <v>-9.8452012383900893</v>
      </c>
      <c r="Q67" s="113">
        <f>N67/K67</f>
        <v>0.92205882352941182</v>
      </c>
      <c r="R67" s="533">
        <f>Q73</f>
        <v>0.91567733618548108</v>
      </c>
      <c r="S67" s="24">
        <v>0.125</v>
      </c>
      <c r="T67" s="24">
        <v>0.14861111111111111</v>
      </c>
      <c r="U67" s="15"/>
      <c r="V67" s="110">
        <f t="shared" ref="V67:V72" si="90">(T67-S67)*24*60</f>
        <v>34</v>
      </c>
      <c r="W67" s="14">
        <f>T67</f>
        <v>0.14861111111111111</v>
      </c>
      <c r="X67" s="14">
        <f>S68</f>
        <v>0.16944444444444445</v>
      </c>
      <c r="Y67" s="528"/>
      <c r="Z67" s="528"/>
      <c r="AA67" s="11">
        <f t="shared" si="2"/>
        <v>-187.05882352941171</v>
      </c>
      <c r="AB67" s="113">
        <f>M67/J67</f>
        <v>0.92205882352941182</v>
      </c>
      <c r="AC67" s="533">
        <f>AB73</f>
        <v>0.91567733618548119</v>
      </c>
    </row>
    <row r="68" spans="1:29" ht="15.75" customHeight="1">
      <c r="A68" s="531" t="s">
        <v>12</v>
      </c>
      <c r="B68" s="109" t="s">
        <v>24</v>
      </c>
      <c r="C68" s="529" t="s">
        <v>51</v>
      </c>
      <c r="D68" s="529"/>
      <c r="E68" s="26">
        <v>20.2</v>
      </c>
      <c r="F68" s="109">
        <v>2705</v>
      </c>
      <c r="G68" s="108">
        <f t="shared" si="85"/>
        <v>54641</v>
      </c>
      <c r="H68" s="76" t="s">
        <v>52</v>
      </c>
      <c r="I68" s="111">
        <v>19</v>
      </c>
      <c r="J68" s="18">
        <v>2400</v>
      </c>
      <c r="K68" s="9">
        <f t="shared" si="86"/>
        <v>126.31578947368421</v>
      </c>
      <c r="L68" s="17">
        <v>19</v>
      </c>
      <c r="M68" s="10">
        <f t="shared" ref="M68:M72" si="91">F68/V68*60</f>
        <v>2193.2432432432429</v>
      </c>
      <c r="N68" s="9">
        <f t="shared" si="87"/>
        <v>115.4338549075391</v>
      </c>
      <c r="O68" s="11">
        <f t="shared" si="88"/>
        <v>0</v>
      </c>
      <c r="P68" s="12">
        <f t="shared" si="89"/>
        <v>-10.881934566145105</v>
      </c>
      <c r="Q68" s="113">
        <f t="shared" ref="Q68:Q73" si="92">N68/K68</f>
        <v>0.9138513513513512</v>
      </c>
      <c r="R68" s="533"/>
      <c r="S68" s="24">
        <v>0.16944444444444445</v>
      </c>
      <c r="T68" s="24">
        <v>0.22083333333333335</v>
      </c>
      <c r="U68" s="108">
        <f>(S68-T67)*24*60</f>
        <v>30.000000000000014</v>
      </c>
      <c r="V68" s="110">
        <f t="shared" si="90"/>
        <v>74.000000000000014</v>
      </c>
      <c r="W68" s="14"/>
      <c r="X68" s="14"/>
      <c r="Y68" s="528"/>
      <c r="Z68" s="528"/>
      <c r="AA68" s="11">
        <f t="shared" si="2"/>
        <v>-206.75675675675711</v>
      </c>
      <c r="AB68" s="113">
        <f t="shared" ref="AB68:AB73" si="93">M68/J68</f>
        <v>0.9138513513513512</v>
      </c>
      <c r="AC68" s="533"/>
    </row>
    <row r="69" spans="1:29" ht="15.75" customHeight="1">
      <c r="A69" s="531" t="s">
        <v>12</v>
      </c>
      <c r="B69" s="109" t="s">
        <v>24</v>
      </c>
      <c r="C69" s="529" t="s">
        <v>41</v>
      </c>
      <c r="D69" s="529"/>
      <c r="E69" s="26">
        <v>19.02</v>
      </c>
      <c r="F69" s="109">
        <v>3800</v>
      </c>
      <c r="G69" s="108">
        <f t="shared" si="85"/>
        <v>72276</v>
      </c>
      <c r="H69" s="76">
        <v>2</v>
      </c>
      <c r="I69" s="111">
        <v>15</v>
      </c>
      <c r="J69" s="18">
        <v>2400</v>
      </c>
      <c r="K69" s="9">
        <f t="shared" si="86"/>
        <v>160</v>
      </c>
      <c r="L69" s="17">
        <v>15</v>
      </c>
      <c r="M69" s="10">
        <f t="shared" si="91"/>
        <v>2192.3076923076915</v>
      </c>
      <c r="N69" s="9">
        <f t="shared" si="87"/>
        <v>146.1538461538461</v>
      </c>
      <c r="O69" s="11">
        <f t="shared" si="88"/>
        <v>0</v>
      </c>
      <c r="P69" s="12">
        <f t="shared" si="89"/>
        <v>-13.846153846153896</v>
      </c>
      <c r="Q69" s="113">
        <f t="shared" si="92"/>
        <v>0.9134615384615381</v>
      </c>
      <c r="R69" s="533"/>
      <c r="S69" s="24">
        <v>0.22638888888888892</v>
      </c>
      <c r="T69" s="24">
        <v>0.29861111111111116</v>
      </c>
      <c r="U69" s="108">
        <f t="shared" ref="U69:U72" si="94">(S69-T68)*24*60</f>
        <v>8.0000000000000107</v>
      </c>
      <c r="V69" s="110">
        <f t="shared" si="90"/>
        <v>104.00000000000003</v>
      </c>
      <c r="W69" s="14"/>
      <c r="X69" s="14"/>
      <c r="Y69" s="528"/>
      <c r="Z69" s="528"/>
      <c r="AA69" s="11">
        <f t="shared" ref="AA69:AA73" si="95">M69-J69</f>
        <v>-207.69230769230853</v>
      </c>
      <c r="AB69" s="113">
        <f t="shared" si="93"/>
        <v>0.9134615384615381</v>
      </c>
      <c r="AC69" s="533"/>
    </row>
    <row r="70" spans="1:29" ht="15.75" customHeight="1">
      <c r="A70" s="531" t="s">
        <v>12</v>
      </c>
      <c r="B70" s="109" t="s">
        <v>24</v>
      </c>
      <c r="C70" s="529" t="s">
        <v>42</v>
      </c>
      <c r="D70" s="529"/>
      <c r="E70" s="26">
        <v>25</v>
      </c>
      <c r="F70" s="109">
        <v>4391</v>
      </c>
      <c r="G70" s="108">
        <f t="shared" si="85"/>
        <v>109775</v>
      </c>
      <c r="H70" s="76" t="s">
        <v>52</v>
      </c>
      <c r="I70" s="111">
        <v>15</v>
      </c>
      <c r="J70" s="18">
        <v>2400</v>
      </c>
      <c r="K70" s="9">
        <f>J70/I70</f>
        <v>160</v>
      </c>
      <c r="L70" s="17">
        <v>15</v>
      </c>
      <c r="M70" s="10">
        <f t="shared" si="91"/>
        <v>2195.5000000000005</v>
      </c>
      <c r="N70" s="9">
        <f t="shared" si="87"/>
        <v>146.3666666666667</v>
      </c>
      <c r="O70" s="11">
        <f t="shared" si="88"/>
        <v>0</v>
      </c>
      <c r="P70" s="12">
        <f t="shared" si="89"/>
        <v>-13.633333333333297</v>
      </c>
      <c r="Q70" s="113">
        <f t="shared" si="92"/>
        <v>0.91479166666666689</v>
      </c>
      <c r="R70" s="533"/>
      <c r="S70" s="24">
        <v>0.3041666666666667</v>
      </c>
      <c r="T70" s="24">
        <v>0.38750000000000001</v>
      </c>
      <c r="U70" s="108">
        <f t="shared" si="94"/>
        <v>7.9999999999999716</v>
      </c>
      <c r="V70" s="110">
        <f t="shared" si="90"/>
        <v>119.99999999999997</v>
      </c>
      <c r="W70" s="14"/>
      <c r="X70" s="14"/>
      <c r="Y70" s="528"/>
      <c r="Z70" s="528"/>
      <c r="AA70" s="11">
        <f t="shared" si="95"/>
        <v>-204.49999999999955</v>
      </c>
      <c r="AB70" s="113">
        <f t="shared" si="93"/>
        <v>0.91479166666666689</v>
      </c>
      <c r="AC70" s="533"/>
    </row>
    <row r="71" spans="1:29" ht="15.75" customHeight="1">
      <c r="A71" s="531" t="s">
        <v>12</v>
      </c>
      <c r="B71" s="109" t="s">
        <v>24</v>
      </c>
      <c r="C71" s="529" t="s">
        <v>77</v>
      </c>
      <c r="D71" s="529"/>
      <c r="E71" s="26">
        <v>28.51</v>
      </c>
      <c r="F71" s="109">
        <v>5023</v>
      </c>
      <c r="G71" s="108">
        <f t="shared" si="85"/>
        <v>143205.73000000001</v>
      </c>
      <c r="H71" s="76" t="s">
        <v>52</v>
      </c>
      <c r="I71" s="111">
        <v>19</v>
      </c>
      <c r="J71" s="18">
        <v>2400</v>
      </c>
      <c r="K71" s="9">
        <f t="shared" ref="K71:K73" si="96">J71/I71</f>
        <v>126.31578947368421</v>
      </c>
      <c r="L71" s="17">
        <v>19</v>
      </c>
      <c r="M71" s="10">
        <f t="shared" si="91"/>
        <v>2199.8540145985403</v>
      </c>
      <c r="N71" s="9">
        <f t="shared" si="87"/>
        <v>115.78179024202844</v>
      </c>
      <c r="O71" s="11">
        <f t="shared" si="88"/>
        <v>0</v>
      </c>
      <c r="P71" s="12">
        <f t="shared" si="89"/>
        <v>-10.53399923165577</v>
      </c>
      <c r="Q71" s="113">
        <f t="shared" si="92"/>
        <v>0.91660583941605844</v>
      </c>
      <c r="R71" s="533"/>
      <c r="S71" s="24">
        <v>0.39305555555555555</v>
      </c>
      <c r="T71" s="24">
        <v>0.48819444444444443</v>
      </c>
      <c r="U71" s="108">
        <f t="shared" si="94"/>
        <v>7.9999999999999716</v>
      </c>
      <c r="V71" s="110">
        <f t="shared" si="90"/>
        <v>137</v>
      </c>
      <c r="W71" s="14">
        <f>T71</f>
        <v>0.48819444444444443</v>
      </c>
      <c r="X71" s="14">
        <f>S72</f>
        <v>0.52777777777777779</v>
      </c>
      <c r="Y71" s="528"/>
      <c r="Z71" s="528"/>
      <c r="AA71" s="11">
        <f t="shared" si="95"/>
        <v>-200.14598540145971</v>
      </c>
      <c r="AB71" s="113">
        <f t="shared" si="93"/>
        <v>0.91660583941605844</v>
      </c>
      <c r="AC71" s="533"/>
    </row>
    <row r="72" spans="1:29" ht="15.75" customHeight="1">
      <c r="A72" s="531" t="s">
        <v>12</v>
      </c>
      <c r="B72" s="109" t="s">
        <v>24</v>
      </c>
      <c r="C72" s="529" t="s">
        <v>41</v>
      </c>
      <c r="D72" s="529"/>
      <c r="E72" s="26">
        <v>19.02</v>
      </c>
      <c r="F72" s="109">
        <v>6320</v>
      </c>
      <c r="G72" s="108">
        <f t="shared" si="85"/>
        <v>120206.39999999999</v>
      </c>
      <c r="H72" s="76" t="s">
        <v>52</v>
      </c>
      <c r="I72" s="111">
        <v>15</v>
      </c>
      <c r="J72" s="18">
        <v>2400</v>
      </c>
      <c r="K72" s="9">
        <f t="shared" si="96"/>
        <v>160</v>
      </c>
      <c r="L72" s="17">
        <v>15</v>
      </c>
      <c r="M72" s="10">
        <f t="shared" si="91"/>
        <v>2191.907514450867</v>
      </c>
      <c r="N72" s="9">
        <f t="shared" si="87"/>
        <v>146.12716763005781</v>
      </c>
      <c r="O72" s="11">
        <f t="shared" si="88"/>
        <v>0</v>
      </c>
      <c r="P72" s="12">
        <f t="shared" si="89"/>
        <v>-13.872832369942188</v>
      </c>
      <c r="Q72" s="113">
        <f t="shared" si="92"/>
        <v>0.91329479768786137</v>
      </c>
      <c r="R72" s="533"/>
      <c r="S72" s="24">
        <v>0.52777777777777779</v>
      </c>
      <c r="T72" s="24">
        <v>0.6479166666666667</v>
      </c>
      <c r="U72" s="108">
        <f t="shared" si="94"/>
        <v>57.000000000000036</v>
      </c>
      <c r="V72" s="110">
        <f t="shared" si="90"/>
        <v>173.00000000000003</v>
      </c>
      <c r="W72" s="14"/>
      <c r="X72" s="14"/>
      <c r="Y72" s="528"/>
      <c r="Z72" s="528"/>
      <c r="AA72" s="11">
        <f t="shared" si="95"/>
        <v>-208.09248554913302</v>
      </c>
      <c r="AB72" s="113">
        <f t="shared" si="93"/>
        <v>0.91329479768786126</v>
      </c>
      <c r="AC72" s="533"/>
    </row>
    <row r="73" spans="1:29" ht="16.5" customHeight="1">
      <c r="A73" s="532" t="s">
        <v>12</v>
      </c>
      <c r="B73" s="26" t="s">
        <v>308</v>
      </c>
      <c r="C73" s="530"/>
      <c r="D73" s="530"/>
      <c r="E73" s="112"/>
      <c r="F73" s="16"/>
      <c r="G73" s="9"/>
      <c r="H73" s="109"/>
      <c r="I73" s="17">
        <v>17</v>
      </c>
      <c r="J73" s="18">
        <v>2400</v>
      </c>
      <c r="K73" s="9">
        <f t="shared" si="96"/>
        <v>141.1764705882353</v>
      </c>
      <c r="L73" s="17">
        <v>17</v>
      </c>
      <c r="M73" s="10">
        <f>AVERAGE(M67:M72)</f>
        <v>2197.6256068451548</v>
      </c>
      <c r="N73" s="9">
        <f>M73/L73</f>
        <v>129.27209452030323</v>
      </c>
      <c r="O73" s="11">
        <f>L73-I73</f>
        <v>0</v>
      </c>
      <c r="P73" s="12">
        <f>N73-K73</f>
        <v>-11.904376067932077</v>
      </c>
      <c r="Q73" s="113">
        <f t="shared" si="92"/>
        <v>0.91567733618548108</v>
      </c>
      <c r="R73" s="533"/>
      <c r="S73" s="24"/>
      <c r="T73" s="24"/>
      <c r="U73" s="9"/>
      <c r="V73" s="110"/>
      <c r="W73" s="9"/>
      <c r="X73" s="9"/>
      <c r="Y73" s="528"/>
      <c r="Z73" s="528"/>
      <c r="AA73" s="11">
        <f t="shared" si="95"/>
        <v>-202.37439315484517</v>
      </c>
      <c r="AB73" s="113">
        <f t="shared" si="93"/>
        <v>0.91567733618548119</v>
      </c>
      <c r="AC73" s="533"/>
    </row>
    <row r="74" spans="1:29">
      <c r="D74" s="19"/>
      <c r="E74" s="19"/>
    </row>
  </sheetData>
  <mergeCells count="194">
    <mergeCell ref="Y70:Z70"/>
    <mergeCell ref="C71:D71"/>
    <mergeCell ref="Y71:Z71"/>
    <mergeCell ref="A67:A73"/>
    <mergeCell ref="C67:D67"/>
    <mergeCell ref="R67:R73"/>
    <mergeCell ref="Y67:Z67"/>
    <mergeCell ref="AC67:AC73"/>
    <mergeCell ref="C68:D68"/>
    <mergeCell ref="Y68:Z68"/>
    <mergeCell ref="C69:D69"/>
    <mergeCell ref="Y69:Z69"/>
    <mergeCell ref="C70:D70"/>
    <mergeCell ref="C72:D72"/>
    <mergeCell ref="Y72:Z72"/>
    <mergeCell ref="C73:D73"/>
    <mergeCell ref="Y73:Z73"/>
    <mergeCell ref="A60:A66"/>
    <mergeCell ref="C60:D60"/>
    <mergeCell ref="R60:R66"/>
    <mergeCell ref="Y60:Z60"/>
    <mergeCell ref="AC60:AC66"/>
    <mergeCell ref="C61:D61"/>
    <mergeCell ref="Y61:Z61"/>
    <mergeCell ref="C62:D62"/>
    <mergeCell ref="Y62:Z62"/>
    <mergeCell ref="C63:D63"/>
    <mergeCell ref="Y63:Z63"/>
    <mergeCell ref="C64:D64"/>
    <mergeCell ref="Y64:Z64"/>
    <mergeCell ref="C65:D65"/>
    <mergeCell ref="Y65:Z65"/>
    <mergeCell ref="C66:D66"/>
    <mergeCell ref="Y66:Z66"/>
    <mergeCell ref="AC54:AC59"/>
    <mergeCell ref="C55:D55"/>
    <mergeCell ref="Y55:Z55"/>
    <mergeCell ref="C56:D56"/>
    <mergeCell ref="C59:D59"/>
    <mergeCell ref="Y59:Z59"/>
    <mergeCell ref="Y51:Z51"/>
    <mergeCell ref="C52:D52"/>
    <mergeCell ref="Y52:Z52"/>
    <mergeCell ref="C53:D53"/>
    <mergeCell ref="Y53:Z53"/>
    <mergeCell ref="AC45:AC53"/>
    <mergeCell ref="C46:D46"/>
    <mergeCell ref="Y46:Z46"/>
    <mergeCell ref="C47:D47"/>
    <mergeCell ref="Y47:Z47"/>
    <mergeCell ref="C48:D48"/>
    <mergeCell ref="Y48:Z48"/>
    <mergeCell ref="C49:D49"/>
    <mergeCell ref="Y49:Z49"/>
    <mergeCell ref="C50:D50"/>
    <mergeCell ref="A45:A53"/>
    <mergeCell ref="C45:D45"/>
    <mergeCell ref="R45:R53"/>
    <mergeCell ref="Y45:Z45"/>
    <mergeCell ref="Y50:Z50"/>
    <mergeCell ref="C51:D51"/>
    <mergeCell ref="A54:A59"/>
    <mergeCell ref="C54:D54"/>
    <mergeCell ref="R54:R59"/>
    <mergeCell ref="Y54:Z54"/>
    <mergeCell ref="A36:A44"/>
    <mergeCell ref="C36:D36"/>
    <mergeCell ref="R36:R44"/>
    <mergeCell ref="Y36:Z36"/>
    <mergeCell ref="Y41:Z41"/>
    <mergeCell ref="C42:D42"/>
    <mergeCell ref="Y42:Z42"/>
    <mergeCell ref="AC36:AC44"/>
    <mergeCell ref="C37:D37"/>
    <mergeCell ref="Y37:Z37"/>
    <mergeCell ref="C38:D38"/>
    <mergeCell ref="Y38:Z38"/>
    <mergeCell ref="C39:D39"/>
    <mergeCell ref="Y39:Z39"/>
    <mergeCell ref="C40:D40"/>
    <mergeCell ref="Y40:Z40"/>
    <mergeCell ref="C41:D41"/>
    <mergeCell ref="C43:D43"/>
    <mergeCell ref="Y43:Z43"/>
    <mergeCell ref="C44:D44"/>
    <mergeCell ref="Y44:Z44"/>
    <mergeCell ref="A28:A35"/>
    <mergeCell ref="C28:D28"/>
    <mergeCell ref="R28:R35"/>
    <mergeCell ref="Y28:Z28"/>
    <mergeCell ref="Y33:Z33"/>
    <mergeCell ref="C34:D34"/>
    <mergeCell ref="AC28:AC35"/>
    <mergeCell ref="C29:D29"/>
    <mergeCell ref="Y29:Z29"/>
    <mergeCell ref="C30:D30"/>
    <mergeCell ref="Y30:Z30"/>
    <mergeCell ref="C31:D31"/>
    <mergeCell ref="Y31:Z31"/>
    <mergeCell ref="C32:D32"/>
    <mergeCell ref="Y32:Z32"/>
    <mergeCell ref="C33:D33"/>
    <mergeCell ref="Y34:Z34"/>
    <mergeCell ref="C35:D35"/>
    <mergeCell ref="Y35:Z35"/>
    <mergeCell ref="AC19:AC27"/>
    <mergeCell ref="C20:D20"/>
    <mergeCell ref="Y20:Z20"/>
    <mergeCell ref="C21:D21"/>
    <mergeCell ref="Y21:Z21"/>
    <mergeCell ref="C22:D22"/>
    <mergeCell ref="Y22:Z22"/>
    <mergeCell ref="C23:D23"/>
    <mergeCell ref="Y23:Z23"/>
    <mergeCell ref="C24:D24"/>
    <mergeCell ref="C26:D26"/>
    <mergeCell ref="Y26:Z26"/>
    <mergeCell ref="C27:D27"/>
    <mergeCell ref="Y27:Z27"/>
    <mergeCell ref="A19:A27"/>
    <mergeCell ref="C19:D19"/>
    <mergeCell ref="R19:R27"/>
    <mergeCell ref="Y19:Z19"/>
    <mergeCell ref="Y24:Z24"/>
    <mergeCell ref="C25:D25"/>
    <mergeCell ref="Y25:Z25"/>
    <mergeCell ref="A14:A18"/>
    <mergeCell ref="C14:D14"/>
    <mergeCell ref="R14:R18"/>
    <mergeCell ref="Y14:Z14"/>
    <mergeCell ref="AC14:AC18"/>
    <mergeCell ref="C15:D15"/>
    <mergeCell ref="Y15:Z15"/>
    <mergeCell ref="C16:D16"/>
    <mergeCell ref="Y16:Z16"/>
    <mergeCell ref="C17:D17"/>
    <mergeCell ref="AC9:AC13"/>
    <mergeCell ref="C10:D10"/>
    <mergeCell ref="Y10:Z10"/>
    <mergeCell ref="C11:D11"/>
    <mergeCell ref="Y11:Z11"/>
    <mergeCell ref="C12:D12"/>
    <mergeCell ref="Y12:Z12"/>
    <mergeCell ref="C13:D13"/>
    <mergeCell ref="Y13:Z13"/>
    <mergeCell ref="Y17:Z17"/>
    <mergeCell ref="C18:D18"/>
    <mergeCell ref="Y18:Z18"/>
    <mergeCell ref="C8:D8"/>
    <mergeCell ref="Y8:Z8"/>
    <mergeCell ref="A9:A13"/>
    <mergeCell ref="C9:D9"/>
    <mergeCell ref="R9:R13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63:O73 O5:O9 O13:O15 O53:O60 O18:O50">
    <cfRule type="cellIs" dxfId="250" priority="46" operator="greaterThan">
      <formula>0</formula>
    </cfRule>
  </conditionalFormatting>
  <conditionalFormatting sqref="P5:P7 P63:P65 AA63:AA65 P67:P72 P28:P34 P60 P9 P13:P15 P19:P26 P54:P58 P36:P50 AA5:AA60 AA67:AA73">
    <cfRule type="cellIs" dxfId="249" priority="50" operator="lessThan">
      <formula>0</formula>
    </cfRule>
  </conditionalFormatting>
  <conditionalFormatting sqref="AB63:AB65 Q63:Q73 Q5:Q9 Q13:Q15 Q53:Q60 Q18:Q50 AB5:AB60 AB67:AB73">
    <cfRule type="cellIs" dxfId="248" priority="47" operator="greaterThan">
      <formula>1</formula>
    </cfRule>
    <cfRule type="cellIs" dxfId="247" priority="48" operator="lessThan">
      <formula>0.8</formula>
    </cfRule>
  </conditionalFormatting>
  <conditionalFormatting sqref="AC14:AC15 R14:R15 AC63 R18:R24 AC18:AC24 R63:R73 AC5:AC9 R5:R9 R27:R50 AC27:AC50 AC53:AC60 R53:R60">
    <cfRule type="cellIs" dxfId="246" priority="52" operator="lessThan">
      <formula>0.8</formula>
    </cfRule>
  </conditionalFormatting>
  <conditionalFormatting sqref="AC45">
    <cfRule type="cellIs" dxfId="245" priority="54" operator="lessThan">
      <formula>0.8</formula>
    </cfRule>
  </conditionalFormatting>
  <conditionalFormatting sqref="AC19:AC24">
    <cfRule type="cellIs" dxfId="244" priority="51" operator="lessThan">
      <formula>0.8</formula>
    </cfRule>
  </conditionalFormatting>
  <conditionalFormatting sqref="AC28">
    <cfRule type="cellIs" dxfId="243" priority="53" operator="lessThan">
      <formula>0.8</formula>
    </cfRule>
  </conditionalFormatting>
  <conditionalFormatting sqref="AC36:AC43">
    <cfRule type="cellIs" dxfId="242" priority="49" operator="lessThan">
      <formula>0.8</formula>
    </cfRule>
  </conditionalFormatting>
  <conditionalFormatting sqref="AA66">
    <cfRule type="cellIs" dxfId="241" priority="45" operator="lessThan">
      <formula>0</formula>
    </cfRule>
  </conditionalFormatting>
  <conditionalFormatting sqref="AB66">
    <cfRule type="cellIs" dxfId="240" priority="43" operator="greaterThan">
      <formula>1</formula>
    </cfRule>
    <cfRule type="cellIs" dxfId="239" priority="44" operator="lessThan">
      <formula>0.8</formula>
    </cfRule>
  </conditionalFormatting>
  <conditionalFormatting sqref="O16:O17">
    <cfRule type="cellIs" dxfId="238" priority="38" operator="greaterThan">
      <formula>0</formula>
    </cfRule>
  </conditionalFormatting>
  <conditionalFormatting sqref="P16:P17">
    <cfRule type="cellIs" dxfId="237" priority="41" operator="lessThan">
      <formula>0</formula>
    </cfRule>
  </conditionalFormatting>
  <conditionalFormatting sqref="Q16:Q17">
    <cfRule type="cellIs" dxfId="236" priority="39" operator="greaterThan">
      <formula>1</formula>
    </cfRule>
    <cfRule type="cellIs" dxfId="235" priority="40" operator="lessThan">
      <formula>0.8</formula>
    </cfRule>
  </conditionalFormatting>
  <conditionalFormatting sqref="R16:R17 AC16:AC17">
    <cfRule type="cellIs" dxfId="234" priority="42" operator="lessThan">
      <formula>0.8</formula>
    </cfRule>
  </conditionalFormatting>
  <conditionalFormatting sqref="O10:O12">
    <cfRule type="cellIs" dxfId="233" priority="34" operator="greaterThan">
      <formula>0</formula>
    </cfRule>
  </conditionalFormatting>
  <conditionalFormatting sqref="P10:P12">
    <cfRule type="cellIs" dxfId="232" priority="37" operator="lessThan">
      <formula>0</formula>
    </cfRule>
  </conditionalFormatting>
  <conditionalFormatting sqref="Q10:Q12">
    <cfRule type="cellIs" dxfId="231" priority="35" operator="greaterThan">
      <formula>1</formula>
    </cfRule>
    <cfRule type="cellIs" dxfId="230" priority="36" operator="lessThan">
      <formula>0.8</formula>
    </cfRule>
  </conditionalFormatting>
  <conditionalFormatting sqref="AC26 R26">
    <cfRule type="cellIs" dxfId="229" priority="33" operator="lessThan">
      <formula>0.8</formula>
    </cfRule>
  </conditionalFormatting>
  <conditionalFormatting sqref="O62">
    <cfRule type="cellIs" dxfId="228" priority="28" operator="greaterThan">
      <formula>0</formula>
    </cfRule>
  </conditionalFormatting>
  <conditionalFormatting sqref="P62 AA62">
    <cfRule type="cellIs" dxfId="227" priority="31" operator="lessThan">
      <formula>0</formula>
    </cfRule>
  </conditionalFormatting>
  <conditionalFormatting sqref="Q62 AB62">
    <cfRule type="cellIs" dxfId="226" priority="29" operator="greaterThan">
      <formula>1</formula>
    </cfRule>
    <cfRule type="cellIs" dxfId="225" priority="30" operator="lessThan">
      <formula>0.8</formula>
    </cfRule>
  </conditionalFormatting>
  <conditionalFormatting sqref="R62 AC62">
    <cfRule type="cellIs" dxfId="224" priority="32" operator="lessThan">
      <formula>0.8</formula>
    </cfRule>
  </conditionalFormatting>
  <conditionalFormatting sqref="O51">
    <cfRule type="cellIs" dxfId="223" priority="22" operator="greaterThan">
      <formula>0</formula>
    </cfRule>
  </conditionalFormatting>
  <conditionalFormatting sqref="P51">
    <cfRule type="cellIs" dxfId="222" priority="26" operator="lessThan">
      <formula>0</formula>
    </cfRule>
  </conditionalFormatting>
  <conditionalFormatting sqref="Q51">
    <cfRule type="cellIs" dxfId="221" priority="23" operator="greaterThan">
      <formula>1</formula>
    </cfRule>
    <cfRule type="cellIs" dxfId="220" priority="24" operator="lessThan">
      <formula>0.8</formula>
    </cfRule>
  </conditionalFormatting>
  <conditionalFormatting sqref="R51 AC51">
    <cfRule type="cellIs" dxfId="219" priority="27" operator="lessThan">
      <formula>0.8</formula>
    </cfRule>
  </conditionalFormatting>
  <conditionalFormatting sqref="AC51">
    <cfRule type="cellIs" dxfId="218" priority="25" operator="lessThan">
      <formula>0.8</formula>
    </cfRule>
  </conditionalFormatting>
  <conditionalFormatting sqref="O52">
    <cfRule type="cellIs" dxfId="217" priority="16" operator="greaterThan">
      <formula>0</formula>
    </cfRule>
  </conditionalFormatting>
  <conditionalFormatting sqref="P52">
    <cfRule type="cellIs" dxfId="216" priority="20" operator="lessThan">
      <formula>0</formula>
    </cfRule>
  </conditionalFormatting>
  <conditionalFormatting sqref="Q52">
    <cfRule type="cellIs" dxfId="215" priority="17" operator="greaterThan">
      <formula>1</formula>
    </cfRule>
    <cfRule type="cellIs" dxfId="214" priority="18" operator="lessThan">
      <formula>0.8</formula>
    </cfRule>
  </conditionalFormatting>
  <conditionalFormatting sqref="R52 AC52">
    <cfRule type="cellIs" dxfId="213" priority="21" operator="lessThan">
      <formula>0.8</formula>
    </cfRule>
  </conditionalFormatting>
  <conditionalFormatting sqref="AC52">
    <cfRule type="cellIs" dxfId="212" priority="19" operator="lessThan">
      <formula>0.8</formula>
    </cfRule>
  </conditionalFormatting>
  <conditionalFormatting sqref="R25 AC25">
    <cfRule type="cellIs" dxfId="211" priority="15" operator="lessThan">
      <formula>0.8</formula>
    </cfRule>
  </conditionalFormatting>
  <conditionalFormatting sqref="AC25">
    <cfRule type="cellIs" dxfId="210" priority="14" operator="lessThan">
      <formula>0.8</formula>
    </cfRule>
  </conditionalFormatting>
  <conditionalFormatting sqref="O61">
    <cfRule type="cellIs" dxfId="209" priority="9" operator="greaterThan">
      <formula>0</formula>
    </cfRule>
  </conditionalFormatting>
  <conditionalFormatting sqref="P61 AA61">
    <cfRule type="cellIs" dxfId="208" priority="12" operator="lessThan">
      <formula>0</formula>
    </cfRule>
  </conditionalFormatting>
  <conditionalFormatting sqref="Q61 AB61">
    <cfRule type="cellIs" dxfId="207" priority="10" operator="greaterThan">
      <formula>1</formula>
    </cfRule>
    <cfRule type="cellIs" dxfId="206" priority="11" operator="lessThan">
      <formula>0.8</formula>
    </cfRule>
  </conditionalFormatting>
  <conditionalFormatting sqref="R61 AC61">
    <cfRule type="cellIs" dxfId="205" priority="13" operator="lessThan">
      <formula>0.8</formula>
    </cfRule>
  </conditionalFormatting>
  <conditionalFormatting sqref="P8">
    <cfRule type="cellIs" dxfId="204" priority="8" operator="lessThan">
      <formula>0</formula>
    </cfRule>
  </conditionalFormatting>
  <conditionalFormatting sqref="P18">
    <cfRule type="cellIs" dxfId="203" priority="7" operator="lessThan">
      <formula>0</formula>
    </cfRule>
  </conditionalFormatting>
  <conditionalFormatting sqref="P27">
    <cfRule type="cellIs" dxfId="202" priority="6" operator="lessThan">
      <formula>0</formula>
    </cfRule>
  </conditionalFormatting>
  <conditionalFormatting sqref="P35">
    <cfRule type="cellIs" dxfId="201" priority="5" operator="lessThan">
      <formula>0</formula>
    </cfRule>
  </conditionalFormatting>
  <conditionalFormatting sqref="P53">
    <cfRule type="cellIs" dxfId="200" priority="4" operator="lessThan">
      <formula>0</formula>
    </cfRule>
  </conditionalFormatting>
  <conditionalFormatting sqref="P59">
    <cfRule type="cellIs" dxfId="199" priority="3" operator="lessThan">
      <formula>0</formula>
    </cfRule>
  </conditionalFormatting>
  <conditionalFormatting sqref="P66">
    <cfRule type="cellIs" dxfId="198" priority="2" operator="lessThan">
      <formula>0</formula>
    </cfRule>
  </conditionalFormatting>
  <conditionalFormatting sqref="P73">
    <cfRule type="cellIs" dxfId="197" priority="1" operator="lessThan">
      <formula>0</formula>
    </cfRule>
  </conditionalFormatting>
  <dataValidations count="1">
    <dataValidation type="list" allowBlank="1" showInputMessage="1" showErrorMessage="1" sqref="Z8 Z64:Z65 Y5:Z7 Y8:Y65 Z10:Z60 Y66:Z73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"/>
  <dimension ref="B1:Q28"/>
  <sheetViews>
    <sheetView zoomScale="70" zoomScaleNormal="70" workbookViewId="0">
      <selection activeCell="C3" sqref="C3:D3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521" t="s">
        <v>216</v>
      </c>
      <c r="C1" s="521"/>
      <c r="D1" s="521"/>
      <c r="E1" s="521"/>
      <c r="F1" s="521"/>
      <c r="G1" s="521"/>
      <c r="H1" s="521"/>
      <c r="I1" s="521"/>
      <c r="J1" s="521"/>
      <c r="K1" s="28"/>
      <c r="L1" s="28"/>
      <c r="M1" s="28"/>
      <c r="N1" s="28"/>
      <c r="O1" s="28"/>
      <c r="P1" s="28"/>
    </row>
    <row r="2" spans="2:17" ht="27.75" customHeight="1">
      <c r="B2" s="522"/>
      <c r="C2" s="522"/>
      <c r="D2" s="522"/>
      <c r="E2" s="522"/>
      <c r="F2" s="522"/>
      <c r="G2" s="522"/>
      <c r="H2" s="522"/>
      <c r="I2" s="522"/>
      <c r="J2" s="522"/>
      <c r="K2" s="30"/>
      <c r="L2" s="30"/>
      <c r="M2" s="30"/>
      <c r="N2" s="28"/>
      <c r="O2" s="28"/>
      <c r="P2" s="28"/>
    </row>
    <row r="3" spans="2:17" ht="46.5" customHeight="1">
      <c r="B3" s="92" t="s">
        <v>173</v>
      </c>
      <c r="C3" s="523" t="str">
        <f>TEXT('0803 4度C'!A2,"yyyy.mm.ddaaaa")</f>
        <v>2025.08.03星期日</v>
      </c>
      <c r="D3" s="523"/>
      <c r="E3" s="92" t="s">
        <v>217</v>
      </c>
      <c r="F3" s="524">
        <f>'0803 4度C'!D1</f>
        <v>172946</v>
      </c>
      <c r="G3" s="524"/>
      <c r="H3" s="92" t="s">
        <v>218</v>
      </c>
      <c r="I3" s="581">
        <f>'0803 4度C'!F1</f>
        <v>5941913.129999998</v>
      </c>
      <c r="J3" s="581"/>
      <c r="K3" s="31"/>
      <c r="L3" s="32"/>
      <c r="M3" s="33"/>
      <c r="N3" s="33"/>
    </row>
    <row r="4" spans="2:17" ht="28.5" customHeight="1">
      <c r="B4" s="516" t="s">
        <v>219</v>
      </c>
      <c r="C4" s="516" t="s">
        <v>220</v>
      </c>
      <c r="D4" s="516"/>
      <c r="E4" s="526" t="s">
        <v>221</v>
      </c>
      <c r="F4" s="526"/>
      <c r="G4" s="526" t="s">
        <v>222</v>
      </c>
      <c r="H4" s="526"/>
      <c r="I4" s="526" t="s">
        <v>223</v>
      </c>
      <c r="J4" s="526"/>
      <c r="L4" s="33"/>
      <c r="M4" s="33"/>
      <c r="N4" s="33"/>
    </row>
    <row r="5" spans="2:17" ht="28.5" customHeight="1">
      <c r="B5" s="516"/>
      <c r="C5" s="516" t="s">
        <v>224</v>
      </c>
      <c r="D5" s="516"/>
      <c r="E5" s="516" t="s">
        <v>225</v>
      </c>
      <c r="F5" s="516"/>
      <c r="G5" s="517" t="s">
        <v>110</v>
      </c>
      <c r="H5" s="517"/>
      <c r="I5" s="582" t="s">
        <v>111</v>
      </c>
      <c r="J5" s="582"/>
      <c r="K5" s="33"/>
      <c r="L5" s="33"/>
      <c r="M5" s="33"/>
      <c r="N5" s="33"/>
    </row>
    <row r="6" spans="2:17" ht="28.5" customHeight="1">
      <c r="B6" s="516"/>
      <c r="C6" s="516" t="s">
        <v>43</v>
      </c>
      <c r="D6" s="516"/>
      <c r="E6" s="519">
        <f>AVERAGE(D13:M13)</f>
        <v>148.51698902393181</v>
      </c>
      <c r="F6" s="516">
        <f>AVERAGE(D27:O27,D13:J13)</f>
        <v>154.16231196250016</v>
      </c>
      <c r="G6" s="520">
        <f>AVERAGE(D13:J13)</f>
        <v>154.16231196250016</v>
      </c>
      <c r="H6" s="520"/>
      <c r="I6" s="520">
        <f>AVERAGE(K13:M13)</f>
        <v>135.34456883393895</v>
      </c>
      <c r="J6" s="520"/>
      <c r="K6" s="33"/>
      <c r="L6" s="33"/>
      <c r="M6" s="33"/>
      <c r="N6" s="33"/>
    </row>
    <row r="7" spans="2:17" ht="28.5" customHeight="1">
      <c r="B7" s="516"/>
      <c r="C7" s="510" t="s">
        <v>44</v>
      </c>
      <c r="D7" s="510"/>
      <c r="E7" s="511">
        <f>AVERAGE(D14:M14)</f>
        <v>136.32593346251605</v>
      </c>
      <c r="F7" s="512">
        <f>AVERAGE(D28:O28,D14:J14)</f>
        <v>141.6007434442447</v>
      </c>
      <c r="G7" s="513">
        <f>AVERAGE(D14:J14)</f>
        <v>141.6007434442447</v>
      </c>
      <c r="H7" s="513"/>
      <c r="I7" s="513">
        <f>AVERAGE(K14:M14)</f>
        <v>124.01804350514924</v>
      </c>
      <c r="J7" s="513"/>
      <c r="K7" s="33"/>
      <c r="L7" s="33"/>
      <c r="M7" s="33"/>
      <c r="N7" s="33"/>
    </row>
    <row r="8" spans="2:17" ht="28.5" customHeight="1">
      <c r="B8" s="516"/>
      <c r="C8" s="510" t="s">
        <v>45</v>
      </c>
      <c r="D8" s="510"/>
      <c r="E8" s="514">
        <f>AVERAGE(D15:M15)</f>
        <v>0.91789878261532754</v>
      </c>
      <c r="F8" s="510">
        <f>AVERAGE(D15:J15,D29:O29)</f>
        <v>0.91856736073541823</v>
      </c>
      <c r="G8" s="515">
        <f>AVERAGE(D15:J15)</f>
        <v>0.91856736073541823</v>
      </c>
      <c r="H8" s="515"/>
      <c r="I8" s="515">
        <f>AVERAGE(K15:M15)</f>
        <v>0.91633876700178185</v>
      </c>
      <c r="J8" s="515"/>
      <c r="K8" s="34" t="s">
        <v>177</v>
      </c>
      <c r="L8" s="33"/>
      <c r="M8" s="33"/>
      <c r="N8" s="33"/>
    </row>
    <row r="9" spans="2:17" ht="28.5" customHeight="1" thickBot="1">
      <c r="H9" s="36"/>
      <c r="N9" s="33"/>
      <c r="O9" s="33"/>
      <c r="P9" s="33"/>
      <c r="Q9" s="33"/>
    </row>
    <row r="10" spans="2:17" ht="30" customHeight="1">
      <c r="B10" s="501" t="s">
        <v>226</v>
      </c>
      <c r="C10" s="502"/>
      <c r="D10" s="503" t="s">
        <v>180</v>
      </c>
      <c r="E10" s="504"/>
      <c r="F10" s="504"/>
      <c r="G10" s="504"/>
      <c r="H10" s="504"/>
      <c r="I10" s="504"/>
      <c r="J10" s="505"/>
      <c r="K10" s="506" t="s">
        <v>181</v>
      </c>
      <c r="L10" s="583"/>
      <c r="M10" s="507"/>
      <c r="P10" s="37"/>
      <c r="Q10" s="37"/>
    </row>
    <row r="11" spans="2:17" ht="17.25" customHeight="1">
      <c r="B11" s="493" t="s">
        <v>227</v>
      </c>
      <c r="C11" s="494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39">
        <v>6</v>
      </c>
      <c r="J11" s="40">
        <v>7</v>
      </c>
      <c r="K11" s="38">
        <v>1</v>
      </c>
      <c r="L11" s="39">
        <v>2</v>
      </c>
      <c r="M11" s="40">
        <v>3</v>
      </c>
      <c r="P11" s="37"/>
      <c r="Q11" s="37"/>
    </row>
    <row r="12" spans="2:17" ht="34.15" customHeight="1">
      <c r="B12" s="493"/>
      <c r="C12" s="494"/>
      <c r="D12" s="41" t="s">
        <v>228</v>
      </c>
      <c r="E12" s="42" t="s">
        <v>184</v>
      </c>
      <c r="F12" s="42" t="s">
        <v>186</v>
      </c>
      <c r="G12" s="42" t="s">
        <v>229</v>
      </c>
      <c r="H12" s="42" t="s">
        <v>187</v>
      </c>
      <c r="I12" s="42" t="s">
        <v>230</v>
      </c>
      <c r="J12" s="43" t="s">
        <v>231</v>
      </c>
      <c r="K12" s="41" t="s">
        <v>190</v>
      </c>
      <c r="L12" s="42" t="s">
        <v>232</v>
      </c>
      <c r="M12" s="43" t="s">
        <v>193</v>
      </c>
    </row>
    <row r="13" spans="2:17" ht="40.15" customHeight="1">
      <c r="B13" s="508" t="s">
        <v>116</v>
      </c>
      <c r="C13" s="44" t="s">
        <v>233</v>
      </c>
      <c r="D13" s="45">
        <f>SUMIFS('0803 4度C'!$K:$K,'0803 4度C'!$A:$A,"燴飯線",'0803 4度C'!$B:$B,"平均")</f>
        <v>117.64705882352941</v>
      </c>
      <c r="E13" s="46">
        <f>SUMIFS('0803 4度C'!$K:$K,'0803 4度C'!$A:$A,"沙拉線一線",'0803 4度C'!$B:$B,"平均")</f>
        <v>81.081081081081081</v>
      </c>
      <c r="F13" s="47">
        <f>SUMIFS('0803 4度C'!$K:$K,'0803 4度C'!$A:$A,"沙拉線二線",'0803 4度C'!$B:$B,"平均")</f>
        <v>93.333333333333329</v>
      </c>
      <c r="G13" s="47">
        <f>SUMIFS('0803 4度C'!$K:$K,'0803 4度C'!$A:$A,"沙拉線三線",'0803 4度C'!$B:$B,"平均")</f>
        <v>118.51851851851852</v>
      </c>
      <c r="H13" s="47">
        <f>SUMIFS('0803 4度C'!$K:$K,'0803 4度C'!$A:$A,"自動包裝線",'0803 4度C'!$B:$B,"平均")</f>
        <v>300</v>
      </c>
      <c r="I13" s="47">
        <f>SUMIFS('0803 4度C'!$K:$K,'0803 4度C'!$A:$A,"涼麵一線",'0803 4度C'!$B:$B,"平均")</f>
        <v>114.4578313253012</v>
      </c>
      <c r="J13" s="48">
        <f>SUMIFS('0803 4度C'!$K:$K,'0803 4度C'!$A:$A,"三明治四線",'0803 4度C'!$B:$B,"平均")</f>
        <v>254.09836065573774</v>
      </c>
      <c r="K13" s="49">
        <f>SUMIFS('0803 4度C'!$K:$K,'0803 4度C'!$A:$A,"三明治一線",'0803 4度C'!$B:$B,"平均")</f>
        <v>137.70491803278691</v>
      </c>
      <c r="L13" s="50">
        <f>SUMIFS('0803 4度C'!$K:$K,'0803 4度C'!$A:$A,"三明治二線",'0803 4度C'!$B:$B,"平均")</f>
        <v>127.1523178807947</v>
      </c>
      <c r="M13" s="48">
        <f>SUMIFS('0803 4度C'!$K:$K,'0803 4度C'!$A:$A,"自動包裝二線",'0803 4度C'!$B:$B,"平均")</f>
        <v>141.1764705882353</v>
      </c>
    </row>
    <row r="14" spans="2:17" ht="39.6" customHeight="1">
      <c r="B14" s="508"/>
      <c r="C14" s="51" t="s">
        <v>69</v>
      </c>
      <c r="D14" s="52">
        <f>SUMIFS('0803 4度C'!$N:$N,'0803 4度C'!$A:$A,"燴飯線",'0803 4度C'!$B:$B,"平均")</f>
        <v>108.45407860113733</v>
      </c>
      <c r="E14" s="53">
        <f>SUMIFS('0803 4度C'!$N:$N,'0803 4度C'!$A:$A,"沙拉線一線",'0803 4度C'!$B:$B,"平均")</f>
        <v>74.259153674651145</v>
      </c>
      <c r="F14" s="53">
        <f>SUMIFS('0803 4度C'!$N:$N,'0803 4度C'!$A:$A,"沙拉線二線",'0803 4度C'!$B:$B,"平均")</f>
        <v>85.424420148135326</v>
      </c>
      <c r="G14" s="53">
        <f>SUMIFS('0803 4度C'!$N:$N,'0803 4度C'!$A:$A,"沙拉線三線",'0803 4度C'!$B:$B,"平均")</f>
        <v>109.57936159640147</v>
      </c>
      <c r="H14" s="53">
        <f>SUMIFS('0803 4度C'!$N:$N,'0803 4度C'!$A:$A,"自動包裝線",'0803 4度C'!$B:$B,"平均")</f>
        <v>274.78609839874014</v>
      </c>
      <c r="I14" s="53">
        <f>SUMIFS('0803 4度C'!$N:$N,'0803 4度C'!$A:$A,"涼麵一線",'0803 4度C'!$B:$B,"平均")</f>
        <v>104.8664042533771</v>
      </c>
      <c r="J14" s="54">
        <f>SUMIFS('0803 4度C'!$N:$N,'0803 4度C'!$A:$A,"三明治四線",'0803 4度C'!$B:$B,"平均")</f>
        <v>233.83568743727034</v>
      </c>
      <c r="K14" s="55">
        <f>SUMIFS('0803 4度C'!$N:$N,'0803 4度C'!$A:$A,"三明治一線",'0803 4度C'!$B:$B,"平均")</f>
        <v>126.02798269682238</v>
      </c>
      <c r="L14" s="56">
        <f>SUMIFS('0803 4度C'!$N:$N,'0803 4度C'!$A:$A,"三明治二線",'0803 4度C'!$B:$B,"平均")</f>
        <v>116.64368590179539</v>
      </c>
      <c r="M14" s="54">
        <f>SUMIFS('0803 4度C'!$N:$N,'0803 4度C'!$A:$A,"自動包裝二線",'0803 4度C'!$B:$B,"平均")</f>
        <v>129.38246191682995</v>
      </c>
    </row>
    <row r="15" spans="2:17" ht="40.15" customHeight="1">
      <c r="B15" s="508"/>
      <c r="C15" s="57" t="s">
        <v>234</v>
      </c>
      <c r="D15" s="58">
        <f>D14/D13</f>
        <v>0.92185966810966735</v>
      </c>
      <c r="E15" s="59">
        <f t="shared" ref="E15:M15" si="0">E14/E13</f>
        <v>0.91586289532069742</v>
      </c>
      <c r="F15" s="59">
        <f t="shared" si="0"/>
        <v>0.91526164444430713</v>
      </c>
      <c r="G15" s="59">
        <f t="shared" si="0"/>
        <v>0.92457586346963738</v>
      </c>
      <c r="H15" s="59">
        <f>H14/H13</f>
        <v>0.91595366132913381</v>
      </c>
      <c r="I15" s="59">
        <f>I14/I13</f>
        <v>0.91620121610845262</v>
      </c>
      <c r="J15" s="60">
        <f>J14/J13</f>
        <v>0.92025657636603153</v>
      </c>
      <c r="K15" s="58">
        <f>K14/K13</f>
        <v>0.91520320767930519</v>
      </c>
      <c r="L15" s="59">
        <f>L14/L13</f>
        <v>0.91735398808182844</v>
      </c>
      <c r="M15" s="60">
        <f t="shared" si="0"/>
        <v>0.91645910524421215</v>
      </c>
    </row>
    <row r="16" spans="2:17" ht="17.25" customHeight="1">
      <c r="B16" s="509" t="s">
        <v>198</v>
      </c>
      <c r="C16" s="91" t="s">
        <v>235</v>
      </c>
      <c r="D16" s="61">
        <f>VLOOKUP("燴飯線",'0803 4度C'!$A:$T,19,0)</f>
        <v>0.70833333333333337</v>
      </c>
      <c r="E16" s="24">
        <f>VLOOKUP("沙拉線一線",'0803 4度C'!$A:$T,19,0)</f>
        <v>0.13055555555555556</v>
      </c>
      <c r="F16" s="24">
        <f>VLOOKUP("沙拉線二線",'0803 4度C'!$A:$T,19,0)</f>
        <v>0.25</v>
      </c>
      <c r="G16" s="24">
        <f>VLOOKUP("沙拉線三線",'0803 4度C'!$A:$T,19,0)</f>
        <v>0.16666666666666666</v>
      </c>
      <c r="H16" s="24">
        <f>VLOOKUP("自動包裝線",'0803 4度C'!$A:$T,19,0)</f>
        <v>0.20833333333333334</v>
      </c>
      <c r="I16" s="24">
        <f>VLOOKUP("涼麵一線",'0803 4度C'!$A:$T,19,0)</f>
        <v>0.29166666666666669</v>
      </c>
      <c r="J16" s="62">
        <f>VLOOKUP("三明治四線",'0803 4度C'!$A:$T,19,0)</f>
        <v>0.20833333333333334</v>
      </c>
      <c r="K16" s="63">
        <f>VLOOKUP("三明治一線",'0803 4度C'!$A:$T,19,0)</f>
        <v>0.125</v>
      </c>
      <c r="L16" s="64">
        <f>VLOOKUP("三明治二線",'0803 4度C'!$A:$T,19,0)</f>
        <v>0.125</v>
      </c>
      <c r="M16" s="65">
        <f>VLOOKUP("自動包裝二線",'0803 4度C'!$A:$T,19,0)</f>
        <v>0.125</v>
      </c>
    </row>
    <row r="17" spans="2:13" ht="17.25" customHeight="1">
      <c r="B17" s="493"/>
      <c r="C17" s="91" t="s">
        <v>236</v>
      </c>
      <c r="D17" s="63">
        <f>LOOKUP(2,1/(('0803 4度C'!$A:$A="燴飯線")*('0803 4度C'!$T:$T&lt;&gt;"")),'0803 4度C'!$T:$T)</f>
        <v>0.84305555555555567</v>
      </c>
      <c r="E17" s="24">
        <f>LOOKUP(2,1/(('0803 4度C'!$A:$A="沙拉線一線")*('0803 4度C'!$T:$T&lt;&gt;"")),'0803 4度C'!$T:$T)</f>
        <v>0.68611111111111101</v>
      </c>
      <c r="F17" s="24">
        <f>LOOKUP(2,1/(('0803 4度C'!$A:$A="沙拉線二線")*('0803 4度C'!$T:$T&lt;&gt;"")),'0803 4度C'!$T:$T)</f>
        <v>0.84861111111111109</v>
      </c>
      <c r="G17" s="24">
        <f>LOOKUP(2,1/(('0803 4度C'!$A:$A="沙拉線三線")*('0803 4度C'!$T:$T&lt;&gt;"")),'0803 4度C'!$T:$T)</f>
        <v>0.84236111111111112</v>
      </c>
      <c r="H17" s="24">
        <f>LOOKUP(2,1/(('0803 4度C'!$A:$A="自動包裝線")*('0803 4度C'!$T:$T&lt;&gt;"")),'0803 4度C'!$T:$T)</f>
        <v>0.63611111111111107</v>
      </c>
      <c r="I17" s="24">
        <f>LOOKUP(2,1/(('0803 4度C'!$A:$A="涼麵一線")*('0803 4度C'!$T:$T&lt;&gt;"")),'0803 4度C'!$T:$T)</f>
        <v>0.85625000000000007</v>
      </c>
      <c r="J17" s="62">
        <f>LOOKUP(2,1/(('0803 4度C'!$A:$A="三明治四線")*('0803 4度C'!$T:$T&lt;&gt;"")),'0803 4度C'!$T:$T)</f>
        <v>0.50972222222222219</v>
      </c>
      <c r="K17" s="61">
        <f>LOOKUP(2,1/(('0803 4度C'!$A:$A="三明治一線")*('0803 4度C'!$T:$T&lt;&gt;"")),'0803 4度C'!$T:$T)</f>
        <v>0.67222222222222217</v>
      </c>
      <c r="L17" s="24">
        <f>LOOKUP(2,1/(('0803 4度C'!$A:$A="三明治二線")*('0803 4度C'!$T:$T&lt;&gt;"")),'0803 4度C'!$T:$T)</f>
        <v>0.67361111111111105</v>
      </c>
      <c r="M17" s="62">
        <f>LOOKUP(2,1/(('0803 4度C'!$A:$A="自動包裝二線")*('0803 4度C'!$T:$T&lt;&gt;"")),'0803 4度C'!$T:$T)</f>
        <v>0.63958333333333328</v>
      </c>
    </row>
    <row r="18" spans="2:13" ht="17.25" customHeight="1">
      <c r="B18" s="493" t="s">
        <v>237</v>
      </c>
      <c r="C18" s="494"/>
      <c r="D18" s="66">
        <f>SUMIFS('0803 4度C'!$I:$I,'0803 4度C'!$A:$A,"燴飯線",'0803 4度C'!$B:$B,"平均")</f>
        <v>17</v>
      </c>
      <c r="E18" s="67">
        <f>SUMIFS('0803 4度C'!$I:$I,'0803 4度C'!$A:$A,"沙拉線一線",'0803 4度C'!$B:$B,"平均")</f>
        <v>18.5</v>
      </c>
      <c r="F18" s="67">
        <f>SUMIFS('0803 4度C'!$I:$I,'0803 4度C'!$A:$A,"沙拉線二線",'0803 4度C'!$B:$B,"平均")</f>
        <v>18.75</v>
      </c>
      <c r="G18" s="67">
        <f>SUMIFS('0803 4度C'!$I:$I,'0803 4度C'!$A:$A,"沙拉線三線",'0803 4度C'!$B:$B,"平均")</f>
        <v>16.875</v>
      </c>
      <c r="H18" s="67">
        <f>SUMIFS('0803 4度C'!$I:$I,'0803 4度C'!$A:$A,"自動包裝線",'0803 4度C'!$B:$B,"平均")</f>
        <v>10</v>
      </c>
      <c r="I18" s="67">
        <f>SUMIFS('0803 4度C'!$I:$I,'0803 4度C'!$A:$A,"涼麵一線",'0803 4度C'!$B:$B,"平均")</f>
        <v>16.600000000000001</v>
      </c>
      <c r="J18" s="68">
        <f>SUMIFS('0803 4度C'!$I:$I,'0803 4度C'!$A:$A,"三明治四線",'0803 4度C'!$B:$B,"平均")</f>
        <v>10.166666666666666</v>
      </c>
      <c r="K18" s="66">
        <f>SUMIFS('0803 4度C'!$I:$I,'0803 4度C'!$A:$A,"三明治一線",'0803 4度C'!$B:$B,"平均")</f>
        <v>17.428571428571427</v>
      </c>
      <c r="L18" s="67">
        <f>SUMIFS('0803 4度C'!$I:$I,'0803 4度C'!$A:$A,"三明治二線",'0803 4度C'!$B:$B,"平均")</f>
        <v>18.875</v>
      </c>
      <c r="M18" s="68">
        <f>SUMIFS('0803 4度C'!$I:$I,'0803 4度C'!$A:$A,"自動包裝二線",'0803 4度C'!$B:$B,"平均")</f>
        <v>17</v>
      </c>
    </row>
    <row r="19" spans="2:13" ht="17.25" customHeight="1">
      <c r="B19" s="495" t="s">
        <v>92</v>
      </c>
      <c r="C19" s="496"/>
      <c r="D19" s="69" t="s">
        <v>46</v>
      </c>
      <c r="E19" s="70" t="s">
        <v>47</v>
      </c>
      <c r="F19" s="70" t="s">
        <v>238</v>
      </c>
      <c r="G19" s="70" t="s">
        <v>93</v>
      </c>
      <c r="H19" s="70" t="s">
        <v>48</v>
      </c>
      <c r="I19" s="70" t="s">
        <v>46</v>
      </c>
      <c r="J19" s="71" t="s">
        <v>48</v>
      </c>
      <c r="K19" s="69" t="s">
        <v>239</v>
      </c>
      <c r="L19" s="70" t="s">
        <v>240</v>
      </c>
      <c r="M19" s="71" t="s">
        <v>241</v>
      </c>
    </row>
    <row r="20" spans="2:13" ht="17.25" customHeight="1">
      <c r="B20" s="495" t="s">
        <v>201</v>
      </c>
      <c r="C20" s="496"/>
      <c r="D20" s="69"/>
      <c r="E20" s="70"/>
      <c r="F20" s="70" t="s">
        <v>202</v>
      </c>
      <c r="G20" s="70" t="s">
        <v>46</v>
      </c>
      <c r="H20" s="70"/>
      <c r="I20" s="70"/>
      <c r="J20" s="71"/>
      <c r="K20" s="69"/>
      <c r="L20" s="70"/>
      <c r="M20" s="71"/>
    </row>
    <row r="21" spans="2:13" ht="17.25" customHeight="1" thickBot="1">
      <c r="B21" s="497" t="s">
        <v>242</v>
      </c>
      <c r="C21" s="498"/>
      <c r="D21" s="72"/>
      <c r="E21" s="73" t="s">
        <v>243</v>
      </c>
      <c r="F21" s="499" t="s">
        <v>244</v>
      </c>
      <c r="G21" s="500"/>
      <c r="H21" s="73" t="s">
        <v>245</v>
      </c>
      <c r="I21" s="73" t="s">
        <v>246</v>
      </c>
      <c r="J21" s="74" t="s">
        <v>206</v>
      </c>
      <c r="K21" s="75"/>
      <c r="L21" s="73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19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6">
    <pageSetUpPr fitToPage="1"/>
  </sheetPr>
  <dimension ref="A1:AC74"/>
  <sheetViews>
    <sheetView zoomScale="80" zoomScaleNormal="80" workbookViewId="0">
      <pane ySplit="4" topLeftCell="A5" activePane="bottomLeft" state="frozen"/>
      <selection activeCell="C3" sqref="C3:D3"/>
      <selection pane="bottomLeft" activeCell="C3" sqref="C3:D3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7.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208</v>
      </c>
      <c r="B1" s="1"/>
      <c r="C1" s="2" t="s">
        <v>96</v>
      </c>
      <c r="D1" s="3">
        <f>SUM(F5:F73)</f>
        <v>172946</v>
      </c>
      <c r="E1" s="93" t="s">
        <v>113</v>
      </c>
      <c r="F1" s="1">
        <f>SUM(G5:G73)</f>
        <v>5941913.129999998</v>
      </c>
      <c r="G1" s="1" t="s">
        <v>209</v>
      </c>
      <c r="H1" s="4">
        <f>L8+L13+L53+L59+L18+L66+L35+L44+L27+L73</f>
        <v>161.1952380952381</v>
      </c>
      <c r="I1" s="572" t="s">
        <v>210</v>
      </c>
      <c r="J1" s="572"/>
      <c r="K1" s="572"/>
      <c r="L1" s="572" t="s">
        <v>211</v>
      </c>
      <c r="M1" s="572"/>
      <c r="N1" s="572"/>
      <c r="O1" s="572" t="s">
        <v>97</v>
      </c>
      <c r="P1" s="572"/>
      <c r="Q1" s="572"/>
      <c r="R1" s="572"/>
      <c r="S1" s="572" t="s">
        <v>98</v>
      </c>
      <c r="T1" s="572"/>
      <c r="U1" s="572"/>
      <c r="V1" s="572"/>
      <c r="W1" s="572"/>
      <c r="X1" s="572"/>
      <c r="Y1" s="572" t="s">
        <v>115</v>
      </c>
      <c r="Z1" s="572"/>
      <c r="AA1" s="572" t="s">
        <v>212</v>
      </c>
      <c r="AB1" s="573"/>
      <c r="AC1" s="573"/>
    </row>
    <row r="2" spans="1:29" ht="26.25" customHeight="1">
      <c r="A2" s="22">
        <v>45872</v>
      </c>
      <c r="B2" s="23" t="s">
        <v>247</v>
      </c>
      <c r="C2" s="2" t="s">
        <v>116</v>
      </c>
      <c r="D2" s="6">
        <f>AVERAGE(N8,N13,N53,N59,N18,N66,N27,N35,N44,N73)</f>
        <v>136.32593346251605</v>
      </c>
      <c r="E2" s="7" t="s">
        <v>0</v>
      </c>
      <c r="F2" s="8">
        <f>F1/D1</f>
        <v>34.357042834179445</v>
      </c>
      <c r="G2" s="1" t="s">
        <v>248</v>
      </c>
      <c r="H2" s="104">
        <f>COUNT(H5:H73)</f>
        <v>8</v>
      </c>
      <c r="I2" s="572"/>
      <c r="J2" s="572"/>
      <c r="K2" s="572"/>
      <c r="L2" s="572"/>
      <c r="M2" s="572"/>
      <c r="N2" s="572"/>
      <c r="O2" s="572"/>
      <c r="P2" s="572"/>
      <c r="Q2" s="572"/>
      <c r="R2" s="572"/>
      <c r="S2" s="572"/>
      <c r="T2" s="572"/>
      <c r="U2" s="572"/>
      <c r="V2" s="572"/>
      <c r="W2" s="572"/>
      <c r="X2" s="572"/>
      <c r="Y2" s="572"/>
      <c r="Z2" s="572"/>
      <c r="AA2" s="573"/>
      <c r="AB2" s="573"/>
      <c r="AC2" s="573"/>
    </row>
    <row r="3" spans="1:29" ht="23.25" customHeight="1">
      <c r="A3" s="528" t="s">
        <v>214</v>
      </c>
      <c r="B3" s="528" t="s">
        <v>118</v>
      </c>
      <c r="C3" s="528" t="s">
        <v>249</v>
      </c>
      <c r="D3" s="528"/>
      <c r="E3" s="570" t="s">
        <v>157</v>
      </c>
      <c r="F3" s="528" t="s">
        <v>120</v>
      </c>
      <c r="G3" s="570" t="s">
        <v>215</v>
      </c>
      <c r="H3" s="563" t="s">
        <v>99</v>
      </c>
      <c r="I3" s="561" t="s">
        <v>101</v>
      </c>
      <c r="J3" s="566" t="s">
        <v>250</v>
      </c>
      <c r="K3" s="568" t="s">
        <v>116</v>
      </c>
      <c r="L3" s="561" t="s">
        <v>101</v>
      </c>
      <c r="M3" s="566" t="s">
        <v>162</v>
      </c>
      <c r="N3" s="568" t="s">
        <v>116</v>
      </c>
      <c r="O3" s="561" t="s">
        <v>101</v>
      </c>
      <c r="P3" s="568" t="s">
        <v>116</v>
      </c>
      <c r="Q3" s="567" t="s">
        <v>102</v>
      </c>
      <c r="R3" s="542" t="s">
        <v>86</v>
      </c>
      <c r="S3" s="569" t="s">
        <v>1</v>
      </c>
      <c r="T3" s="569"/>
      <c r="U3" s="563" t="s">
        <v>2</v>
      </c>
      <c r="V3" s="563" t="s">
        <v>251</v>
      </c>
      <c r="W3" s="528" t="s">
        <v>160</v>
      </c>
      <c r="X3" s="528"/>
      <c r="Y3" s="564" t="s">
        <v>252</v>
      </c>
      <c r="Z3" s="565"/>
      <c r="AA3" s="566" t="s">
        <v>162</v>
      </c>
      <c r="AB3" s="567" t="s">
        <v>102</v>
      </c>
      <c r="AC3" s="542" t="s">
        <v>86</v>
      </c>
    </row>
    <row r="4" spans="1:29">
      <c r="A4" s="528"/>
      <c r="B4" s="528"/>
      <c r="C4" s="528"/>
      <c r="D4" s="528"/>
      <c r="E4" s="571"/>
      <c r="F4" s="528"/>
      <c r="G4" s="571"/>
      <c r="H4" s="563"/>
      <c r="I4" s="561"/>
      <c r="J4" s="566"/>
      <c r="K4" s="568"/>
      <c r="L4" s="561"/>
      <c r="M4" s="566"/>
      <c r="N4" s="568"/>
      <c r="O4" s="561"/>
      <c r="P4" s="568"/>
      <c r="Q4" s="567"/>
      <c r="R4" s="542"/>
      <c r="S4" s="103" t="s">
        <v>3</v>
      </c>
      <c r="T4" s="103" t="s">
        <v>4</v>
      </c>
      <c r="U4" s="563"/>
      <c r="V4" s="563"/>
      <c r="W4" s="93" t="s">
        <v>103</v>
      </c>
      <c r="X4" s="93" t="s">
        <v>253</v>
      </c>
      <c r="Y4" s="565"/>
      <c r="Z4" s="565"/>
      <c r="AA4" s="566"/>
      <c r="AB4" s="567"/>
      <c r="AC4" s="542"/>
    </row>
    <row r="5" spans="1:29">
      <c r="A5" s="560" t="s">
        <v>254</v>
      </c>
      <c r="B5" s="26" t="s">
        <v>13</v>
      </c>
      <c r="C5" s="562" t="s">
        <v>53</v>
      </c>
      <c r="D5" s="562"/>
      <c r="E5" s="26">
        <v>46.93</v>
      </c>
      <c r="F5" s="103">
        <v>1024</v>
      </c>
      <c r="G5" s="93">
        <f>E5*F5</f>
        <v>48056.32</v>
      </c>
      <c r="H5" s="76" t="s">
        <v>52</v>
      </c>
      <c r="I5" s="101">
        <v>17</v>
      </c>
      <c r="J5" s="18">
        <v>2000</v>
      </c>
      <c r="K5" s="9">
        <f>J5/I5</f>
        <v>117.64705882352941</v>
      </c>
      <c r="L5" s="101">
        <v>17</v>
      </c>
      <c r="M5" s="10">
        <f>F5/V5*60</f>
        <v>1861.8181818181793</v>
      </c>
      <c r="N5" s="9">
        <f>M5/L5</f>
        <v>109.51871657753996</v>
      </c>
      <c r="O5" s="11">
        <f t="shared" ref="O5:O7" si="0">L5-I5</f>
        <v>0</v>
      </c>
      <c r="P5" s="12">
        <f t="shared" ref="P5:P7" si="1">N5-K5</f>
        <v>-8.1283422459894439</v>
      </c>
      <c r="Q5" s="95">
        <f>N5/K5</f>
        <v>0.93090909090908969</v>
      </c>
      <c r="R5" s="533">
        <f>Q8</f>
        <v>0.92185966810966735</v>
      </c>
      <c r="S5" s="24">
        <v>0.70833333333333337</v>
      </c>
      <c r="T5" s="24">
        <v>0.73125000000000007</v>
      </c>
      <c r="U5" s="93"/>
      <c r="V5" s="102">
        <f>(T5-S5)*24*60</f>
        <v>33.000000000000043</v>
      </c>
      <c r="W5" s="13"/>
      <c r="X5" s="13"/>
      <c r="Y5" s="528"/>
      <c r="Z5" s="528"/>
      <c r="AA5" s="11">
        <f t="shared" ref="AA5:AA68" si="2">M5-J5</f>
        <v>-138.18181818182074</v>
      </c>
      <c r="AB5" s="95">
        <f t="shared" ref="AB5:AB7" si="3">M5/J5</f>
        <v>0.93090909090908958</v>
      </c>
      <c r="AC5" s="533">
        <f>AB8</f>
        <v>0.92185966810966724</v>
      </c>
    </row>
    <row r="6" spans="1:29">
      <c r="A6" s="561" t="s">
        <v>104</v>
      </c>
      <c r="B6" s="26" t="s">
        <v>13</v>
      </c>
      <c r="C6" s="562" t="s">
        <v>55</v>
      </c>
      <c r="D6" s="562"/>
      <c r="E6" s="26">
        <v>50.49</v>
      </c>
      <c r="F6" s="103">
        <v>2203</v>
      </c>
      <c r="G6" s="93">
        <f t="shared" ref="G6:G7" si="4">E6*F6</f>
        <v>111229.47</v>
      </c>
      <c r="H6" s="76" t="s">
        <v>52</v>
      </c>
      <c r="I6" s="101">
        <v>16</v>
      </c>
      <c r="J6" s="18">
        <v>2000</v>
      </c>
      <c r="K6" s="9">
        <f t="shared" ref="K6:K7" si="5">J6/I6</f>
        <v>125</v>
      </c>
      <c r="L6" s="101">
        <v>16</v>
      </c>
      <c r="M6" s="10">
        <f>F6/V6*60</f>
        <v>1835.8333333333319</v>
      </c>
      <c r="N6" s="9">
        <f t="shared" ref="N6:N7" si="6">M6/L6</f>
        <v>114.73958333333324</v>
      </c>
      <c r="O6" s="11">
        <f t="shared" si="0"/>
        <v>0</v>
      </c>
      <c r="P6" s="12">
        <f t="shared" si="1"/>
        <v>-10.260416666666757</v>
      </c>
      <c r="Q6" s="95">
        <f t="shared" ref="Q6:Q7" si="7">N6/K6</f>
        <v>0.91791666666666594</v>
      </c>
      <c r="R6" s="533"/>
      <c r="S6" s="24">
        <v>0.73472222222222228</v>
      </c>
      <c r="T6" s="24">
        <v>0.78472222222222232</v>
      </c>
      <c r="U6" s="93">
        <f>(S6-T5)*24*60</f>
        <v>4.9999999999999822</v>
      </c>
      <c r="V6" s="102">
        <f>(T6-S6)*24*60</f>
        <v>72.000000000000057</v>
      </c>
      <c r="W6" s="14"/>
      <c r="X6" s="14"/>
      <c r="Y6" s="528"/>
      <c r="Z6" s="528"/>
      <c r="AA6" s="11">
        <f t="shared" si="2"/>
        <v>-164.16666666666811</v>
      </c>
      <c r="AB6" s="95">
        <f t="shared" si="3"/>
        <v>0.91791666666666594</v>
      </c>
      <c r="AC6" s="533"/>
    </row>
    <row r="7" spans="1:29">
      <c r="A7" s="561" t="s">
        <v>254</v>
      </c>
      <c r="B7" s="26" t="s">
        <v>13</v>
      </c>
      <c r="C7" s="558" t="s">
        <v>76</v>
      </c>
      <c r="D7" s="559"/>
      <c r="E7" s="26">
        <v>50.67</v>
      </c>
      <c r="F7" s="103">
        <v>2353</v>
      </c>
      <c r="G7" s="93">
        <f t="shared" si="4"/>
        <v>119226.51000000001</v>
      </c>
      <c r="H7" s="76" t="s">
        <v>52</v>
      </c>
      <c r="I7" s="101">
        <v>18</v>
      </c>
      <c r="J7" s="18">
        <v>2000</v>
      </c>
      <c r="K7" s="9">
        <f t="shared" si="5"/>
        <v>111.11111111111111</v>
      </c>
      <c r="L7" s="101">
        <v>18</v>
      </c>
      <c r="M7" s="10">
        <f t="shared" ref="M7" si="8">F7/V7*60</f>
        <v>1833.5064935064925</v>
      </c>
      <c r="N7" s="9">
        <f t="shared" si="6"/>
        <v>101.8614718614718</v>
      </c>
      <c r="O7" s="11">
        <f t="shared" si="0"/>
        <v>0</v>
      </c>
      <c r="P7" s="12">
        <f t="shared" si="1"/>
        <v>-9.2496392496393156</v>
      </c>
      <c r="Q7" s="95">
        <f t="shared" si="7"/>
        <v>0.91675324675324621</v>
      </c>
      <c r="R7" s="533"/>
      <c r="S7" s="24">
        <v>0.78958333333333341</v>
      </c>
      <c r="T7" s="24">
        <v>0.84305555555555567</v>
      </c>
      <c r="U7" s="93">
        <f t="shared" ref="U7" si="9">(S7-T6)*24*60</f>
        <v>6.9999999999999751</v>
      </c>
      <c r="V7" s="102">
        <f t="shared" ref="V7" si="10">(T7-S7)*24*60</f>
        <v>77.000000000000043</v>
      </c>
      <c r="W7" s="14"/>
      <c r="X7" s="14"/>
      <c r="Y7" s="536"/>
      <c r="Z7" s="537"/>
      <c r="AA7" s="11">
        <f t="shared" si="2"/>
        <v>-166.49350649350754</v>
      </c>
      <c r="AB7" s="95">
        <f t="shared" si="3"/>
        <v>0.91675324675324621</v>
      </c>
      <c r="AC7" s="533"/>
    </row>
    <row r="8" spans="1:29">
      <c r="A8" s="561" t="s">
        <v>254</v>
      </c>
      <c r="B8" s="26" t="s">
        <v>82</v>
      </c>
      <c r="C8" s="530"/>
      <c r="D8" s="530"/>
      <c r="E8" s="94"/>
      <c r="F8" s="16"/>
      <c r="G8" s="9"/>
      <c r="H8" s="103"/>
      <c r="I8" s="17">
        <v>17</v>
      </c>
      <c r="J8" s="18">
        <v>2000</v>
      </c>
      <c r="K8" s="9">
        <f>J8/I8</f>
        <v>117.64705882352941</v>
      </c>
      <c r="L8" s="17">
        <v>17</v>
      </c>
      <c r="M8" s="10">
        <f>AVERAGE(M5:M7)</f>
        <v>1843.7193362193345</v>
      </c>
      <c r="N8" s="9">
        <f>M8/L8</f>
        <v>108.45407860113733</v>
      </c>
      <c r="O8" s="11">
        <f>L8-I8</f>
        <v>0</v>
      </c>
      <c r="P8" s="12">
        <f>N8-K8</f>
        <v>-9.1929802223920802</v>
      </c>
      <c r="Q8" s="95">
        <f>N8/K8</f>
        <v>0.92185966810966735</v>
      </c>
      <c r="R8" s="533"/>
      <c r="S8" s="24"/>
      <c r="T8" s="24"/>
      <c r="U8" s="93"/>
      <c r="V8" s="102"/>
      <c r="W8" s="9"/>
      <c r="X8" s="9"/>
      <c r="Y8" s="528"/>
      <c r="Z8" s="528"/>
      <c r="AA8" s="11">
        <f t="shared" si="2"/>
        <v>-156.28066378066546</v>
      </c>
      <c r="AB8" s="95">
        <f>M8/J8</f>
        <v>0.92185966810966724</v>
      </c>
      <c r="AC8" s="533"/>
    </row>
    <row r="9" spans="1:29" ht="15.75" customHeight="1">
      <c r="A9" s="531" t="s">
        <v>164</v>
      </c>
      <c r="B9" s="26" t="s">
        <v>15</v>
      </c>
      <c r="C9" s="558" t="s">
        <v>16</v>
      </c>
      <c r="D9" s="559"/>
      <c r="E9" s="26">
        <v>39.619999999999997</v>
      </c>
      <c r="F9" s="103">
        <v>4864</v>
      </c>
      <c r="G9" s="93">
        <f t="shared" ref="G9:G12" si="11">E9*F9</f>
        <v>192711.67999999999</v>
      </c>
      <c r="H9" s="76" t="s">
        <v>52</v>
      </c>
      <c r="I9" s="101">
        <v>19</v>
      </c>
      <c r="J9" s="18">
        <v>1500</v>
      </c>
      <c r="K9" s="9">
        <f t="shared" ref="K9:K12" si="12">J9/I9</f>
        <v>78.94736842105263</v>
      </c>
      <c r="L9" s="101">
        <v>19</v>
      </c>
      <c r="M9" s="10">
        <f t="shared" ref="M9:M12" si="13">F9/V9*60</f>
        <v>1370.1408450704225</v>
      </c>
      <c r="N9" s="9">
        <f t="shared" ref="N9:N12" si="14">M9/L9</f>
        <v>72.112676056338032</v>
      </c>
      <c r="O9" s="11">
        <f t="shared" ref="O9:O12" si="15">L9-I9</f>
        <v>0</v>
      </c>
      <c r="P9" s="12">
        <f>N9-K9</f>
        <v>-6.8346923647145985</v>
      </c>
      <c r="Q9" s="95">
        <f>N9/K9</f>
        <v>0.91342723004694837</v>
      </c>
      <c r="R9" s="533">
        <f>Q13</f>
        <v>0.91586289532069742</v>
      </c>
      <c r="S9" s="24">
        <v>0.13055555555555556</v>
      </c>
      <c r="T9" s="24">
        <v>0.27847222222222223</v>
      </c>
      <c r="U9" s="93"/>
      <c r="V9" s="102">
        <f t="shared" ref="V9:V12" si="16">(T9-S9)*24*60</f>
        <v>213</v>
      </c>
      <c r="W9" s="24">
        <f>T9</f>
        <v>0.27847222222222223</v>
      </c>
      <c r="X9" s="24">
        <f>S10</f>
        <v>0.30416666666666664</v>
      </c>
      <c r="Y9" s="528"/>
      <c r="Z9" s="528"/>
      <c r="AA9" s="11">
        <f t="shared" si="2"/>
        <v>-129.85915492957747</v>
      </c>
      <c r="AB9" s="95">
        <f>M9/J9</f>
        <v>0.91342723004694837</v>
      </c>
      <c r="AC9" s="533">
        <f>AB13</f>
        <v>0.91586289532069742</v>
      </c>
    </row>
    <row r="10" spans="1:29" ht="15.75" customHeight="1">
      <c r="A10" s="531" t="s">
        <v>5</v>
      </c>
      <c r="B10" s="26" t="s">
        <v>15</v>
      </c>
      <c r="C10" s="558" t="s">
        <v>17</v>
      </c>
      <c r="D10" s="559"/>
      <c r="E10" s="26">
        <v>39.799999999999997</v>
      </c>
      <c r="F10" s="103">
        <v>2500</v>
      </c>
      <c r="G10" s="93">
        <f t="shared" si="11"/>
        <v>99500</v>
      </c>
      <c r="H10" s="76">
        <v>2</v>
      </c>
      <c r="I10" s="101">
        <v>18</v>
      </c>
      <c r="J10" s="18">
        <v>1500</v>
      </c>
      <c r="K10" s="9">
        <f t="shared" si="12"/>
        <v>83.333333333333329</v>
      </c>
      <c r="L10" s="101">
        <v>18</v>
      </c>
      <c r="M10" s="10">
        <f t="shared" si="13"/>
        <v>1376.1467889908254</v>
      </c>
      <c r="N10" s="9">
        <f t="shared" si="14"/>
        <v>76.452599388379184</v>
      </c>
      <c r="O10" s="11">
        <f t="shared" si="15"/>
        <v>0</v>
      </c>
      <c r="P10" s="12">
        <f t="shared" ref="P10:P12" si="17">N10-K10</f>
        <v>-6.8807339449541445</v>
      </c>
      <c r="Q10" s="95">
        <f t="shared" ref="Q10:Q12" si="18">N10/K10</f>
        <v>0.91743119266055029</v>
      </c>
      <c r="R10" s="533"/>
      <c r="S10" s="24">
        <v>0.30416666666666664</v>
      </c>
      <c r="T10" s="24">
        <v>0.37986111111111109</v>
      </c>
      <c r="U10" s="93">
        <f>(S10-T9)*24*60</f>
        <v>36.99999999999995</v>
      </c>
      <c r="V10" s="102">
        <f t="shared" si="16"/>
        <v>109.00000000000001</v>
      </c>
      <c r="W10" s="14"/>
      <c r="X10" s="14"/>
      <c r="Y10" s="528"/>
      <c r="Z10" s="528"/>
      <c r="AA10" s="11">
        <f t="shared" si="2"/>
        <v>-123.85321100917463</v>
      </c>
      <c r="AB10" s="95">
        <f t="shared" ref="AB10:AB27" si="19">M10/J10</f>
        <v>0.91743119266055029</v>
      </c>
      <c r="AC10" s="533"/>
    </row>
    <row r="11" spans="1:29" ht="15.75" customHeight="1">
      <c r="A11" s="531" t="s">
        <v>5</v>
      </c>
      <c r="B11" s="26" t="s">
        <v>15</v>
      </c>
      <c r="C11" s="558" t="s">
        <v>80</v>
      </c>
      <c r="D11" s="559"/>
      <c r="E11" s="26">
        <v>39.29</v>
      </c>
      <c r="F11" s="103">
        <v>4142</v>
      </c>
      <c r="G11" s="93">
        <f t="shared" si="11"/>
        <v>162739.18</v>
      </c>
      <c r="H11" s="76" t="s">
        <v>52</v>
      </c>
      <c r="I11" s="101">
        <v>19</v>
      </c>
      <c r="J11" s="18">
        <v>1500</v>
      </c>
      <c r="K11" s="9">
        <f t="shared" si="12"/>
        <v>78.94736842105263</v>
      </c>
      <c r="L11" s="101">
        <v>19</v>
      </c>
      <c r="M11" s="10">
        <f t="shared" si="13"/>
        <v>1373.0386740331492</v>
      </c>
      <c r="N11" s="9">
        <f t="shared" si="14"/>
        <v>72.265193370165747</v>
      </c>
      <c r="O11" s="11">
        <f t="shared" si="15"/>
        <v>0</v>
      </c>
      <c r="P11" s="12">
        <f t="shared" si="17"/>
        <v>-6.6821750508868831</v>
      </c>
      <c r="Q11" s="95">
        <f t="shared" si="18"/>
        <v>0.91535911602209952</v>
      </c>
      <c r="R11" s="533"/>
      <c r="S11" s="24">
        <v>0.38888888888888884</v>
      </c>
      <c r="T11" s="24">
        <v>0.51458333333333328</v>
      </c>
      <c r="U11" s="93">
        <f t="shared" ref="U11:U12" si="20">(S11-T10)*24*60</f>
        <v>12.999999999999954</v>
      </c>
      <c r="V11" s="102">
        <f t="shared" si="16"/>
        <v>181</v>
      </c>
      <c r="W11" s="14">
        <f>T11</f>
        <v>0.51458333333333328</v>
      </c>
      <c r="X11" s="14">
        <f>S12</f>
        <v>0.55555555555555547</v>
      </c>
      <c r="Y11" s="528"/>
      <c r="Z11" s="528"/>
      <c r="AA11" s="11">
        <f t="shared" si="2"/>
        <v>-126.96132596685084</v>
      </c>
      <c r="AB11" s="95">
        <f t="shared" si="19"/>
        <v>0.91535911602209941</v>
      </c>
      <c r="AC11" s="533"/>
    </row>
    <row r="12" spans="1:29" ht="15.75" customHeight="1">
      <c r="A12" s="531" t="s">
        <v>5</v>
      </c>
      <c r="B12" s="26" t="s">
        <v>15</v>
      </c>
      <c r="C12" s="558" t="s">
        <v>17</v>
      </c>
      <c r="D12" s="559"/>
      <c r="E12" s="26">
        <v>39.799999999999997</v>
      </c>
      <c r="F12" s="103">
        <v>4311</v>
      </c>
      <c r="G12" s="93">
        <f t="shared" si="11"/>
        <v>171577.8</v>
      </c>
      <c r="H12" s="76" t="s">
        <v>52</v>
      </c>
      <c r="I12" s="101">
        <v>18</v>
      </c>
      <c r="J12" s="18">
        <v>1500</v>
      </c>
      <c r="K12" s="9">
        <f t="shared" si="12"/>
        <v>83.333333333333329</v>
      </c>
      <c r="L12" s="101">
        <v>18</v>
      </c>
      <c r="M12" s="10">
        <f t="shared" si="13"/>
        <v>1375.8510638297876</v>
      </c>
      <c r="N12" s="9">
        <f t="shared" si="14"/>
        <v>76.436170212765973</v>
      </c>
      <c r="O12" s="11">
        <f t="shared" si="15"/>
        <v>0</v>
      </c>
      <c r="P12" s="12">
        <f t="shared" si="17"/>
        <v>-6.897163120567356</v>
      </c>
      <c r="Q12" s="95">
        <f t="shared" si="18"/>
        <v>0.91723404255319174</v>
      </c>
      <c r="R12" s="533"/>
      <c r="S12" s="24">
        <v>0.55555555555555547</v>
      </c>
      <c r="T12" s="24">
        <v>0.68611111111111101</v>
      </c>
      <c r="U12" s="93">
        <f t="shared" si="20"/>
        <v>58.99999999999995</v>
      </c>
      <c r="V12" s="102">
        <f t="shared" si="16"/>
        <v>187.99999999999997</v>
      </c>
      <c r="W12" s="14"/>
      <c r="X12" s="14"/>
      <c r="Y12" s="528"/>
      <c r="Z12" s="528"/>
      <c r="AA12" s="11">
        <f t="shared" si="2"/>
        <v>-124.14893617021244</v>
      </c>
      <c r="AB12" s="95">
        <f t="shared" si="19"/>
        <v>0.91723404255319174</v>
      </c>
      <c r="AC12" s="533"/>
    </row>
    <row r="13" spans="1:29" ht="16.5" customHeight="1">
      <c r="A13" s="531" t="s">
        <v>5</v>
      </c>
      <c r="B13" s="26" t="s">
        <v>82</v>
      </c>
      <c r="C13" s="530"/>
      <c r="D13" s="530"/>
      <c r="E13" s="94"/>
      <c r="F13" s="18"/>
      <c r="G13" s="10"/>
      <c r="H13" s="103"/>
      <c r="I13" s="17">
        <v>18.5</v>
      </c>
      <c r="J13" s="18">
        <v>1500</v>
      </c>
      <c r="K13" s="9">
        <f>J13/I13</f>
        <v>81.081081081081081</v>
      </c>
      <c r="L13" s="17">
        <v>18.5</v>
      </c>
      <c r="M13" s="10">
        <f>AVERAGE(M9:M12)</f>
        <v>1373.7943429810462</v>
      </c>
      <c r="N13" s="9">
        <f>M13/L13</f>
        <v>74.259153674651145</v>
      </c>
      <c r="O13" s="11">
        <f>L13-I13</f>
        <v>0</v>
      </c>
      <c r="P13" s="12">
        <f>N13-K13</f>
        <v>-6.8219274064299356</v>
      </c>
      <c r="Q13" s="95">
        <f>N13/K13</f>
        <v>0.91586289532069742</v>
      </c>
      <c r="R13" s="533"/>
      <c r="S13" s="24"/>
      <c r="T13" s="24"/>
      <c r="U13" s="9"/>
      <c r="V13" s="102"/>
      <c r="W13" s="9"/>
      <c r="X13" s="9"/>
      <c r="Y13" s="528"/>
      <c r="Z13" s="528"/>
      <c r="AA13" s="11">
        <f t="shared" si="2"/>
        <v>-126.20565701895384</v>
      </c>
      <c r="AB13" s="95">
        <f t="shared" si="19"/>
        <v>0.91586289532069742</v>
      </c>
      <c r="AC13" s="533"/>
    </row>
    <row r="14" spans="1:29" ht="16.5" customHeight="1">
      <c r="A14" s="556" t="s">
        <v>166</v>
      </c>
      <c r="B14" s="103" t="s">
        <v>21</v>
      </c>
      <c r="C14" s="552" t="s">
        <v>19</v>
      </c>
      <c r="D14" s="552"/>
      <c r="E14" s="26">
        <v>41</v>
      </c>
      <c r="F14" s="103">
        <v>1956</v>
      </c>
      <c r="G14" s="93">
        <f t="shared" ref="G14:G17" si="21">E14*F14</f>
        <v>80196</v>
      </c>
      <c r="H14" s="76" t="s">
        <v>52</v>
      </c>
      <c r="I14" s="101">
        <v>26</v>
      </c>
      <c r="J14" s="18">
        <v>1500</v>
      </c>
      <c r="K14" s="9">
        <f>J14/I14</f>
        <v>57.692307692307693</v>
      </c>
      <c r="L14" s="101">
        <v>26</v>
      </c>
      <c r="M14" s="10">
        <f>F14/V14*60</f>
        <v>1380.705882352941</v>
      </c>
      <c r="N14" s="9">
        <f t="shared" ref="N14:N26" si="22">M14/L14</f>
        <v>53.104072398190041</v>
      </c>
      <c r="O14" s="11">
        <f t="shared" ref="O14" si="23">L14-I14</f>
        <v>0</v>
      </c>
      <c r="P14" s="12">
        <f t="shared" ref="P14" si="24">N14-K14</f>
        <v>-4.5882352941176521</v>
      </c>
      <c r="Q14" s="95">
        <f>N14/K14</f>
        <v>0.92047058823529404</v>
      </c>
      <c r="R14" s="533">
        <f>Q18</f>
        <v>0.91526164444430713</v>
      </c>
      <c r="S14" s="24">
        <v>0.25</v>
      </c>
      <c r="T14" s="24">
        <v>0.30902777777777779</v>
      </c>
      <c r="U14" s="93"/>
      <c r="V14" s="102">
        <f>(T14-S14)*24*60</f>
        <v>85.000000000000014</v>
      </c>
      <c r="W14" s="15"/>
      <c r="X14" s="15"/>
      <c r="Y14" s="528"/>
      <c r="Z14" s="528"/>
      <c r="AA14" s="11">
        <f t="shared" si="2"/>
        <v>-119.29411764705901</v>
      </c>
      <c r="AB14" s="95">
        <f t="shared" si="19"/>
        <v>0.92047058823529404</v>
      </c>
      <c r="AC14" s="533">
        <f>AB18</f>
        <v>0.91526164444430702</v>
      </c>
    </row>
    <row r="15" spans="1:29" ht="16.5" customHeight="1">
      <c r="A15" s="557" t="s">
        <v>6</v>
      </c>
      <c r="B15" s="103" t="s">
        <v>15</v>
      </c>
      <c r="C15" s="552" t="s">
        <v>49</v>
      </c>
      <c r="D15" s="552"/>
      <c r="E15" s="26">
        <v>39.29</v>
      </c>
      <c r="F15" s="103">
        <v>3554</v>
      </c>
      <c r="G15" s="93">
        <f t="shared" si="21"/>
        <v>139636.66</v>
      </c>
      <c r="H15" s="76" t="s">
        <v>52</v>
      </c>
      <c r="I15" s="101">
        <v>16</v>
      </c>
      <c r="J15" s="18">
        <v>1500</v>
      </c>
      <c r="K15" s="9">
        <f>J15/I15</f>
        <v>93.75</v>
      </c>
      <c r="L15" s="101">
        <v>16</v>
      </c>
      <c r="M15" s="10">
        <f>F15/V15*60</f>
        <v>1366.9230769230769</v>
      </c>
      <c r="N15" s="9">
        <f t="shared" si="22"/>
        <v>85.432692307692307</v>
      </c>
      <c r="O15" s="11">
        <f>L15-I15</f>
        <v>0</v>
      </c>
      <c r="P15" s="12">
        <f>N15-K15</f>
        <v>-8.3173076923076934</v>
      </c>
      <c r="Q15" s="95">
        <f>N15/K15</f>
        <v>0.91128205128205131</v>
      </c>
      <c r="R15" s="533"/>
      <c r="S15" s="24">
        <v>0.31666666666666665</v>
      </c>
      <c r="T15" s="24">
        <v>0.42499999999999999</v>
      </c>
      <c r="U15" s="93">
        <f>(S15-T14)*24*60</f>
        <v>10.999999999999961</v>
      </c>
      <c r="V15" s="102">
        <f>(T15-S15)*24*60</f>
        <v>156</v>
      </c>
      <c r="W15" s="14"/>
      <c r="X15" s="14"/>
      <c r="Y15" s="528"/>
      <c r="Z15" s="528"/>
      <c r="AA15" s="11">
        <f t="shared" si="2"/>
        <v>-133.07692307692309</v>
      </c>
      <c r="AB15" s="95">
        <f t="shared" si="19"/>
        <v>0.91128205128205131</v>
      </c>
      <c r="AC15" s="533"/>
    </row>
    <row r="16" spans="1:29" ht="16.5" customHeight="1">
      <c r="A16" s="557" t="s">
        <v>6</v>
      </c>
      <c r="B16" s="103" t="s">
        <v>13</v>
      </c>
      <c r="C16" s="552" t="s">
        <v>57</v>
      </c>
      <c r="D16" s="552"/>
      <c r="E16" s="26">
        <v>50.98</v>
      </c>
      <c r="F16" s="103">
        <v>2890</v>
      </c>
      <c r="G16" s="93">
        <f t="shared" si="21"/>
        <v>147332.19999999998</v>
      </c>
      <c r="H16" s="76" t="s">
        <v>52</v>
      </c>
      <c r="I16" s="101">
        <v>17</v>
      </c>
      <c r="J16" s="18">
        <v>2000</v>
      </c>
      <c r="K16" s="9">
        <f t="shared" ref="K16:K17" si="25">J16/I16</f>
        <v>117.64705882352941</v>
      </c>
      <c r="L16" s="101">
        <v>17</v>
      </c>
      <c r="M16" s="10">
        <f t="shared" ref="M16:M17" si="26">F16/V16*60</f>
        <v>1825.2631578947371</v>
      </c>
      <c r="N16" s="9">
        <f t="shared" si="22"/>
        <v>107.36842105263159</v>
      </c>
      <c r="O16" s="11">
        <f t="shared" ref="O16:O17" si="27">L16-I16</f>
        <v>0</v>
      </c>
      <c r="P16" s="12">
        <f t="shared" ref="P16:P17" si="28">N16-K16</f>
        <v>-10.278637770897816</v>
      </c>
      <c r="Q16" s="95">
        <f t="shared" ref="Q16:Q26" si="29">N16/K16</f>
        <v>0.91263157894736857</v>
      </c>
      <c r="R16" s="533"/>
      <c r="S16" s="24">
        <v>0.70833333333333337</v>
      </c>
      <c r="T16" s="24">
        <v>0.77430555555555558</v>
      </c>
      <c r="U16" s="93"/>
      <c r="V16" s="102">
        <f t="shared" ref="V16:V17" si="30">(T16-S16)*24*60</f>
        <v>94.999999999999986</v>
      </c>
      <c r="W16" s="14"/>
      <c r="X16" s="14"/>
      <c r="Y16" s="528"/>
      <c r="Z16" s="528"/>
      <c r="AA16" s="11">
        <f t="shared" si="2"/>
        <v>-174.73684210526289</v>
      </c>
      <c r="AB16" s="95">
        <f t="shared" si="19"/>
        <v>0.91263157894736857</v>
      </c>
      <c r="AC16" s="533"/>
    </row>
    <row r="17" spans="1:29" ht="16.5" customHeight="1">
      <c r="A17" s="557" t="s">
        <v>6</v>
      </c>
      <c r="B17" s="103" t="s">
        <v>13</v>
      </c>
      <c r="C17" s="552" t="s">
        <v>54</v>
      </c>
      <c r="D17" s="552"/>
      <c r="E17" s="26">
        <v>50.92</v>
      </c>
      <c r="F17" s="103">
        <v>3026</v>
      </c>
      <c r="G17" s="93">
        <f t="shared" si="21"/>
        <v>154083.92000000001</v>
      </c>
      <c r="H17" s="76" t="s">
        <v>52</v>
      </c>
      <c r="I17" s="101">
        <v>16</v>
      </c>
      <c r="J17" s="18">
        <v>2000</v>
      </c>
      <c r="K17" s="9">
        <f t="shared" si="25"/>
        <v>125</v>
      </c>
      <c r="L17" s="101">
        <v>16</v>
      </c>
      <c r="M17" s="10">
        <f t="shared" si="26"/>
        <v>1833.9393939393944</v>
      </c>
      <c r="N17" s="9">
        <f t="shared" si="22"/>
        <v>114.62121212121215</v>
      </c>
      <c r="O17" s="11">
        <f t="shared" si="27"/>
        <v>0</v>
      </c>
      <c r="P17" s="12">
        <f t="shared" si="28"/>
        <v>-10.378787878787847</v>
      </c>
      <c r="Q17" s="95">
        <f t="shared" si="29"/>
        <v>0.91696969696969721</v>
      </c>
      <c r="R17" s="533"/>
      <c r="S17" s="24">
        <v>0.77986111111111112</v>
      </c>
      <c r="T17" s="24">
        <v>0.84861111111111109</v>
      </c>
      <c r="U17" s="93">
        <f t="shared" ref="U17" si="31">(S17-T16)*24*60</f>
        <v>7.9999999999999716</v>
      </c>
      <c r="V17" s="102">
        <f t="shared" si="30"/>
        <v>98.999999999999972</v>
      </c>
      <c r="W17" s="14"/>
      <c r="X17" s="14"/>
      <c r="Y17" s="528"/>
      <c r="Z17" s="528"/>
      <c r="AA17" s="11">
        <f t="shared" si="2"/>
        <v>-166.06060606060555</v>
      </c>
      <c r="AB17" s="95">
        <f t="shared" si="19"/>
        <v>0.91696969696969721</v>
      </c>
      <c r="AC17" s="533"/>
    </row>
    <row r="18" spans="1:29" ht="16.5" customHeight="1">
      <c r="A18" s="557" t="s">
        <v>6</v>
      </c>
      <c r="B18" s="26" t="s">
        <v>82</v>
      </c>
      <c r="C18" s="530"/>
      <c r="D18" s="530"/>
      <c r="E18" s="94"/>
      <c r="F18" s="16"/>
      <c r="G18" s="9"/>
      <c r="H18" s="103"/>
      <c r="I18" s="17">
        <f>AVERAGE(I14:I17)</f>
        <v>18.75</v>
      </c>
      <c r="J18" s="18">
        <v>1750</v>
      </c>
      <c r="K18" s="9">
        <f>J18/I18</f>
        <v>93.333333333333329</v>
      </c>
      <c r="L18" s="17">
        <f>AVERAGE(L14:L17)</f>
        <v>18.75</v>
      </c>
      <c r="M18" s="10">
        <f>AVERAGE(M14:M17)</f>
        <v>1601.7078777775373</v>
      </c>
      <c r="N18" s="9">
        <f t="shared" si="22"/>
        <v>85.424420148135326</v>
      </c>
      <c r="O18" s="11">
        <f>L18-I18</f>
        <v>0</v>
      </c>
      <c r="P18" s="12">
        <f>N18-K18</f>
        <v>-7.9089131851980028</v>
      </c>
      <c r="Q18" s="95">
        <f t="shared" si="29"/>
        <v>0.91526164444430713</v>
      </c>
      <c r="R18" s="533"/>
      <c r="S18" s="24"/>
      <c r="T18" s="24"/>
      <c r="U18" s="93"/>
      <c r="V18" s="102"/>
      <c r="W18" s="9"/>
      <c r="X18" s="9"/>
      <c r="Y18" s="528"/>
      <c r="Z18" s="528"/>
      <c r="AA18" s="11">
        <f t="shared" si="2"/>
        <v>-148.29212222246269</v>
      </c>
      <c r="AB18" s="95">
        <f t="shared" si="19"/>
        <v>0.91526164444430702</v>
      </c>
      <c r="AC18" s="533"/>
    </row>
    <row r="19" spans="1:29" ht="15.75" customHeight="1">
      <c r="A19" s="554" t="s">
        <v>87</v>
      </c>
      <c r="B19" s="26" t="s">
        <v>21</v>
      </c>
      <c r="C19" s="552" t="s">
        <v>22</v>
      </c>
      <c r="D19" s="552"/>
      <c r="E19" s="26">
        <v>43.14</v>
      </c>
      <c r="F19" s="103">
        <v>1315</v>
      </c>
      <c r="G19" s="93">
        <f t="shared" ref="G19:G26" si="32">E19*F19</f>
        <v>56729.1</v>
      </c>
      <c r="H19" s="76" t="s">
        <v>52</v>
      </c>
      <c r="I19" s="101">
        <v>17</v>
      </c>
      <c r="J19" s="18">
        <v>2000</v>
      </c>
      <c r="K19" s="9">
        <f t="shared" ref="K19:K27" si="33">J19/I19</f>
        <v>117.64705882352941</v>
      </c>
      <c r="L19" s="101">
        <v>17</v>
      </c>
      <c r="M19" s="10">
        <f t="shared" ref="M19:M26" si="34">F19/V19*60</f>
        <v>1834.8837209302324</v>
      </c>
      <c r="N19" s="9">
        <f t="shared" si="22"/>
        <v>107.93433652530778</v>
      </c>
      <c r="O19" s="11">
        <f t="shared" ref="O19:O26" si="35">L19-I19</f>
        <v>0</v>
      </c>
      <c r="P19" s="12">
        <f t="shared" ref="P19:P26" si="36">N19-K19</f>
        <v>-9.712722298221621</v>
      </c>
      <c r="Q19" s="95">
        <f t="shared" si="29"/>
        <v>0.91744186046511622</v>
      </c>
      <c r="R19" s="533">
        <f>Q27</f>
        <v>0.92457586346963738</v>
      </c>
      <c r="S19" s="24">
        <v>0.16666666666666666</v>
      </c>
      <c r="T19" s="24">
        <v>0.19652777777777777</v>
      </c>
      <c r="U19" s="93"/>
      <c r="V19" s="102">
        <f>(T19-S19)*24*60</f>
        <v>43.000000000000007</v>
      </c>
      <c r="W19" s="15">
        <f>T19</f>
        <v>0.19652777777777777</v>
      </c>
      <c r="X19" s="15">
        <f>S20</f>
        <v>0.21597222222222223</v>
      </c>
      <c r="Y19" s="528"/>
      <c r="Z19" s="528"/>
      <c r="AA19" s="11">
        <f t="shared" si="2"/>
        <v>-165.11627906976764</v>
      </c>
      <c r="AB19" s="95">
        <f t="shared" si="19"/>
        <v>0.91744186046511622</v>
      </c>
      <c r="AC19" s="533">
        <f>AB27</f>
        <v>0.92457586346963738</v>
      </c>
    </row>
    <row r="20" spans="1:29" ht="15.75" customHeight="1">
      <c r="A20" s="555" t="s">
        <v>7</v>
      </c>
      <c r="B20" s="26" t="s">
        <v>13</v>
      </c>
      <c r="C20" s="552" t="s">
        <v>23</v>
      </c>
      <c r="D20" s="552"/>
      <c r="E20" s="26">
        <v>57.73</v>
      </c>
      <c r="F20" s="103">
        <v>3013</v>
      </c>
      <c r="G20" s="93">
        <f t="shared" si="32"/>
        <v>173940.49</v>
      </c>
      <c r="H20" s="76" t="s">
        <v>52</v>
      </c>
      <c r="I20" s="101">
        <v>16</v>
      </c>
      <c r="J20" s="18">
        <v>2000</v>
      </c>
      <c r="K20" s="9">
        <f t="shared" si="33"/>
        <v>125</v>
      </c>
      <c r="L20" s="101">
        <v>16</v>
      </c>
      <c r="M20" s="10">
        <f t="shared" si="34"/>
        <v>1826.0606060606067</v>
      </c>
      <c r="N20" s="9">
        <f t="shared" si="22"/>
        <v>114.12878787878792</v>
      </c>
      <c r="O20" s="11">
        <f t="shared" si="35"/>
        <v>0</v>
      </c>
      <c r="P20" s="12">
        <f t="shared" si="36"/>
        <v>-10.871212121212082</v>
      </c>
      <c r="Q20" s="95">
        <f t="shared" si="29"/>
        <v>0.9130303030303033</v>
      </c>
      <c r="R20" s="533"/>
      <c r="S20" s="24">
        <v>0.21597222222222223</v>
      </c>
      <c r="T20" s="24">
        <v>0.28472222222222221</v>
      </c>
      <c r="U20" s="93">
        <f>(S20-T19)*24*60</f>
        <v>28.000000000000021</v>
      </c>
      <c r="V20" s="102">
        <f t="shared" ref="V20:V26" si="37">(T20-S20)*24*60</f>
        <v>98.999999999999972</v>
      </c>
      <c r="W20" s="14"/>
      <c r="X20" s="93"/>
      <c r="Y20" s="528"/>
      <c r="Z20" s="528"/>
      <c r="AA20" s="11">
        <f t="shared" si="2"/>
        <v>-173.93939393939331</v>
      </c>
      <c r="AB20" s="95">
        <f t="shared" si="19"/>
        <v>0.9130303030303033</v>
      </c>
      <c r="AC20" s="533"/>
    </row>
    <row r="21" spans="1:29" ht="15.75" customHeight="1">
      <c r="A21" s="555" t="s">
        <v>7</v>
      </c>
      <c r="B21" s="26" t="s">
        <v>13</v>
      </c>
      <c r="C21" s="552" t="s">
        <v>14</v>
      </c>
      <c r="D21" s="552"/>
      <c r="E21" s="26">
        <v>53.68</v>
      </c>
      <c r="F21" s="103">
        <v>2008</v>
      </c>
      <c r="G21" s="93">
        <f t="shared" si="32"/>
        <v>107789.44</v>
      </c>
      <c r="H21" s="76" t="s">
        <v>52</v>
      </c>
      <c r="I21" s="101">
        <v>17</v>
      </c>
      <c r="J21" s="18">
        <v>2000</v>
      </c>
      <c r="K21" s="9">
        <f t="shared" si="33"/>
        <v>117.64705882352941</v>
      </c>
      <c r="L21" s="101">
        <v>17</v>
      </c>
      <c r="M21" s="10">
        <f t="shared" si="34"/>
        <v>1825.4545454545455</v>
      </c>
      <c r="N21" s="9">
        <f t="shared" si="22"/>
        <v>107.37967914438502</v>
      </c>
      <c r="O21" s="11">
        <f t="shared" si="35"/>
        <v>0</v>
      </c>
      <c r="P21" s="12">
        <f t="shared" si="36"/>
        <v>-10.267379679144383</v>
      </c>
      <c r="Q21" s="95">
        <f t="shared" si="29"/>
        <v>0.91272727272727272</v>
      </c>
      <c r="R21" s="533"/>
      <c r="S21" s="24">
        <v>0.2895833333333333</v>
      </c>
      <c r="T21" s="24">
        <v>0.33541666666666664</v>
      </c>
      <c r="U21" s="93">
        <f t="shared" ref="U21:U26" si="38">(S21-T20)*24*60</f>
        <v>6.9999999999999751</v>
      </c>
      <c r="V21" s="102">
        <f t="shared" si="37"/>
        <v>66</v>
      </c>
      <c r="W21" s="14"/>
      <c r="X21" s="93"/>
      <c r="Y21" s="528"/>
      <c r="Z21" s="528"/>
      <c r="AA21" s="11">
        <f t="shared" si="2"/>
        <v>-174.5454545454545</v>
      </c>
      <c r="AB21" s="95">
        <f t="shared" si="19"/>
        <v>0.91272727272727272</v>
      </c>
      <c r="AC21" s="533"/>
    </row>
    <row r="22" spans="1:29" ht="15.75" customHeight="1">
      <c r="A22" s="555" t="s">
        <v>7</v>
      </c>
      <c r="B22" s="26" t="s">
        <v>13</v>
      </c>
      <c r="C22" s="552" t="s">
        <v>63</v>
      </c>
      <c r="D22" s="552"/>
      <c r="E22" s="26">
        <v>50.67</v>
      </c>
      <c r="F22" s="103">
        <v>1152</v>
      </c>
      <c r="G22" s="93">
        <f t="shared" si="32"/>
        <v>58371.840000000004</v>
      </c>
      <c r="H22" s="76" t="s">
        <v>52</v>
      </c>
      <c r="I22" s="101">
        <v>16</v>
      </c>
      <c r="J22" s="18">
        <v>2000</v>
      </c>
      <c r="K22" s="9">
        <f t="shared" si="33"/>
        <v>125</v>
      </c>
      <c r="L22" s="101">
        <v>16</v>
      </c>
      <c r="M22" s="10">
        <f t="shared" si="34"/>
        <v>1868.1081081081068</v>
      </c>
      <c r="N22" s="9">
        <f t="shared" si="22"/>
        <v>116.75675675675667</v>
      </c>
      <c r="O22" s="11">
        <f t="shared" si="35"/>
        <v>0</v>
      </c>
      <c r="P22" s="12">
        <f t="shared" si="36"/>
        <v>-8.2432432432433274</v>
      </c>
      <c r="Q22" s="95">
        <f t="shared" si="29"/>
        <v>0.9340540540540534</v>
      </c>
      <c r="R22" s="533"/>
      <c r="S22" s="24">
        <v>0.33888888888888885</v>
      </c>
      <c r="T22" s="24">
        <v>0.36458333333333331</v>
      </c>
      <c r="U22" s="93">
        <f t="shared" si="38"/>
        <v>4.9999999999999822</v>
      </c>
      <c r="V22" s="102">
        <f t="shared" si="37"/>
        <v>37.000000000000028</v>
      </c>
      <c r="W22" s="14"/>
      <c r="X22" s="93"/>
      <c r="Y22" s="528"/>
      <c r="Z22" s="528"/>
      <c r="AA22" s="11">
        <f t="shared" si="2"/>
        <v>-131.89189189189324</v>
      </c>
      <c r="AB22" s="95">
        <f t="shared" si="19"/>
        <v>0.9340540540540534</v>
      </c>
      <c r="AC22" s="533"/>
    </row>
    <row r="23" spans="1:29" ht="15.75" customHeight="1">
      <c r="A23" s="555" t="s">
        <v>7</v>
      </c>
      <c r="B23" s="26" t="s">
        <v>13</v>
      </c>
      <c r="C23" s="552" t="s">
        <v>81</v>
      </c>
      <c r="D23" s="552"/>
      <c r="E23" s="26">
        <v>58.17</v>
      </c>
      <c r="F23" s="103">
        <v>3155</v>
      </c>
      <c r="G23" s="93">
        <f t="shared" si="32"/>
        <v>183526.35</v>
      </c>
      <c r="H23" s="76" t="s">
        <v>52</v>
      </c>
      <c r="I23" s="101">
        <v>18</v>
      </c>
      <c r="J23" s="18">
        <v>2000</v>
      </c>
      <c r="K23" s="9">
        <f t="shared" si="33"/>
        <v>111.11111111111111</v>
      </c>
      <c r="L23" s="101">
        <v>18</v>
      </c>
      <c r="M23" s="10">
        <f t="shared" si="34"/>
        <v>1820.1923076923072</v>
      </c>
      <c r="N23" s="9">
        <f t="shared" si="22"/>
        <v>101.12179487179485</v>
      </c>
      <c r="O23" s="11">
        <f t="shared" si="35"/>
        <v>0</v>
      </c>
      <c r="P23" s="12">
        <f t="shared" si="36"/>
        <v>-9.9893162393162669</v>
      </c>
      <c r="Q23" s="95">
        <f t="shared" si="29"/>
        <v>0.91009615384615361</v>
      </c>
      <c r="R23" s="533"/>
      <c r="S23" s="24">
        <v>0.36874999999999997</v>
      </c>
      <c r="T23" s="24">
        <v>0.44097222222222221</v>
      </c>
      <c r="U23" s="93">
        <f t="shared" si="38"/>
        <v>5.9999999999999787</v>
      </c>
      <c r="V23" s="102">
        <f t="shared" si="37"/>
        <v>104.00000000000003</v>
      </c>
      <c r="W23" s="14"/>
      <c r="X23" s="93"/>
      <c r="Y23" s="528"/>
      <c r="Z23" s="528"/>
      <c r="AA23" s="11">
        <f t="shared" si="2"/>
        <v>-179.80769230769283</v>
      </c>
      <c r="AB23" s="95">
        <f t="shared" si="19"/>
        <v>0.91009615384615361</v>
      </c>
      <c r="AC23" s="533"/>
    </row>
    <row r="24" spans="1:29" ht="15.75" customHeight="1">
      <c r="A24" s="555" t="s">
        <v>7</v>
      </c>
      <c r="B24" s="26" t="s">
        <v>13</v>
      </c>
      <c r="C24" s="552" t="s">
        <v>85</v>
      </c>
      <c r="D24" s="552"/>
      <c r="E24" s="26">
        <v>54.09</v>
      </c>
      <c r="F24" s="103">
        <v>4145</v>
      </c>
      <c r="G24" s="93">
        <f t="shared" si="32"/>
        <v>224203.05000000002</v>
      </c>
      <c r="H24" s="76" t="s">
        <v>52</v>
      </c>
      <c r="I24" s="101">
        <v>20</v>
      </c>
      <c r="J24" s="18">
        <v>2000</v>
      </c>
      <c r="K24" s="9">
        <f t="shared" si="33"/>
        <v>100</v>
      </c>
      <c r="L24" s="101">
        <v>20</v>
      </c>
      <c r="M24" s="10">
        <f t="shared" si="34"/>
        <v>1828.6764705882351</v>
      </c>
      <c r="N24" s="9">
        <f t="shared" si="22"/>
        <v>91.433823529411754</v>
      </c>
      <c r="O24" s="11">
        <f t="shared" si="35"/>
        <v>0</v>
      </c>
      <c r="P24" s="12">
        <f t="shared" si="36"/>
        <v>-8.5661764705882462</v>
      </c>
      <c r="Q24" s="95">
        <f t="shared" si="29"/>
        <v>0.91433823529411751</v>
      </c>
      <c r="R24" s="533"/>
      <c r="S24" s="24">
        <v>0.70833333333333337</v>
      </c>
      <c r="T24" s="24">
        <v>0.80277777777777781</v>
      </c>
      <c r="U24" s="93"/>
      <c r="V24" s="102">
        <f t="shared" si="37"/>
        <v>136</v>
      </c>
      <c r="W24" s="14"/>
      <c r="X24" s="15"/>
      <c r="Y24" s="528"/>
      <c r="Z24" s="528"/>
      <c r="AA24" s="11">
        <f t="shared" si="2"/>
        <v>-171.32352941176487</v>
      </c>
      <c r="AB24" s="95">
        <f t="shared" si="19"/>
        <v>0.91433823529411762</v>
      </c>
      <c r="AC24" s="533"/>
    </row>
    <row r="25" spans="1:29" ht="15.75" customHeight="1">
      <c r="A25" s="555" t="s">
        <v>7</v>
      </c>
      <c r="B25" s="26" t="s">
        <v>13</v>
      </c>
      <c r="C25" s="552" t="s">
        <v>56</v>
      </c>
      <c r="D25" s="552"/>
      <c r="E25" s="26">
        <v>53.27</v>
      </c>
      <c r="F25" s="103">
        <v>606</v>
      </c>
      <c r="G25" s="93">
        <f t="shared" si="32"/>
        <v>32281.620000000003</v>
      </c>
      <c r="H25" s="76" t="s">
        <v>52</v>
      </c>
      <c r="I25" s="101">
        <v>15</v>
      </c>
      <c r="J25" s="18">
        <v>2000</v>
      </c>
      <c r="K25" s="9">
        <f t="shared" si="33"/>
        <v>133.33333333333334</v>
      </c>
      <c r="L25" s="101">
        <v>15</v>
      </c>
      <c r="M25" s="10">
        <f t="shared" si="34"/>
        <v>1913.6842105263227</v>
      </c>
      <c r="N25" s="9">
        <f t="shared" si="22"/>
        <v>127.57894736842151</v>
      </c>
      <c r="O25" s="11">
        <f t="shared" si="35"/>
        <v>0</v>
      </c>
      <c r="P25" s="12">
        <f t="shared" si="36"/>
        <v>-5.7543859649118332</v>
      </c>
      <c r="Q25" s="95">
        <f t="shared" si="29"/>
        <v>0.95684210526316127</v>
      </c>
      <c r="R25" s="533"/>
      <c r="S25" s="24">
        <v>0.80694444444444446</v>
      </c>
      <c r="T25" s="24">
        <v>0.82013888888888886</v>
      </c>
      <c r="U25" s="93">
        <f t="shared" si="38"/>
        <v>5.9999999999999787</v>
      </c>
      <c r="V25" s="102">
        <f t="shared" si="37"/>
        <v>18.999999999999932</v>
      </c>
      <c r="W25" s="14"/>
      <c r="X25" s="15"/>
      <c r="Y25" s="536"/>
      <c r="Z25" s="537"/>
      <c r="AA25" s="11">
        <f t="shared" si="2"/>
        <v>-86.315789473677341</v>
      </c>
      <c r="AB25" s="95">
        <f t="shared" si="19"/>
        <v>0.95684210526316138</v>
      </c>
      <c r="AC25" s="533"/>
    </row>
    <row r="26" spans="1:29" ht="15.75" customHeight="1">
      <c r="A26" s="555" t="s">
        <v>7</v>
      </c>
      <c r="B26" s="26" t="s">
        <v>13</v>
      </c>
      <c r="C26" s="584" t="s">
        <v>83</v>
      </c>
      <c r="D26" s="585"/>
      <c r="E26" s="26">
        <v>49.91</v>
      </c>
      <c r="F26" s="103">
        <v>813</v>
      </c>
      <c r="G26" s="93">
        <f t="shared" si="32"/>
        <v>40576.829999999994</v>
      </c>
      <c r="H26" s="76" t="s">
        <v>52</v>
      </c>
      <c r="I26" s="101">
        <v>16</v>
      </c>
      <c r="J26" s="18">
        <v>2000</v>
      </c>
      <c r="K26" s="9">
        <f t="shared" si="33"/>
        <v>125</v>
      </c>
      <c r="L26" s="101">
        <v>16</v>
      </c>
      <c r="M26" s="10">
        <f t="shared" si="34"/>
        <v>1876.1538461538412</v>
      </c>
      <c r="N26" s="9">
        <f t="shared" si="22"/>
        <v>117.25961538461507</v>
      </c>
      <c r="O26" s="11">
        <f t="shared" si="35"/>
        <v>0</v>
      </c>
      <c r="P26" s="12">
        <f t="shared" si="36"/>
        <v>-7.7403846153849258</v>
      </c>
      <c r="Q26" s="95">
        <f t="shared" si="29"/>
        <v>0.93807692307692059</v>
      </c>
      <c r="R26" s="533"/>
      <c r="S26" s="24">
        <v>0.82430555555555551</v>
      </c>
      <c r="T26" s="24">
        <v>0.84236111111111112</v>
      </c>
      <c r="U26" s="93">
        <f t="shared" si="38"/>
        <v>5.9999999999999787</v>
      </c>
      <c r="V26" s="102">
        <f t="shared" si="37"/>
        <v>26.000000000000068</v>
      </c>
      <c r="W26" s="14"/>
      <c r="X26" s="14"/>
      <c r="Y26" s="536"/>
      <c r="Z26" s="537"/>
      <c r="AA26" s="11">
        <f t="shared" si="2"/>
        <v>-123.84615384615881</v>
      </c>
      <c r="AB26" s="95">
        <f t="shared" si="19"/>
        <v>0.93807692307692059</v>
      </c>
      <c r="AC26" s="533"/>
    </row>
    <row r="27" spans="1:29" ht="15.75" customHeight="1">
      <c r="A27" s="555" t="s">
        <v>7</v>
      </c>
      <c r="B27" s="26" t="s">
        <v>255</v>
      </c>
      <c r="C27" s="530"/>
      <c r="D27" s="530"/>
      <c r="E27" s="94"/>
      <c r="F27" s="103"/>
      <c r="G27" s="93"/>
      <c r="H27" s="103"/>
      <c r="I27" s="17">
        <v>16.875</v>
      </c>
      <c r="J27" s="18">
        <v>2000</v>
      </c>
      <c r="K27" s="9">
        <f t="shared" si="33"/>
        <v>118.51851851851852</v>
      </c>
      <c r="L27" s="17">
        <v>16.875</v>
      </c>
      <c r="M27" s="10">
        <f>AVERAGE(M19:M26)</f>
        <v>1849.1517269392748</v>
      </c>
      <c r="N27" s="9">
        <f>M27/L27</f>
        <v>109.57936159640147</v>
      </c>
      <c r="O27" s="11">
        <f>L27-I27</f>
        <v>0</v>
      </c>
      <c r="P27" s="12">
        <f>N27-K27</f>
        <v>-8.9391569221170499</v>
      </c>
      <c r="Q27" s="95">
        <f>N27/K27</f>
        <v>0.92457586346963738</v>
      </c>
      <c r="R27" s="533"/>
      <c r="S27" s="24"/>
      <c r="T27" s="24"/>
      <c r="U27" s="9"/>
      <c r="V27" s="102"/>
      <c r="W27" s="9"/>
      <c r="X27" s="9"/>
      <c r="Y27" s="528"/>
      <c r="Z27" s="528"/>
      <c r="AA27" s="11">
        <f t="shared" si="2"/>
        <v>-150.84827306072521</v>
      </c>
      <c r="AB27" s="95">
        <f t="shared" si="19"/>
        <v>0.92457586346963738</v>
      </c>
      <c r="AC27" s="533"/>
    </row>
    <row r="28" spans="1:29" ht="15.75" customHeight="1">
      <c r="A28" s="553" t="s">
        <v>167</v>
      </c>
      <c r="B28" s="26" t="s">
        <v>24</v>
      </c>
      <c r="C28" s="552" t="s">
        <v>26</v>
      </c>
      <c r="D28" s="552"/>
      <c r="E28" s="26">
        <v>26.2</v>
      </c>
      <c r="F28" s="103">
        <v>4149</v>
      </c>
      <c r="G28" s="93">
        <f t="shared" ref="G28:G34" si="39">E28*F28</f>
        <v>108703.8</v>
      </c>
      <c r="H28" s="76" t="s">
        <v>52</v>
      </c>
      <c r="I28" s="101">
        <v>20</v>
      </c>
      <c r="J28" s="18">
        <v>2400</v>
      </c>
      <c r="K28" s="9">
        <f>J28/I28</f>
        <v>120</v>
      </c>
      <c r="L28" s="101">
        <v>20</v>
      </c>
      <c r="M28" s="10">
        <f t="shared" ref="M28:M34" si="40">F28/V28*60</f>
        <v>2203.0088495575219</v>
      </c>
      <c r="N28" s="9">
        <f t="shared" ref="N28:N34" si="41">M28/L28</f>
        <v>110.1504424778761</v>
      </c>
      <c r="O28" s="11">
        <f t="shared" ref="O28:O34" si="42">L28-I28</f>
        <v>0</v>
      </c>
      <c r="P28" s="12">
        <f t="shared" ref="P28:P34" si="43">N28-K28</f>
        <v>-9.8495575221239022</v>
      </c>
      <c r="Q28" s="95">
        <f t="shared" ref="Q28:Q34" si="44">N28/K28</f>
        <v>0.91792035398230076</v>
      </c>
      <c r="R28" s="533">
        <f>Q35</f>
        <v>0.91520320767930519</v>
      </c>
      <c r="S28" s="24">
        <v>0.125</v>
      </c>
      <c r="T28" s="24">
        <v>0.20347222222222222</v>
      </c>
      <c r="U28" s="93"/>
      <c r="V28" s="102">
        <f t="shared" ref="V28:V34" si="45">(T28-S28)*24*60</f>
        <v>113</v>
      </c>
      <c r="W28" s="14">
        <f>T28</f>
        <v>0.20347222222222222</v>
      </c>
      <c r="X28" s="14">
        <f>S29</f>
        <v>0.22430555555555556</v>
      </c>
      <c r="Y28" s="528"/>
      <c r="Z28" s="528"/>
      <c r="AA28" s="11">
        <f t="shared" si="2"/>
        <v>-196.9911504424781</v>
      </c>
      <c r="AB28" s="95">
        <f>M28/J28</f>
        <v>0.91792035398230076</v>
      </c>
      <c r="AC28" s="533">
        <f>AB35</f>
        <v>0.9152032076793053</v>
      </c>
    </row>
    <row r="29" spans="1:29" ht="15.75" customHeight="1">
      <c r="A29" s="553" t="s">
        <v>8</v>
      </c>
      <c r="B29" s="26" t="s">
        <v>24</v>
      </c>
      <c r="C29" s="552" t="s">
        <v>25</v>
      </c>
      <c r="D29" s="552"/>
      <c r="E29" s="26">
        <v>20.52</v>
      </c>
      <c r="F29" s="103">
        <v>4411</v>
      </c>
      <c r="G29" s="93">
        <f t="shared" si="39"/>
        <v>90513.72</v>
      </c>
      <c r="H29" s="76" t="s">
        <v>52</v>
      </c>
      <c r="I29" s="101">
        <v>18</v>
      </c>
      <c r="J29" s="18">
        <v>2400</v>
      </c>
      <c r="K29" s="9">
        <f t="shared" ref="K29:K35" si="46">J29/I29</f>
        <v>133.33333333333334</v>
      </c>
      <c r="L29" s="101">
        <v>18</v>
      </c>
      <c r="M29" s="10">
        <f t="shared" si="40"/>
        <v>2205.5</v>
      </c>
      <c r="N29" s="9">
        <f t="shared" si="41"/>
        <v>122.52777777777777</v>
      </c>
      <c r="O29" s="11">
        <f t="shared" si="42"/>
        <v>0</v>
      </c>
      <c r="P29" s="12">
        <f t="shared" si="43"/>
        <v>-10.805555555555571</v>
      </c>
      <c r="Q29" s="95">
        <f t="shared" si="44"/>
        <v>0.91895833333333321</v>
      </c>
      <c r="R29" s="533"/>
      <c r="S29" s="24">
        <v>0.22430555555555556</v>
      </c>
      <c r="T29" s="24">
        <v>0.30763888888888891</v>
      </c>
      <c r="U29" s="93">
        <f>(S29-T28)*24*60</f>
        <v>30.000000000000014</v>
      </c>
      <c r="V29" s="102">
        <f t="shared" si="45"/>
        <v>120</v>
      </c>
      <c r="W29" s="14"/>
      <c r="X29" s="14"/>
      <c r="Y29" s="528"/>
      <c r="Z29" s="528"/>
      <c r="AA29" s="11">
        <f t="shared" si="2"/>
        <v>-194.5</v>
      </c>
      <c r="AB29" s="95">
        <f t="shared" ref="AB29:AB34" si="47">M29/J29</f>
        <v>0.91895833333333332</v>
      </c>
      <c r="AC29" s="533"/>
    </row>
    <row r="30" spans="1:29" ht="15.75" customHeight="1">
      <c r="A30" s="553" t="s">
        <v>8</v>
      </c>
      <c r="B30" s="26" t="s">
        <v>24</v>
      </c>
      <c r="C30" s="552" t="s">
        <v>79</v>
      </c>
      <c r="D30" s="552"/>
      <c r="E30" s="26">
        <v>31.29</v>
      </c>
      <c r="F30" s="103">
        <v>3500</v>
      </c>
      <c r="G30" s="93">
        <f t="shared" si="39"/>
        <v>109515</v>
      </c>
      <c r="H30" s="76">
        <v>2</v>
      </c>
      <c r="I30" s="101">
        <v>16</v>
      </c>
      <c r="J30" s="18">
        <v>2400</v>
      </c>
      <c r="K30" s="9">
        <f t="shared" si="46"/>
        <v>150</v>
      </c>
      <c r="L30" s="101">
        <v>16</v>
      </c>
      <c r="M30" s="10">
        <f t="shared" si="40"/>
        <v>2187.5000000000005</v>
      </c>
      <c r="N30" s="9">
        <f t="shared" si="41"/>
        <v>136.71875000000003</v>
      </c>
      <c r="O30" s="11">
        <f t="shared" si="42"/>
        <v>0</v>
      </c>
      <c r="P30" s="12">
        <f t="shared" si="43"/>
        <v>-13.281249999999972</v>
      </c>
      <c r="Q30" s="95">
        <f t="shared" si="44"/>
        <v>0.91145833333333348</v>
      </c>
      <c r="R30" s="533"/>
      <c r="S30" s="24">
        <v>0.31319444444444444</v>
      </c>
      <c r="T30" s="24">
        <v>0.37986111111111109</v>
      </c>
      <c r="U30" s="93">
        <f t="shared" ref="U30:U34" si="48">(S30-T29)*24*60</f>
        <v>7.9999999999999716</v>
      </c>
      <c r="V30" s="102">
        <f t="shared" si="45"/>
        <v>95.999999999999972</v>
      </c>
      <c r="W30" s="14"/>
      <c r="X30" s="14"/>
      <c r="Y30" s="528"/>
      <c r="Z30" s="528"/>
      <c r="AA30" s="11">
        <f t="shared" si="2"/>
        <v>-212.49999999999955</v>
      </c>
      <c r="AB30" s="95">
        <f t="shared" si="47"/>
        <v>0.91145833333333348</v>
      </c>
      <c r="AC30" s="533"/>
    </row>
    <row r="31" spans="1:29" ht="15.75" customHeight="1">
      <c r="A31" s="553" t="s">
        <v>8</v>
      </c>
      <c r="B31" s="26" t="s">
        <v>24</v>
      </c>
      <c r="C31" s="552" t="s">
        <v>68</v>
      </c>
      <c r="D31" s="552"/>
      <c r="E31" s="26">
        <v>24.25</v>
      </c>
      <c r="F31" s="103">
        <v>3000</v>
      </c>
      <c r="G31" s="93">
        <f t="shared" si="39"/>
        <v>72750</v>
      </c>
      <c r="H31" s="76">
        <v>2</v>
      </c>
      <c r="I31" s="101">
        <v>18</v>
      </c>
      <c r="J31" s="18">
        <v>2400</v>
      </c>
      <c r="K31" s="9">
        <f t="shared" si="46"/>
        <v>133.33333333333334</v>
      </c>
      <c r="L31" s="101">
        <v>18</v>
      </c>
      <c r="M31" s="10">
        <f t="shared" si="40"/>
        <v>2195.1219512195112</v>
      </c>
      <c r="N31" s="9">
        <f t="shared" si="41"/>
        <v>121.95121951219507</v>
      </c>
      <c r="O31" s="11">
        <f t="shared" si="42"/>
        <v>0</v>
      </c>
      <c r="P31" s="12">
        <f t="shared" si="43"/>
        <v>-11.382113821138276</v>
      </c>
      <c r="Q31" s="95">
        <f t="shared" si="44"/>
        <v>0.91463414634146289</v>
      </c>
      <c r="R31" s="533"/>
      <c r="S31" s="24">
        <v>0.38472222222222219</v>
      </c>
      <c r="T31" s="24">
        <v>0.44166666666666665</v>
      </c>
      <c r="U31" s="93">
        <f t="shared" si="48"/>
        <v>6.9999999999999751</v>
      </c>
      <c r="V31" s="102">
        <f t="shared" si="45"/>
        <v>82.000000000000028</v>
      </c>
      <c r="W31" s="14"/>
      <c r="X31" s="14"/>
      <c r="Y31" s="528"/>
      <c r="Z31" s="528"/>
      <c r="AA31" s="11">
        <f t="shared" si="2"/>
        <v>-204.87804878048883</v>
      </c>
      <c r="AB31" s="95">
        <f t="shared" si="47"/>
        <v>0.91463414634146301</v>
      </c>
      <c r="AC31" s="533"/>
    </row>
    <row r="32" spans="1:29" ht="15.75" customHeight="1">
      <c r="A32" s="553" t="s">
        <v>8</v>
      </c>
      <c r="B32" s="26" t="s">
        <v>24</v>
      </c>
      <c r="C32" s="552" t="s">
        <v>62</v>
      </c>
      <c r="D32" s="552"/>
      <c r="E32" s="26">
        <v>22.35</v>
      </c>
      <c r="F32" s="103">
        <v>2338</v>
      </c>
      <c r="G32" s="93">
        <f t="shared" si="39"/>
        <v>52254.3</v>
      </c>
      <c r="H32" s="76" t="s">
        <v>52</v>
      </c>
      <c r="I32" s="101">
        <v>16</v>
      </c>
      <c r="J32" s="18">
        <v>2400</v>
      </c>
      <c r="K32" s="9">
        <f t="shared" si="46"/>
        <v>150</v>
      </c>
      <c r="L32" s="101">
        <v>16</v>
      </c>
      <c r="M32" s="10">
        <f t="shared" si="40"/>
        <v>2191.8749999999995</v>
      </c>
      <c r="N32" s="9">
        <f t="shared" si="41"/>
        <v>136.99218749999997</v>
      </c>
      <c r="O32" s="11">
        <f t="shared" si="42"/>
        <v>0</v>
      </c>
      <c r="P32" s="12">
        <f t="shared" si="43"/>
        <v>-13.007812500000028</v>
      </c>
      <c r="Q32" s="95">
        <f t="shared" si="44"/>
        <v>0.91328124999999982</v>
      </c>
      <c r="R32" s="533"/>
      <c r="S32" s="24">
        <v>0.44513888888888886</v>
      </c>
      <c r="T32" s="24">
        <v>0.48958333333333331</v>
      </c>
      <c r="U32" s="93">
        <f t="shared" si="48"/>
        <v>4.9999999999999822</v>
      </c>
      <c r="V32" s="102">
        <f t="shared" si="45"/>
        <v>64.000000000000014</v>
      </c>
      <c r="W32" s="14">
        <f>T32</f>
        <v>0.48958333333333331</v>
      </c>
      <c r="X32" s="14">
        <f>S33</f>
        <v>0.52916666666666667</v>
      </c>
      <c r="Y32" s="528"/>
      <c r="Z32" s="528"/>
      <c r="AA32" s="11">
        <f t="shared" si="2"/>
        <v>-208.12500000000045</v>
      </c>
      <c r="AB32" s="95">
        <f t="shared" si="47"/>
        <v>0.91328124999999982</v>
      </c>
      <c r="AC32" s="533"/>
    </row>
    <row r="33" spans="1:29" ht="15.75" customHeight="1">
      <c r="A33" s="553" t="s">
        <v>8</v>
      </c>
      <c r="B33" s="26" t="s">
        <v>24</v>
      </c>
      <c r="C33" s="552" t="s">
        <v>79</v>
      </c>
      <c r="D33" s="552"/>
      <c r="E33" s="26">
        <v>31.29</v>
      </c>
      <c r="F33" s="103">
        <v>4990</v>
      </c>
      <c r="G33" s="93">
        <f t="shared" si="39"/>
        <v>156137.1</v>
      </c>
      <c r="H33" s="76" t="s">
        <v>52</v>
      </c>
      <c r="I33" s="101">
        <v>16</v>
      </c>
      <c r="J33" s="18">
        <v>2400</v>
      </c>
      <c r="K33" s="9">
        <f t="shared" si="46"/>
        <v>150</v>
      </c>
      <c r="L33" s="101">
        <v>16</v>
      </c>
      <c r="M33" s="10">
        <f t="shared" si="40"/>
        <v>2201.4705882352937</v>
      </c>
      <c r="N33" s="9">
        <f t="shared" si="41"/>
        <v>137.59191176470586</v>
      </c>
      <c r="O33" s="11">
        <f t="shared" si="42"/>
        <v>0</v>
      </c>
      <c r="P33" s="12">
        <f t="shared" si="43"/>
        <v>-12.408088235294144</v>
      </c>
      <c r="Q33" s="95">
        <f t="shared" si="44"/>
        <v>0.91727941176470573</v>
      </c>
      <c r="R33" s="533"/>
      <c r="S33" s="24">
        <v>0.52916666666666667</v>
      </c>
      <c r="T33" s="24">
        <v>0.62361111111111112</v>
      </c>
      <c r="U33" s="93">
        <f t="shared" si="48"/>
        <v>57.000000000000036</v>
      </c>
      <c r="V33" s="102">
        <f t="shared" si="45"/>
        <v>136</v>
      </c>
      <c r="W33" s="14"/>
      <c r="X33" s="14"/>
      <c r="Y33" s="528"/>
      <c r="Z33" s="528"/>
      <c r="AA33" s="11">
        <f t="shared" si="2"/>
        <v>-198.52941176470631</v>
      </c>
      <c r="AB33" s="95">
        <f t="shared" si="47"/>
        <v>0.91727941176470573</v>
      </c>
      <c r="AC33" s="533"/>
    </row>
    <row r="34" spans="1:29" ht="15.75" customHeight="1">
      <c r="A34" s="553" t="s">
        <v>8</v>
      </c>
      <c r="B34" s="26" t="s">
        <v>24</v>
      </c>
      <c r="C34" s="552" t="s">
        <v>68</v>
      </c>
      <c r="D34" s="552"/>
      <c r="E34" s="26">
        <v>24.25</v>
      </c>
      <c r="F34" s="103">
        <v>2337</v>
      </c>
      <c r="G34" s="93">
        <f t="shared" si="39"/>
        <v>56672.25</v>
      </c>
      <c r="H34" s="76" t="s">
        <v>52</v>
      </c>
      <c r="I34" s="101">
        <v>18</v>
      </c>
      <c r="J34" s="18">
        <v>2400</v>
      </c>
      <c r="K34" s="9">
        <f t="shared" si="46"/>
        <v>133.33333333333334</v>
      </c>
      <c r="L34" s="101">
        <v>18</v>
      </c>
      <c r="M34" s="10">
        <f t="shared" si="40"/>
        <v>2190.9375000000027</v>
      </c>
      <c r="N34" s="9">
        <f t="shared" si="41"/>
        <v>121.71875000000016</v>
      </c>
      <c r="O34" s="11">
        <f t="shared" si="42"/>
        <v>0</v>
      </c>
      <c r="P34" s="12">
        <f t="shared" si="43"/>
        <v>-11.614583333333186</v>
      </c>
      <c r="Q34" s="95">
        <f t="shared" si="44"/>
        <v>0.91289062500000107</v>
      </c>
      <c r="R34" s="533"/>
      <c r="S34" s="24">
        <v>0.62777777777777777</v>
      </c>
      <c r="T34" s="24">
        <v>0.67222222222222217</v>
      </c>
      <c r="U34" s="93">
        <f t="shared" si="48"/>
        <v>5.9999999999999787</v>
      </c>
      <c r="V34" s="102">
        <f t="shared" si="45"/>
        <v>63.999999999999929</v>
      </c>
      <c r="W34" s="14"/>
      <c r="X34" s="14"/>
      <c r="Y34" s="528"/>
      <c r="Z34" s="528"/>
      <c r="AA34" s="11">
        <f t="shared" si="2"/>
        <v>-209.06249999999727</v>
      </c>
      <c r="AB34" s="95">
        <f t="shared" si="47"/>
        <v>0.91289062500000118</v>
      </c>
      <c r="AC34" s="533"/>
    </row>
    <row r="35" spans="1:29" ht="15.75" customHeight="1">
      <c r="A35" s="553" t="s">
        <v>8</v>
      </c>
      <c r="B35" s="26" t="s">
        <v>255</v>
      </c>
      <c r="C35" s="530"/>
      <c r="D35" s="530"/>
      <c r="E35" s="94"/>
      <c r="F35" s="103"/>
      <c r="G35" s="93"/>
      <c r="H35" s="103"/>
      <c r="I35" s="17">
        <v>17.428571428571427</v>
      </c>
      <c r="J35" s="18">
        <v>2400</v>
      </c>
      <c r="K35" s="9">
        <f t="shared" si="46"/>
        <v>137.70491803278691</v>
      </c>
      <c r="L35" s="17">
        <v>17.428571428571427</v>
      </c>
      <c r="M35" s="10">
        <f>AVERAGE(M28:M34)</f>
        <v>2196.4876984303328</v>
      </c>
      <c r="N35" s="9">
        <f>M35/L35</f>
        <v>126.02798269682238</v>
      </c>
      <c r="O35" s="11">
        <f>L35-I35</f>
        <v>0</v>
      </c>
      <c r="P35" s="12">
        <f>N35-K35</f>
        <v>-11.676935335964529</v>
      </c>
      <c r="Q35" s="95">
        <f>N35/K35</f>
        <v>0.91520320767930519</v>
      </c>
      <c r="R35" s="533"/>
      <c r="S35" s="24"/>
      <c r="T35" s="24"/>
      <c r="U35" s="93"/>
      <c r="V35" s="102"/>
      <c r="W35" s="93"/>
      <c r="X35" s="93"/>
      <c r="Y35" s="528"/>
      <c r="Z35" s="528"/>
      <c r="AA35" s="11">
        <f t="shared" si="2"/>
        <v>-203.51230156966722</v>
      </c>
      <c r="AB35" s="95">
        <f>M35/J35</f>
        <v>0.9152032076793053</v>
      </c>
      <c r="AC35" s="533"/>
    </row>
    <row r="36" spans="1:29" ht="15.75" customHeight="1">
      <c r="A36" s="550" t="s">
        <v>256</v>
      </c>
      <c r="B36" s="26" t="s">
        <v>24</v>
      </c>
      <c r="C36" s="529" t="s">
        <v>28</v>
      </c>
      <c r="D36" s="529"/>
      <c r="E36" s="26">
        <v>26.2</v>
      </c>
      <c r="F36" s="103">
        <v>2300</v>
      </c>
      <c r="G36" s="93">
        <f t="shared" ref="G36:G43" si="49">E36*F36</f>
        <v>60260</v>
      </c>
      <c r="H36" s="76">
        <v>2</v>
      </c>
      <c r="I36" s="101">
        <v>18</v>
      </c>
      <c r="J36" s="18">
        <v>2400</v>
      </c>
      <c r="K36" s="9">
        <f>J36/I36</f>
        <v>133.33333333333334</v>
      </c>
      <c r="L36" s="101">
        <v>18</v>
      </c>
      <c r="M36" s="10">
        <f>F36/V36*60</f>
        <v>2190.4761904761899</v>
      </c>
      <c r="N36" s="9">
        <f>M36/L36</f>
        <v>121.69312169312167</v>
      </c>
      <c r="O36" s="11">
        <f t="shared" ref="O36:O43" si="50">L36-I36</f>
        <v>0</v>
      </c>
      <c r="P36" s="12">
        <f t="shared" ref="P36:P53" si="51">N36-K36</f>
        <v>-11.640211640211675</v>
      </c>
      <c r="Q36" s="95">
        <f t="shared" ref="Q36:Q48" si="52">N36/K36</f>
        <v>0.91269841269841245</v>
      </c>
      <c r="R36" s="533">
        <f>Q44</f>
        <v>0.91735398808182844</v>
      </c>
      <c r="S36" s="24">
        <v>0.125</v>
      </c>
      <c r="T36" s="24">
        <v>0.16875000000000001</v>
      </c>
      <c r="U36" s="93"/>
      <c r="V36" s="102">
        <f t="shared" ref="V36:V43" si="53">(T36-S36)*24*60</f>
        <v>63.000000000000014</v>
      </c>
      <c r="W36" s="15">
        <f>T36</f>
        <v>0.16875000000000001</v>
      </c>
      <c r="X36" s="15">
        <f>S37</f>
        <v>0.18819444444444447</v>
      </c>
      <c r="Y36" s="528"/>
      <c r="Z36" s="528"/>
      <c r="AA36" s="11">
        <f t="shared" si="2"/>
        <v>-209.52380952381009</v>
      </c>
      <c r="AB36" s="95">
        <f>M36/J36</f>
        <v>0.91269841269841245</v>
      </c>
      <c r="AC36" s="533">
        <f>AB44</f>
        <v>0.91735398808182844</v>
      </c>
    </row>
    <row r="37" spans="1:29" ht="15.75" customHeight="1">
      <c r="A37" s="550" t="s">
        <v>88</v>
      </c>
      <c r="B37" s="26" t="s">
        <v>24</v>
      </c>
      <c r="C37" s="529" t="s">
        <v>30</v>
      </c>
      <c r="D37" s="529"/>
      <c r="E37" s="26">
        <v>24.45</v>
      </c>
      <c r="F37" s="103">
        <v>2425</v>
      </c>
      <c r="G37" s="93">
        <f t="shared" si="49"/>
        <v>59291.25</v>
      </c>
      <c r="H37" s="76" t="s">
        <v>52</v>
      </c>
      <c r="I37" s="101">
        <v>20</v>
      </c>
      <c r="J37" s="18">
        <v>2400</v>
      </c>
      <c r="K37" s="9">
        <f t="shared" ref="K37:K52" si="54">J37/I37</f>
        <v>120</v>
      </c>
      <c r="L37" s="101">
        <v>20</v>
      </c>
      <c r="M37" s="10">
        <f t="shared" ref="M37:M43" si="55">F37/V37*60</f>
        <v>2204.5454545454545</v>
      </c>
      <c r="N37" s="9">
        <f t="shared" ref="N37:N43" si="56">M37/L37</f>
        <v>110.22727272727272</v>
      </c>
      <c r="O37" s="11">
        <f t="shared" si="50"/>
        <v>0</v>
      </c>
      <c r="P37" s="12">
        <f t="shared" si="51"/>
        <v>-9.7727272727272805</v>
      </c>
      <c r="Q37" s="95">
        <f t="shared" si="52"/>
        <v>0.91856060606060597</v>
      </c>
      <c r="R37" s="533"/>
      <c r="S37" s="24">
        <v>0.18819444444444447</v>
      </c>
      <c r="T37" s="24">
        <v>0.23402777777777781</v>
      </c>
      <c r="U37" s="93">
        <f>(S37-T36)*24*60</f>
        <v>28.000000000000021</v>
      </c>
      <c r="V37" s="102">
        <f t="shared" si="53"/>
        <v>66</v>
      </c>
      <c r="W37" s="93"/>
      <c r="X37" s="93"/>
      <c r="Y37" s="528"/>
      <c r="Z37" s="528"/>
      <c r="AA37" s="11">
        <f t="shared" si="2"/>
        <v>-195.4545454545455</v>
      </c>
      <c r="AB37" s="95">
        <f t="shared" ref="AB37:AB66" si="57">M37/J37</f>
        <v>0.91856060606060608</v>
      </c>
      <c r="AC37" s="533"/>
    </row>
    <row r="38" spans="1:29">
      <c r="A38" s="551" t="s">
        <v>88</v>
      </c>
      <c r="B38" s="26" t="s">
        <v>24</v>
      </c>
      <c r="C38" s="529" t="s">
        <v>31</v>
      </c>
      <c r="D38" s="529"/>
      <c r="E38" s="26">
        <v>26.2</v>
      </c>
      <c r="F38" s="103">
        <v>3211</v>
      </c>
      <c r="G38" s="93">
        <f t="shared" si="49"/>
        <v>84128.2</v>
      </c>
      <c r="H38" s="76" t="s">
        <v>52</v>
      </c>
      <c r="I38" s="101">
        <v>20</v>
      </c>
      <c r="J38" s="18">
        <v>2400</v>
      </c>
      <c r="K38" s="9">
        <f t="shared" si="54"/>
        <v>120</v>
      </c>
      <c r="L38" s="101">
        <v>20</v>
      </c>
      <c r="M38" s="10">
        <f t="shared" si="55"/>
        <v>2189.318181818182</v>
      </c>
      <c r="N38" s="9">
        <f t="shared" si="56"/>
        <v>109.46590909090909</v>
      </c>
      <c r="O38" s="11">
        <f t="shared" si="50"/>
        <v>0</v>
      </c>
      <c r="P38" s="12">
        <f t="shared" si="51"/>
        <v>-10.534090909090907</v>
      </c>
      <c r="Q38" s="95">
        <f t="shared" si="52"/>
        <v>0.91221590909090911</v>
      </c>
      <c r="R38" s="533"/>
      <c r="S38" s="24">
        <v>0.23819444444444449</v>
      </c>
      <c r="T38" s="24">
        <v>0.2993055555555556</v>
      </c>
      <c r="U38" s="93">
        <f t="shared" ref="U38:U43" si="58">(S38-T37)*24*60</f>
        <v>6.0000000000000187</v>
      </c>
      <c r="V38" s="102">
        <f t="shared" si="53"/>
        <v>88</v>
      </c>
      <c r="W38" s="93"/>
      <c r="X38" s="93"/>
      <c r="Y38" s="528"/>
      <c r="Z38" s="528"/>
      <c r="AA38" s="11">
        <f t="shared" si="2"/>
        <v>-210.68181818181802</v>
      </c>
      <c r="AB38" s="95">
        <f t="shared" si="57"/>
        <v>0.91221590909090911</v>
      </c>
      <c r="AC38" s="533"/>
    </row>
    <row r="39" spans="1:29">
      <c r="A39" s="551" t="s">
        <v>88</v>
      </c>
      <c r="B39" s="26" t="s">
        <v>24</v>
      </c>
      <c r="C39" s="529" t="s">
        <v>29</v>
      </c>
      <c r="D39" s="529"/>
      <c r="E39" s="26">
        <v>26.39</v>
      </c>
      <c r="F39" s="103">
        <v>3200</v>
      </c>
      <c r="G39" s="93">
        <f t="shared" si="49"/>
        <v>84448</v>
      </c>
      <c r="H39" s="76">
        <v>2</v>
      </c>
      <c r="I39" s="101">
        <v>19</v>
      </c>
      <c r="J39" s="18">
        <v>2400</v>
      </c>
      <c r="K39" s="9">
        <f t="shared" si="54"/>
        <v>126.31578947368421</v>
      </c>
      <c r="L39" s="101">
        <v>19</v>
      </c>
      <c r="M39" s="10">
        <f t="shared" si="55"/>
        <v>2206.8965517241372</v>
      </c>
      <c r="N39" s="9">
        <f t="shared" si="56"/>
        <v>116.15245009074407</v>
      </c>
      <c r="O39" s="11">
        <f t="shared" si="50"/>
        <v>0</v>
      </c>
      <c r="P39" s="12">
        <f t="shared" si="51"/>
        <v>-10.163339382940137</v>
      </c>
      <c r="Q39" s="95">
        <f t="shared" si="52"/>
        <v>0.91954022988505724</v>
      </c>
      <c r="R39" s="533"/>
      <c r="S39" s="24">
        <v>0.3041666666666667</v>
      </c>
      <c r="T39" s="24">
        <v>0.36458333333333337</v>
      </c>
      <c r="U39" s="93">
        <f t="shared" si="58"/>
        <v>6.9999999999999751</v>
      </c>
      <c r="V39" s="102">
        <f t="shared" si="53"/>
        <v>87.000000000000014</v>
      </c>
      <c r="W39" s="14"/>
      <c r="X39" s="14"/>
      <c r="Y39" s="528"/>
      <c r="Z39" s="528"/>
      <c r="AA39" s="11">
        <f t="shared" si="2"/>
        <v>-193.10344827586277</v>
      </c>
      <c r="AB39" s="95">
        <f t="shared" si="57"/>
        <v>0.91954022988505713</v>
      </c>
      <c r="AC39" s="533"/>
    </row>
    <row r="40" spans="1:29">
      <c r="A40" s="551" t="s">
        <v>88</v>
      </c>
      <c r="B40" s="26" t="s">
        <v>24</v>
      </c>
      <c r="C40" s="529" t="s">
        <v>27</v>
      </c>
      <c r="D40" s="529"/>
      <c r="E40" s="26">
        <v>20.52</v>
      </c>
      <c r="F40" s="103">
        <v>3247</v>
      </c>
      <c r="G40" s="93">
        <f t="shared" si="49"/>
        <v>66628.44</v>
      </c>
      <c r="H40" s="76" t="s">
        <v>52</v>
      </c>
      <c r="I40" s="101">
        <v>18</v>
      </c>
      <c r="J40" s="18">
        <v>2400</v>
      </c>
      <c r="K40" s="9">
        <f t="shared" si="54"/>
        <v>133.33333333333334</v>
      </c>
      <c r="L40" s="101">
        <v>18</v>
      </c>
      <c r="M40" s="10">
        <f t="shared" si="55"/>
        <v>2213.8636363636365</v>
      </c>
      <c r="N40" s="9">
        <f t="shared" si="56"/>
        <v>122.99242424242425</v>
      </c>
      <c r="O40" s="11">
        <f t="shared" si="50"/>
        <v>0</v>
      </c>
      <c r="P40" s="12">
        <f t="shared" si="51"/>
        <v>-10.340909090909093</v>
      </c>
      <c r="Q40" s="95">
        <f t="shared" si="52"/>
        <v>0.92244318181818186</v>
      </c>
      <c r="R40" s="533"/>
      <c r="S40" s="24">
        <v>0.36875000000000002</v>
      </c>
      <c r="T40" s="24">
        <v>0.42986111111111114</v>
      </c>
      <c r="U40" s="93">
        <f t="shared" si="58"/>
        <v>5.9999999999999787</v>
      </c>
      <c r="V40" s="102">
        <f t="shared" si="53"/>
        <v>88</v>
      </c>
      <c r="W40" s="14"/>
      <c r="X40" s="14"/>
      <c r="Y40" s="528"/>
      <c r="Z40" s="528"/>
      <c r="AA40" s="11">
        <f t="shared" si="2"/>
        <v>-186.13636363636351</v>
      </c>
      <c r="AB40" s="95">
        <f t="shared" si="57"/>
        <v>0.92244318181818186</v>
      </c>
      <c r="AC40" s="533"/>
    </row>
    <row r="41" spans="1:29">
      <c r="A41" s="551" t="s">
        <v>88</v>
      </c>
      <c r="B41" s="26" t="s">
        <v>24</v>
      </c>
      <c r="C41" s="529" t="s">
        <v>50</v>
      </c>
      <c r="D41" s="529"/>
      <c r="E41" s="26">
        <v>26.2</v>
      </c>
      <c r="F41" s="103">
        <v>4248</v>
      </c>
      <c r="G41" s="93">
        <f t="shared" si="49"/>
        <v>111297.59999999999</v>
      </c>
      <c r="H41" s="76" t="s">
        <v>52</v>
      </c>
      <c r="I41" s="101">
        <v>19</v>
      </c>
      <c r="J41" s="18">
        <v>2400</v>
      </c>
      <c r="K41" s="9">
        <f t="shared" si="54"/>
        <v>126.31578947368421</v>
      </c>
      <c r="L41" s="101">
        <v>19</v>
      </c>
      <c r="M41" s="10">
        <f t="shared" si="55"/>
        <v>2197.2413793103433</v>
      </c>
      <c r="N41" s="9">
        <f t="shared" si="56"/>
        <v>115.64428312159701</v>
      </c>
      <c r="O41" s="11">
        <f t="shared" si="50"/>
        <v>0</v>
      </c>
      <c r="P41" s="12">
        <f t="shared" si="51"/>
        <v>-10.671506352087192</v>
      </c>
      <c r="Q41" s="95">
        <f t="shared" si="52"/>
        <v>0.91551724137930968</v>
      </c>
      <c r="R41" s="533"/>
      <c r="S41" s="24">
        <v>0.43333333333333335</v>
      </c>
      <c r="T41" s="24">
        <v>0.51388888888888895</v>
      </c>
      <c r="U41" s="93">
        <f t="shared" si="58"/>
        <v>4.9999999999999822</v>
      </c>
      <c r="V41" s="102">
        <f t="shared" si="53"/>
        <v>116.00000000000007</v>
      </c>
      <c r="W41" s="14">
        <f>T41</f>
        <v>0.51388888888888895</v>
      </c>
      <c r="X41" s="14">
        <f>S42</f>
        <v>0.55486111111111114</v>
      </c>
      <c r="Y41" s="528"/>
      <c r="Z41" s="528"/>
      <c r="AA41" s="11">
        <f t="shared" si="2"/>
        <v>-202.75862068965671</v>
      </c>
      <c r="AB41" s="95">
        <f t="shared" si="57"/>
        <v>0.91551724137930968</v>
      </c>
      <c r="AC41" s="533"/>
    </row>
    <row r="42" spans="1:29">
      <c r="A42" s="551" t="s">
        <v>88</v>
      </c>
      <c r="B42" s="26" t="s">
        <v>24</v>
      </c>
      <c r="C42" s="529" t="s">
        <v>28</v>
      </c>
      <c r="D42" s="529"/>
      <c r="E42" s="26">
        <v>26.2</v>
      </c>
      <c r="F42" s="103">
        <v>3982</v>
      </c>
      <c r="G42" s="93">
        <f t="shared" si="49"/>
        <v>104328.4</v>
      </c>
      <c r="H42" s="76" t="s">
        <v>52</v>
      </c>
      <c r="I42" s="101">
        <v>18</v>
      </c>
      <c r="J42" s="18">
        <v>2400</v>
      </c>
      <c r="K42" s="9">
        <f t="shared" si="54"/>
        <v>133.33333333333334</v>
      </c>
      <c r="L42" s="101">
        <v>18</v>
      </c>
      <c r="M42" s="10">
        <f t="shared" si="55"/>
        <v>2191.9266055045887</v>
      </c>
      <c r="N42" s="9">
        <f t="shared" si="56"/>
        <v>121.77370030581048</v>
      </c>
      <c r="O42" s="11">
        <f t="shared" si="50"/>
        <v>0</v>
      </c>
      <c r="P42" s="12">
        <f t="shared" si="51"/>
        <v>-11.559633027522864</v>
      </c>
      <c r="Q42" s="95">
        <f t="shared" si="52"/>
        <v>0.91330275229357849</v>
      </c>
      <c r="R42" s="533"/>
      <c r="S42" s="24">
        <v>0.55486111111111114</v>
      </c>
      <c r="T42" s="24">
        <v>0.63055555555555554</v>
      </c>
      <c r="U42" s="93">
        <f t="shared" si="58"/>
        <v>58.99999999999995</v>
      </c>
      <c r="V42" s="102">
        <f t="shared" si="53"/>
        <v>108.99999999999993</v>
      </c>
      <c r="W42" s="14"/>
      <c r="X42" s="14"/>
      <c r="Y42" s="536"/>
      <c r="Z42" s="537"/>
      <c r="AA42" s="11">
        <f t="shared" si="2"/>
        <v>-208.07339449541132</v>
      </c>
      <c r="AB42" s="95">
        <f t="shared" si="57"/>
        <v>0.9133027522935786</v>
      </c>
      <c r="AC42" s="533"/>
    </row>
    <row r="43" spans="1:29">
      <c r="A43" s="551" t="s">
        <v>256</v>
      </c>
      <c r="B43" s="26" t="s">
        <v>24</v>
      </c>
      <c r="C43" s="529" t="s">
        <v>29</v>
      </c>
      <c r="D43" s="529"/>
      <c r="E43" s="26">
        <v>26.39</v>
      </c>
      <c r="F43" s="103">
        <v>2071</v>
      </c>
      <c r="G43" s="93">
        <f t="shared" si="49"/>
        <v>54653.69</v>
      </c>
      <c r="H43" s="76" t="s">
        <v>52</v>
      </c>
      <c r="I43" s="101">
        <v>19</v>
      </c>
      <c r="J43" s="18">
        <v>2400</v>
      </c>
      <c r="K43" s="9">
        <f t="shared" si="54"/>
        <v>126.31578947368421</v>
      </c>
      <c r="L43" s="101">
        <v>19</v>
      </c>
      <c r="M43" s="10">
        <f t="shared" si="55"/>
        <v>2218.9285714285729</v>
      </c>
      <c r="N43" s="9">
        <f t="shared" si="56"/>
        <v>116.78571428571436</v>
      </c>
      <c r="O43" s="11">
        <f t="shared" si="50"/>
        <v>0</v>
      </c>
      <c r="P43" s="12">
        <f t="shared" si="51"/>
        <v>-9.5300751879698424</v>
      </c>
      <c r="Q43" s="95">
        <f t="shared" si="52"/>
        <v>0.92455357142857209</v>
      </c>
      <c r="R43" s="533"/>
      <c r="S43" s="24">
        <v>0.63472222222222219</v>
      </c>
      <c r="T43" s="24">
        <v>0.67361111111111105</v>
      </c>
      <c r="U43" s="93">
        <f t="shared" si="58"/>
        <v>5.9999999999999787</v>
      </c>
      <c r="V43" s="102">
        <f t="shared" si="53"/>
        <v>55.999999999999957</v>
      </c>
      <c r="W43" s="14"/>
      <c r="X43" s="14"/>
      <c r="Y43" s="536"/>
      <c r="Z43" s="537"/>
      <c r="AA43" s="11">
        <f t="shared" si="2"/>
        <v>-181.07142857142708</v>
      </c>
      <c r="AB43" s="95">
        <f t="shared" si="57"/>
        <v>0.92455357142857209</v>
      </c>
      <c r="AC43" s="533"/>
    </row>
    <row r="44" spans="1:29">
      <c r="A44" s="551" t="s">
        <v>88</v>
      </c>
      <c r="B44" s="16" t="s">
        <v>82</v>
      </c>
      <c r="C44" s="530"/>
      <c r="D44" s="530"/>
      <c r="E44" s="94"/>
      <c r="F44" s="16"/>
      <c r="G44" s="9"/>
      <c r="H44" s="103"/>
      <c r="I44" s="17">
        <v>18.875</v>
      </c>
      <c r="J44" s="18">
        <v>2400</v>
      </c>
      <c r="K44" s="9">
        <f t="shared" si="54"/>
        <v>127.1523178807947</v>
      </c>
      <c r="L44" s="17">
        <v>18.875</v>
      </c>
      <c r="M44" s="10">
        <f>AVERAGE(M36:M43)</f>
        <v>2201.6495713963882</v>
      </c>
      <c r="N44" s="9">
        <f>M44/L44</f>
        <v>116.64368590179539</v>
      </c>
      <c r="O44" s="11">
        <f>L44-I44</f>
        <v>0</v>
      </c>
      <c r="P44" s="12">
        <f t="shared" si="51"/>
        <v>-10.508631978999304</v>
      </c>
      <c r="Q44" s="95">
        <f t="shared" si="52"/>
        <v>0.91735398808182844</v>
      </c>
      <c r="R44" s="533"/>
      <c r="S44" s="24"/>
      <c r="T44" s="24"/>
      <c r="U44" s="9"/>
      <c r="V44" s="102"/>
      <c r="W44" s="9"/>
      <c r="X44" s="9"/>
      <c r="Y44" s="528"/>
      <c r="Z44" s="528"/>
      <c r="AA44" s="11">
        <f t="shared" si="2"/>
        <v>-198.35042860361182</v>
      </c>
      <c r="AB44" s="95">
        <f t="shared" si="57"/>
        <v>0.91735398808182844</v>
      </c>
      <c r="AC44" s="533"/>
    </row>
    <row r="45" spans="1:29" ht="15.75" customHeight="1">
      <c r="A45" s="544" t="s">
        <v>257</v>
      </c>
      <c r="B45" s="26" t="s">
        <v>32</v>
      </c>
      <c r="C45" s="534" t="s">
        <v>33</v>
      </c>
      <c r="D45" s="535"/>
      <c r="E45" s="26">
        <v>27.17</v>
      </c>
      <c r="F45" s="103">
        <v>2600</v>
      </c>
      <c r="G45" s="93">
        <f t="shared" ref="G45:G52" si="59">E45*F45</f>
        <v>70642</v>
      </c>
      <c r="H45" s="76">
        <v>2</v>
      </c>
      <c r="I45" s="101">
        <v>10</v>
      </c>
      <c r="J45" s="18">
        <v>3000</v>
      </c>
      <c r="K45" s="9">
        <f t="shared" si="54"/>
        <v>300</v>
      </c>
      <c r="L45" s="101">
        <v>10</v>
      </c>
      <c r="M45" s="10">
        <f t="shared" ref="M45:M46" si="60">F45/V45*60</f>
        <v>2736.8421052631579</v>
      </c>
      <c r="N45" s="10">
        <f t="shared" ref="N45:N53" si="61">M45/L45</f>
        <v>273.68421052631578</v>
      </c>
      <c r="O45" s="11">
        <f t="shared" ref="O45:O53" si="62">L45-I45</f>
        <v>0</v>
      </c>
      <c r="P45" s="12">
        <f t="shared" si="51"/>
        <v>-26.31578947368422</v>
      </c>
      <c r="Q45" s="95">
        <f t="shared" si="52"/>
        <v>0.91228070175438591</v>
      </c>
      <c r="R45" s="547">
        <f>Q53</f>
        <v>0.91595366132913381</v>
      </c>
      <c r="S45" s="24">
        <v>0.20833333333333334</v>
      </c>
      <c r="T45" s="24">
        <v>0.24791666666666667</v>
      </c>
      <c r="U45" s="15"/>
      <c r="V45" s="102">
        <f t="shared" ref="V45:V52" si="63">(T45-S45)*24*60</f>
        <v>57</v>
      </c>
      <c r="W45" s="93"/>
      <c r="X45" s="93"/>
      <c r="Y45" s="536"/>
      <c r="Z45" s="537"/>
      <c r="AA45" s="11">
        <f t="shared" si="2"/>
        <v>-263.15789473684208</v>
      </c>
      <c r="AB45" s="95">
        <f t="shared" si="57"/>
        <v>0.91228070175438603</v>
      </c>
      <c r="AC45" s="547">
        <f>AB53</f>
        <v>0.91595366132913392</v>
      </c>
    </row>
    <row r="46" spans="1:29" ht="15.75" customHeight="1">
      <c r="A46" s="545" t="s">
        <v>9</v>
      </c>
      <c r="B46" s="26" t="s">
        <v>32</v>
      </c>
      <c r="C46" s="534" t="s">
        <v>34</v>
      </c>
      <c r="D46" s="535"/>
      <c r="E46" s="26">
        <v>21.13</v>
      </c>
      <c r="F46" s="103">
        <v>3000</v>
      </c>
      <c r="G46" s="93">
        <f t="shared" si="59"/>
        <v>63390</v>
      </c>
      <c r="H46" s="76">
        <v>2</v>
      </c>
      <c r="I46" s="101">
        <v>10</v>
      </c>
      <c r="J46" s="18">
        <v>3000</v>
      </c>
      <c r="K46" s="9">
        <f t="shared" si="54"/>
        <v>300</v>
      </c>
      <c r="L46" s="101">
        <v>10</v>
      </c>
      <c r="M46" s="10">
        <f t="shared" si="60"/>
        <v>2769.2307692307686</v>
      </c>
      <c r="N46" s="10">
        <f t="shared" si="61"/>
        <v>276.92307692307685</v>
      </c>
      <c r="O46" s="11">
        <f t="shared" si="62"/>
        <v>0</v>
      </c>
      <c r="P46" s="12">
        <f t="shared" si="51"/>
        <v>-23.076923076923151</v>
      </c>
      <c r="Q46" s="95">
        <f t="shared" si="52"/>
        <v>0.9230769230769228</v>
      </c>
      <c r="R46" s="548"/>
      <c r="S46" s="24">
        <v>0.25138888888888888</v>
      </c>
      <c r="T46" s="24">
        <v>0.29652777777777778</v>
      </c>
      <c r="U46" s="93">
        <f>(S46-T45)*24*60</f>
        <v>4.9999999999999822</v>
      </c>
      <c r="V46" s="102">
        <f t="shared" si="63"/>
        <v>65.000000000000014</v>
      </c>
      <c r="W46" s="14"/>
      <c r="X46" s="14"/>
      <c r="Y46" s="536"/>
      <c r="Z46" s="537"/>
      <c r="AA46" s="11">
        <f t="shared" si="2"/>
        <v>-230.7692307692314</v>
      </c>
      <c r="AB46" s="95">
        <f t="shared" si="57"/>
        <v>0.92307692307692291</v>
      </c>
      <c r="AC46" s="548"/>
    </row>
    <row r="47" spans="1:29" ht="15.75" customHeight="1">
      <c r="A47" s="545" t="s">
        <v>9</v>
      </c>
      <c r="B47" s="26" t="s">
        <v>32</v>
      </c>
      <c r="C47" s="534" t="s">
        <v>40</v>
      </c>
      <c r="D47" s="535"/>
      <c r="E47" s="26">
        <v>35.119999999999997</v>
      </c>
      <c r="F47" s="103">
        <v>4744</v>
      </c>
      <c r="G47" s="93">
        <f t="shared" si="59"/>
        <v>166609.28</v>
      </c>
      <c r="H47" s="76" t="s">
        <v>52</v>
      </c>
      <c r="I47" s="101">
        <v>10</v>
      </c>
      <c r="J47" s="18">
        <v>3000</v>
      </c>
      <c r="K47" s="9">
        <f t="shared" si="54"/>
        <v>300</v>
      </c>
      <c r="L47" s="101">
        <v>10</v>
      </c>
      <c r="M47" s="10">
        <f>F47/V47*60</f>
        <v>2736.9230769230762</v>
      </c>
      <c r="N47" s="10">
        <f t="shared" si="61"/>
        <v>273.69230769230762</v>
      </c>
      <c r="O47" s="11">
        <f t="shared" si="62"/>
        <v>0</v>
      </c>
      <c r="P47" s="12">
        <f t="shared" si="51"/>
        <v>-26.307692307692378</v>
      </c>
      <c r="Q47" s="95">
        <f t="shared" si="52"/>
        <v>0.91230769230769204</v>
      </c>
      <c r="R47" s="548"/>
      <c r="S47" s="24">
        <v>0.30069444444444443</v>
      </c>
      <c r="T47" s="24">
        <v>0.37291666666666667</v>
      </c>
      <c r="U47" s="93">
        <f t="shared" ref="U47:U52" si="64">(S47-T46)*24*60</f>
        <v>5.9999999999999787</v>
      </c>
      <c r="V47" s="102">
        <f t="shared" si="63"/>
        <v>104.00000000000003</v>
      </c>
      <c r="W47" s="14"/>
      <c r="X47" s="14"/>
      <c r="Y47" s="536"/>
      <c r="Z47" s="537"/>
      <c r="AA47" s="11">
        <f t="shared" si="2"/>
        <v>-263.07692307692378</v>
      </c>
      <c r="AB47" s="95">
        <f t="shared" si="57"/>
        <v>0.91230769230769204</v>
      </c>
      <c r="AC47" s="548"/>
    </row>
    <row r="48" spans="1:29" ht="15.75" customHeight="1">
      <c r="A48" s="545" t="s">
        <v>9</v>
      </c>
      <c r="B48" s="26" t="s">
        <v>32</v>
      </c>
      <c r="C48" s="534" t="s">
        <v>61</v>
      </c>
      <c r="D48" s="535"/>
      <c r="E48" s="26">
        <v>40.18</v>
      </c>
      <c r="F48" s="103">
        <v>2386</v>
      </c>
      <c r="G48" s="93">
        <f t="shared" si="59"/>
        <v>95869.48</v>
      </c>
      <c r="H48" s="76" t="s">
        <v>52</v>
      </c>
      <c r="I48" s="101">
        <v>10</v>
      </c>
      <c r="J48" s="18">
        <v>3000</v>
      </c>
      <c r="K48" s="9">
        <f t="shared" si="54"/>
        <v>300</v>
      </c>
      <c r="L48" s="101">
        <v>10</v>
      </c>
      <c r="M48" s="10">
        <f t="shared" ref="M48:M52" si="65">F48/V48*60</f>
        <v>2753.0769230769247</v>
      </c>
      <c r="N48" s="10">
        <f t="shared" si="61"/>
        <v>275.30769230769249</v>
      </c>
      <c r="O48" s="11">
        <f t="shared" si="62"/>
        <v>0</v>
      </c>
      <c r="P48" s="12">
        <f t="shared" si="51"/>
        <v>-24.692307692307509</v>
      </c>
      <c r="Q48" s="95">
        <f t="shared" si="52"/>
        <v>0.91769230769230825</v>
      </c>
      <c r="R48" s="548"/>
      <c r="S48" s="24">
        <v>0.37777777777777777</v>
      </c>
      <c r="T48" s="24">
        <v>0.41388888888888886</v>
      </c>
      <c r="U48" s="93">
        <f t="shared" si="64"/>
        <v>6.9999999999999751</v>
      </c>
      <c r="V48" s="102">
        <f t="shared" si="63"/>
        <v>51.999999999999972</v>
      </c>
      <c r="W48" s="14"/>
      <c r="X48" s="14"/>
      <c r="Y48" s="536"/>
      <c r="Z48" s="537"/>
      <c r="AA48" s="11">
        <f t="shared" si="2"/>
        <v>-246.92307692307531</v>
      </c>
      <c r="AB48" s="95">
        <f t="shared" si="57"/>
        <v>0.91769230769230825</v>
      </c>
      <c r="AC48" s="548"/>
    </row>
    <row r="49" spans="1:29" ht="15.75" customHeight="1">
      <c r="A49" s="545" t="s">
        <v>9</v>
      </c>
      <c r="B49" s="26" t="s">
        <v>32</v>
      </c>
      <c r="C49" s="534" t="s">
        <v>64</v>
      </c>
      <c r="D49" s="535"/>
      <c r="E49" s="26">
        <v>28.5</v>
      </c>
      <c r="F49" s="103">
        <v>1564</v>
      </c>
      <c r="G49" s="93">
        <f t="shared" si="59"/>
        <v>44574</v>
      </c>
      <c r="H49" s="76" t="s">
        <v>52</v>
      </c>
      <c r="I49" s="101">
        <v>10</v>
      </c>
      <c r="J49" s="18">
        <v>3000</v>
      </c>
      <c r="K49" s="9">
        <f t="shared" si="54"/>
        <v>300</v>
      </c>
      <c r="L49" s="101">
        <v>10</v>
      </c>
      <c r="M49" s="10">
        <f t="shared" si="65"/>
        <v>2759.9999999999964</v>
      </c>
      <c r="N49" s="10">
        <f t="shared" si="61"/>
        <v>275.99999999999966</v>
      </c>
      <c r="O49" s="11">
        <f t="shared" si="62"/>
        <v>0</v>
      </c>
      <c r="P49" s="12">
        <f t="shared" si="51"/>
        <v>-24.000000000000341</v>
      </c>
      <c r="Q49" s="95">
        <f>N49/K49</f>
        <v>0.91999999999999882</v>
      </c>
      <c r="R49" s="548"/>
      <c r="S49" s="24">
        <v>0.41805555555555551</v>
      </c>
      <c r="T49" s="24">
        <v>0.44166666666666665</v>
      </c>
      <c r="U49" s="93">
        <f t="shared" si="64"/>
        <v>5.9999999999999787</v>
      </c>
      <c r="V49" s="102">
        <f t="shared" si="63"/>
        <v>34.000000000000043</v>
      </c>
      <c r="W49" s="14"/>
      <c r="X49" s="14"/>
      <c r="Y49" s="536"/>
      <c r="Z49" s="537"/>
      <c r="AA49" s="11">
        <f t="shared" si="2"/>
        <v>-240.00000000000364</v>
      </c>
      <c r="AB49" s="95">
        <f t="shared" si="57"/>
        <v>0.91999999999999882</v>
      </c>
      <c r="AC49" s="548"/>
    </row>
    <row r="50" spans="1:29" ht="15.75" customHeight="1">
      <c r="A50" s="545" t="s">
        <v>9</v>
      </c>
      <c r="B50" s="26" t="s">
        <v>32</v>
      </c>
      <c r="C50" s="534" t="s">
        <v>78</v>
      </c>
      <c r="D50" s="535"/>
      <c r="E50" s="26">
        <v>35.869999999999997</v>
      </c>
      <c r="F50" s="103">
        <v>3650</v>
      </c>
      <c r="G50" s="93">
        <f t="shared" si="59"/>
        <v>130925.49999999999</v>
      </c>
      <c r="H50" s="76" t="s">
        <v>52</v>
      </c>
      <c r="I50" s="101">
        <v>10</v>
      </c>
      <c r="J50" s="18">
        <v>3000</v>
      </c>
      <c r="K50" s="9">
        <f t="shared" si="54"/>
        <v>300</v>
      </c>
      <c r="L50" s="101">
        <v>10</v>
      </c>
      <c r="M50" s="10">
        <f t="shared" si="65"/>
        <v>2737.4999999999991</v>
      </c>
      <c r="N50" s="10">
        <f t="shared" si="61"/>
        <v>273.74999999999989</v>
      </c>
      <c r="O50" s="11">
        <f t="shared" si="62"/>
        <v>0</v>
      </c>
      <c r="P50" s="12">
        <f t="shared" si="51"/>
        <v>-26.250000000000114</v>
      </c>
      <c r="Q50" s="95">
        <f t="shared" ref="Q50:Q53" si="66">N50/K50</f>
        <v>0.91249999999999964</v>
      </c>
      <c r="R50" s="548"/>
      <c r="S50" s="24">
        <v>0.44722222222222219</v>
      </c>
      <c r="T50" s="24">
        <v>0.50277777777777777</v>
      </c>
      <c r="U50" s="93">
        <f t="shared" si="64"/>
        <v>7.9999999999999716</v>
      </c>
      <c r="V50" s="102">
        <f t="shared" si="63"/>
        <v>80.000000000000028</v>
      </c>
      <c r="W50" s="14">
        <f>T50</f>
        <v>0.50277777777777777</v>
      </c>
      <c r="X50" s="14">
        <f>S51</f>
        <v>0.54305555555555551</v>
      </c>
      <c r="Y50" s="536"/>
      <c r="Z50" s="537"/>
      <c r="AA50" s="11">
        <f t="shared" si="2"/>
        <v>-262.50000000000091</v>
      </c>
      <c r="AB50" s="95">
        <f t="shared" si="57"/>
        <v>0.91249999999999964</v>
      </c>
      <c r="AC50" s="548"/>
    </row>
    <row r="51" spans="1:29" ht="15.75" customHeight="1">
      <c r="A51" s="545" t="s">
        <v>9</v>
      </c>
      <c r="B51" s="26" t="s">
        <v>32</v>
      </c>
      <c r="C51" s="534" t="s">
        <v>33</v>
      </c>
      <c r="D51" s="535"/>
      <c r="E51" s="26">
        <v>27.17</v>
      </c>
      <c r="F51" s="103">
        <v>3751</v>
      </c>
      <c r="G51" s="93">
        <f t="shared" si="59"/>
        <v>101914.67000000001</v>
      </c>
      <c r="H51" s="76" t="s">
        <v>52</v>
      </c>
      <c r="I51" s="101">
        <v>10</v>
      </c>
      <c r="J51" s="18">
        <v>3000</v>
      </c>
      <c r="K51" s="9">
        <f t="shared" si="54"/>
        <v>300</v>
      </c>
      <c r="L51" s="101">
        <v>10</v>
      </c>
      <c r="M51" s="10">
        <f t="shared" si="65"/>
        <v>2744.6341463414624</v>
      </c>
      <c r="N51" s="10">
        <f t="shared" si="61"/>
        <v>274.46341463414626</v>
      </c>
      <c r="O51" s="11">
        <f t="shared" si="62"/>
        <v>0</v>
      </c>
      <c r="P51" s="12">
        <f t="shared" si="51"/>
        <v>-25.536585365853739</v>
      </c>
      <c r="Q51" s="95">
        <f t="shared" si="66"/>
        <v>0.91487804878048751</v>
      </c>
      <c r="R51" s="548"/>
      <c r="S51" s="24">
        <v>0.54305555555555551</v>
      </c>
      <c r="T51" s="24">
        <v>0.6</v>
      </c>
      <c r="U51" s="93">
        <f t="shared" si="64"/>
        <v>57.999999999999957</v>
      </c>
      <c r="V51" s="102">
        <f t="shared" si="63"/>
        <v>82.000000000000028</v>
      </c>
      <c r="W51" s="14"/>
      <c r="X51" s="14"/>
      <c r="Y51" s="536"/>
      <c r="Z51" s="537"/>
      <c r="AA51" s="11">
        <f t="shared" si="2"/>
        <v>-255.36585365853762</v>
      </c>
      <c r="AB51" s="95">
        <f t="shared" si="57"/>
        <v>0.91487804878048751</v>
      </c>
      <c r="AC51" s="548"/>
    </row>
    <row r="52" spans="1:29" ht="15.75" customHeight="1">
      <c r="A52" s="545" t="s">
        <v>9</v>
      </c>
      <c r="B52" s="26" t="s">
        <v>32</v>
      </c>
      <c r="C52" s="534" t="s">
        <v>34</v>
      </c>
      <c r="D52" s="535"/>
      <c r="E52" s="26">
        <v>21.13</v>
      </c>
      <c r="F52" s="103">
        <v>2150</v>
      </c>
      <c r="G52" s="93">
        <f t="shared" si="59"/>
        <v>45429.5</v>
      </c>
      <c r="H52" s="76" t="s">
        <v>52</v>
      </c>
      <c r="I52" s="101">
        <v>10</v>
      </c>
      <c r="J52" s="18">
        <v>3000</v>
      </c>
      <c r="K52" s="9">
        <f t="shared" si="54"/>
        <v>300</v>
      </c>
      <c r="L52" s="101">
        <v>10</v>
      </c>
      <c r="M52" s="10">
        <f t="shared" si="65"/>
        <v>2744.6808510638302</v>
      </c>
      <c r="N52" s="10">
        <f t="shared" si="61"/>
        <v>274.468085106383</v>
      </c>
      <c r="O52" s="11">
        <f t="shared" si="62"/>
        <v>0</v>
      </c>
      <c r="P52" s="12">
        <f t="shared" si="51"/>
        <v>-25.531914893617</v>
      </c>
      <c r="Q52" s="95">
        <f t="shared" si="66"/>
        <v>0.91489361702127669</v>
      </c>
      <c r="R52" s="548"/>
      <c r="S52" s="24">
        <v>0.60347222222222219</v>
      </c>
      <c r="T52" s="24">
        <v>0.63611111111111107</v>
      </c>
      <c r="U52" s="93">
        <f t="shared" si="64"/>
        <v>4.9999999999999822</v>
      </c>
      <c r="V52" s="102">
        <f t="shared" si="63"/>
        <v>46.999999999999993</v>
      </c>
      <c r="W52" s="14"/>
      <c r="X52" s="14"/>
      <c r="Y52" s="536"/>
      <c r="Z52" s="537"/>
      <c r="AA52" s="11">
        <f t="shared" si="2"/>
        <v>-255.31914893616977</v>
      </c>
      <c r="AB52" s="95">
        <f t="shared" si="57"/>
        <v>0.91489361702127669</v>
      </c>
      <c r="AC52" s="548"/>
    </row>
    <row r="53" spans="1:29" ht="15.75" customHeight="1">
      <c r="A53" s="546" t="s">
        <v>9</v>
      </c>
      <c r="B53" s="26" t="s">
        <v>255</v>
      </c>
      <c r="C53" s="540"/>
      <c r="D53" s="541"/>
      <c r="E53" s="100"/>
      <c r="F53" s="103"/>
      <c r="G53" s="93"/>
      <c r="H53" s="103"/>
      <c r="I53" s="17">
        <v>10</v>
      </c>
      <c r="J53" s="18">
        <v>3000</v>
      </c>
      <c r="K53" s="9">
        <f>J53/I53</f>
        <v>300</v>
      </c>
      <c r="L53" s="17">
        <v>10</v>
      </c>
      <c r="M53" s="10">
        <f>AVERAGE(M45:M52)</f>
        <v>2747.8609839874016</v>
      </c>
      <c r="N53" s="9">
        <f t="shared" si="61"/>
        <v>274.78609839874014</v>
      </c>
      <c r="O53" s="11">
        <f t="shared" si="62"/>
        <v>0</v>
      </c>
      <c r="P53" s="12">
        <f t="shared" si="51"/>
        <v>-25.213901601259863</v>
      </c>
      <c r="Q53" s="95">
        <f t="shared" si="66"/>
        <v>0.91595366132913381</v>
      </c>
      <c r="R53" s="549"/>
      <c r="S53" s="24"/>
      <c r="T53" s="24"/>
      <c r="U53" s="93"/>
      <c r="V53" s="102"/>
      <c r="W53" s="14"/>
      <c r="X53" s="14"/>
      <c r="Y53" s="536"/>
      <c r="Z53" s="537"/>
      <c r="AA53" s="11">
        <f t="shared" si="2"/>
        <v>-252.1390160125984</v>
      </c>
      <c r="AB53" s="95">
        <f t="shared" si="57"/>
        <v>0.91595366132913392</v>
      </c>
      <c r="AC53" s="549"/>
    </row>
    <row r="54" spans="1:29" ht="15.75" customHeight="1">
      <c r="A54" s="542" t="s">
        <v>258</v>
      </c>
      <c r="B54" s="26" t="s">
        <v>15</v>
      </c>
      <c r="C54" s="529" t="s">
        <v>20</v>
      </c>
      <c r="D54" s="529"/>
      <c r="E54" s="26">
        <v>46</v>
      </c>
      <c r="F54" s="27">
        <v>3363</v>
      </c>
      <c r="G54" s="93">
        <f t="shared" ref="G54:G58" si="67">E54*F54</f>
        <v>154698</v>
      </c>
      <c r="H54" s="76" t="s">
        <v>52</v>
      </c>
      <c r="I54" s="101">
        <v>17</v>
      </c>
      <c r="J54" s="18">
        <v>2000</v>
      </c>
      <c r="K54" s="9">
        <f t="shared" ref="K54:K58" si="68">J54/I54</f>
        <v>117.64705882352941</v>
      </c>
      <c r="L54" s="101">
        <v>17</v>
      </c>
      <c r="M54" s="10">
        <f t="shared" ref="M54:M58" si="69">F54/V54*60</f>
        <v>1834.3636363636363</v>
      </c>
      <c r="N54" s="10">
        <f>M54/L54</f>
        <v>107.90374331550801</v>
      </c>
      <c r="O54" s="11">
        <f>L54-I54</f>
        <v>0</v>
      </c>
      <c r="P54" s="12">
        <f>N54-K54</f>
        <v>-9.7433155080213965</v>
      </c>
      <c r="Q54" s="95">
        <f>N54/K54</f>
        <v>0.9171818181818181</v>
      </c>
      <c r="R54" s="533">
        <f>Q59</f>
        <v>0.91620121610845262</v>
      </c>
      <c r="S54" s="24">
        <v>0.29166666666666669</v>
      </c>
      <c r="T54" s="24">
        <v>0.36805555555555558</v>
      </c>
      <c r="U54" s="15"/>
      <c r="V54" s="102">
        <f t="shared" ref="V54:V58" si="70">(T54-S54)*24*60</f>
        <v>110.00000000000001</v>
      </c>
      <c r="W54" s="15"/>
      <c r="X54" s="15"/>
      <c r="Y54" s="528"/>
      <c r="Z54" s="528"/>
      <c r="AA54" s="11">
        <f t="shared" si="2"/>
        <v>-165.63636363636374</v>
      </c>
      <c r="AB54" s="95">
        <f t="shared" si="57"/>
        <v>0.9171818181818181</v>
      </c>
      <c r="AC54" s="533">
        <f>AB59</f>
        <v>0.91620121610845262</v>
      </c>
    </row>
    <row r="55" spans="1:29" ht="15.75" customHeight="1">
      <c r="A55" s="542" t="s">
        <v>10</v>
      </c>
      <c r="B55" s="26" t="s">
        <v>15</v>
      </c>
      <c r="C55" s="529" t="s">
        <v>65</v>
      </c>
      <c r="D55" s="529"/>
      <c r="E55" s="26">
        <v>46</v>
      </c>
      <c r="F55" s="27">
        <v>3895</v>
      </c>
      <c r="G55" s="93">
        <f t="shared" si="67"/>
        <v>179170</v>
      </c>
      <c r="H55" s="76" t="s">
        <v>52</v>
      </c>
      <c r="I55" s="101">
        <v>18</v>
      </c>
      <c r="J55" s="18">
        <v>2000</v>
      </c>
      <c r="K55" s="9">
        <f t="shared" si="68"/>
        <v>111.11111111111111</v>
      </c>
      <c r="L55" s="101">
        <v>18</v>
      </c>
      <c r="M55" s="10">
        <f t="shared" si="69"/>
        <v>1825.7812499999995</v>
      </c>
      <c r="N55" s="10">
        <f t="shared" ref="N55:N58" si="71">M55/L55</f>
        <v>101.43229166666664</v>
      </c>
      <c r="O55" s="11">
        <f t="shared" ref="O55:O58" si="72">L55-I55</f>
        <v>0</v>
      </c>
      <c r="P55" s="12">
        <f t="shared" ref="P55:P58" si="73">N55-K55</f>
        <v>-9.6788194444444713</v>
      </c>
      <c r="Q55" s="95">
        <f t="shared" ref="Q55:Q58" si="74">N55/K55</f>
        <v>0.91289062499999973</v>
      </c>
      <c r="R55" s="533"/>
      <c r="S55" s="24">
        <v>0.37361111111111112</v>
      </c>
      <c r="T55" s="24">
        <v>0.46250000000000002</v>
      </c>
      <c r="U55" s="93">
        <f t="shared" ref="U55:U58" si="75">(S55-T54)*24*60</f>
        <v>7.9999999999999716</v>
      </c>
      <c r="V55" s="102">
        <f t="shared" si="70"/>
        <v>128.00000000000003</v>
      </c>
      <c r="W55" s="14"/>
      <c r="X55" s="14"/>
      <c r="Y55" s="528"/>
      <c r="Z55" s="528"/>
      <c r="AA55" s="11">
        <f t="shared" si="2"/>
        <v>-174.21875000000045</v>
      </c>
      <c r="AB55" s="95">
        <f t="shared" si="57"/>
        <v>0.91289062499999973</v>
      </c>
      <c r="AC55" s="533"/>
    </row>
    <row r="56" spans="1:29" ht="15.75" customHeight="1">
      <c r="A56" s="542" t="s">
        <v>10</v>
      </c>
      <c r="B56" s="26" t="s">
        <v>13</v>
      </c>
      <c r="C56" s="534" t="s">
        <v>59</v>
      </c>
      <c r="D56" s="535"/>
      <c r="E56" s="26">
        <v>55.56</v>
      </c>
      <c r="F56" s="27">
        <v>2287</v>
      </c>
      <c r="G56" s="93">
        <f t="shared" si="67"/>
        <v>127065.72</v>
      </c>
      <c r="H56" s="76" t="s">
        <v>52</v>
      </c>
      <c r="I56" s="101">
        <v>17</v>
      </c>
      <c r="J56" s="18">
        <v>2000</v>
      </c>
      <c r="K56" s="9">
        <f t="shared" si="68"/>
        <v>117.64705882352941</v>
      </c>
      <c r="L56" s="101">
        <v>17</v>
      </c>
      <c r="M56" s="10">
        <f t="shared" si="69"/>
        <v>1829.5999999999985</v>
      </c>
      <c r="N56" s="10">
        <f t="shared" si="71"/>
        <v>107.62352941176462</v>
      </c>
      <c r="O56" s="11">
        <f t="shared" si="72"/>
        <v>0</v>
      </c>
      <c r="P56" s="12">
        <f t="shared" si="73"/>
        <v>-10.023529411764784</v>
      </c>
      <c r="Q56" s="95">
        <f t="shared" si="74"/>
        <v>0.91479999999999928</v>
      </c>
      <c r="R56" s="533"/>
      <c r="S56" s="24">
        <v>0.70833333333333337</v>
      </c>
      <c r="T56" s="24">
        <v>0.76041666666666674</v>
      </c>
      <c r="U56" s="93"/>
      <c r="V56" s="102">
        <f t="shared" si="70"/>
        <v>75.000000000000057</v>
      </c>
      <c r="W56" s="14"/>
      <c r="X56" s="14"/>
      <c r="Y56" s="98"/>
      <c r="Z56" s="99"/>
      <c r="AA56" s="11">
        <f t="shared" si="2"/>
        <v>-170.40000000000146</v>
      </c>
      <c r="AB56" s="95">
        <f t="shared" si="57"/>
        <v>0.91479999999999928</v>
      </c>
      <c r="AC56" s="533"/>
    </row>
    <row r="57" spans="1:29" ht="15.75" customHeight="1">
      <c r="A57" s="542" t="s">
        <v>10</v>
      </c>
      <c r="B57" s="26" t="s">
        <v>13</v>
      </c>
      <c r="C57" s="96" t="s">
        <v>58</v>
      </c>
      <c r="D57" s="97"/>
      <c r="E57" s="26">
        <v>55.32</v>
      </c>
      <c r="F57" s="27">
        <v>1650</v>
      </c>
      <c r="G57" s="93">
        <f t="shared" si="67"/>
        <v>91278</v>
      </c>
      <c r="H57" s="76" t="s">
        <v>52</v>
      </c>
      <c r="I57" s="101">
        <v>15</v>
      </c>
      <c r="J57" s="18">
        <v>2000</v>
      </c>
      <c r="K57" s="9">
        <f t="shared" si="68"/>
        <v>133.33333333333334</v>
      </c>
      <c r="L57" s="101">
        <v>15</v>
      </c>
      <c r="M57" s="10">
        <f t="shared" si="69"/>
        <v>1833.3333333333344</v>
      </c>
      <c r="N57" s="10">
        <f t="shared" si="71"/>
        <v>122.2222222222223</v>
      </c>
      <c r="O57" s="11">
        <f t="shared" si="72"/>
        <v>0</v>
      </c>
      <c r="P57" s="12">
        <f t="shared" si="73"/>
        <v>-11.111111111111043</v>
      </c>
      <c r="Q57" s="95">
        <f t="shared" si="74"/>
        <v>0.91666666666666718</v>
      </c>
      <c r="R57" s="533"/>
      <c r="S57" s="24">
        <v>0.76388888888888895</v>
      </c>
      <c r="T57" s="24">
        <v>0.80138888888888893</v>
      </c>
      <c r="U57" s="93">
        <f t="shared" si="75"/>
        <v>4.9999999999999822</v>
      </c>
      <c r="V57" s="102">
        <f t="shared" si="70"/>
        <v>53.999999999999972</v>
      </c>
      <c r="W57" s="14"/>
      <c r="X57" s="14"/>
      <c r="Y57" s="98"/>
      <c r="Z57" s="99"/>
      <c r="AA57" s="11">
        <f t="shared" si="2"/>
        <v>-166.66666666666561</v>
      </c>
      <c r="AB57" s="95">
        <f t="shared" si="57"/>
        <v>0.91666666666666718</v>
      </c>
      <c r="AC57" s="533"/>
    </row>
    <row r="58" spans="1:29" ht="15.75" customHeight="1">
      <c r="A58" s="542" t="s">
        <v>10</v>
      </c>
      <c r="B58" s="26" t="s">
        <v>13</v>
      </c>
      <c r="C58" s="96" t="s">
        <v>60</v>
      </c>
      <c r="D58" s="97"/>
      <c r="E58" s="26">
        <v>57.73</v>
      </c>
      <c r="F58" s="27">
        <v>1657</v>
      </c>
      <c r="G58" s="93">
        <f t="shared" si="67"/>
        <v>95658.61</v>
      </c>
      <c r="H58" s="76" t="s">
        <v>52</v>
      </c>
      <c r="I58" s="101">
        <v>16</v>
      </c>
      <c r="J58" s="18">
        <v>1500</v>
      </c>
      <c r="K58" s="9">
        <f t="shared" si="68"/>
        <v>93.75</v>
      </c>
      <c r="L58" s="101">
        <v>16</v>
      </c>
      <c r="M58" s="10">
        <f t="shared" si="69"/>
        <v>1380.8333333333323</v>
      </c>
      <c r="N58" s="10">
        <f t="shared" si="71"/>
        <v>86.302083333333272</v>
      </c>
      <c r="O58" s="11">
        <f t="shared" si="72"/>
        <v>0</v>
      </c>
      <c r="P58" s="12">
        <f t="shared" si="73"/>
        <v>-7.4479166666667282</v>
      </c>
      <c r="Q58" s="95">
        <f t="shared" si="74"/>
        <v>0.92055555555555491</v>
      </c>
      <c r="R58" s="533"/>
      <c r="S58" s="24">
        <v>0.80625000000000002</v>
      </c>
      <c r="T58" s="24">
        <v>0.85625000000000007</v>
      </c>
      <c r="U58" s="93">
        <f t="shared" si="75"/>
        <v>6.9999999999999751</v>
      </c>
      <c r="V58" s="102">
        <f t="shared" si="70"/>
        <v>72.000000000000057</v>
      </c>
      <c r="W58" s="14"/>
      <c r="X58" s="14"/>
      <c r="Y58" s="98"/>
      <c r="Z58" s="99"/>
      <c r="AA58" s="11">
        <f t="shared" si="2"/>
        <v>-119.16666666666765</v>
      </c>
      <c r="AB58" s="95">
        <f t="shared" si="57"/>
        <v>0.92055555555555491</v>
      </c>
      <c r="AC58" s="533"/>
    </row>
    <row r="59" spans="1:29">
      <c r="A59" s="543" t="s">
        <v>10</v>
      </c>
      <c r="B59" s="26" t="s">
        <v>82</v>
      </c>
      <c r="C59" s="530"/>
      <c r="D59" s="530"/>
      <c r="E59" s="94"/>
      <c r="F59" s="16"/>
      <c r="G59" s="9"/>
      <c r="H59" s="103"/>
      <c r="I59" s="17">
        <v>16.600000000000001</v>
      </c>
      <c r="J59" s="18">
        <v>1900</v>
      </c>
      <c r="K59" s="9">
        <f>J59/I59</f>
        <v>114.4578313253012</v>
      </c>
      <c r="L59" s="17">
        <v>16.600000000000001</v>
      </c>
      <c r="M59" s="10">
        <f>AVERAGE(M54:M58)</f>
        <v>1740.78231060606</v>
      </c>
      <c r="N59" s="9">
        <f>M59/L59</f>
        <v>104.8664042533771</v>
      </c>
      <c r="O59" s="11">
        <f>L59-I59</f>
        <v>0</v>
      </c>
      <c r="P59" s="12">
        <f>N59-K59</f>
        <v>-9.5914270719241017</v>
      </c>
      <c r="Q59" s="95">
        <f>N59/K59</f>
        <v>0.91620121610845262</v>
      </c>
      <c r="R59" s="533"/>
      <c r="S59" s="25"/>
      <c r="T59" s="24"/>
      <c r="U59" s="9"/>
      <c r="V59" s="102"/>
      <c r="W59" s="9"/>
      <c r="X59" s="9"/>
      <c r="Y59" s="528"/>
      <c r="Z59" s="528"/>
      <c r="AA59" s="11">
        <f t="shared" si="2"/>
        <v>-159.21768939393996</v>
      </c>
      <c r="AB59" s="95">
        <f t="shared" si="57"/>
        <v>0.91620121610845262</v>
      </c>
      <c r="AC59" s="533"/>
    </row>
    <row r="60" spans="1:29" ht="15.75" customHeight="1">
      <c r="A60" s="538" t="s">
        <v>171</v>
      </c>
      <c r="B60" s="103" t="s">
        <v>32</v>
      </c>
      <c r="C60" s="529" t="s">
        <v>35</v>
      </c>
      <c r="D60" s="529"/>
      <c r="E60" s="26">
        <v>26.78</v>
      </c>
      <c r="F60" s="27">
        <v>2660</v>
      </c>
      <c r="G60" s="93">
        <f t="shared" ref="G60:G65" si="76">E60*F60</f>
        <v>71234.8</v>
      </c>
      <c r="H60" s="76" t="s">
        <v>52</v>
      </c>
      <c r="I60" s="101">
        <v>10</v>
      </c>
      <c r="J60" s="18">
        <v>3000</v>
      </c>
      <c r="K60" s="9">
        <f t="shared" ref="K60:K65" si="77">J60/I60</f>
        <v>300</v>
      </c>
      <c r="L60" s="17">
        <v>10</v>
      </c>
      <c r="M60" s="10">
        <f t="shared" ref="M60:M65" si="78">F60/V60*60</f>
        <v>2751.7241379310349</v>
      </c>
      <c r="N60" s="9">
        <f>M60/L60</f>
        <v>275.17241379310349</v>
      </c>
      <c r="O60" s="11">
        <f t="shared" ref="O60:O65" si="79">L60-I60</f>
        <v>0</v>
      </c>
      <c r="P60" s="12">
        <f t="shared" ref="P60:P65" si="80">N60-K60</f>
        <v>-24.827586206896513</v>
      </c>
      <c r="Q60" s="95">
        <f>N60/K60</f>
        <v>0.917241379310345</v>
      </c>
      <c r="R60" s="533">
        <f>Q66</f>
        <v>0.92025657636603153</v>
      </c>
      <c r="S60" s="24">
        <v>0.20833333333333334</v>
      </c>
      <c r="T60" s="24">
        <v>0.24861111111111112</v>
      </c>
      <c r="U60" s="93"/>
      <c r="V60" s="102">
        <f t="shared" ref="V60:V65" si="81">(T60-S60)*24*60</f>
        <v>57.999999999999993</v>
      </c>
      <c r="W60" s="15"/>
      <c r="X60" s="15"/>
      <c r="Y60" s="528"/>
      <c r="Z60" s="528"/>
      <c r="AA60" s="11">
        <f t="shared" si="2"/>
        <v>-248.27586206896513</v>
      </c>
      <c r="AB60" s="95">
        <f t="shared" si="57"/>
        <v>0.917241379310345</v>
      </c>
      <c r="AC60" s="533">
        <f>AB66</f>
        <v>0.92025657636603153</v>
      </c>
    </row>
    <row r="61" spans="1:29" ht="15.75" customHeight="1">
      <c r="A61" s="538" t="s">
        <v>11</v>
      </c>
      <c r="B61" s="103" t="s">
        <v>32</v>
      </c>
      <c r="C61" s="529" t="s">
        <v>39</v>
      </c>
      <c r="D61" s="529"/>
      <c r="E61" s="26">
        <v>35.369999999999997</v>
      </c>
      <c r="F61" s="27">
        <v>1847</v>
      </c>
      <c r="G61" s="93">
        <f t="shared" si="76"/>
        <v>65328.389999999992</v>
      </c>
      <c r="H61" s="76" t="s">
        <v>52</v>
      </c>
      <c r="I61" s="101">
        <v>10</v>
      </c>
      <c r="J61" s="18">
        <v>3000</v>
      </c>
      <c r="K61" s="9">
        <f t="shared" si="77"/>
        <v>300</v>
      </c>
      <c r="L61" s="17">
        <v>10</v>
      </c>
      <c r="M61" s="10">
        <f t="shared" si="78"/>
        <v>2770.4999999999991</v>
      </c>
      <c r="N61" s="9">
        <f t="shared" ref="N61:N65" si="82">M61/L61</f>
        <v>277.0499999999999</v>
      </c>
      <c r="O61" s="11">
        <f t="shared" si="79"/>
        <v>0</v>
      </c>
      <c r="P61" s="12">
        <f t="shared" si="80"/>
        <v>-22.950000000000102</v>
      </c>
      <c r="Q61" s="95">
        <f t="shared" ref="Q61:Q65" si="83">N61/K61</f>
        <v>0.92349999999999965</v>
      </c>
      <c r="R61" s="533"/>
      <c r="S61" s="24">
        <v>0.25277777777777777</v>
      </c>
      <c r="T61" s="24">
        <v>0.28055555555555556</v>
      </c>
      <c r="U61" s="93">
        <f>(S61-T60)*24*60</f>
        <v>5.9999999999999787</v>
      </c>
      <c r="V61" s="102">
        <f t="shared" si="81"/>
        <v>40.000000000000014</v>
      </c>
      <c r="W61" s="93"/>
      <c r="X61" s="93"/>
      <c r="Y61" s="528"/>
      <c r="Z61" s="528"/>
      <c r="AA61" s="11">
        <f t="shared" si="2"/>
        <v>-229.50000000000091</v>
      </c>
      <c r="AB61" s="95">
        <f t="shared" si="57"/>
        <v>0.92349999999999965</v>
      </c>
      <c r="AC61" s="533"/>
    </row>
    <row r="62" spans="1:29" ht="15.75" customHeight="1">
      <c r="A62" s="538" t="s">
        <v>11</v>
      </c>
      <c r="B62" s="103" t="s">
        <v>32</v>
      </c>
      <c r="C62" s="529" t="s">
        <v>38</v>
      </c>
      <c r="D62" s="529"/>
      <c r="E62" s="26">
        <v>34.35</v>
      </c>
      <c r="F62" s="27">
        <v>1527</v>
      </c>
      <c r="G62" s="93">
        <f t="shared" si="76"/>
        <v>52452.450000000004</v>
      </c>
      <c r="H62" s="76" t="s">
        <v>52</v>
      </c>
      <c r="I62" s="101">
        <v>10</v>
      </c>
      <c r="J62" s="18">
        <v>3000</v>
      </c>
      <c r="K62" s="9">
        <f t="shared" si="77"/>
        <v>300</v>
      </c>
      <c r="L62" s="17">
        <v>10</v>
      </c>
      <c r="M62" s="10">
        <f t="shared" si="78"/>
        <v>2776.3636363636324</v>
      </c>
      <c r="N62" s="9">
        <f t="shared" si="82"/>
        <v>277.63636363636323</v>
      </c>
      <c r="O62" s="11">
        <f t="shared" si="79"/>
        <v>0</v>
      </c>
      <c r="P62" s="12">
        <f t="shared" si="80"/>
        <v>-22.363636363636772</v>
      </c>
      <c r="Q62" s="95">
        <f t="shared" si="83"/>
        <v>0.92545454545454409</v>
      </c>
      <c r="R62" s="533"/>
      <c r="S62" s="24">
        <v>0.28402777777777777</v>
      </c>
      <c r="T62" s="24">
        <v>0.30694444444444446</v>
      </c>
      <c r="U62" s="93">
        <f t="shared" ref="U62:U65" si="84">(S62-T61)*24*60</f>
        <v>4.9999999999999822</v>
      </c>
      <c r="V62" s="102">
        <f t="shared" si="81"/>
        <v>33.000000000000043</v>
      </c>
      <c r="W62" s="93"/>
      <c r="X62" s="93"/>
      <c r="Y62" s="528"/>
      <c r="Z62" s="528"/>
      <c r="AA62" s="11">
        <f t="shared" si="2"/>
        <v>-223.63636363636761</v>
      </c>
      <c r="AB62" s="95">
        <f t="shared" si="57"/>
        <v>0.92545454545454409</v>
      </c>
      <c r="AC62" s="533"/>
    </row>
    <row r="63" spans="1:29" ht="15.75" customHeight="1">
      <c r="A63" s="538" t="s">
        <v>11</v>
      </c>
      <c r="B63" s="103" t="s">
        <v>15</v>
      </c>
      <c r="C63" s="529" t="s">
        <v>36</v>
      </c>
      <c r="D63" s="529"/>
      <c r="E63" s="26">
        <v>26.97</v>
      </c>
      <c r="F63" s="27">
        <v>3440</v>
      </c>
      <c r="G63" s="93">
        <f t="shared" si="76"/>
        <v>92776.8</v>
      </c>
      <c r="H63" s="76" t="s">
        <v>52</v>
      </c>
      <c r="I63" s="101">
        <v>8</v>
      </c>
      <c r="J63" s="18">
        <v>1500</v>
      </c>
      <c r="K63" s="9">
        <f t="shared" si="77"/>
        <v>187.5</v>
      </c>
      <c r="L63" s="17">
        <v>8</v>
      </c>
      <c r="M63" s="10">
        <f t="shared" si="78"/>
        <v>1366.8874172185429</v>
      </c>
      <c r="N63" s="9">
        <f t="shared" si="82"/>
        <v>170.86092715231786</v>
      </c>
      <c r="O63" s="11">
        <f t="shared" si="79"/>
        <v>0</v>
      </c>
      <c r="P63" s="12">
        <f t="shared" si="80"/>
        <v>-16.639072847682144</v>
      </c>
      <c r="Q63" s="95">
        <f t="shared" si="83"/>
        <v>0.91125827814569527</v>
      </c>
      <c r="R63" s="533"/>
      <c r="S63" s="24">
        <v>0.31041666666666667</v>
      </c>
      <c r="T63" s="24">
        <v>0.4152777777777778</v>
      </c>
      <c r="U63" s="93">
        <f t="shared" si="84"/>
        <v>4.9999999999999822</v>
      </c>
      <c r="V63" s="102">
        <f t="shared" si="81"/>
        <v>151.00000000000003</v>
      </c>
      <c r="W63" s="93"/>
      <c r="X63" s="93"/>
      <c r="Y63" s="528"/>
      <c r="Z63" s="528"/>
      <c r="AA63" s="11">
        <f t="shared" si="2"/>
        <v>-133.11258278145715</v>
      </c>
      <c r="AB63" s="95">
        <f t="shared" si="57"/>
        <v>0.91125827814569527</v>
      </c>
      <c r="AC63" s="533"/>
    </row>
    <row r="64" spans="1:29">
      <c r="A64" s="539" t="s">
        <v>11</v>
      </c>
      <c r="B64" s="103" t="s">
        <v>32</v>
      </c>
      <c r="C64" s="529" t="s">
        <v>37</v>
      </c>
      <c r="D64" s="529"/>
      <c r="E64" s="26">
        <v>35.119999999999997</v>
      </c>
      <c r="F64" s="27">
        <v>1269</v>
      </c>
      <c r="G64" s="93">
        <f t="shared" si="76"/>
        <v>44567.28</v>
      </c>
      <c r="H64" s="76" t="s">
        <v>52</v>
      </c>
      <c r="I64" s="101">
        <v>13</v>
      </c>
      <c r="J64" s="18">
        <v>2000</v>
      </c>
      <c r="K64" s="9">
        <f t="shared" si="77"/>
        <v>153.84615384615384</v>
      </c>
      <c r="L64" s="17">
        <v>13</v>
      </c>
      <c r="M64" s="10">
        <f t="shared" si="78"/>
        <v>1857.0731707317066</v>
      </c>
      <c r="N64" s="9">
        <f t="shared" si="82"/>
        <v>142.85178236397743</v>
      </c>
      <c r="O64" s="11">
        <f t="shared" si="79"/>
        <v>0</v>
      </c>
      <c r="P64" s="12">
        <f t="shared" si="80"/>
        <v>-10.994371482176405</v>
      </c>
      <c r="Q64" s="95">
        <f t="shared" si="83"/>
        <v>0.92853658536585337</v>
      </c>
      <c r="R64" s="533"/>
      <c r="S64" s="24">
        <v>0.41875000000000001</v>
      </c>
      <c r="T64" s="24">
        <v>0.44722222222222224</v>
      </c>
      <c r="U64" s="93">
        <f t="shared" si="84"/>
        <v>4.9999999999999822</v>
      </c>
      <c r="V64" s="102">
        <f t="shared" si="81"/>
        <v>41.000000000000014</v>
      </c>
      <c r="W64" s="14"/>
      <c r="X64" s="14"/>
      <c r="Y64" s="528"/>
      <c r="Z64" s="528"/>
      <c r="AA64" s="11">
        <f t="shared" si="2"/>
        <v>-142.92682926829343</v>
      </c>
      <c r="AB64" s="95">
        <f t="shared" si="57"/>
        <v>0.92853658536585326</v>
      </c>
      <c r="AC64" s="533"/>
    </row>
    <row r="65" spans="1:29" ht="15" customHeight="1">
      <c r="A65" s="539" t="s">
        <v>11</v>
      </c>
      <c r="B65" s="103" t="s">
        <v>32</v>
      </c>
      <c r="C65" s="534" t="s">
        <v>84</v>
      </c>
      <c r="D65" s="535"/>
      <c r="E65" s="26">
        <v>35.869999999999997</v>
      </c>
      <c r="F65" s="27">
        <v>3838</v>
      </c>
      <c r="G65" s="93">
        <f t="shared" si="76"/>
        <v>137669.06</v>
      </c>
      <c r="H65" s="76" t="s">
        <v>52</v>
      </c>
      <c r="I65" s="101">
        <v>10</v>
      </c>
      <c r="J65" s="18">
        <v>3000</v>
      </c>
      <c r="K65" s="9">
        <f t="shared" si="77"/>
        <v>300</v>
      </c>
      <c r="L65" s="17">
        <v>10</v>
      </c>
      <c r="M65" s="10">
        <f t="shared" si="78"/>
        <v>2741.4285714285729</v>
      </c>
      <c r="N65" s="9">
        <f t="shared" si="82"/>
        <v>274.14285714285728</v>
      </c>
      <c r="O65" s="11">
        <f t="shared" si="79"/>
        <v>0</v>
      </c>
      <c r="P65" s="12">
        <f t="shared" si="80"/>
        <v>-25.857142857142719</v>
      </c>
      <c r="Q65" s="95">
        <f t="shared" si="83"/>
        <v>0.91380952380952429</v>
      </c>
      <c r="R65" s="533"/>
      <c r="S65" s="24">
        <v>0.4513888888888889</v>
      </c>
      <c r="T65" s="24">
        <v>0.50972222222222219</v>
      </c>
      <c r="U65" s="93">
        <f t="shared" si="84"/>
        <v>5.9999999999999787</v>
      </c>
      <c r="V65" s="102">
        <f t="shared" si="81"/>
        <v>83.999999999999943</v>
      </c>
      <c r="W65" s="93"/>
      <c r="X65" s="93"/>
      <c r="Y65" s="536"/>
      <c r="Z65" s="537"/>
      <c r="AA65" s="11">
        <f t="shared" si="2"/>
        <v>-258.57142857142708</v>
      </c>
      <c r="AB65" s="95">
        <f t="shared" si="57"/>
        <v>0.91380952380952429</v>
      </c>
      <c r="AC65" s="533"/>
    </row>
    <row r="66" spans="1:29">
      <c r="A66" s="539" t="s">
        <v>11</v>
      </c>
      <c r="B66" s="26" t="s">
        <v>82</v>
      </c>
      <c r="C66" s="530"/>
      <c r="D66" s="530"/>
      <c r="E66" s="94"/>
      <c r="F66" s="16"/>
      <c r="G66" s="9"/>
      <c r="H66" s="103"/>
      <c r="I66" s="17">
        <v>10.166666666666666</v>
      </c>
      <c r="J66" s="18">
        <v>2583.3333333333335</v>
      </c>
      <c r="K66" s="9">
        <f>J66/I66</f>
        <v>254.09836065573774</v>
      </c>
      <c r="L66" s="17">
        <v>10.166666666666666</v>
      </c>
      <c r="M66" s="10">
        <f>AVERAGE(M60:M65)</f>
        <v>2377.3294889455815</v>
      </c>
      <c r="N66" s="9">
        <f>M66/L66</f>
        <v>233.83568743727034</v>
      </c>
      <c r="O66" s="11">
        <f>L66-I66</f>
        <v>0</v>
      </c>
      <c r="P66" s="12">
        <f>N66-K66</f>
        <v>-20.262673218467398</v>
      </c>
      <c r="Q66" s="95">
        <f>N66/K66</f>
        <v>0.92025657636603153</v>
      </c>
      <c r="R66" s="533"/>
      <c r="S66" s="24"/>
      <c r="T66" s="24"/>
      <c r="U66" s="9"/>
      <c r="V66" s="102"/>
      <c r="W66" s="9"/>
      <c r="X66" s="9"/>
      <c r="Y66" s="528"/>
      <c r="Z66" s="528"/>
      <c r="AA66" s="11">
        <f t="shared" si="2"/>
        <v>-206.003844387752</v>
      </c>
      <c r="AB66" s="95">
        <f t="shared" si="57"/>
        <v>0.92025657636603153</v>
      </c>
      <c r="AC66" s="533"/>
    </row>
    <row r="67" spans="1:29" ht="15.75" customHeight="1">
      <c r="A67" s="531" t="s">
        <v>89</v>
      </c>
      <c r="B67" s="103" t="s">
        <v>24</v>
      </c>
      <c r="C67" s="529" t="s">
        <v>67</v>
      </c>
      <c r="D67" s="529"/>
      <c r="E67" s="26">
        <v>32.03</v>
      </c>
      <c r="F67" s="103">
        <v>1303</v>
      </c>
      <c r="G67" s="93">
        <f t="shared" ref="G67:G72" si="85">E67*F67</f>
        <v>41735.090000000004</v>
      </c>
      <c r="H67" s="76" t="s">
        <v>52</v>
      </c>
      <c r="I67" s="101">
        <v>19</v>
      </c>
      <c r="J67" s="18">
        <v>2400</v>
      </c>
      <c r="K67" s="9">
        <f t="shared" ref="K67:K69" si="86">J67/I67</f>
        <v>126.31578947368421</v>
      </c>
      <c r="L67" s="17">
        <v>19</v>
      </c>
      <c r="M67" s="10">
        <f>F67/V67*60</f>
        <v>2233.7142857142862</v>
      </c>
      <c r="N67" s="9">
        <f t="shared" ref="N67:N72" si="87">M67/L67</f>
        <v>117.56390977443611</v>
      </c>
      <c r="O67" s="11">
        <f t="shared" ref="O67:O72" si="88">L67-I67</f>
        <v>0</v>
      </c>
      <c r="P67" s="12">
        <f t="shared" ref="P67:P72" si="89">N67-K67</f>
        <v>-8.7518796992480929</v>
      </c>
      <c r="Q67" s="95">
        <f>N67/K67</f>
        <v>0.93071428571428594</v>
      </c>
      <c r="R67" s="533">
        <f>Q73</f>
        <v>0.91645910524421215</v>
      </c>
      <c r="S67" s="24">
        <v>0.125</v>
      </c>
      <c r="T67" s="24">
        <v>0.14930555555555555</v>
      </c>
      <c r="U67" s="15"/>
      <c r="V67" s="102">
        <f t="shared" ref="V67:V72" si="90">(T67-S67)*24*60</f>
        <v>34.999999999999993</v>
      </c>
      <c r="W67" s="14">
        <f>T67</f>
        <v>0.14930555555555555</v>
      </c>
      <c r="X67" s="14">
        <f>S68</f>
        <v>0.16805555555555557</v>
      </c>
      <c r="Y67" s="528"/>
      <c r="Z67" s="528"/>
      <c r="AA67" s="11">
        <f t="shared" si="2"/>
        <v>-166.28571428571377</v>
      </c>
      <c r="AB67" s="95">
        <f>M67/J67</f>
        <v>0.93071428571428594</v>
      </c>
      <c r="AC67" s="533">
        <f>AB73</f>
        <v>0.91645910524421215</v>
      </c>
    </row>
    <row r="68" spans="1:29" ht="15.75" customHeight="1">
      <c r="A68" s="531" t="s">
        <v>12</v>
      </c>
      <c r="B68" s="103" t="s">
        <v>24</v>
      </c>
      <c r="C68" s="529" t="s">
        <v>51</v>
      </c>
      <c r="D68" s="529"/>
      <c r="E68" s="26">
        <v>20.2</v>
      </c>
      <c r="F68" s="103">
        <v>2774</v>
      </c>
      <c r="G68" s="93">
        <f t="shared" si="85"/>
        <v>56034.799999999996</v>
      </c>
      <c r="H68" s="76" t="s">
        <v>52</v>
      </c>
      <c r="I68" s="101">
        <v>19</v>
      </c>
      <c r="J68" s="18">
        <v>2400</v>
      </c>
      <c r="K68" s="9">
        <f t="shared" si="86"/>
        <v>126.31578947368421</v>
      </c>
      <c r="L68" s="17">
        <v>19</v>
      </c>
      <c r="M68" s="10">
        <f t="shared" ref="M68:M72" si="91">F68/V68*60</f>
        <v>2189.9999999999995</v>
      </c>
      <c r="N68" s="9">
        <f t="shared" si="87"/>
        <v>115.26315789473682</v>
      </c>
      <c r="O68" s="11">
        <f t="shared" si="88"/>
        <v>0</v>
      </c>
      <c r="P68" s="12">
        <f t="shared" si="89"/>
        <v>-11.052631578947384</v>
      </c>
      <c r="Q68" s="95">
        <f t="shared" ref="Q68:Q73" si="92">N68/K68</f>
        <v>0.91249999999999987</v>
      </c>
      <c r="R68" s="533"/>
      <c r="S68" s="24">
        <v>0.16805555555555557</v>
      </c>
      <c r="T68" s="24">
        <v>0.22083333333333335</v>
      </c>
      <c r="U68" s="93">
        <f>(S68-T67)*24*60</f>
        <v>27.000000000000025</v>
      </c>
      <c r="V68" s="102">
        <f t="shared" si="90"/>
        <v>76.000000000000014</v>
      </c>
      <c r="W68" s="14"/>
      <c r="X68" s="14"/>
      <c r="Y68" s="528"/>
      <c r="Z68" s="528"/>
      <c r="AA68" s="11">
        <f t="shared" si="2"/>
        <v>-210.00000000000045</v>
      </c>
      <c r="AB68" s="95">
        <f t="shared" ref="AB68:AB73" si="93">M68/J68</f>
        <v>0.91249999999999976</v>
      </c>
      <c r="AC68" s="533"/>
    </row>
    <row r="69" spans="1:29" ht="15.75" customHeight="1">
      <c r="A69" s="531" t="s">
        <v>12</v>
      </c>
      <c r="B69" s="103" t="s">
        <v>24</v>
      </c>
      <c r="C69" s="529" t="s">
        <v>41</v>
      </c>
      <c r="D69" s="529"/>
      <c r="E69" s="26">
        <v>19.02</v>
      </c>
      <c r="F69" s="103">
        <v>3800</v>
      </c>
      <c r="G69" s="93">
        <f t="shared" si="85"/>
        <v>72276</v>
      </c>
      <c r="H69" s="76">
        <v>2</v>
      </c>
      <c r="I69" s="101">
        <v>15</v>
      </c>
      <c r="J69" s="18">
        <v>2400</v>
      </c>
      <c r="K69" s="9">
        <f t="shared" si="86"/>
        <v>160</v>
      </c>
      <c r="L69" s="17">
        <v>15</v>
      </c>
      <c r="M69" s="10">
        <f t="shared" si="91"/>
        <v>2192.3076923076915</v>
      </c>
      <c r="N69" s="9">
        <f t="shared" si="87"/>
        <v>146.1538461538461</v>
      </c>
      <c r="O69" s="11">
        <f t="shared" si="88"/>
        <v>0</v>
      </c>
      <c r="P69" s="12">
        <f t="shared" si="89"/>
        <v>-13.846153846153896</v>
      </c>
      <c r="Q69" s="95">
        <f t="shared" si="92"/>
        <v>0.9134615384615381</v>
      </c>
      <c r="R69" s="533"/>
      <c r="S69" s="24">
        <v>0.22500000000000003</v>
      </c>
      <c r="T69" s="24">
        <v>0.29722222222222228</v>
      </c>
      <c r="U69" s="93">
        <f t="shared" ref="U69:U72" si="94">(S69-T68)*24*60</f>
        <v>6.0000000000000187</v>
      </c>
      <c r="V69" s="102">
        <f t="shared" si="90"/>
        <v>104.00000000000003</v>
      </c>
      <c r="W69" s="14"/>
      <c r="X69" s="14"/>
      <c r="Y69" s="528"/>
      <c r="Z69" s="528"/>
      <c r="AA69" s="11">
        <f t="shared" ref="AA69:AA73" si="95">M69-J69</f>
        <v>-207.69230769230853</v>
      </c>
      <c r="AB69" s="95">
        <f t="shared" si="93"/>
        <v>0.9134615384615381</v>
      </c>
      <c r="AC69" s="533"/>
    </row>
    <row r="70" spans="1:29" ht="15.75" customHeight="1">
      <c r="A70" s="531" t="s">
        <v>12</v>
      </c>
      <c r="B70" s="103" t="s">
        <v>24</v>
      </c>
      <c r="C70" s="529" t="s">
        <v>42</v>
      </c>
      <c r="D70" s="529"/>
      <c r="E70" s="26">
        <v>25</v>
      </c>
      <c r="F70" s="103">
        <v>4437</v>
      </c>
      <c r="G70" s="93">
        <f t="shared" si="85"/>
        <v>110925</v>
      </c>
      <c r="H70" s="76" t="s">
        <v>52</v>
      </c>
      <c r="I70" s="101">
        <v>15</v>
      </c>
      <c r="J70" s="18">
        <v>2400</v>
      </c>
      <c r="K70" s="9">
        <f>J70/I70</f>
        <v>160</v>
      </c>
      <c r="L70" s="17">
        <v>15</v>
      </c>
      <c r="M70" s="10">
        <f t="shared" si="91"/>
        <v>2200.1652892561988</v>
      </c>
      <c r="N70" s="9">
        <f t="shared" si="87"/>
        <v>146.67768595041326</v>
      </c>
      <c r="O70" s="11">
        <f t="shared" si="88"/>
        <v>0</v>
      </c>
      <c r="P70" s="12">
        <f t="shared" si="89"/>
        <v>-13.322314049586737</v>
      </c>
      <c r="Q70" s="95">
        <f t="shared" si="92"/>
        <v>0.91673553719008294</v>
      </c>
      <c r="R70" s="533"/>
      <c r="S70" s="24">
        <v>0.30277777777777781</v>
      </c>
      <c r="T70" s="24">
        <v>0.38680555555555557</v>
      </c>
      <c r="U70" s="93">
        <f t="shared" si="94"/>
        <v>7.9999999999999716</v>
      </c>
      <c r="V70" s="102">
        <f t="shared" si="90"/>
        <v>120.99999999999997</v>
      </c>
      <c r="W70" s="14"/>
      <c r="X70" s="14"/>
      <c r="Y70" s="528"/>
      <c r="Z70" s="528"/>
      <c r="AA70" s="11">
        <f t="shared" si="95"/>
        <v>-199.83471074380122</v>
      </c>
      <c r="AB70" s="95">
        <f t="shared" si="93"/>
        <v>0.91673553719008283</v>
      </c>
      <c r="AC70" s="533"/>
    </row>
    <row r="71" spans="1:29" ht="15.75" customHeight="1">
      <c r="A71" s="531" t="s">
        <v>12</v>
      </c>
      <c r="B71" s="103" t="s">
        <v>24</v>
      </c>
      <c r="C71" s="529" t="s">
        <v>77</v>
      </c>
      <c r="D71" s="529"/>
      <c r="E71" s="26">
        <v>28.51</v>
      </c>
      <c r="F71" s="103">
        <v>4931</v>
      </c>
      <c r="G71" s="93">
        <f t="shared" si="85"/>
        <v>140582.81</v>
      </c>
      <c r="H71" s="76" t="s">
        <v>52</v>
      </c>
      <c r="I71" s="101">
        <v>19</v>
      </c>
      <c r="J71" s="18">
        <v>2400</v>
      </c>
      <c r="K71" s="9">
        <f t="shared" ref="K71:K73" si="96">J71/I71</f>
        <v>126.31578947368421</v>
      </c>
      <c r="L71" s="17">
        <v>19</v>
      </c>
      <c r="M71" s="10">
        <f t="shared" si="91"/>
        <v>2191.5555555555557</v>
      </c>
      <c r="N71" s="9">
        <f t="shared" si="87"/>
        <v>115.34502923976609</v>
      </c>
      <c r="O71" s="11">
        <f t="shared" si="88"/>
        <v>0</v>
      </c>
      <c r="P71" s="12">
        <f t="shared" si="89"/>
        <v>-10.970760233918114</v>
      </c>
      <c r="Q71" s="95">
        <f t="shared" si="92"/>
        <v>0.91314814814814826</v>
      </c>
      <c r="R71" s="533"/>
      <c r="S71" s="24">
        <v>0.39027777777777778</v>
      </c>
      <c r="T71" s="24">
        <v>0.48402777777777778</v>
      </c>
      <c r="U71" s="93">
        <f t="shared" si="94"/>
        <v>4.9999999999999822</v>
      </c>
      <c r="V71" s="102">
        <f t="shared" si="90"/>
        <v>135</v>
      </c>
      <c r="W71" s="14">
        <f>T71</f>
        <v>0.48402777777777778</v>
      </c>
      <c r="X71" s="14">
        <f>S72</f>
        <v>0.52569444444444435</v>
      </c>
      <c r="Y71" s="528"/>
      <c r="Z71" s="528"/>
      <c r="AA71" s="11">
        <f t="shared" si="95"/>
        <v>-208.44444444444434</v>
      </c>
      <c r="AB71" s="95">
        <f t="shared" si="93"/>
        <v>0.91314814814814815</v>
      </c>
      <c r="AC71" s="533"/>
    </row>
    <row r="72" spans="1:29" ht="15.75" customHeight="1">
      <c r="A72" s="531" t="s">
        <v>12</v>
      </c>
      <c r="B72" s="103" t="s">
        <v>24</v>
      </c>
      <c r="C72" s="529" t="s">
        <v>41</v>
      </c>
      <c r="D72" s="529"/>
      <c r="E72" s="26">
        <v>19.02</v>
      </c>
      <c r="F72" s="103">
        <v>5984</v>
      </c>
      <c r="G72" s="93">
        <f t="shared" si="85"/>
        <v>113815.67999999999</v>
      </c>
      <c r="H72" s="76" t="s">
        <v>52</v>
      </c>
      <c r="I72" s="101">
        <v>15</v>
      </c>
      <c r="J72" s="18">
        <v>2400</v>
      </c>
      <c r="K72" s="9">
        <f t="shared" si="96"/>
        <v>160</v>
      </c>
      <c r="L72" s="17">
        <v>15</v>
      </c>
      <c r="M72" s="10">
        <f t="shared" si="91"/>
        <v>2189.2682926829261</v>
      </c>
      <c r="N72" s="9">
        <f t="shared" si="87"/>
        <v>145.95121951219508</v>
      </c>
      <c r="O72" s="11">
        <f t="shared" si="88"/>
        <v>0</v>
      </c>
      <c r="P72" s="12">
        <f t="shared" si="89"/>
        <v>-14.048780487804919</v>
      </c>
      <c r="Q72" s="95">
        <f t="shared" si="92"/>
        <v>0.91219512195121921</v>
      </c>
      <c r="R72" s="533"/>
      <c r="S72" s="24">
        <v>0.52569444444444435</v>
      </c>
      <c r="T72" s="24">
        <v>0.63958333333333328</v>
      </c>
      <c r="U72" s="93">
        <f t="shared" si="94"/>
        <v>59.999999999999865</v>
      </c>
      <c r="V72" s="102">
        <f t="shared" si="90"/>
        <v>164.00000000000006</v>
      </c>
      <c r="W72" s="14"/>
      <c r="X72" s="14"/>
      <c r="Y72" s="528"/>
      <c r="Z72" s="528"/>
      <c r="AA72" s="11">
        <f t="shared" si="95"/>
        <v>-210.73170731707387</v>
      </c>
      <c r="AB72" s="95">
        <f t="shared" si="93"/>
        <v>0.91219512195121921</v>
      </c>
      <c r="AC72" s="533"/>
    </row>
    <row r="73" spans="1:29" ht="16.5" customHeight="1">
      <c r="A73" s="532" t="s">
        <v>12</v>
      </c>
      <c r="B73" s="26" t="s">
        <v>82</v>
      </c>
      <c r="C73" s="530"/>
      <c r="D73" s="530"/>
      <c r="E73" s="94"/>
      <c r="F73" s="16"/>
      <c r="G73" s="9"/>
      <c r="H73" s="103"/>
      <c r="I73" s="17">
        <v>17</v>
      </c>
      <c r="J73" s="18">
        <v>2400</v>
      </c>
      <c r="K73" s="9">
        <f t="shared" si="96"/>
        <v>141.1764705882353</v>
      </c>
      <c r="L73" s="17">
        <v>17</v>
      </c>
      <c r="M73" s="10">
        <f>AVERAGE(M67:M72)</f>
        <v>2199.5018525861092</v>
      </c>
      <c r="N73" s="9">
        <f>M73/L73</f>
        <v>129.38246191682995</v>
      </c>
      <c r="O73" s="11">
        <f>L73-I73</f>
        <v>0</v>
      </c>
      <c r="P73" s="12">
        <f>N73-K73</f>
        <v>-11.794008671405351</v>
      </c>
      <c r="Q73" s="95">
        <f t="shared" si="92"/>
        <v>0.91645910524421215</v>
      </c>
      <c r="R73" s="533"/>
      <c r="S73" s="24"/>
      <c r="T73" s="24"/>
      <c r="U73" s="9"/>
      <c r="V73" s="102"/>
      <c r="W73" s="9"/>
      <c r="X73" s="9"/>
      <c r="Y73" s="528"/>
      <c r="Z73" s="528"/>
      <c r="AA73" s="11">
        <f t="shared" si="95"/>
        <v>-200.49814741389082</v>
      </c>
      <c r="AB73" s="95">
        <f t="shared" si="93"/>
        <v>0.91645910524421215</v>
      </c>
      <c r="AC73" s="533"/>
    </row>
    <row r="74" spans="1:29">
      <c r="D74" s="19"/>
      <c r="E74" s="19"/>
    </row>
  </sheetData>
  <mergeCells count="194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3"/>
    <mergeCell ref="C9:D9"/>
    <mergeCell ref="R9:R13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AC14:AC18"/>
    <mergeCell ref="C15:D15"/>
    <mergeCell ref="Y15:Z15"/>
    <mergeCell ref="C16:D16"/>
    <mergeCell ref="Y16:Z16"/>
    <mergeCell ref="C17:D17"/>
    <mergeCell ref="AC9:AC13"/>
    <mergeCell ref="C10:D10"/>
    <mergeCell ref="Y10:Z10"/>
    <mergeCell ref="C11:D11"/>
    <mergeCell ref="Y11:Z11"/>
    <mergeCell ref="C12:D12"/>
    <mergeCell ref="Y12:Z12"/>
    <mergeCell ref="C13:D13"/>
    <mergeCell ref="Y13:Z13"/>
    <mergeCell ref="Y17:Z17"/>
    <mergeCell ref="C18:D18"/>
    <mergeCell ref="Y18:Z18"/>
    <mergeCell ref="A19:A27"/>
    <mergeCell ref="C19:D19"/>
    <mergeCell ref="R19:R27"/>
    <mergeCell ref="Y19:Z19"/>
    <mergeCell ref="Y24:Z24"/>
    <mergeCell ref="C25:D25"/>
    <mergeCell ref="Y25:Z25"/>
    <mergeCell ref="A14:A18"/>
    <mergeCell ref="C14:D14"/>
    <mergeCell ref="R14:R18"/>
    <mergeCell ref="Y14:Z14"/>
    <mergeCell ref="AC19:AC27"/>
    <mergeCell ref="C20:D20"/>
    <mergeCell ref="Y20:Z20"/>
    <mergeCell ref="C21:D21"/>
    <mergeCell ref="Y21:Z21"/>
    <mergeCell ref="C22:D22"/>
    <mergeCell ref="Y22:Z22"/>
    <mergeCell ref="C23:D23"/>
    <mergeCell ref="Y23:Z23"/>
    <mergeCell ref="C24:D24"/>
    <mergeCell ref="C26:D26"/>
    <mergeCell ref="Y26:Z26"/>
    <mergeCell ref="C27:D27"/>
    <mergeCell ref="Y27:Z27"/>
    <mergeCell ref="A28:A35"/>
    <mergeCell ref="C28:D28"/>
    <mergeCell ref="R28:R35"/>
    <mergeCell ref="Y28:Z28"/>
    <mergeCell ref="Y33:Z33"/>
    <mergeCell ref="C34:D34"/>
    <mergeCell ref="AC28:AC35"/>
    <mergeCell ref="C29:D29"/>
    <mergeCell ref="Y29:Z29"/>
    <mergeCell ref="C30:D30"/>
    <mergeCell ref="Y30:Z30"/>
    <mergeCell ref="C31:D31"/>
    <mergeCell ref="Y31:Z31"/>
    <mergeCell ref="C32:D32"/>
    <mergeCell ref="Y32:Z32"/>
    <mergeCell ref="C33:D33"/>
    <mergeCell ref="Y34:Z34"/>
    <mergeCell ref="C35:D35"/>
    <mergeCell ref="Y35:Z35"/>
    <mergeCell ref="A36:A44"/>
    <mergeCell ref="C36:D36"/>
    <mergeCell ref="R36:R44"/>
    <mergeCell ref="Y36:Z36"/>
    <mergeCell ref="Y41:Z41"/>
    <mergeCell ref="C42:D42"/>
    <mergeCell ref="Y42:Z42"/>
    <mergeCell ref="AC36:AC44"/>
    <mergeCell ref="C37:D37"/>
    <mergeCell ref="Y37:Z37"/>
    <mergeCell ref="C38:D38"/>
    <mergeCell ref="Y38:Z38"/>
    <mergeCell ref="C39:D39"/>
    <mergeCell ref="Y39:Z39"/>
    <mergeCell ref="C40:D40"/>
    <mergeCell ref="Y40:Z40"/>
    <mergeCell ref="C41:D41"/>
    <mergeCell ref="C43:D43"/>
    <mergeCell ref="Y43:Z43"/>
    <mergeCell ref="C44:D44"/>
    <mergeCell ref="Y44:Z44"/>
    <mergeCell ref="A45:A53"/>
    <mergeCell ref="C45:D45"/>
    <mergeCell ref="R45:R53"/>
    <mergeCell ref="Y45:Z45"/>
    <mergeCell ref="Y50:Z50"/>
    <mergeCell ref="C51:D51"/>
    <mergeCell ref="A54:A59"/>
    <mergeCell ref="C54:D54"/>
    <mergeCell ref="R54:R59"/>
    <mergeCell ref="Y54:Z54"/>
    <mergeCell ref="AC54:AC59"/>
    <mergeCell ref="C55:D55"/>
    <mergeCell ref="Y55:Z55"/>
    <mergeCell ref="C56:D56"/>
    <mergeCell ref="C59:D59"/>
    <mergeCell ref="Y59:Z59"/>
    <mergeCell ref="Y51:Z51"/>
    <mergeCell ref="C52:D52"/>
    <mergeCell ref="Y52:Z52"/>
    <mergeCell ref="C53:D53"/>
    <mergeCell ref="Y53:Z53"/>
    <mergeCell ref="AC45:AC53"/>
    <mergeCell ref="C46:D46"/>
    <mergeCell ref="Y46:Z46"/>
    <mergeCell ref="C47:D47"/>
    <mergeCell ref="Y47:Z47"/>
    <mergeCell ref="C48:D48"/>
    <mergeCell ref="Y48:Z48"/>
    <mergeCell ref="C49:D49"/>
    <mergeCell ref="Y49:Z49"/>
    <mergeCell ref="C50:D50"/>
    <mergeCell ref="A60:A66"/>
    <mergeCell ref="C60:D60"/>
    <mergeCell ref="R60:R66"/>
    <mergeCell ref="Y60:Z60"/>
    <mergeCell ref="AC60:AC66"/>
    <mergeCell ref="C61:D61"/>
    <mergeCell ref="Y61:Z61"/>
    <mergeCell ref="C62:D62"/>
    <mergeCell ref="Y62:Z62"/>
    <mergeCell ref="C63:D63"/>
    <mergeCell ref="Y63:Z63"/>
    <mergeCell ref="C64:D64"/>
    <mergeCell ref="Y64:Z64"/>
    <mergeCell ref="C65:D65"/>
    <mergeCell ref="Y65:Z65"/>
    <mergeCell ref="C66:D66"/>
    <mergeCell ref="Y66:Z66"/>
    <mergeCell ref="Y70:Z70"/>
    <mergeCell ref="C71:D71"/>
    <mergeCell ref="Y71:Z71"/>
    <mergeCell ref="A67:A73"/>
    <mergeCell ref="C67:D67"/>
    <mergeCell ref="R67:R73"/>
    <mergeCell ref="Y67:Z67"/>
    <mergeCell ref="AC67:AC73"/>
    <mergeCell ref="C68:D68"/>
    <mergeCell ref="Y68:Z68"/>
    <mergeCell ref="C69:D69"/>
    <mergeCell ref="Y69:Z69"/>
    <mergeCell ref="C70:D70"/>
    <mergeCell ref="C72:D72"/>
    <mergeCell ref="Y72:Z72"/>
    <mergeCell ref="C73:D73"/>
    <mergeCell ref="Y73:Z73"/>
  </mergeCells>
  <phoneticPr fontId="3" type="noConversion"/>
  <conditionalFormatting sqref="O63:O73 O5:O9 O13:O15 O53:O60 O18:O50">
    <cfRule type="cellIs" dxfId="195" priority="46" operator="greaterThan">
      <formula>0</formula>
    </cfRule>
  </conditionalFormatting>
  <conditionalFormatting sqref="P5:P7 P63:P65 AA63:AA65 P67:P72 P28:P34 P60 P9 P13:P15 P19:P26 P54:P58 P36:P50 AA5:AA60 AA67:AA73">
    <cfRule type="cellIs" dxfId="194" priority="50" operator="lessThan">
      <formula>0</formula>
    </cfRule>
  </conditionalFormatting>
  <conditionalFormatting sqref="AB63:AB65 Q63:Q73 Q5:Q9 Q13:Q15 Q53:Q60 Q18:Q50 AB5:AB60 AB67:AB73">
    <cfRule type="cellIs" dxfId="193" priority="47" operator="greaterThan">
      <formula>1</formula>
    </cfRule>
    <cfRule type="cellIs" dxfId="192" priority="48" operator="lessThan">
      <formula>0.8</formula>
    </cfRule>
  </conditionalFormatting>
  <conditionalFormatting sqref="AC14:AC15 R14:R15 AC63 R18:R24 AC18:AC24 R63:R73 AC5:AC9 R5:R9 R27:R50 AC27:AC50 AC53:AC60 R53:R60">
    <cfRule type="cellIs" dxfId="191" priority="52" operator="lessThan">
      <formula>0.8</formula>
    </cfRule>
  </conditionalFormatting>
  <conditionalFormatting sqref="AC45">
    <cfRule type="cellIs" dxfId="190" priority="54" operator="lessThan">
      <formula>0.8</formula>
    </cfRule>
  </conditionalFormatting>
  <conditionalFormatting sqref="AC19:AC24">
    <cfRule type="cellIs" dxfId="189" priority="51" operator="lessThan">
      <formula>0.8</formula>
    </cfRule>
  </conditionalFormatting>
  <conditionalFormatting sqref="AC28">
    <cfRule type="cellIs" dxfId="188" priority="53" operator="lessThan">
      <formula>0.8</formula>
    </cfRule>
  </conditionalFormatting>
  <conditionalFormatting sqref="AC36:AC43">
    <cfRule type="cellIs" dxfId="187" priority="49" operator="lessThan">
      <formula>0.8</formula>
    </cfRule>
  </conditionalFormatting>
  <conditionalFormatting sqref="AA66">
    <cfRule type="cellIs" dxfId="186" priority="45" operator="lessThan">
      <formula>0</formula>
    </cfRule>
  </conditionalFormatting>
  <conditionalFormatting sqref="AB66">
    <cfRule type="cellIs" dxfId="185" priority="43" operator="greaterThan">
      <formula>1</formula>
    </cfRule>
    <cfRule type="cellIs" dxfId="184" priority="44" operator="lessThan">
      <formula>0.8</formula>
    </cfRule>
  </conditionalFormatting>
  <conditionalFormatting sqref="O16:O17">
    <cfRule type="cellIs" dxfId="183" priority="38" operator="greaterThan">
      <formula>0</formula>
    </cfRule>
  </conditionalFormatting>
  <conditionalFormatting sqref="P16:P17">
    <cfRule type="cellIs" dxfId="182" priority="41" operator="lessThan">
      <formula>0</formula>
    </cfRule>
  </conditionalFormatting>
  <conditionalFormatting sqref="Q16:Q17">
    <cfRule type="cellIs" dxfId="181" priority="39" operator="greaterThan">
      <formula>1</formula>
    </cfRule>
    <cfRule type="cellIs" dxfId="180" priority="40" operator="lessThan">
      <formula>0.8</formula>
    </cfRule>
  </conditionalFormatting>
  <conditionalFormatting sqref="R16:R17 AC16:AC17">
    <cfRule type="cellIs" dxfId="179" priority="42" operator="lessThan">
      <formula>0.8</formula>
    </cfRule>
  </conditionalFormatting>
  <conditionalFormatting sqref="O10:O12">
    <cfRule type="cellIs" dxfId="178" priority="34" operator="greaterThan">
      <formula>0</formula>
    </cfRule>
  </conditionalFormatting>
  <conditionalFormatting sqref="P10:P12">
    <cfRule type="cellIs" dxfId="177" priority="37" operator="lessThan">
      <formula>0</formula>
    </cfRule>
  </conditionalFormatting>
  <conditionalFormatting sqref="Q10:Q12">
    <cfRule type="cellIs" dxfId="176" priority="35" operator="greaterThan">
      <formula>1</formula>
    </cfRule>
    <cfRule type="cellIs" dxfId="175" priority="36" operator="lessThan">
      <formula>0.8</formula>
    </cfRule>
  </conditionalFormatting>
  <conditionalFormatting sqref="AC26 R26">
    <cfRule type="cellIs" dxfId="174" priority="33" operator="lessThan">
      <formula>0.8</formula>
    </cfRule>
  </conditionalFormatting>
  <conditionalFormatting sqref="O62">
    <cfRule type="cellIs" dxfId="173" priority="28" operator="greaterThan">
      <formula>0</formula>
    </cfRule>
  </conditionalFormatting>
  <conditionalFormatting sqref="P62 AA62">
    <cfRule type="cellIs" dxfId="172" priority="31" operator="lessThan">
      <formula>0</formula>
    </cfRule>
  </conditionalFormatting>
  <conditionalFormatting sqref="Q62 AB62">
    <cfRule type="cellIs" dxfId="171" priority="29" operator="greaterThan">
      <formula>1</formula>
    </cfRule>
    <cfRule type="cellIs" dxfId="170" priority="30" operator="lessThan">
      <formula>0.8</formula>
    </cfRule>
  </conditionalFormatting>
  <conditionalFormatting sqref="R62 AC62">
    <cfRule type="cellIs" dxfId="169" priority="32" operator="lessThan">
      <formula>0.8</formula>
    </cfRule>
  </conditionalFormatting>
  <conditionalFormatting sqref="O51">
    <cfRule type="cellIs" dxfId="168" priority="22" operator="greaterThan">
      <formula>0</formula>
    </cfRule>
  </conditionalFormatting>
  <conditionalFormatting sqref="P51">
    <cfRule type="cellIs" dxfId="167" priority="26" operator="lessThan">
      <formula>0</formula>
    </cfRule>
  </conditionalFormatting>
  <conditionalFormatting sqref="Q51">
    <cfRule type="cellIs" dxfId="166" priority="23" operator="greaterThan">
      <formula>1</formula>
    </cfRule>
    <cfRule type="cellIs" dxfId="165" priority="24" operator="lessThan">
      <formula>0.8</formula>
    </cfRule>
  </conditionalFormatting>
  <conditionalFormatting sqref="R51 AC51">
    <cfRule type="cellIs" dxfId="164" priority="27" operator="lessThan">
      <formula>0.8</formula>
    </cfRule>
  </conditionalFormatting>
  <conditionalFormatting sqref="AC51">
    <cfRule type="cellIs" dxfId="163" priority="25" operator="lessThan">
      <formula>0.8</formula>
    </cfRule>
  </conditionalFormatting>
  <conditionalFormatting sqref="O52">
    <cfRule type="cellIs" dxfId="162" priority="16" operator="greaterThan">
      <formula>0</formula>
    </cfRule>
  </conditionalFormatting>
  <conditionalFormatting sqref="P52">
    <cfRule type="cellIs" dxfId="161" priority="20" operator="lessThan">
      <formula>0</formula>
    </cfRule>
  </conditionalFormatting>
  <conditionalFormatting sqref="Q52">
    <cfRule type="cellIs" dxfId="160" priority="17" operator="greaterThan">
      <formula>1</formula>
    </cfRule>
    <cfRule type="cellIs" dxfId="159" priority="18" operator="lessThan">
      <formula>0.8</formula>
    </cfRule>
  </conditionalFormatting>
  <conditionalFormatting sqref="R52 AC52">
    <cfRule type="cellIs" dxfId="158" priority="21" operator="lessThan">
      <formula>0.8</formula>
    </cfRule>
  </conditionalFormatting>
  <conditionalFormatting sqref="AC52">
    <cfRule type="cellIs" dxfId="157" priority="19" operator="lessThan">
      <formula>0.8</formula>
    </cfRule>
  </conditionalFormatting>
  <conditionalFormatting sqref="R25 AC25">
    <cfRule type="cellIs" dxfId="156" priority="15" operator="lessThan">
      <formula>0.8</formula>
    </cfRule>
  </conditionalFormatting>
  <conditionalFormatting sqref="AC25">
    <cfRule type="cellIs" dxfId="155" priority="14" operator="lessThan">
      <formula>0.8</formula>
    </cfRule>
  </conditionalFormatting>
  <conditionalFormatting sqref="O61">
    <cfRule type="cellIs" dxfId="154" priority="9" operator="greaterThan">
      <formula>0</formula>
    </cfRule>
  </conditionalFormatting>
  <conditionalFormatting sqref="P61 AA61">
    <cfRule type="cellIs" dxfId="153" priority="12" operator="lessThan">
      <formula>0</formula>
    </cfRule>
  </conditionalFormatting>
  <conditionalFormatting sqref="Q61 AB61">
    <cfRule type="cellIs" dxfId="152" priority="10" operator="greaterThan">
      <formula>1</formula>
    </cfRule>
    <cfRule type="cellIs" dxfId="151" priority="11" operator="lessThan">
      <formula>0.8</formula>
    </cfRule>
  </conditionalFormatting>
  <conditionalFormatting sqref="R61 AC61">
    <cfRule type="cellIs" dxfId="150" priority="13" operator="lessThan">
      <formula>0.8</formula>
    </cfRule>
  </conditionalFormatting>
  <conditionalFormatting sqref="P8">
    <cfRule type="cellIs" dxfId="149" priority="8" operator="lessThan">
      <formula>0</formula>
    </cfRule>
  </conditionalFormatting>
  <conditionalFormatting sqref="P18">
    <cfRule type="cellIs" dxfId="148" priority="7" operator="lessThan">
      <formula>0</formula>
    </cfRule>
  </conditionalFormatting>
  <conditionalFormatting sqref="P27">
    <cfRule type="cellIs" dxfId="147" priority="6" operator="lessThan">
      <formula>0</formula>
    </cfRule>
  </conditionalFormatting>
  <conditionalFormatting sqref="P35">
    <cfRule type="cellIs" dxfId="146" priority="5" operator="lessThan">
      <formula>0</formula>
    </cfRule>
  </conditionalFormatting>
  <conditionalFormatting sqref="P53">
    <cfRule type="cellIs" dxfId="145" priority="4" operator="lessThan">
      <formula>0</formula>
    </cfRule>
  </conditionalFormatting>
  <conditionalFormatting sqref="P59">
    <cfRule type="cellIs" dxfId="144" priority="3" operator="lessThan">
      <formula>0</formula>
    </cfRule>
  </conditionalFormatting>
  <conditionalFormatting sqref="P66">
    <cfRule type="cellIs" dxfId="143" priority="2" operator="lessThan">
      <formula>0</formula>
    </cfRule>
  </conditionalFormatting>
  <conditionalFormatting sqref="P73">
    <cfRule type="cellIs" dxfId="142" priority="1" operator="lessThan">
      <formula>0</formula>
    </cfRule>
  </conditionalFormatting>
  <dataValidations count="1">
    <dataValidation type="list" allowBlank="1" showInputMessage="1" showErrorMessage="1" sqref="Z8 Z64:Z65 Y5:Z7 Y8:Y65 Z10:Z60 Y66:Z73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"/>
  <dimension ref="B1:Q28"/>
  <sheetViews>
    <sheetView zoomScale="80" zoomScaleNormal="80" workbookViewId="0">
      <selection activeCell="C3" sqref="C3:D3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521" t="s">
        <v>172</v>
      </c>
      <c r="C1" s="521"/>
      <c r="D1" s="521"/>
      <c r="E1" s="521"/>
      <c r="F1" s="521"/>
      <c r="G1" s="521"/>
      <c r="H1" s="521"/>
      <c r="I1" s="521"/>
      <c r="J1" s="521"/>
      <c r="K1" s="28"/>
      <c r="L1" s="28"/>
      <c r="M1" s="28"/>
      <c r="N1" s="28"/>
      <c r="O1" s="28"/>
      <c r="P1" s="28"/>
    </row>
    <row r="2" spans="2:17" ht="27.75" customHeight="1">
      <c r="B2" s="522"/>
      <c r="C2" s="522"/>
      <c r="D2" s="522"/>
      <c r="E2" s="522"/>
      <c r="F2" s="522"/>
      <c r="G2" s="522"/>
      <c r="H2" s="522"/>
      <c r="I2" s="522"/>
      <c r="J2" s="522"/>
      <c r="K2" s="30"/>
      <c r="L2" s="30"/>
      <c r="M2" s="30"/>
      <c r="N2" s="28"/>
      <c r="O2" s="28"/>
      <c r="P2" s="28"/>
    </row>
    <row r="3" spans="2:17" ht="46.5" customHeight="1">
      <c r="B3" s="92" t="s">
        <v>173</v>
      </c>
      <c r="C3" s="523" t="str">
        <f>TEXT('0802 4度C'!A2,"yyyy.mm.ddaaaa")</f>
        <v>2025.08.02星期六</v>
      </c>
      <c r="D3" s="523"/>
      <c r="E3" s="92" t="s">
        <v>174</v>
      </c>
      <c r="F3" s="524">
        <f>'0802 4度C'!D1</f>
        <v>132231</v>
      </c>
      <c r="G3" s="524"/>
      <c r="H3" s="92" t="s">
        <v>90</v>
      </c>
      <c r="I3" s="581">
        <f>'0802 4度C'!F1</f>
        <v>4635761.74</v>
      </c>
      <c r="J3" s="581"/>
      <c r="K3" s="31"/>
      <c r="L3" s="32"/>
      <c r="M3" s="33"/>
      <c r="N3" s="33"/>
    </row>
    <row r="4" spans="2:17" ht="28.5" customHeight="1">
      <c r="B4" s="516" t="s">
        <v>175</v>
      </c>
      <c r="C4" s="516" t="s">
        <v>105</v>
      </c>
      <c r="D4" s="516"/>
      <c r="E4" s="526" t="s">
        <v>106</v>
      </c>
      <c r="F4" s="526"/>
      <c r="G4" s="526" t="s">
        <v>107</v>
      </c>
      <c r="H4" s="526"/>
      <c r="I4" s="526" t="s">
        <v>108</v>
      </c>
      <c r="J4" s="526"/>
      <c r="L4" s="33"/>
      <c r="M4" s="33"/>
      <c r="N4" s="33"/>
    </row>
    <row r="5" spans="2:17" ht="28.5" customHeight="1">
      <c r="B5" s="516"/>
      <c r="C5" s="516" t="s">
        <v>109</v>
      </c>
      <c r="D5" s="516"/>
      <c r="E5" s="516" t="s">
        <v>176</v>
      </c>
      <c r="F5" s="516"/>
      <c r="G5" s="517" t="s">
        <v>110</v>
      </c>
      <c r="H5" s="517"/>
      <c r="I5" s="582" t="s">
        <v>111</v>
      </c>
      <c r="J5" s="582"/>
      <c r="K5" s="33"/>
      <c r="L5" s="33"/>
      <c r="M5" s="33"/>
      <c r="N5" s="33"/>
    </row>
    <row r="6" spans="2:17" ht="28.5" customHeight="1">
      <c r="B6" s="516"/>
      <c r="C6" s="516" t="s">
        <v>43</v>
      </c>
      <c r="D6" s="516"/>
      <c r="E6" s="519">
        <f>AVERAGE(D13:M13)</f>
        <v>147.79158534986519</v>
      </c>
      <c r="F6" s="516">
        <f>AVERAGE(D27:O27,D13:J13)</f>
        <v>153.90077045408182</v>
      </c>
      <c r="G6" s="520">
        <f>AVERAGE(D13:J13)</f>
        <v>153.90077045408182</v>
      </c>
      <c r="H6" s="520"/>
      <c r="I6" s="520">
        <f>AVERAGE(K13:M13)</f>
        <v>133.53682010669306</v>
      </c>
      <c r="J6" s="520"/>
      <c r="K6" s="33"/>
      <c r="L6" s="33"/>
      <c r="M6" s="33"/>
      <c r="N6" s="33"/>
    </row>
    <row r="7" spans="2:17" ht="28.5" customHeight="1">
      <c r="B7" s="516"/>
      <c r="C7" s="510" t="s">
        <v>44</v>
      </c>
      <c r="D7" s="510"/>
      <c r="E7" s="511">
        <f>AVERAGE(D14:M14)</f>
        <v>135.91040154679317</v>
      </c>
      <c r="F7" s="512">
        <f>AVERAGE(D28:O28,D14:J14)</f>
        <v>141.57608591638376</v>
      </c>
      <c r="G7" s="513">
        <f>AVERAGE(D14:J14)</f>
        <v>141.57608591638376</v>
      </c>
      <c r="H7" s="513"/>
      <c r="I7" s="513">
        <f>AVERAGE(K14:M14)</f>
        <v>122.69047135108188</v>
      </c>
      <c r="J7" s="513"/>
      <c r="K7" s="33"/>
      <c r="L7" s="33"/>
      <c r="M7" s="33"/>
      <c r="N7" s="33"/>
    </row>
    <row r="8" spans="2:17" ht="28.5" customHeight="1">
      <c r="B8" s="516"/>
      <c r="C8" s="510" t="s">
        <v>45</v>
      </c>
      <c r="D8" s="510"/>
      <c r="E8" s="514">
        <f>AVERAGE(D15:M15)</f>
        <v>0.91902111401260966</v>
      </c>
      <c r="F8" s="510">
        <f>AVERAGE(D15:J15,D29:O29)</f>
        <v>0.91913865850559717</v>
      </c>
      <c r="G8" s="515">
        <f>AVERAGE(D15:J15)</f>
        <v>0.91913865850559717</v>
      </c>
      <c r="H8" s="515"/>
      <c r="I8" s="515">
        <f>AVERAGE(K15:M15)</f>
        <v>0.91874684352897251</v>
      </c>
      <c r="J8" s="515"/>
      <c r="K8" s="34" t="s">
        <v>178</v>
      </c>
      <c r="L8" s="33"/>
      <c r="M8" s="33"/>
      <c r="N8" s="33"/>
    </row>
    <row r="9" spans="2:17" ht="28.5" customHeight="1" thickBot="1">
      <c r="H9" s="36"/>
      <c r="N9" s="33"/>
      <c r="O9" s="33"/>
      <c r="P9" s="33"/>
      <c r="Q9" s="33"/>
    </row>
    <row r="10" spans="2:17" ht="30" customHeight="1">
      <c r="B10" s="501" t="s">
        <v>179</v>
      </c>
      <c r="C10" s="502"/>
      <c r="D10" s="503" t="s">
        <v>180</v>
      </c>
      <c r="E10" s="504"/>
      <c r="F10" s="504"/>
      <c r="G10" s="504"/>
      <c r="H10" s="504"/>
      <c r="I10" s="504"/>
      <c r="J10" s="505"/>
      <c r="K10" s="506" t="s">
        <v>181</v>
      </c>
      <c r="L10" s="583"/>
      <c r="M10" s="507"/>
      <c r="P10" s="37"/>
      <c r="Q10" s="37"/>
    </row>
    <row r="11" spans="2:17" ht="17.25" customHeight="1">
      <c r="B11" s="493" t="s">
        <v>182</v>
      </c>
      <c r="C11" s="494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39">
        <v>6</v>
      </c>
      <c r="J11" s="40">
        <v>7</v>
      </c>
      <c r="K11" s="38">
        <v>1</v>
      </c>
      <c r="L11" s="39">
        <v>2</v>
      </c>
      <c r="M11" s="40">
        <v>3</v>
      </c>
      <c r="P11" s="37"/>
      <c r="Q11" s="37"/>
    </row>
    <row r="12" spans="2:17" ht="34.15" customHeight="1">
      <c r="B12" s="493"/>
      <c r="C12" s="494"/>
      <c r="D12" s="41" t="s">
        <v>183</v>
      </c>
      <c r="E12" s="42" t="s">
        <v>185</v>
      </c>
      <c r="F12" s="42" t="s">
        <v>186</v>
      </c>
      <c r="G12" s="42" t="s">
        <v>70</v>
      </c>
      <c r="H12" s="42" t="s">
        <v>187</v>
      </c>
      <c r="I12" s="42" t="s">
        <v>188</v>
      </c>
      <c r="J12" s="43" t="s">
        <v>189</v>
      </c>
      <c r="K12" s="41" t="s">
        <v>191</v>
      </c>
      <c r="L12" s="42" t="s">
        <v>192</v>
      </c>
      <c r="M12" s="43" t="s">
        <v>194</v>
      </c>
    </row>
    <row r="13" spans="2:17" ht="40.15" customHeight="1">
      <c r="B13" s="508" t="s">
        <v>116</v>
      </c>
      <c r="C13" s="44" t="s">
        <v>195</v>
      </c>
      <c r="D13" s="45">
        <f>SUMIFS('0802 4度C'!$K:$K,'0802 4度C'!$A:$A,"燴飯線",'0802 4度C'!$B:$B,"平均")</f>
        <v>117.64705882352941</v>
      </c>
      <c r="E13" s="46">
        <f>SUMIFS('0802 4度C'!$K:$K,'0802 4度C'!$A:$A,"沙拉線一線",'0802 4度C'!$B:$B,"平均")</f>
        <v>80.357142857142847</v>
      </c>
      <c r="F13" s="47">
        <f>SUMIFS('0802 4度C'!$K:$K,'0802 4度C'!$A:$A,"沙拉線二線",'0802 4度C'!$B:$B,"平均")</f>
        <v>88.607594936708864</v>
      </c>
      <c r="G13" s="47">
        <f>SUMIFS('0802 4度C'!$K:$K,'0802 4度C'!$A:$A,"沙拉線三線",'0802 4度C'!$B:$B,"平均")</f>
        <v>122.13740458015268</v>
      </c>
      <c r="H13" s="47">
        <f>SUMIFS('0802 4度C'!$K:$K,'0802 4度C'!$A:$A,"自動包裝線",'0802 4度C'!$B:$B,"平均")</f>
        <v>300</v>
      </c>
      <c r="I13" s="47">
        <f>SUMIFS('0802 4度C'!$K:$K,'0802 4度C'!$A:$A,"涼麵一線",'0802 4度C'!$B:$B,"平均")</f>
        <v>114.4578313253012</v>
      </c>
      <c r="J13" s="48">
        <f>SUMIFS('0802 4度C'!$K:$K,'0802 4度C'!$A:$A,"三明治四線",'0802 4度C'!$B:$B,"平均")</f>
        <v>254.09836065573774</v>
      </c>
      <c r="K13" s="49">
        <f>SUMIFS('0802 4度C'!$K:$K,'0802 4度C'!$A:$A,"三明治一線",'0802 4度C'!$B:$B,"平均")</f>
        <v>136.36363636363635</v>
      </c>
      <c r="L13" s="50">
        <f>SUMIFS('0802 4度C'!$K:$K,'0802 4度C'!$A:$A,"三明治二線",'0802 4度C'!$B:$B,"平均")</f>
        <v>126.31578947368421</v>
      </c>
      <c r="M13" s="48">
        <f>SUMIFS('0802 4度C'!$K:$K,'0802 4度C'!$A:$A,"自動包裝二線",'0802 4度C'!$B:$B,"平均")</f>
        <v>137.93103448275863</v>
      </c>
    </row>
    <row r="14" spans="2:17" ht="39.6" customHeight="1">
      <c r="B14" s="508"/>
      <c r="C14" s="51" t="s">
        <v>196</v>
      </c>
      <c r="D14" s="52">
        <f>SUMIFS('0802 4度C'!$N:$N,'0802 4度C'!$A:$A,"燴飯線",'0802 4度C'!$B:$B,"平均")</f>
        <v>108.85638675760154</v>
      </c>
      <c r="E14" s="53">
        <f>SUMIFS('0802 4度C'!$N:$N,'0802 4度C'!$A:$A,"沙拉線一線",'0802 4度C'!$B:$B,"平均")</f>
        <v>73.334318865795169</v>
      </c>
      <c r="F14" s="53">
        <f>SUMIFS('0802 4度C'!$N:$N,'0802 4度C'!$A:$A,"沙拉線二線",'0802 4度C'!$B:$B,"平均")</f>
        <v>81.365857471838524</v>
      </c>
      <c r="G14" s="53">
        <f>SUMIFS('0802 4度C'!$N:$N,'0802 4度C'!$A:$A,"沙拉線三線",'0802 4度C'!$B:$B,"平均")</f>
        <v>112.37821877779932</v>
      </c>
      <c r="H14" s="53">
        <f>SUMIFS('0802 4度C'!$N:$N,'0802 4度C'!$A:$A,"自動包裝線",'0802 4度C'!$B:$B,"平均")</f>
        <v>275.84011663740165</v>
      </c>
      <c r="I14" s="53">
        <f>SUMIFS('0802 4度C'!$N:$N,'0802 4度C'!$A:$A,"涼麵一線",'0802 4度C'!$B:$B,"平均")</f>
        <v>104.78445492518735</v>
      </c>
      <c r="J14" s="54">
        <f>SUMIFS('0802 4度C'!$N:$N,'0802 4度C'!$A:$A,"三明治四線",'0802 4度C'!$B:$B,"平均")</f>
        <v>234.47324797906282</v>
      </c>
      <c r="K14" s="55">
        <f>SUMIFS('0802 4度C'!$N:$N,'0802 4度C'!$A:$A,"三明治一線",'0802 4度C'!$B:$B,"平均")</f>
        <v>125.08821402590097</v>
      </c>
      <c r="L14" s="56">
        <f>SUMIFS('0802 4度C'!$N:$N,'0802 4度C'!$A:$A,"三明治二線",'0802 4度C'!$B:$B,"平均")</f>
        <v>115.94814129809203</v>
      </c>
      <c r="M14" s="54">
        <f>SUMIFS('0802 4度C'!$N:$N,'0802 4度C'!$A:$A,"自動包裝二線",'0802 4度C'!$B:$B,"平均")</f>
        <v>127.03505872925264</v>
      </c>
    </row>
    <row r="15" spans="2:17" ht="40.15" customHeight="1">
      <c r="B15" s="508"/>
      <c r="C15" s="57" t="s">
        <v>197</v>
      </c>
      <c r="D15" s="58">
        <f>D14/D13</f>
        <v>0.92527928743961319</v>
      </c>
      <c r="E15" s="59">
        <f t="shared" ref="E15:M15" si="0">E14/E13</f>
        <v>0.91260485699656224</v>
      </c>
      <c r="F15" s="59">
        <f t="shared" si="0"/>
        <v>0.9182718200393204</v>
      </c>
      <c r="G15" s="59">
        <f t="shared" si="0"/>
        <v>0.92009666624323194</v>
      </c>
      <c r="H15" s="59">
        <f>H14/H13</f>
        <v>0.91946705545800544</v>
      </c>
      <c r="I15" s="59">
        <f>I14/I13</f>
        <v>0.9154852377674263</v>
      </c>
      <c r="J15" s="60">
        <f>J14/J13</f>
        <v>0.92276568559502126</v>
      </c>
      <c r="K15" s="58">
        <f>K14/K13</f>
        <v>0.91731356952327392</v>
      </c>
      <c r="L15" s="59">
        <f>L14/L13</f>
        <v>0.9179227852765619</v>
      </c>
      <c r="M15" s="60">
        <f t="shared" si="0"/>
        <v>0.9210041757870816</v>
      </c>
    </row>
    <row r="16" spans="2:17" ht="17.25" customHeight="1">
      <c r="B16" s="509" t="s">
        <v>198</v>
      </c>
      <c r="C16" s="91" t="s">
        <v>71</v>
      </c>
      <c r="D16" s="61">
        <f>VLOOKUP("燴飯線",'0802 4度C'!$A:$T,19,0)</f>
        <v>0.70833333333333337</v>
      </c>
      <c r="E16" s="24">
        <f>VLOOKUP("沙拉線一線",'0802 4度C'!$A:$T,19,0)</f>
        <v>0.12986111111111112</v>
      </c>
      <c r="F16" s="24">
        <f>VLOOKUP("沙拉線二線",'0802 4度C'!$A:$T,19,0)</f>
        <v>0.25</v>
      </c>
      <c r="G16" s="24">
        <f>VLOOKUP("沙拉線三線",'0802 4度C'!$A:$T,19,0)</f>
        <v>0.16666666666666666</v>
      </c>
      <c r="H16" s="24">
        <f>VLOOKUP("自動包裝線",'0802 4度C'!$A:$T,19,0)</f>
        <v>0.20833333333333334</v>
      </c>
      <c r="I16" s="24">
        <f>VLOOKUP("涼麵一線",'0802 4度C'!$A:$T,19,0)</f>
        <v>0.29166666666666669</v>
      </c>
      <c r="J16" s="62">
        <f>VLOOKUP("三明治四線",'0802 4度C'!$A:$T,19,0)</f>
        <v>0.20833333333333334</v>
      </c>
      <c r="K16" s="63">
        <f>VLOOKUP("三明治一線",'0802 4度C'!$A:$T,19,0)</f>
        <v>0.125</v>
      </c>
      <c r="L16" s="64">
        <f>VLOOKUP("三明治二線",'0802 4度C'!$A:$T,19,0)</f>
        <v>0.125</v>
      </c>
      <c r="M16" s="65">
        <f>VLOOKUP("自動包裝二線",'0802 4度C'!$A:$T,19,0)</f>
        <v>0.125</v>
      </c>
    </row>
    <row r="17" spans="2:13" ht="17.25" customHeight="1">
      <c r="B17" s="493"/>
      <c r="C17" s="91" t="s">
        <v>199</v>
      </c>
      <c r="D17" s="63">
        <f>LOOKUP(2,1/(('0802 4度C'!$A:$A="燴飯線")*('0802 4度C'!$T:$T&lt;&gt;"")),'0802 4度C'!$T:$T)</f>
        <v>0.83125000000000004</v>
      </c>
      <c r="E17" s="24">
        <f>LOOKUP(2,1/(('0802 4度C'!$A:$A="沙拉線一線")*('0802 4度C'!$T:$T&lt;&gt;"")),'0802 4度C'!$T:$T)</f>
        <v>0.52708333333333324</v>
      </c>
      <c r="F17" s="24">
        <f>LOOKUP(2,1/(('0802 4度C'!$A:$A="沙拉線二線")*('0802 4度C'!$T:$T&lt;&gt;"")),'0802 4度C'!$T:$T)</f>
        <v>0.85138888888888897</v>
      </c>
      <c r="G17" s="24">
        <f>LOOKUP(2,1/(('0802 4度C'!$A:$A="沙拉線三線")*('0802 4度C'!$T:$T&lt;&gt;"")),'0802 4度C'!$T:$T)</f>
        <v>0.80277777777777781</v>
      </c>
      <c r="H17" s="24">
        <f>LOOKUP(2,1/(('0802 4度C'!$A:$A="自動包裝線")*('0802 4度C'!$T:$T&lt;&gt;"")),'0802 4度C'!$T:$T)</f>
        <v>0.51874999999999993</v>
      </c>
      <c r="I17" s="24">
        <f>LOOKUP(2,1/(('0802 4度C'!$A:$A="涼麵一線")*('0802 4度C'!$T:$T&lt;&gt;"")),'0802 4度C'!$T:$T)</f>
        <v>0.8388888888888888</v>
      </c>
      <c r="J17" s="62">
        <f>LOOKUP(2,1/(('0802 4度C'!$A:$A="三明治四線")*('0802 4度C'!$T:$T&lt;&gt;"")),'0802 4度C'!$T:$T)</f>
        <v>0.46527777777777768</v>
      </c>
      <c r="K17" s="61">
        <f>LOOKUP(2,1/(('0802 4度C'!$A:$A="三明治一線")*('0802 4度C'!$T:$T&lt;&gt;"")),'0802 4度C'!$T:$T)</f>
        <v>0.48402777777777772</v>
      </c>
      <c r="L17" s="24">
        <f>LOOKUP(2,1/(('0802 4度C'!$A:$A="三明治二線")*('0802 4度C'!$T:$T&lt;&gt;"")),'0802 4度C'!$T:$T)</f>
        <v>0.49444444444444441</v>
      </c>
      <c r="M17" s="62">
        <f>LOOKUP(2,1/(('0802 4度C'!$A:$A="自動包裝二線")*('0802 4度C'!$T:$T&lt;&gt;"")),'0802 4度C'!$T:$T)</f>
        <v>0.46597222222222223</v>
      </c>
    </row>
    <row r="18" spans="2:13" ht="17.25" customHeight="1">
      <c r="B18" s="493" t="s">
        <v>91</v>
      </c>
      <c r="C18" s="494"/>
      <c r="D18" s="66">
        <f>SUMIFS('0802 4度C'!$I:$I,'0802 4度C'!$A:$A,"燴飯線",'0802 4度C'!$B:$B,"平均")</f>
        <v>17</v>
      </c>
      <c r="E18" s="67">
        <f>SUMIFS('0802 4度C'!$I:$I,'0802 4度C'!$A:$A,"沙拉線一線",'0802 4度C'!$B:$B,"平均")</f>
        <v>18.666666666666668</v>
      </c>
      <c r="F18" s="67">
        <f>SUMIFS('0802 4度C'!$I:$I,'0802 4度C'!$A:$A,"沙拉線二線",'0802 4度C'!$B:$B,"平均")</f>
        <v>19.75</v>
      </c>
      <c r="G18" s="67">
        <f>SUMIFS('0802 4度C'!$I:$I,'0802 4度C'!$A:$A,"沙拉線三線",'0802 4度C'!$B:$B,"平均")</f>
        <v>16.375</v>
      </c>
      <c r="H18" s="67">
        <f>SUMIFS('0802 4度C'!$I:$I,'0802 4度C'!$A:$A,"自動包裝線",'0802 4度C'!$B:$B,"平均")</f>
        <v>10</v>
      </c>
      <c r="I18" s="67">
        <f>SUMIFS('0802 4度C'!$I:$I,'0802 4度C'!$A:$A,"涼麵一線",'0802 4度C'!$B:$B,"平均")</f>
        <v>16.600000000000001</v>
      </c>
      <c r="J18" s="68">
        <f>SUMIFS('0802 4度C'!$I:$I,'0802 4度C'!$A:$A,"三明治四線",'0802 4度C'!$B:$B,"平均")</f>
        <v>10.166666666666666</v>
      </c>
      <c r="K18" s="66">
        <f>SUMIFS('0802 4度C'!$I:$I,'0802 4度C'!$A:$A,"三明治一線",'0802 4度C'!$B:$B,"平均")</f>
        <v>17.600000000000001</v>
      </c>
      <c r="L18" s="67">
        <f>SUMIFS('0802 4度C'!$I:$I,'0802 4度C'!$A:$A,"三明治二線",'0802 4度C'!$B:$B,"平均")</f>
        <v>19</v>
      </c>
      <c r="M18" s="68">
        <f>SUMIFS('0802 4度C'!$I:$I,'0802 4度C'!$A:$A,"自動包裝二線",'0802 4度C'!$B:$B,"平均")</f>
        <v>17.399999999999999</v>
      </c>
    </row>
    <row r="19" spans="2:13" ht="17.25" customHeight="1">
      <c r="B19" s="495" t="s">
        <v>92</v>
      </c>
      <c r="C19" s="496"/>
      <c r="D19" s="69" t="s">
        <v>46</v>
      </c>
      <c r="E19" s="70" t="s">
        <v>47</v>
      </c>
      <c r="F19" s="70" t="s">
        <v>200</v>
      </c>
      <c r="G19" s="70" t="s">
        <v>200</v>
      </c>
      <c r="H19" s="70" t="s">
        <v>48</v>
      </c>
      <c r="I19" s="70" t="s">
        <v>46</v>
      </c>
      <c r="J19" s="71" t="s">
        <v>48</v>
      </c>
      <c r="K19" s="69" t="s">
        <v>72</v>
      </c>
      <c r="L19" s="70" t="s">
        <v>72</v>
      </c>
      <c r="M19" s="71" t="s">
        <v>72</v>
      </c>
    </row>
    <row r="20" spans="2:13" ht="17.25" customHeight="1">
      <c r="B20" s="495" t="s">
        <v>201</v>
      </c>
      <c r="C20" s="496"/>
      <c r="D20" s="69"/>
      <c r="E20" s="70"/>
      <c r="F20" s="70" t="s">
        <v>202</v>
      </c>
      <c r="G20" s="70" t="s">
        <v>46</v>
      </c>
      <c r="H20" s="70"/>
      <c r="I20" s="70"/>
      <c r="J20" s="71"/>
      <c r="K20" s="69"/>
      <c r="L20" s="70"/>
      <c r="M20" s="71"/>
    </row>
    <row r="21" spans="2:13" ht="17.25" customHeight="1" thickBot="1">
      <c r="B21" s="497" t="s">
        <v>203</v>
      </c>
      <c r="C21" s="498"/>
      <c r="D21" s="72"/>
      <c r="E21" s="73" t="s">
        <v>204</v>
      </c>
      <c r="F21" s="499" t="s">
        <v>205</v>
      </c>
      <c r="G21" s="500"/>
      <c r="H21" s="73" t="s">
        <v>206</v>
      </c>
      <c r="I21" s="73" t="s">
        <v>207</v>
      </c>
      <c r="J21" s="74" t="s">
        <v>206</v>
      </c>
      <c r="K21" s="75"/>
      <c r="L21" s="73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14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">
    <pageSetUpPr fitToPage="1"/>
  </sheetPr>
  <dimension ref="A1:AC66"/>
  <sheetViews>
    <sheetView zoomScale="80" zoomScaleNormal="80" workbookViewId="0">
      <pane ySplit="4" topLeftCell="A5" activePane="bottomLeft" state="frozen"/>
      <selection activeCell="C3" sqref="C3:D3"/>
      <selection pane="bottomLeft" activeCell="C3" sqref="C3:D3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6.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208</v>
      </c>
      <c r="B1" s="1"/>
      <c r="C1" s="2" t="s">
        <v>96</v>
      </c>
      <c r="D1" s="3">
        <f>SUM(F5:F65)</f>
        <v>132231</v>
      </c>
      <c r="E1" s="93" t="s">
        <v>113</v>
      </c>
      <c r="F1" s="1">
        <f>SUM(G5:G65)</f>
        <v>4635761.74</v>
      </c>
      <c r="G1" s="1" t="s">
        <v>209</v>
      </c>
      <c r="H1" s="4">
        <f>L8+L12+L46+L52+L17+L59+L32+L39+L26+L65</f>
        <v>162.55833333333337</v>
      </c>
      <c r="I1" s="572" t="s">
        <v>210</v>
      </c>
      <c r="J1" s="572"/>
      <c r="K1" s="572"/>
      <c r="L1" s="572" t="s">
        <v>211</v>
      </c>
      <c r="M1" s="572"/>
      <c r="N1" s="572"/>
      <c r="O1" s="572" t="s">
        <v>97</v>
      </c>
      <c r="P1" s="572"/>
      <c r="Q1" s="572"/>
      <c r="R1" s="572"/>
      <c r="S1" s="572" t="s">
        <v>98</v>
      </c>
      <c r="T1" s="572"/>
      <c r="U1" s="572"/>
      <c r="V1" s="572"/>
      <c r="W1" s="572"/>
      <c r="X1" s="572"/>
      <c r="Y1" s="572" t="s">
        <v>115</v>
      </c>
      <c r="Z1" s="572"/>
      <c r="AA1" s="572" t="s">
        <v>212</v>
      </c>
      <c r="AB1" s="573"/>
      <c r="AC1" s="573"/>
    </row>
    <row r="2" spans="1:29" ht="26.25" customHeight="1">
      <c r="A2" s="22">
        <v>45871</v>
      </c>
      <c r="B2" s="23" t="s">
        <v>213</v>
      </c>
      <c r="C2" s="2" t="s">
        <v>116</v>
      </c>
      <c r="D2" s="6">
        <f>AVERAGE(N8,N12,N46,N52,N17,N59,N26,N32,N39,N65)</f>
        <v>135.9104015467932</v>
      </c>
      <c r="E2" s="7" t="s">
        <v>0</v>
      </c>
      <c r="F2" s="8">
        <f>F1/D1</f>
        <v>35.058055524045045</v>
      </c>
      <c r="G2" s="1" t="s">
        <v>117</v>
      </c>
      <c r="H2" s="104">
        <f>COUNT(H5:H65)</f>
        <v>0</v>
      </c>
      <c r="I2" s="572"/>
      <c r="J2" s="572"/>
      <c r="K2" s="572"/>
      <c r="L2" s="572"/>
      <c r="M2" s="572"/>
      <c r="N2" s="572"/>
      <c r="O2" s="572"/>
      <c r="P2" s="572"/>
      <c r="Q2" s="572"/>
      <c r="R2" s="572"/>
      <c r="S2" s="572"/>
      <c r="T2" s="572"/>
      <c r="U2" s="572"/>
      <c r="V2" s="572"/>
      <c r="W2" s="572"/>
      <c r="X2" s="572"/>
      <c r="Y2" s="572"/>
      <c r="Z2" s="572"/>
      <c r="AA2" s="573"/>
      <c r="AB2" s="573"/>
      <c r="AC2" s="573"/>
    </row>
    <row r="3" spans="1:29" ht="23.25" customHeight="1">
      <c r="A3" s="528" t="s">
        <v>214</v>
      </c>
      <c r="B3" s="528" t="s">
        <v>118</v>
      </c>
      <c r="C3" s="528" t="s">
        <v>119</v>
      </c>
      <c r="D3" s="528"/>
      <c r="E3" s="570" t="s">
        <v>157</v>
      </c>
      <c r="F3" s="528" t="s">
        <v>120</v>
      </c>
      <c r="G3" s="570" t="s">
        <v>215</v>
      </c>
      <c r="H3" s="563" t="s">
        <v>99</v>
      </c>
      <c r="I3" s="561" t="s">
        <v>101</v>
      </c>
      <c r="J3" s="566" t="s">
        <v>162</v>
      </c>
      <c r="K3" s="568" t="s">
        <v>116</v>
      </c>
      <c r="L3" s="561" t="s">
        <v>101</v>
      </c>
      <c r="M3" s="566" t="s">
        <v>162</v>
      </c>
      <c r="N3" s="568" t="s">
        <v>116</v>
      </c>
      <c r="O3" s="561" t="s">
        <v>101</v>
      </c>
      <c r="P3" s="568" t="s">
        <v>116</v>
      </c>
      <c r="Q3" s="567" t="s">
        <v>102</v>
      </c>
      <c r="R3" s="542" t="s">
        <v>86</v>
      </c>
      <c r="S3" s="569" t="s">
        <v>1</v>
      </c>
      <c r="T3" s="569"/>
      <c r="U3" s="563" t="s">
        <v>2</v>
      </c>
      <c r="V3" s="563" t="s">
        <v>66</v>
      </c>
      <c r="W3" s="528" t="s">
        <v>160</v>
      </c>
      <c r="X3" s="528"/>
      <c r="Y3" s="564" t="s">
        <v>161</v>
      </c>
      <c r="Z3" s="565"/>
      <c r="AA3" s="566" t="s">
        <v>162</v>
      </c>
      <c r="AB3" s="567" t="s">
        <v>102</v>
      </c>
      <c r="AC3" s="542" t="s">
        <v>86</v>
      </c>
    </row>
    <row r="4" spans="1:29">
      <c r="A4" s="528"/>
      <c r="B4" s="528"/>
      <c r="C4" s="528"/>
      <c r="D4" s="528"/>
      <c r="E4" s="571"/>
      <c r="F4" s="528"/>
      <c r="G4" s="571"/>
      <c r="H4" s="563"/>
      <c r="I4" s="561"/>
      <c r="J4" s="566"/>
      <c r="K4" s="568"/>
      <c r="L4" s="561"/>
      <c r="M4" s="566"/>
      <c r="N4" s="568"/>
      <c r="O4" s="561"/>
      <c r="P4" s="568"/>
      <c r="Q4" s="567"/>
      <c r="R4" s="542"/>
      <c r="S4" s="103" t="s">
        <v>3</v>
      </c>
      <c r="T4" s="103" t="s">
        <v>4</v>
      </c>
      <c r="U4" s="563"/>
      <c r="V4" s="563"/>
      <c r="W4" s="93" t="s">
        <v>103</v>
      </c>
      <c r="X4" s="93" t="s">
        <v>75</v>
      </c>
      <c r="Y4" s="565"/>
      <c r="Z4" s="565"/>
      <c r="AA4" s="566"/>
      <c r="AB4" s="567"/>
      <c r="AC4" s="542"/>
    </row>
    <row r="5" spans="1:29">
      <c r="A5" s="560" t="s">
        <v>104</v>
      </c>
      <c r="B5" s="26" t="s">
        <v>13</v>
      </c>
      <c r="C5" s="562" t="s">
        <v>53</v>
      </c>
      <c r="D5" s="562"/>
      <c r="E5" s="26">
        <v>46.93</v>
      </c>
      <c r="F5" s="103">
        <v>999</v>
      </c>
      <c r="G5" s="93">
        <f>E5*F5</f>
        <v>46883.07</v>
      </c>
      <c r="H5" s="76" t="s">
        <v>52</v>
      </c>
      <c r="I5" s="101">
        <v>17</v>
      </c>
      <c r="J5" s="18">
        <v>2000</v>
      </c>
      <c r="K5" s="9">
        <f>J5/I5</f>
        <v>117.64705882352941</v>
      </c>
      <c r="L5" s="101">
        <v>17</v>
      </c>
      <c r="M5" s="10">
        <f>F5/V5*60</f>
        <v>1873.1249999999975</v>
      </c>
      <c r="N5" s="9">
        <f>M5/L5</f>
        <v>110.18382352941161</v>
      </c>
      <c r="O5" s="11">
        <f t="shared" ref="O5:O7" si="0">L5-I5</f>
        <v>0</v>
      </c>
      <c r="P5" s="12">
        <f t="shared" ref="P5:P7" si="1">N5-K5</f>
        <v>-7.4632352941177942</v>
      </c>
      <c r="Q5" s="95">
        <f>N5/K5</f>
        <v>0.93656249999999874</v>
      </c>
      <c r="R5" s="533">
        <f>Q8</f>
        <v>0.92527928743961319</v>
      </c>
      <c r="S5" s="24">
        <v>0.70833333333333337</v>
      </c>
      <c r="T5" s="24">
        <v>0.73055555555555562</v>
      </c>
      <c r="U5" s="93"/>
      <c r="V5" s="102">
        <f>(T5-S5)*24*60</f>
        <v>32.000000000000043</v>
      </c>
      <c r="W5" s="13"/>
      <c r="X5" s="13"/>
      <c r="Y5" s="528"/>
      <c r="Z5" s="528"/>
      <c r="AA5" s="11">
        <f t="shared" ref="AA5:AA65" si="2">M5-J5</f>
        <v>-126.8750000000025</v>
      </c>
      <c r="AB5" s="95">
        <f t="shared" ref="AB5:AB7" si="3">M5/J5</f>
        <v>0.93656249999999874</v>
      </c>
      <c r="AC5" s="533">
        <f>AB8</f>
        <v>0.92527928743961307</v>
      </c>
    </row>
    <row r="6" spans="1:29">
      <c r="A6" s="561" t="s">
        <v>104</v>
      </c>
      <c r="B6" s="26" t="s">
        <v>13</v>
      </c>
      <c r="C6" s="562" t="s">
        <v>55</v>
      </c>
      <c r="D6" s="562"/>
      <c r="E6" s="26">
        <v>50.49</v>
      </c>
      <c r="F6" s="103">
        <v>1925</v>
      </c>
      <c r="G6" s="93">
        <f t="shared" ref="G6:G7" si="4">E6*F6</f>
        <v>97193.25</v>
      </c>
      <c r="H6" s="76" t="s">
        <v>52</v>
      </c>
      <c r="I6" s="101">
        <v>16</v>
      </c>
      <c r="J6" s="18">
        <v>2000</v>
      </c>
      <c r="K6" s="9">
        <f t="shared" ref="K6:K7" si="5">J6/I6</f>
        <v>125</v>
      </c>
      <c r="L6" s="101">
        <v>16</v>
      </c>
      <c r="M6" s="10">
        <f>F6/V6*60</f>
        <v>1833.3333333333351</v>
      </c>
      <c r="N6" s="9">
        <f t="shared" ref="N6:N7" si="6">M6/L6</f>
        <v>114.58333333333344</v>
      </c>
      <c r="O6" s="11">
        <f t="shared" si="0"/>
        <v>0</v>
      </c>
      <c r="P6" s="12">
        <f t="shared" si="1"/>
        <v>-10.416666666666558</v>
      </c>
      <c r="Q6" s="95">
        <f t="shared" ref="Q6:Q7" si="7">N6/K6</f>
        <v>0.91666666666666752</v>
      </c>
      <c r="R6" s="533"/>
      <c r="S6" s="24">
        <v>0.73611111111111116</v>
      </c>
      <c r="T6" s="24">
        <v>0.77986111111111112</v>
      </c>
      <c r="U6" s="93">
        <f>(S6-T5)*24*60</f>
        <v>7.9999999999999716</v>
      </c>
      <c r="V6" s="102">
        <f>(T6-S6)*24*60</f>
        <v>62.999999999999936</v>
      </c>
      <c r="W6" s="14"/>
      <c r="X6" s="14"/>
      <c r="Y6" s="528"/>
      <c r="Z6" s="528"/>
      <c r="AA6" s="11">
        <f t="shared" si="2"/>
        <v>-166.66666666666492</v>
      </c>
      <c r="AB6" s="95">
        <f t="shared" si="3"/>
        <v>0.91666666666666752</v>
      </c>
      <c r="AC6" s="533"/>
    </row>
    <row r="7" spans="1:29">
      <c r="A7" s="561" t="s">
        <v>104</v>
      </c>
      <c r="B7" s="26" t="s">
        <v>13</v>
      </c>
      <c r="C7" s="558" t="s">
        <v>76</v>
      </c>
      <c r="D7" s="559"/>
      <c r="E7" s="26">
        <v>50.67</v>
      </c>
      <c r="F7" s="103">
        <v>2122</v>
      </c>
      <c r="G7" s="93">
        <f t="shared" si="4"/>
        <v>107521.74</v>
      </c>
      <c r="H7" s="76" t="s">
        <v>52</v>
      </c>
      <c r="I7" s="101">
        <v>18</v>
      </c>
      <c r="J7" s="18">
        <v>2000</v>
      </c>
      <c r="K7" s="9">
        <f t="shared" si="5"/>
        <v>111.11111111111111</v>
      </c>
      <c r="L7" s="101">
        <v>18</v>
      </c>
      <c r="M7" s="10">
        <f t="shared" ref="M7" si="8">F7/V7*60</f>
        <v>1845.2173913043459</v>
      </c>
      <c r="N7" s="9">
        <f t="shared" si="6"/>
        <v>102.51207729468588</v>
      </c>
      <c r="O7" s="11">
        <f t="shared" si="0"/>
        <v>0</v>
      </c>
      <c r="P7" s="12">
        <f t="shared" si="1"/>
        <v>-8.5990338164252336</v>
      </c>
      <c r="Q7" s="95">
        <f t="shared" si="7"/>
        <v>0.92260869565217285</v>
      </c>
      <c r="R7" s="533"/>
      <c r="S7" s="24">
        <v>0.78333333333333333</v>
      </c>
      <c r="T7" s="24">
        <v>0.83125000000000004</v>
      </c>
      <c r="U7" s="93">
        <f t="shared" ref="U7" si="9">(S7-T6)*24*60</f>
        <v>4.9999999999999822</v>
      </c>
      <c r="V7" s="102">
        <f t="shared" ref="V7" si="10">(T7-S7)*24*60</f>
        <v>69.000000000000071</v>
      </c>
      <c r="W7" s="14"/>
      <c r="X7" s="14"/>
      <c r="Y7" s="536"/>
      <c r="Z7" s="537"/>
      <c r="AA7" s="11">
        <f t="shared" si="2"/>
        <v>-154.78260869565406</v>
      </c>
      <c r="AB7" s="95">
        <f t="shared" si="3"/>
        <v>0.92260869565217296</v>
      </c>
      <c r="AC7" s="533"/>
    </row>
    <row r="8" spans="1:29">
      <c r="A8" s="561" t="s">
        <v>104</v>
      </c>
      <c r="B8" s="26" t="s">
        <v>82</v>
      </c>
      <c r="C8" s="530"/>
      <c r="D8" s="530"/>
      <c r="E8" s="94"/>
      <c r="F8" s="16"/>
      <c r="G8" s="9"/>
      <c r="H8" s="103"/>
      <c r="I8" s="17">
        <v>17</v>
      </c>
      <c r="J8" s="18">
        <v>2000</v>
      </c>
      <c r="K8" s="9">
        <f>J8/I8</f>
        <v>117.64705882352941</v>
      </c>
      <c r="L8" s="17">
        <v>17</v>
      </c>
      <c r="M8" s="10">
        <f>AVERAGE(M5:M7)</f>
        <v>1850.5585748792262</v>
      </c>
      <c r="N8" s="9">
        <f>M8/L8</f>
        <v>108.85638675760154</v>
      </c>
      <c r="O8" s="11">
        <f>L8-I8</f>
        <v>0</v>
      </c>
      <c r="P8" s="12">
        <f>N8-K8</f>
        <v>-8.7906720659278648</v>
      </c>
      <c r="Q8" s="95">
        <f>N8/K8</f>
        <v>0.92527928743961319</v>
      </c>
      <c r="R8" s="533"/>
      <c r="S8" s="24"/>
      <c r="T8" s="24"/>
      <c r="U8" s="93"/>
      <c r="V8" s="102"/>
      <c r="W8" s="9"/>
      <c r="X8" s="9"/>
      <c r="Y8" s="528"/>
      <c r="Z8" s="528"/>
      <c r="AA8" s="11">
        <f t="shared" si="2"/>
        <v>-149.44142512077383</v>
      </c>
      <c r="AB8" s="95">
        <f>M8/J8</f>
        <v>0.92527928743961307</v>
      </c>
      <c r="AC8" s="533"/>
    </row>
    <row r="9" spans="1:29" ht="15.75" customHeight="1">
      <c r="A9" s="531" t="s">
        <v>164</v>
      </c>
      <c r="B9" s="26" t="s">
        <v>15</v>
      </c>
      <c r="C9" s="558" t="s">
        <v>16</v>
      </c>
      <c r="D9" s="559"/>
      <c r="E9" s="26">
        <v>39.619999999999997</v>
      </c>
      <c r="F9" s="103">
        <v>3652</v>
      </c>
      <c r="G9" s="93">
        <f t="shared" ref="G9:G11" si="11">E9*F9</f>
        <v>144692.24</v>
      </c>
      <c r="H9" s="76" t="s">
        <v>52</v>
      </c>
      <c r="I9" s="101">
        <v>19</v>
      </c>
      <c r="J9" s="18">
        <v>1500</v>
      </c>
      <c r="K9" s="9">
        <f t="shared" ref="K9:K11" si="12">J9/I9</f>
        <v>78.94736842105263</v>
      </c>
      <c r="L9" s="101">
        <v>19</v>
      </c>
      <c r="M9" s="10">
        <f t="shared" ref="M9:M11" si="13">F9/V9*60</f>
        <v>1369.5</v>
      </c>
      <c r="N9" s="9">
        <f t="shared" ref="N9:N11" si="14">M9/L9</f>
        <v>72.078947368421055</v>
      </c>
      <c r="O9" s="11">
        <f t="shared" ref="O9:O11" si="15">L9-I9</f>
        <v>0</v>
      </c>
      <c r="P9" s="12">
        <f>N9-K9</f>
        <v>-6.8684210526315752</v>
      </c>
      <c r="Q9" s="95">
        <f>N9/K9</f>
        <v>0.91300000000000003</v>
      </c>
      <c r="R9" s="533">
        <f>Q12</f>
        <v>0.91260485699656224</v>
      </c>
      <c r="S9" s="24">
        <v>0.12986111111111112</v>
      </c>
      <c r="T9" s="24">
        <v>0.24097222222222223</v>
      </c>
      <c r="U9" s="93"/>
      <c r="V9" s="102">
        <f t="shared" ref="V9:V11" si="16">(T9-S9)*24*60</f>
        <v>160</v>
      </c>
      <c r="W9" s="24">
        <f>T9</f>
        <v>0.24097222222222223</v>
      </c>
      <c r="X9" s="24">
        <f>S10</f>
        <v>0.26458333333333334</v>
      </c>
      <c r="Y9" s="528"/>
      <c r="Z9" s="528"/>
      <c r="AA9" s="11">
        <f t="shared" si="2"/>
        <v>-130.5</v>
      </c>
      <c r="AB9" s="95">
        <f>M9/J9</f>
        <v>0.91300000000000003</v>
      </c>
      <c r="AC9" s="533">
        <f>AB12</f>
        <v>0.91260485699656224</v>
      </c>
    </row>
    <row r="10" spans="1:29" ht="15.75" customHeight="1">
      <c r="A10" s="531" t="s">
        <v>5</v>
      </c>
      <c r="B10" s="26" t="s">
        <v>15</v>
      </c>
      <c r="C10" s="558" t="s">
        <v>17</v>
      </c>
      <c r="D10" s="559"/>
      <c r="E10" s="26">
        <v>39.799999999999997</v>
      </c>
      <c r="F10" s="103">
        <v>4947</v>
      </c>
      <c r="G10" s="93">
        <f t="shared" si="11"/>
        <v>196890.59999999998</v>
      </c>
      <c r="H10" s="76" t="s">
        <v>52</v>
      </c>
      <c r="I10" s="101">
        <v>18</v>
      </c>
      <c r="J10" s="18">
        <v>1500</v>
      </c>
      <c r="K10" s="9">
        <f t="shared" si="12"/>
        <v>83.333333333333329</v>
      </c>
      <c r="L10" s="101">
        <v>18</v>
      </c>
      <c r="M10" s="10">
        <f t="shared" si="13"/>
        <v>1367.8341013824888</v>
      </c>
      <c r="N10" s="9">
        <f t="shared" si="14"/>
        <v>75.990783410138263</v>
      </c>
      <c r="O10" s="11">
        <f t="shared" si="15"/>
        <v>0</v>
      </c>
      <c r="P10" s="12">
        <f t="shared" ref="P10:P11" si="17">N10-K10</f>
        <v>-7.3425499231950653</v>
      </c>
      <c r="Q10" s="95">
        <f t="shared" ref="Q10:Q11" si="18">N10/K10</f>
        <v>0.91188940092165927</v>
      </c>
      <c r="R10" s="533"/>
      <c r="S10" s="24">
        <v>0.26458333333333334</v>
      </c>
      <c r="T10" s="24">
        <v>0.41527777777777775</v>
      </c>
      <c r="U10" s="93">
        <f>(S10-T9)*24*60</f>
        <v>34</v>
      </c>
      <c r="V10" s="102">
        <f t="shared" si="16"/>
        <v>216.99999999999994</v>
      </c>
      <c r="W10" s="14"/>
      <c r="X10" s="14"/>
      <c r="Y10" s="528"/>
      <c r="Z10" s="528"/>
      <c r="AA10" s="11">
        <f t="shared" si="2"/>
        <v>-132.16589861751117</v>
      </c>
      <c r="AB10" s="95">
        <f t="shared" ref="AB10:AB26" si="19">M10/J10</f>
        <v>0.91188940092165927</v>
      </c>
      <c r="AC10" s="533"/>
    </row>
    <row r="11" spans="1:29" ht="15.75" customHeight="1">
      <c r="A11" s="531" t="s">
        <v>5</v>
      </c>
      <c r="B11" s="26" t="s">
        <v>15</v>
      </c>
      <c r="C11" s="558" t="s">
        <v>80</v>
      </c>
      <c r="D11" s="559"/>
      <c r="E11" s="26">
        <v>39.29</v>
      </c>
      <c r="F11" s="103">
        <v>3355</v>
      </c>
      <c r="G11" s="93">
        <f t="shared" si="11"/>
        <v>131817.95000000001</v>
      </c>
      <c r="H11" s="76" t="s">
        <v>52</v>
      </c>
      <c r="I11" s="101">
        <v>19</v>
      </c>
      <c r="J11" s="18">
        <v>1500</v>
      </c>
      <c r="K11" s="9">
        <f t="shared" si="12"/>
        <v>78.94736842105263</v>
      </c>
      <c r="L11" s="101">
        <v>19</v>
      </c>
      <c r="M11" s="10">
        <f t="shared" si="13"/>
        <v>1369.3877551020414</v>
      </c>
      <c r="N11" s="9">
        <f t="shared" si="14"/>
        <v>72.0730397422127</v>
      </c>
      <c r="O11" s="11">
        <f t="shared" si="15"/>
        <v>0</v>
      </c>
      <c r="P11" s="12">
        <f t="shared" si="17"/>
        <v>-6.8743286788399303</v>
      </c>
      <c r="Q11" s="95">
        <f t="shared" si="18"/>
        <v>0.91292517006802754</v>
      </c>
      <c r="R11" s="533"/>
      <c r="S11" s="24">
        <v>0.42499999999999993</v>
      </c>
      <c r="T11" s="24">
        <v>0.52708333333333324</v>
      </c>
      <c r="U11" s="93">
        <f t="shared" ref="U11" si="20">(S11-T10)*24*60</f>
        <v>13.99999999999995</v>
      </c>
      <c r="V11" s="102">
        <f t="shared" si="16"/>
        <v>146.99999999999994</v>
      </c>
      <c r="W11" s="14"/>
      <c r="X11" s="14"/>
      <c r="Y11" s="528"/>
      <c r="Z11" s="528"/>
      <c r="AA11" s="11">
        <f t="shared" si="2"/>
        <v>-130.61224489795859</v>
      </c>
      <c r="AB11" s="95">
        <f t="shared" si="19"/>
        <v>0.91292517006802765</v>
      </c>
      <c r="AC11" s="533"/>
    </row>
    <row r="12" spans="1:29" ht="16.5" customHeight="1">
      <c r="A12" s="531" t="s">
        <v>5</v>
      </c>
      <c r="B12" s="26" t="s">
        <v>82</v>
      </c>
      <c r="C12" s="530"/>
      <c r="D12" s="530"/>
      <c r="E12" s="94"/>
      <c r="F12" s="18"/>
      <c r="G12" s="10"/>
      <c r="H12" s="103"/>
      <c r="I12" s="17">
        <v>18.666666666666668</v>
      </c>
      <c r="J12" s="18">
        <v>1500</v>
      </c>
      <c r="K12" s="9">
        <f>J12/I12</f>
        <v>80.357142857142847</v>
      </c>
      <c r="L12" s="17">
        <v>18.666666666666668</v>
      </c>
      <c r="M12" s="10">
        <f>AVERAGE(M9:M11)</f>
        <v>1368.9072854948433</v>
      </c>
      <c r="N12" s="9">
        <f>M12/L12</f>
        <v>73.334318865795169</v>
      </c>
      <c r="O12" s="11">
        <f>L12-I12</f>
        <v>0</v>
      </c>
      <c r="P12" s="12">
        <f>N12-K12</f>
        <v>-7.0228239913476784</v>
      </c>
      <c r="Q12" s="95">
        <f>N12/K12</f>
        <v>0.91260485699656224</v>
      </c>
      <c r="R12" s="533"/>
      <c r="S12" s="24"/>
      <c r="T12" s="24"/>
      <c r="U12" s="9"/>
      <c r="V12" s="102"/>
      <c r="W12" s="9"/>
      <c r="X12" s="9"/>
      <c r="Y12" s="528"/>
      <c r="Z12" s="528"/>
      <c r="AA12" s="11">
        <f t="shared" si="2"/>
        <v>-131.09271450515666</v>
      </c>
      <c r="AB12" s="95">
        <f t="shared" si="19"/>
        <v>0.91260485699656224</v>
      </c>
      <c r="AC12" s="533"/>
    </row>
    <row r="13" spans="1:29" ht="16.5" customHeight="1">
      <c r="A13" s="556" t="s">
        <v>166</v>
      </c>
      <c r="B13" s="103" t="s">
        <v>21</v>
      </c>
      <c r="C13" s="552" t="s">
        <v>19</v>
      </c>
      <c r="D13" s="552"/>
      <c r="E13" s="26">
        <v>41</v>
      </c>
      <c r="F13" s="103">
        <v>1769</v>
      </c>
      <c r="G13" s="93">
        <f t="shared" ref="G13:G16" si="21">E13*F13</f>
        <v>72529</v>
      </c>
      <c r="H13" s="76" t="s">
        <v>52</v>
      </c>
      <c r="I13" s="101">
        <v>26</v>
      </c>
      <c r="J13" s="18">
        <v>1500</v>
      </c>
      <c r="K13" s="9">
        <f>J13/I13</f>
        <v>57.692307692307693</v>
      </c>
      <c r="L13" s="101">
        <v>26</v>
      </c>
      <c r="M13" s="10">
        <f>F13/V13*60</f>
        <v>1378.4415584415576</v>
      </c>
      <c r="N13" s="9">
        <f t="shared" ref="N13:N25" si="22">M13/L13</f>
        <v>53.016983016982984</v>
      </c>
      <c r="O13" s="11">
        <f t="shared" ref="O13" si="23">L13-I13</f>
        <v>0</v>
      </c>
      <c r="P13" s="12">
        <f t="shared" ref="P13" si="24">N13-K13</f>
        <v>-4.6753246753247097</v>
      </c>
      <c r="Q13" s="95">
        <f>N13/K13</f>
        <v>0.91896103896103831</v>
      </c>
      <c r="R13" s="533">
        <f>Q17</f>
        <v>0.9182718200393204</v>
      </c>
      <c r="S13" s="24">
        <v>0.25</v>
      </c>
      <c r="T13" s="24">
        <v>0.30347222222222225</v>
      </c>
      <c r="U13" s="93"/>
      <c r="V13" s="102">
        <f>(T13-S13)*24*60</f>
        <v>77.000000000000043</v>
      </c>
      <c r="W13" s="15"/>
      <c r="X13" s="15"/>
      <c r="Y13" s="528"/>
      <c r="Z13" s="528"/>
      <c r="AA13" s="11">
        <f t="shared" si="2"/>
        <v>-121.55844155844238</v>
      </c>
      <c r="AB13" s="95">
        <f t="shared" si="19"/>
        <v>0.91896103896103842</v>
      </c>
      <c r="AC13" s="533">
        <f>AB17</f>
        <v>0.91827182003932051</v>
      </c>
    </row>
    <row r="14" spans="1:29" ht="16.5" customHeight="1">
      <c r="A14" s="557" t="s">
        <v>6</v>
      </c>
      <c r="B14" s="103" t="s">
        <v>15</v>
      </c>
      <c r="C14" s="552" t="s">
        <v>49</v>
      </c>
      <c r="D14" s="552"/>
      <c r="E14" s="26">
        <v>39.29</v>
      </c>
      <c r="F14" s="103">
        <v>2779</v>
      </c>
      <c r="G14" s="93">
        <f t="shared" si="21"/>
        <v>109186.91</v>
      </c>
      <c r="H14" s="76" t="s">
        <v>52</v>
      </c>
      <c r="I14" s="101">
        <v>16</v>
      </c>
      <c r="J14" s="18">
        <v>1500</v>
      </c>
      <c r="K14" s="9">
        <f>J14/I14</f>
        <v>93.75</v>
      </c>
      <c r="L14" s="101">
        <v>16</v>
      </c>
      <c r="M14" s="10">
        <f>F14/V14*60</f>
        <v>1378.0165289256202</v>
      </c>
      <c r="N14" s="9">
        <f t="shared" si="22"/>
        <v>86.126033057851259</v>
      </c>
      <c r="O14" s="11">
        <f>L14-I14</f>
        <v>0</v>
      </c>
      <c r="P14" s="12">
        <f>N14-K14</f>
        <v>-7.6239669421487406</v>
      </c>
      <c r="Q14" s="95">
        <f>N14/K14</f>
        <v>0.91867768595041344</v>
      </c>
      <c r="R14" s="533"/>
      <c r="S14" s="24">
        <v>0.31111111111111112</v>
      </c>
      <c r="T14" s="24">
        <v>0.39513888888888887</v>
      </c>
      <c r="U14" s="93">
        <f>(S14-T13)*24*60</f>
        <v>10.999999999999961</v>
      </c>
      <c r="V14" s="102">
        <f>(T14-S14)*24*60</f>
        <v>120.99999999999997</v>
      </c>
      <c r="W14" s="14"/>
      <c r="X14" s="14"/>
      <c r="Y14" s="528"/>
      <c r="Z14" s="528"/>
      <c r="AA14" s="11">
        <f t="shared" si="2"/>
        <v>-121.98347107437985</v>
      </c>
      <c r="AB14" s="95">
        <f t="shared" si="19"/>
        <v>0.91867768595041344</v>
      </c>
      <c r="AC14" s="533"/>
    </row>
    <row r="15" spans="1:29" ht="16.5" customHeight="1">
      <c r="A15" s="557" t="s">
        <v>6</v>
      </c>
      <c r="B15" s="103" t="s">
        <v>13</v>
      </c>
      <c r="C15" s="552" t="s">
        <v>57</v>
      </c>
      <c r="D15" s="552"/>
      <c r="E15" s="26">
        <v>50.98</v>
      </c>
      <c r="F15" s="103">
        <v>2398</v>
      </c>
      <c r="G15" s="93">
        <f t="shared" si="21"/>
        <v>122250.04</v>
      </c>
      <c r="H15" s="76" t="s">
        <v>52</v>
      </c>
      <c r="I15" s="101">
        <v>17</v>
      </c>
      <c r="J15" s="18">
        <v>2000</v>
      </c>
      <c r="K15" s="9">
        <f t="shared" ref="K15:K16" si="25">J15/I15</f>
        <v>117.64705882352941</v>
      </c>
      <c r="L15" s="101">
        <v>17</v>
      </c>
      <c r="M15" s="10">
        <f t="shared" ref="M15:M16" si="26">F15/V15*60</f>
        <v>1844.6153846153836</v>
      </c>
      <c r="N15" s="9">
        <f t="shared" si="22"/>
        <v>108.50678733031668</v>
      </c>
      <c r="O15" s="11">
        <f t="shared" ref="O15:O16" si="27">L15-I15</f>
        <v>0</v>
      </c>
      <c r="P15" s="12">
        <f t="shared" ref="P15:P16" si="28">N15-K15</f>
        <v>-9.1402714932127225</v>
      </c>
      <c r="Q15" s="95">
        <f t="shared" ref="Q15:Q25" si="29">N15/K15</f>
        <v>0.92230769230769183</v>
      </c>
      <c r="R15" s="533"/>
      <c r="S15" s="24">
        <v>0.70833333333333337</v>
      </c>
      <c r="T15" s="24">
        <v>0.76250000000000007</v>
      </c>
      <c r="U15" s="93"/>
      <c r="V15" s="102">
        <f t="shared" ref="V15:V16" si="30">(T15-S15)*24*60</f>
        <v>78.000000000000043</v>
      </c>
      <c r="W15" s="14"/>
      <c r="X15" s="14"/>
      <c r="Y15" s="528"/>
      <c r="Z15" s="528"/>
      <c r="AA15" s="11">
        <f t="shared" si="2"/>
        <v>-155.38461538461638</v>
      </c>
      <c r="AB15" s="95">
        <f t="shared" si="19"/>
        <v>0.92230769230769183</v>
      </c>
      <c r="AC15" s="533"/>
    </row>
    <row r="16" spans="1:29" ht="16.5" customHeight="1">
      <c r="A16" s="557" t="s">
        <v>6</v>
      </c>
      <c r="B16" s="103" t="s">
        <v>13</v>
      </c>
      <c r="C16" s="552" t="s">
        <v>85</v>
      </c>
      <c r="D16" s="552"/>
      <c r="E16" s="26">
        <v>54.09</v>
      </c>
      <c r="F16" s="103">
        <v>3745</v>
      </c>
      <c r="G16" s="93">
        <f t="shared" si="21"/>
        <v>202567.05000000002</v>
      </c>
      <c r="H16" s="76" t="s">
        <v>52</v>
      </c>
      <c r="I16" s="101">
        <v>20</v>
      </c>
      <c r="J16" s="18">
        <v>2000</v>
      </c>
      <c r="K16" s="9">
        <f t="shared" si="25"/>
        <v>100</v>
      </c>
      <c r="L16" s="101">
        <v>20</v>
      </c>
      <c r="M16" s="10">
        <f t="shared" si="26"/>
        <v>1826.8292682926824</v>
      </c>
      <c r="N16" s="9">
        <f t="shared" si="22"/>
        <v>91.34146341463412</v>
      </c>
      <c r="O16" s="11">
        <f t="shared" si="27"/>
        <v>0</v>
      </c>
      <c r="P16" s="12">
        <f t="shared" si="28"/>
        <v>-8.65853658536588</v>
      </c>
      <c r="Q16" s="95">
        <f t="shared" si="29"/>
        <v>0.91341463414634116</v>
      </c>
      <c r="R16" s="533"/>
      <c r="S16" s="24">
        <v>0.76597222222222228</v>
      </c>
      <c r="T16" s="24">
        <v>0.85138888888888897</v>
      </c>
      <c r="U16" s="93">
        <f t="shared" ref="U16" si="31">(S16-T15)*24*60</f>
        <v>4.9999999999999822</v>
      </c>
      <c r="V16" s="102">
        <f t="shared" si="30"/>
        <v>123.00000000000004</v>
      </c>
      <c r="W16" s="14"/>
      <c r="X16" s="14"/>
      <c r="Y16" s="528"/>
      <c r="Z16" s="528"/>
      <c r="AA16" s="11">
        <f t="shared" si="2"/>
        <v>-173.1707317073176</v>
      </c>
      <c r="AB16" s="95">
        <f t="shared" si="19"/>
        <v>0.91341463414634116</v>
      </c>
      <c r="AC16" s="533"/>
    </row>
    <row r="17" spans="1:29" ht="16.5" customHeight="1">
      <c r="A17" s="557" t="s">
        <v>6</v>
      </c>
      <c r="B17" s="26" t="s">
        <v>82</v>
      </c>
      <c r="C17" s="530"/>
      <c r="D17" s="530"/>
      <c r="E17" s="94"/>
      <c r="F17" s="16"/>
      <c r="G17" s="9"/>
      <c r="H17" s="103"/>
      <c r="I17" s="17">
        <f>AVERAGE(I13:I16)</f>
        <v>19.75</v>
      </c>
      <c r="J17" s="18">
        <v>1750</v>
      </c>
      <c r="K17" s="9">
        <f>J17/I17</f>
        <v>88.607594936708864</v>
      </c>
      <c r="L17" s="17">
        <f>AVERAGE(L13:L16)</f>
        <v>19.75</v>
      </c>
      <c r="M17" s="10">
        <f>AVERAGE(M13:M16)</f>
        <v>1606.9756850688109</v>
      </c>
      <c r="N17" s="9">
        <f t="shared" si="22"/>
        <v>81.365857471838524</v>
      </c>
      <c r="O17" s="11">
        <f>L17-I17</f>
        <v>0</v>
      </c>
      <c r="P17" s="12">
        <f>N17-K17</f>
        <v>-7.2417374648703401</v>
      </c>
      <c r="Q17" s="95">
        <f t="shared" si="29"/>
        <v>0.9182718200393204</v>
      </c>
      <c r="R17" s="533"/>
      <c r="S17" s="24"/>
      <c r="T17" s="24"/>
      <c r="U17" s="93"/>
      <c r="V17" s="102"/>
      <c r="W17" s="9"/>
      <c r="X17" s="9"/>
      <c r="Y17" s="528"/>
      <c r="Z17" s="528"/>
      <c r="AA17" s="11">
        <f t="shared" si="2"/>
        <v>-143.02431493118911</v>
      </c>
      <c r="AB17" s="95">
        <f t="shared" si="19"/>
        <v>0.91827182003932051</v>
      </c>
      <c r="AC17" s="533"/>
    </row>
    <row r="18" spans="1:29" ht="15.75" customHeight="1">
      <c r="A18" s="554" t="s">
        <v>87</v>
      </c>
      <c r="B18" s="26" t="s">
        <v>21</v>
      </c>
      <c r="C18" s="552" t="s">
        <v>22</v>
      </c>
      <c r="D18" s="552"/>
      <c r="E18" s="26">
        <v>43.14</v>
      </c>
      <c r="F18" s="103">
        <v>952</v>
      </c>
      <c r="G18" s="93">
        <f t="shared" ref="G18:G25" si="32">E18*F18</f>
        <v>41069.279999999999</v>
      </c>
      <c r="H18" s="76" t="s">
        <v>52</v>
      </c>
      <c r="I18" s="101">
        <v>17</v>
      </c>
      <c r="J18" s="18">
        <v>2000</v>
      </c>
      <c r="K18" s="9">
        <f t="shared" ref="K18:K26" si="33">J18/I18</f>
        <v>117.64705882352941</v>
      </c>
      <c r="L18" s="101">
        <v>17</v>
      </c>
      <c r="M18" s="10">
        <f t="shared" ref="M18:M25" si="34">F18/V18*60</f>
        <v>1842.5806451612898</v>
      </c>
      <c r="N18" s="9">
        <f t="shared" si="22"/>
        <v>108.38709677419352</v>
      </c>
      <c r="O18" s="11">
        <f t="shared" ref="O18:O25" si="35">L18-I18</f>
        <v>0</v>
      </c>
      <c r="P18" s="12">
        <f t="shared" ref="P18:P25" si="36">N18-K18</f>
        <v>-9.2599620493358827</v>
      </c>
      <c r="Q18" s="95">
        <f t="shared" si="29"/>
        <v>0.92129032258064503</v>
      </c>
      <c r="R18" s="533">
        <f>Q26</f>
        <v>0.92009666624323194</v>
      </c>
      <c r="S18" s="24">
        <v>0.16666666666666666</v>
      </c>
      <c r="T18" s="24">
        <v>0.18819444444444444</v>
      </c>
      <c r="U18" s="93"/>
      <c r="V18" s="102">
        <f>(T18-S18)*24*60</f>
        <v>31.000000000000011</v>
      </c>
      <c r="W18" s="15">
        <f>T18</f>
        <v>0.18819444444444444</v>
      </c>
      <c r="X18" s="15">
        <f>S19</f>
        <v>0.2076388888888889</v>
      </c>
      <c r="Y18" s="528"/>
      <c r="Z18" s="528"/>
      <c r="AA18" s="11">
        <f t="shared" si="2"/>
        <v>-157.41935483871021</v>
      </c>
      <c r="AB18" s="95">
        <f t="shared" si="19"/>
        <v>0.92129032258064492</v>
      </c>
      <c r="AC18" s="533">
        <f>AB26</f>
        <v>0.92009666624323183</v>
      </c>
    </row>
    <row r="19" spans="1:29" ht="15.75" customHeight="1">
      <c r="A19" s="555" t="s">
        <v>7</v>
      </c>
      <c r="B19" s="26" t="s">
        <v>13</v>
      </c>
      <c r="C19" s="552" t="s">
        <v>23</v>
      </c>
      <c r="D19" s="552"/>
      <c r="E19" s="26">
        <v>57.73</v>
      </c>
      <c r="F19" s="103">
        <v>2062</v>
      </c>
      <c r="G19" s="93">
        <f t="shared" si="32"/>
        <v>119039.26</v>
      </c>
      <c r="H19" s="76" t="s">
        <v>52</v>
      </c>
      <c r="I19" s="101">
        <v>16</v>
      </c>
      <c r="J19" s="18">
        <v>2000</v>
      </c>
      <c r="K19" s="9">
        <f t="shared" si="33"/>
        <v>125</v>
      </c>
      <c r="L19" s="101">
        <v>16</v>
      </c>
      <c r="M19" s="10">
        <f t="shared" si="34"/>
        <v>1846.5671641791057</v>
      </c>
      <c r="N19" s="9">
        <f t="shared" si="22"/>
        <v>115.41044776119411</v>
      </c>
      <c r="O19" s="11">
        <f t="shared" si="35"/>
        <v>0</v>
      </c>
      <c r="P19" s="12">
        <f t="shared" si="36"/>
        <v>-9.5895522388058936</v>
      </c>
      <c r="Q19" s="95">
        <f t="shared" si="29"/>
        <v>0.92328358208955286</v>
      </c>
      <c r="R19" s="533"/>
      <c r="S19" s="24">
        <v>0.2076388888888889</v>
      </c>
      <c r="T19" s="24">
        <v>0.25416666666666665</v>
      </c>
      <c r="U19" s="93">
        <f>(S19-T18)*24*60</f>
        <v>28.000000000000021</v>
      </c>
      <c r="V19" s="102">
        <f t="shared" ref="V19:V25" si="37">(T19-S19)*24*60</f>
        <v>66.999999999999957</v>
      </c>
      <c r="W19" s="14"/>
      <c r="X19" s="93"/>
      <c r="Y19" s="528"/>
      <c r="Z19" s="528"/>
      <c r="AA19" s="11">
        <f t="shared" si="2"/>
        <v>-153.4328358208943</v>
      </c>
      <c r="AB19" s="95">
        <f t="shared" si="19"/>
        <v>0.92328358208955286</v>
      </c>
      <c r="AC19" s="533"/>
    </row>
    <row r="20" spans="1:29" ht="15.75" customHeight="1">
      <c r="A20" s="555" t="s">
        <v>7</v>
      </c>
      <c r="B20" s="26" t="s">
        <v>13</v>
      </c>
      <c r="C20" s="552" t="s">
        <v>14</v>
      </c>
      <c r="D20" s="552"/>
      <c r="E20" s="26">
        <v>53.68</v>
      </c>
      <c r="F20" s="103">
        <v>1520</v>
      </c>
      <c r="G20" s="93">
        <f t="shared" si="32"/>
        <v>81593.600000000006</v>
      </c>
      <c r="H20" s="76" t="s">
        <v>52</v>
      </c>
      <c r="I20" s="101">
        <v>17</v>
      </c>
      <c r="J20" s="18">
        <v>2000</v>
      </c>
      <c r="K20" s="9">
        <f t="shared" si="33"/>
        <v>117.64705882352941</v>
      </c>
      <c r="L20" s="101">
        <v>17</v>
      </c>
      <c r="M20" s="10">
        <f t="shared" si="34"/>
        <v>1824.0000000000005</v>
      </c>
      <c r="N20" s="9">
        <f t="shared" si="22"/>
        <v>107.29411764705885</v>
      </c>
      <c r="O20" s="11">
        <f t="shared" si="35"/>
        <v>0</v>
      </c>
      <c r="P20" s="12">
        <f t="shared" si="36"/>
        <v>-10.352941176470551</v>
      </c>
      <c r="Q20" s="95">
        <f t="shared" si="29"/>
        <v>0.91200000000000025</v>
      </c>
      <c r="R20" s="533"/>
      <c r="S20" s="24">
        <v>0.25763888888888886</v>
      </c>
      <c r="T20" s="24">
        <v>0.29236111111111107</v>
      </c>
      <c r="U20" s="93">
        <f t="shared" ref="U20:U25" si="38">(S20-T19)*24*60</f>
        <v>4.9999999999999822</v>
      </c>
      <c r="V20" s="102">
        <f t="shared" si="37"/>
        <v>49.999999999999986</v>
      </c>
      <c r="W20" s="14"/>
      <c r="X20" s="93"/>
      <c r="Y20" s="528"/>
      <c r="Z20" s="528"/>
      <c r="AA20" s="11">
        <f t="shared" si="2"/>
        <v>-175.99999999999955</v>
      </c>
      <c r="AB20" s="95">
        <f t="shared" si="19"/>
        <v>0.91200000000000025</v>
      </c>
      <c r="AC20" s="533"/>
    </row>
    <row r="21" spans="1:29" ht="15.75" customHeight="1">
      <c r="A21" s="555" t="s">
        <v>7</v>
      </c>
      <c r="B21" s="26" t="s">
        <v>13</v>
      </c>
      <c r="C21" s="552" t="s">
        <v>63</v>
      </c>
      <c r="D21" s="552"/>
      <c r="E21" s="26">
        <v>50.67</v>
      </c>
      <c r="F21" s="103">
        <v>945</v>
      </c>
      <c r="G21" s="93">
        <f t="shared" si="32"/>
        <v>47883.15</v>
      </c>
      <c r="H21" s="76" t="s">
        <v>52</v>
      </c>
      <c r="I21" s="101">
        <v>16</v>
      </c>
      <c r="J21" s="18">
        <v>2000</v>
      </c>
      <c r="K21" s="9">
        <f t="shared" si="33"/>
        <v>125</v>
      </c>
      <c r="L21" s="101">
        <v>16</v>
      </c>
      <c r="M21" s="10">
        <f t="shared" si="34"/>
        <v>1829.0322580645179</v>
      </c>
      <c r="N21" s="9">
        <f t="shared" si="22"/>
        <v>114.31451612903237</v>
      </c>
      <c r="O21" s="11">
        <f t="shared" si="35"/>
        <v>0</v>
      </c>
      <c r="P21" s="12">
        <f t="shared" si="36"/>
        <v>-10.68548387096763</v>
      </c>
      <c r="Q21" s="95">
        <f t="shared" si="29"/>
        <v>0.91451612903225898</v>
      </c>
      <c r="R21" s="533"/>
      <c r="S21" s="24">
        <v>0.29652777777777772</v>
      </c>
      <c r="T21" s="24">
        <v>0.31805555555555548</v>
      </c>
      <c r="U21" s="93">
        <f t="shared" si="38"/>
        <v>5.9999999999999787</v>
      </c>
      <c r="V21" s="102">
        <f t="shared" si="37"/>
        <v>30.999999999999972</v>
      </c>
      <c r="W21" s="14"/>
      <c r="X21" s="93"/>
      <c r="Y21" s="528"/>
      <c r="Z21" s="528"/>
      <c r="AA21" s="11">
        <f t="shared" si="2"/>
        <v>-170.96774193548208</v>
      </c>
      <c r="AB21" s="95">
        <f t="shared" si="19"/>
        <v>0.91451612903225898</v>
      </c>
      <c r="AC21" s="533"/>
    </row>
    <row r="22" spans="1:29" ht="15.75" customHeight="1">
      <c r="A22" s="555" t="s">
        <v>7</v>
      </c>
      <c r="B22" s="26" t="s">
        <v>13</v>
      </c>
      <c r="C22" s="552" t="s">
        <v>81</v>
      </c>
      <c r="D22" s="552"/>
      <c r="E22" s="26">
        <v>58.17</v>
      </c>
      <c r="F22" s="103">
        <v>2694</v>
      </c>
      <c r="G22" s="93">
        <f t="shared" si="32"/>
        <v>156709.98000000001</v>
      </c>
      <c r="H22" s="76" t="s">
        <v>52</v>
      </c>
      <c r="I22" s="101">
        <v>18</v>
      </c>
      <c r="J22" s="18">
        <v>2000</v>
      </c>
      <c r="K22" s="9">
        <f t="shared" si="33"/>
        <v>111.11111111111111</v>
      </c>
      <c r="L22" s="101">
        <v>18</v>
      </c>
      <c r="M22" s="10">
        <f t="shared" si="34"/>
        <v>1836.8181818181818</v>
      </c>
      <c r="N22" s="9">
        <f t="shared" si="22"/>
        <v>102.04545454545455</v>
      </c>
      <c r="O22" s="11">
        <f t="shared" si="35"/>
        <v>0</v>
      </c>
      <c r="P22" s="12">
        <f t="shared" si="36"/>
        <v>-9.0656565656565675</v>
      </c>
      <c r="Q22" s="95">
        <f t="shared" si="29"/>
        <v>0.91840909090909084</v>
      </c>
      <c r="R22" s="533"/>
      <c r="S22" s="24">
        <v>0.32361111111111102</v>
      </c>
      <c r="T22" s="24">
        <v>0.38472222222222213</v>
      </c>
      <c r="U22" s="93">
        <f t="shared" si="38"/>
        <v>7.9999999999999716</v>
      </c>
      <c r="V22" s="102">
        <f t="shared" si="37"/>
        <v>88</v>
      </c>
      <c r="W22" s="14"/>
      <c r="X22" s="93"/>
      <c r="Y22" s="528"/>
      <c r="Z22" s="528"/>
      <c r="AA22" s="11">
        <f t="shared" si="2"/>
        <v>-163.18181818181824</v>
      </c>
      <c r="AB22" s="95">
        <f t="shared" si="19"/>
        <v>0.91840909090909084</v>
      </c>
      <c r="AC22" s="533"/>
    </row>
    <row r="23" spans="1:29" ht="15.75" customHeight="1">
      <c r="A23" s="555" t="s">
        <v>7</v>
      </c>
      <c r="B23" s="26" t="s">
        <v>13</v>
      </c>
      <c r="C23" s="552" t="s">
        <v>54</v>
      </c>
      <c r="D23" s="552"/>
      <c r="E23" s="26">
        <v>50.92</v>
      </c>
      <c r="F23" s="103">
        <v>2581</v>
      </c>
      <c r="G23" s="93">
        <f t="shared" si="32"/>
        <v>131424.52000000002</v>
      </c>
      <c r="H23" s="76" t="s">
        <v>52</v>
      </c>
      <c r="I23" s="101">
        <v>16</v>
      </c>
      <c r="J23" s="18">
        <v>2000</v>
      </c>
      <c r="K23" s="9">
        <f t="shared" si="33"/>
        <v>125</v>
      </c>
      <c r="L23" s="101">
        <v>16</v>
      </c>
      <c r="M23" s="10">
        <f t="shared" si="34"/>
        <v>1843.571428571428</v>
      </c>
      <c r="N23" s="9">
        <f t="shared" si="22"/>
        <v>115.22321428571425</v>
      </c>
      <c r="O23" s="11">
        <f t="shared" si="35"/>
        <v>0</v>
      </c>
      <c r="P23" s="12">
        <f t="shared" si="36"/>
        <v>-9.7767857142857508</v>
      </c>
      <c r="Q23" s="95">
        <f t="shared" si="29"/>
        <v>0.92178571428571399</v>
      </c>
      <c r="R23" s="533"/>
      <c r="S23" s="24">
        <v>0.70833333333333337</v>
      </c>
      <c r="T23" s="24">
        <v>0.76666666666666672</v>
      </c>
      <c r="U23" s="93"/>
      <c r="V23" s="102">
        <f t="shared" si="37"/>
        <v>84.000000000000028</v>
      </c>
      <c r="W23" s="14"/>
      <c r="X23" s="15"/>
      <c r="Y23" s="528"/>
      <c r="Z23" s="528"/>
      <c r="AA23" s="11">
        <f t="shared" si="2"/>
        <v>-156.42857142857201</v>
      </c>
      <c r="AB23" s="95">
        <f t="shared" si="19"/>
        <v>0.92178571428571399</v>
      </c>
      <c r="AC23" s="533"/>
    </row>
    <row r="24" spans="1:29" ht="15.75" customHeight="1">
      <c r="A24" s="555" t="s">
        <v>7</v>
      </c>
      <c r="B24" s="26" t="s">
        <v>13</v>
      </c>
      <c r="C24" s="552" t="s">
        <v>56</v>
      </c>
      <c r="D24" s="552"/>
      <c r="E24" s="26">
        <v>53.27</v>
      </c>
      <c r="F24" s="103">
        <v>524</v>
      </c>
      <c r="G24" s="93">
        <f t="shared" si="32"/>
        <v>27913.480000000003</v>
      </c>
      <c r="H24" s="76" t="s">
        <v>52</v>
      </c>
      <c r="I24" s="101">
        <v>15</v>
      </c>
      <c r="J24" s="18">
        <v>2000</v>
      </c>
      <c r="K24" s="9">
        <f t="shared" si="33"/>
        <v>133.33333333333334</v>
      </c>
      <c r="L24" s="101">
        <v>15</v>
      </c>
      <c r="M24" s="10">
        <f t="shared" si="34"/>
        <v>1849.411764705889</v>
      </c>
      <c r="N24" s="9">
        <f t="shared" si="22"/>
        <v>123.29411764705927</v>
      </c>
      <c r="O24" s="11">
        <f t="shared" si="35"/>
        <v>0</v>
      </c>
      <c r="P24" s="12">
        <f t="shared" si="36"/>
        <v>-10.039215686274076</v>
      </c>
      <c r="Q24" s="95">
        <f t="shared" si="29"/>
        <v>0.92470588235294449</v>
      </c>
      <c r="R24" s="533"/>
      <c r="S24" s="24">
        <v>0.77083333333333337</v>
      </c>
      <c r="T24" s="24">
        <v>0.78263888888888888</v>
      </c>
      <c r="U24" s="93">
        <f t="shared" si="38"/>
        <v>5.9999999999999787</v>
      </c>
      <c r="V24" s="102">
        <f t="shared" si="37"/>
        <v>16.99999999999994</v>
      </c>
      <c r="W24" s="14"/>
      <c r="X24" s="15"/>
      <c r="Y24" s="536"/>
      <c r="Z24" s="537"/>
      <c r="AA24" s="11">
        <f t="shared" si="2"/>
        <v>-150.58823529411097</v>
      </c>
      <c r="AB24" s="95">
        <f t="shared" si="19"/>
        <v>0.92470588235294449</v>
      </c>
      <c r="AC24" s="533"/>
    </row>
    <row r="25" spans="1:29" ht="15.75" customHeight="1">
      <c r="A25" s="555" t="s">
        <v>7</v>
      </c>
      <c r="B25" s="26" t="s">
        <v>13</v>
      </c>
      <c r="C25" s="584" t="s">
        <v>83</v>
      </c>
      <c r="D25" s="585"/>
      <c r="E25" s="26">
        <v>49.91</v>
      </c>
      <c r="F25" s="103">
        <v>709</v>
      </c>
      <c r="G25" s="93">
        <f t="shared" si="32"/>
        <v>35386.189999999995</v>
      </c>
      <c r="H25" s="76" t="s">
        <v>52</v>
      </c>
      <c r="I25" s="101">
        <v>16</v>
      </c>
      <c r="J25" s="18">
        <v>2000</v>
      </c>
      <c r="K25" s="9">
        <f t="shared" si="33"/>
        <v>125</v>
      </c>
      <c r="L25" s="101">
        <v>16</v>
      </c>
      <c r="M25" s="10">
        <f t="shared" si="34"/>
        <v>1849.5652173912981</v>
      </c>
      <c r="N25" s="9">
        <f t="shared" si="22"/>
        <v>115.59782608695613</v>
      </c>
      <c r="O25" s="11">
        <f t="shared" si="35"/>
        <v>0</v>
      </c>
      <c r="P25" s="12">
        <f t="shared" si="36"/>
        <v>-9.4021739130438675</v>
      </c>
      <c r="Q25" s="95">
        <f t="shared" si="29"/>
        <v>0.9247826086956491</v>
      </c>
      <c r="R25" s="533"/>
      <c r="S25" s="24">
        <v>0.78680555555555554</v>
      </c>
      <c r="T25" s="24">
        <v>0.80277777777777781</v>
      </c>
      <c r="U25" s="93">
        <f t="shared" si="38"/>
        <v>5.9999999999999787</v>
      </c>
      <c r="V25" s="102">
        <f t="shared" si="37"/>
        <v>23.000000000000078</v>
      </c>
      <c r="W25" s="14"/>
      <c r="X25" s="14"/>
      <c r="Y25" s="536"/>
      <c r="Z25" s="537"/>
      <c r="AA25" s="11">
        <f t="shared" si="2"/>
        <v>-150.43478260870188</v>
      </c>
      <c r="AB25" s="95">
        <f t="shared" si="19"/>
        <v>0.9247826086956491</v>
      </c>
      <c r="AC25" s="533"/>
    </row>
    <row r="26" spans="1:29" ht="15.75" customHeight="1">
      <c r="A26" s="555" t="s">
        <v>7</v>
      </c>
      <c r="B26" s="26" t="s">
        <v>82</v>
      </c>
      <c r="C26" s="530"/>
      <c r="D26" s="530"/>
      <c r="E26" s="94"/>
      <c r="F26" s="103"/>
      <c r="G26" s="93"/>
      <c r="H26" s="103"/>
      <c r="I26" s="17">
        <v>16.375</v>
      </c>
      <c r="J26" s="18">
        <v>2000</v>
      </c>
      <c r="K26" s="9">
        <f t="shared" si="33"/>
        <v>122.13740458015268</v>
      </c>
      <c r="L26" s="17">
        <v>16.375</v>
      </c>
      <c r="M26" s="10">
        <f>AVERAGE(M18:M25)</f>
        <v>1840.1933324864638</v>
      </c>
      <c r="N26" s="9">
        <f>M26/L26</f>
        <v>112.37821877779932</v>
      </c>
      <c r="O26" s="11">
        <f>L26-I26</f>
        <v>0</v>
      </c>
      <c r="P26" s="12">
        <f>N26-K26</f>
        <v>-9.7591858023533575</v>
      </c>
      <c r="Q26" s="95">
        <f>N26/K26</f>
        <v>0.92009666624323194</v>
      </c>
      <c r="R26" s="533"/>
      <c r="S26" s="24"/>
      <c r="T26" s="24"/>
      <c r="U26" s="9"/>
      <c r="V26" s="102"/>
      <c r="W26" s="9"/>
      <c r="X26" s="9"/>
      <c r="Y26" s="528"/>
      <c r="Z26" s="528"/>
      <c r="AA26" s="11">
        <f t="shared" si="2"/>
        <v>-159.80666751353624</v>
      </c>
      <c r="AB26" s="95">
        <f t="shared" si="19"/>
        <v>0.92009666624323183</v>
      </c>
      <c r="AC26" s="533"/>
    </row>
    <row r="27" spans="1:29" ht="15.75" customHeight="1">
      <c r="A27" s="553" t="s">
        <v>167</v>
      </c>
      <c r="B27" s="26" t="s">
        <v>24</v>
      </c>
      <c r="C27" s="552" t="s">
        <v>26</v>
      </c>
      <c r="D27" s="552"/>
      <c r="E27" s="26">
        <v>26.2</v>
      </c>
      <c r="F27" s="103">
        <v>2973</v>
      </c>
      <c r="G27" s="93">
        <f t="shared" ref="G27:G31" si="39">E27*F27</f>
        <v>77892.599999999991</v>
      </c>
      <c r="H27" s="76" t="s">
        <v>52</v>
      </c>
      <c r="I27" s="101">
        <v>20</v>
      </c>
      <c r="J27" s="18">
        <v>2400</v>
      </c>
      <c r="K27" s="9">
        <f>J27/I27</f>
        <v>120</v>
      </c>
      <c r="L27" s="101">
        <v>20</v>
      </c>
      <c r="M27" s="10">
        <f t="shared" ref="M27:M31" si="40">F27/V27*60</f>
        <v>2202.2222222222226</v>
      </c>
      <c r="N27" s="9">
        <f t="shared" ref="N27:N31" si="41">M27/L27</f>
        <v>110.11111111111113</v>
      </c>
      <c r="O27" s="11">
        <f t="shared" ref="O27:O31" si="42">L27-I27</f>
        <v>0</v>
      </c>
      <c r="P27" s="12">
        <f t="shared" ref="P27:P31" si="43">N27-K27</f>
        <v>-9.8888888888888715</v>
      </c>
      <c r="Q27" s="95">
        <f t="shared" ref="Q27:Q31" si="44">N27/K27</f>
        <v>0.91759259259259274</v>
      </c>
      <c r="R27" s="533">
        <f>Q32</f>
        <v>0.91731356952327392</v>
      </c>
      <c r="S27" s="24">
        <v>0.125</v>
      </c>
      <c r="T27" s="24">
        <v>0.18124999999999999</v>
      </c>
      <c r="U27" s="93"/>
      <c r="V27" s="102">
        <f t="shared" ref="V27:V31" si="45">(T27-S27)*24*60</f>
        <v>80.999999999999986</v>
      </c>
      <c r="W27" s="14">
        <f>T27</f>
        <v>0.18124999999999999</v>
      </c>
      <c r="X27" s="14">
        <f>S28</f>
        <v>0.19861111111111107</v>
      </c>
      <c r="Y27" s="528"/>
      <c r="Z27" s="528"/>
      <c r="AA27" s="11">
        <f t="shared" si="2"/>
        <v>-197.77777777777737</v>
      </c>
      <c r="AB27" s="95">
        <f>M27/J27</f>
        <v>0.91759259259259274</v>
      </c>
      <c r="AC27" s="533">
        <f>AB32</f>
        <v>0.91731356952327381</v>
      </c>
    </row>
    <row r="28" spans="1:29" ht="15.75" customHeight="1">
      <c r="A28" s="553" t="s">
        <v>8</v>
      </c>
      <c r="B28" s="26" t="s">
        <v>24</v>
      </c>
      <c r="C28" s="552" t="s">
        <v>25</v>
      </c>
      <c r="D28" s="552"/>
      <c r="E28" s="26">
        <v>20.52</v>
      </c>
      <c r="F28" s="103">
        <v>2998</v>
      </c>
      <c r="G28" s="93">
        <f t="shared" si="39"/>
        <v>61518.96</v>
      </c>
      <c r="H28" s="76" t="s">
        <v>52</v>
      </c>
      <c r="I28" s="101">
        <v>18</v>
      </c>
      <c r="J28" s="18">
        <v>2400</v>
      </c>
      <c r="K28" s="9">
        <f t="shared" ref="K28:K32" si="46">J28/I28</f>
        <v>133.33333333333334</v>
      </c>
      <c r="L28" s="101">
        <v>18</v>
      </c>
      <c r="M28" s="10">
        <f t="shared" si="40"/>
        <v>2193.6585365853653</v>
      </c>
      <c r="N28" s="9">
        <f t="shared" si="41"/>
        <v>121.86991869918695</v>
      </c>
      <c r="O28" s="11">
        <f t="shared" si="42"/>
        <v>0</v>
      </c>
      <c r="P28" s="12">
        <f t="shared" si="43"/>
        <v>-11.463414634146389</v>
      </c>
      <c r="Q28" s="95">
        <f t="shared" si="44"/>
        <v>0.91402439024390214</v>
      </c>
      <c r="R28" s="533"/>
      <c r="S28" s="24">
        <v>0.19861111111111107</v>
      </c>
      <c r="T28" s="24">
        <v>0.25555555555555554</v>
      </c>
      <c r="U28" s="93">
        <f>(S28-T27)*24*60</f>
        <v>24.99999999999995</v>
      </c>
      <c r="V28" s="102">
        <f t="shared" si="45"/>
        <v>82.000000000000028</v>
      </c>
      <c r="W28" s="14"/>
      <c r="X28" s="14"/>
      <c r="Y28" s="528"/>
      <c r="Z28" s="528"/>
      <c r="AA28" s="11">
        <f t="shared" si="2"/>
        <v>-206.34146341463475</v>
      </c>
      <c r="AB28" s="95">
        <f t="shared" ref="AB28:AB31" si="47">M28/J28</f>
        <v>0.91402439024390214</v>
      </c>
      <c r="AC28" s="533"/>
    </row>
    <row r="29" spans="1:29" ht="15.75" customHeight="1">
      <c r="A29" s="553" t="s">
        <v>8</v>
      </c>
      <c r="B29" s="26" t="s">
        <v>24</v>
      </c>
      <c r="C29" s="552" t="s">
        <v>79</v>
      </c>
      <c r="D29" s="552"/>
      <c r="E29" s="26">
        <v>31.29</v>
      </c>
      <c r="F29" s="103">
        <v>5833</v>
      </c>
      <c r="G29" s="93">
        <f t="shared" si="39"/>
        <v>182514.57</v>
      </c>
      <c r="H29" s="76" t="s">
        <v>52</v>
      </c>
      <c r="I29" s="101">
        <v>16</v>
      </c>
      <c r="J29" s="18">
        <v>2400</v>
      </c>
      <c r="K29" s="9">
        <f t="shared" si="46"/>
        <v>150</v>
      </c>
      <c r="L29" s="101">
        <v>16</v>
      </c>
      <c r="M29" s="10">
        <f t="shared" si="40"/>
        <v>2201.132075471698</v>
      </c>
      <c r="N29" s="9">
        <f t="shared" si="41"/>
        <v>137.57075471698113</v>
      </c>
      <c r="O29" s="11">
        <f t="shared" si="42"/>
        <v>0</v>
      </c>
      <c r="P29" s="12">
        <f t="shared" si="43"/>
        <v>-12.429245283018872</v>
      </c>
      <c r="Q29" s="95">
        <f t="shared" si="44"/>
        <v>0.9171383647798742</v>
      </c>
      <c r="R29" s="533"/>
      <c r="S29" s="24">
        <v>0.25902777777777775</v>
      </c>
      <c r="T29" s="24">
        <v>0.36944444444444441</v>
      </c>
      <c r="U29" s="93">
        <f t="shared" ref="U29:U31" si="48">(S29-T28)*24*60</f>
        <v>4.9999999999999822</v>
      </c>
      <c r="V29" s="102">
        <f t="shared" si="45"/>
        <v>159</v>
      </c>
      <c r="W29" s="14"/>
      <c r="X29" s="14"/>
      <c r="Y29" s="528"/>
      <c r="Z29" s="528"/>
      <c r="AA29" s="11">
        <f t="shared" si="2"/>
        <v>-198.86792452830196</v>
      </c>
      <c r="AB29" s="95">
        <f t="shared" si="47"/>
        <v>0.9171383647798742</v>
      </c>
      <c r="AC29" s="533"/>
    </row>
    <row r="30" spans="1:29" ht="15.75" customHeight="1">
      <c r="A30" s="553" t="s">
        <v>8</v>
      </c>
      <c r="B30" s="26" t="s">
        <v>24</v>
      </c>
      <c r="C30" s="552" t="s">
        <v>68</v>
      </c>
      <c r="D30" s="552"/>
      <c r="E30" s="26">
        <v>24.25</v>
      </c>
      <c r="F30" s="103">
        <v>3836</v>
      </c>
      <c r="G30" s="93">
        <f t="shared" si="39"/>
        <v>93023</v>
      </c>
      <c r="H30" s="76" t="s">
        <v>52</v>
      </c>
      <c r="I30" s="101">
        <v>18</v>
      </c>
      <c r="J30" s="18">
        <v>2400</v>
      </c>
      <c r="K30" s="9">
        <f t="shared" si="46"/>
        <v>133.33333333333334</v>
      </c>
      <c r="L30" s="101">
        <v>18</v>
      </c>
      <c r="M30" s="10">
        <f t="shared" si="40"/>
        <v>2191.9999999999995</v>
      </c>
      <c r="N30" s="9">
        <f t="shared" si="41"/>
        <v>121.77777777777776</v>
      </c>
      <c r="O30" s="11">
        <f t="shared" si="42"/>
        <v>0</v>
      </c>
      <c r="P30" s="12">
        <f t="shared" si="43"/>
        <v>-11.555555555555586</v>
      </c>
      <c r="Q30" s="95">
        <f t="shared" si="44"/>
        <v>0.91333333333333311</v>
      </c>
      <c r="R30" s="533"/>
      <c r="S30" s="24">
        <v>0.37361111111111106</v>
      </c>
      <c r="T30" s="24">
        <v>0.44652777777777775</v>
      </c>
      <c r="U30" s="93">
        <f t="shared" si="48"/>
        <v>5.9999999999999787</v>
      </c>
      <c r="V30" s="102">
        <f t="shared" si="45"/>
        <v>105.00000000000003</v>
      </c>
      <c r="W30" s="14"/>
      <c r="X30" s="14"/>
      <c r="Y30" s="528"/>
      <c r="Z30" s="528"/>
      <c r="AA30" s="11">
        <f t="shared" si="2"/>
        <v>-208.00000000000045</v>
      </c>
      <c r="AB30" s="95">
        <f t="shared" si="47"/>
        <v>0.91333333333333311</v>
      </c>
      <c r="AC30" s="533"/>
    </row>
    <row r="31" spans="1:29" ht="15.75" customHeight="1">
      <c r="A31" s="553" t="s">
        <v>8</v>
      </c>
      <c r="B31" s="26" t="s">
        <v>24</v>
      </c>
      <c r="C31" s="552" t="s">
        <v>62</v>
      </c>
      <c r="D31" s="552"/>
      <c r="E31" s="26">
        <v>22.35</v>
      </c>
      <c r="F31" s="103">
        <v>1775</v>
      </c>
      <c r="G31" s="93">
        <f t="shared" si="39"/>
        <v>39671.25</v>
      </c>
      <c r="H31" s="76" t="s">
        <v>52</v>
      </c>
      <c r="I31" s="101">
        <v>16</v>
      </c>
      <c r="J31" s="18">
        <v>2400</v>
      </c>
      <c r="K31" s="9">
        <f t="shared" si="46"/>
        <v>150</v>
      </c>
      <c r="L31" s="101">
        <v>16</v>
      </c>
      <c r="M31" s="10">
        <f t="shared" si="40"/>
        <v>2218.7500000000009</v>
      </c>
      <c r="N31" s="9">
        <f t="shared" si="41"/>
        <v>138.67187500000006</v>
      </c>
      <c r="O31" s="11">
        <f t="shared" si="42"/>
        <v>0</v>
      </c>
      <c r="P31" s="12">
        <f t="shared" si="43"/>
        <v>-11.328124999999943</v>
      </c>
      <c r="Q31" s="95">
        <f t="shared" si="44"/>
        <v>0.92447916666666707</v>
      </c>
      <c r="R31" s="533"/>
      <c r="S31" s="24">
        <v>0.4506944444444444</v>
      </c>
      <c r="T31" s="24">
        <v>0.48402777777777772</v>
      </c>
      <c r="U31" s="93">
        <f t="shared" si="48"/>
        <v>5.9999999999999787</v>
      </c>
      <c r="V31" s="102">
        <f t="shared" si="45"/>
        <v>47.999999999999986</v>
      </c>
      <c r="W31" s="14"/>
      <c r="X31" s="14"/>
      <c r="Y31" s="528"/>
      <c r="Z31" s="528"/>
      <c r="AA31" s="11">
        <f t="shared" si="2"/>
        <v>-181.24999999999909</v>
      </c>
      <c r="AB31" s="95">
        <f t="shared" si="47"/>
        <v>0.92447916666666707</v>
      </c>
      <c r="AC31" s="533"/>
    </row>
    <row r="32" spans="1:29" ht="15.75" customHeight="1">
      <c r="A32" s="553" t="s">
        <v>8</v>
      </c>
      <c r="B32" s="26" t="s">
        <v>82</v>
      </c>
      <c r="C32" s="530"/>
      <c r="D32" s="530"/>
      <c r="E32" s="94"/>
      <c r="F32" s="103"/>
      <c r="G32" s="93"/>
      <c r="H32" s="103"/>
      <c r="I32" s="17">
        <v>17.600000000000001</v>
      </c>
      <c r="J32" s="18">
        <v>2400</v>
      </c>
      <c r="K32" s="9">
        <f t="shared" si="46"/>
        <v>136.36363636363635</v>
      </c>
      <c r="L32" s="17">
        <v>17.600000000000001</v>
      </c>
      <c r="M32" s="10">
        <f>AVERAGE(M27:M31)</f>
        <v>2201.5525668558571</v>
      </c>
      <c r="N32" s="9">
        <f>M32/L32</f>
        <v>125.08821402590097</v>
      </c>
      <c r="O32" s="11">
        <f>L32-I32</f>
        <v>0</v>
      </c>
      <c r="P32" s="12">
        <f>N32-K32</f>
        <v>-11.275422337735378</v>
      </c>
      <c r="Q32" s="95">
        <f>N32/K32</f>
        <v>0.91731356952327392</v>
      </c>
      <c r="R32" s="533"/>
      <c r="S32" s="24"/>
      <c r="T32" s="24"/>
      <c r="U32" s="93"/>
      <c r="V32" s="102"/>
      <c r="W32" s="93"/>
      <c r="X32" s="93"/>
      <c r="Y32" s="528"/>
      <c r="Z32" s="528"/>
      <c r="AA32" s="11">
        <f t="shared" si="2"/>
        <v>-198.44743314414291</v>
      </c>
      <c r="AB32" s="95">
        <f>M32/J32</f>
        <v>0.91731356952327381</v>
      </c>
      <c r="AC32" s="533"/>
    </row>
    <row r="33" spans="1:29" ht="15.75" customHeight="1">
      <c r="A33" s="550" t="s">
        <v>88</v>
      </c>
      <c r="B33" s="26" t="s">
        <v>24</v>
      </c>
      <c r="C33" s="529" t="s">
        <v>28</v>
      </c>
      <c r="D33" s="529"/>
      <c r="E33" s="26">
        <v>26.2</v>
      </c>
      <c r="F33" s="103">
        <v>4310</v>
      </c>
      <c r="G33" s="93">
        <f t="shared" ref="G33:G38" si="49">E33*F33</f>
        <v>112922</v>
      </c>
      <c r="H33" s="76" t="s">
        <v>52</v>
      </c>
      <c r="I33" s="101">
        <v>18</v>
      </c>
      <c r="J33" s="18">
        <v>2400</v>
      </c>
      <c r="K33" s="9">
        <f>J33/I33</f>
        <v>133.33333333333334</v>
      </c>
      <c r="L33" s="101">
        <v>18</v>
      </c>
      <c r="M33" s="10">
        <f>F33/V33*60</f>
        <v>2191.5254237288136</v>
      </c>
      <c r="N33" s="9">
        <f>M33/L33</f>
        <v>121.75141242937853</v>
      </c>
      <c r="O33" s="11">
        <f t="shared" ref="O33:O38" si="50">L33-I33</f>
        <v>0</v>
      </c>
      <c r="P33" s="12">
        <f t="shared" ref="P33:P46" si="51">N33-K33</f>
        <v>-11.58192090395481</v>
      </c>
      <c r="Q33" s="95">
        <f t="shared" ref="Q33:Q43" si="52">N33/K33</f>
        <v>0.91313559322033888</v>
      </c>
      <c r="R33" s="533">
        <f>Q39</f>
        <v>0.9179227852765619</v>
      </c>
      <c r="S33" s="24">
        <v>0.125</v>
      </c>
      <c r="T33" s="24">
        <v>0.20694444444444443</v>
      </c>
      <c r="U33" s="93"/>
      <c r="V33" s="102">
        <f t="shared" ref="V33:V38" si="53">(T33-S33)*24*60</f>
        <v>117.99999999999999</v>
      </c>
      <c r="W33" s="15">
        <f>T33</f>
        <v>0.20694444444444443</v>
      </c>
      <c r="X33" s="15">
        <f>S34</f>
        <v>0.22777777777777777</v>
      </c>
      <c r="Y33" s="528"/>
      <c r="Z33" s="528"/>
      <c r="AA33" s="11">
        <f t="shared" si="2"/>
        <v>-208.47457627118638</v>
      </c>
      <c r="AB33" s="95">
        <f>M33/J33</f>
        <v>0.91313559322033899</v>
      </c>
      <c r="AC33" s="533">
        <f>AB39</f>
        <v>0.9179227852765619</v>
      </c>
    </row>
    <row r="34" spans="1:29" ht="15.75" customHeight="1">
      <c r="A34" s="550" t="s">
        <v>88</v>
      </c>
      <c r="B34" s="26" t="s">
        <v>24</v>
      </c>
      <c r="C34" s="529" t="s">
        <v>30</v>
      </c>
      <c r="D34" s="529"/>
      <c r="E34" s="26">
        <v>24.45</v>
      </c>
      <c r="F34" s="103">
        <v>1798</v>
      </c>
      <c r="G34" s="93">
        <f t="shared" si="49"/>
        <v>43961.1</v>
      </c>
      <c r="H34" s="76" t="s">
        <v>52</v>
      </c>
      <c r="I34" s="101">
        <v>20</v>
      </c>
      <c r="J34" s="18">
        <v>2400</v>
      </c>
      <c r="K34" s="9">
        <f t="shared" ref="K34:K45" si="54">J34/I34</f>
        <v>120</v>
      </c>
      <c r="L34" s="101">
        <v>20</v>
      </c>
      <c r="M34" s="10">
        <f t="shared" ref="M34:M38" si="55">F34/V34*60</f>
        <v>2201.6326530612232</v>
      </c>
      <c r="N34" s="9">
        <f t="shared" ref="N34:N38" si="56">M34/L34</f>
        <v>110.08163265306116</v>
      </c>
      <c r="O34" s="11">
        <f t="shared" si="50"/>
        <v>0</v>
      </c>
      <c r="P34" s="12">
        <f t="shared" si="51"/>
        <v>-9.9183673469388367</v>
      </c>
      <c r="Q34" s="95">
        <f t="shared" si="52"/>
        <v>0.91734693877550966</v>
      </c>
      <c r="R34" s="533"/>
      <c r="S34" s="24">
        <v>0.22777777777777777</v>
      </c>
      <c r="T34" s="24">
        <v>0.26180555555555557</v>
      </c>
      <c r="U34" s="93">
        <f>(S34-T33)*24*60</f>
        <v>30.000000000000014</v>
      </c>
      <c r="V34" s="102">
        <f t="shared" si="53"/>
        <v>49.000000000000028</v>
      </c>
      <c r="W34" s="93"/>
      <c r="X34" s="93"/>
      <c r="Y34" s="528"/>
      <c r="Z34" s="528"/>
      <c r="AA34" s="11">
        <f t="shared" si="2"/>
        <v>-198.36734693877679</v>
      </c>
      <c r="AB34" s="95">
        <f t="shared" ref="AB34:AB59" si="57">M34/J34</f>
        <v>0.91734693877550966</v>
      </c>
      <c r="AC34" s="533"/>
    </row>
    <row r="35" spans="1:29">
      <c r="A35" s="551" t="s">
        <v>88</v>
      </c>
      <c r="B35" s="26" t="s">
        <v>24</v>
      </c>
      <c r="C35" s="529" t="s">
        <v>31</v>
      </c>
      <c r="D35" s="529"/>
      <c r="E35" s="26">
        <v>26.2</v>
      </c>
      <c r="F35" s="103">
        <v>2184</v>
      </c>
      <c r="G35" s="93">
        <f t="shared" si="49"/>
        <v>57220.799999999996</v>
      </c>
      <c r="H35" s="76" t="s">
        <v>52</v>
      </c>
      <c r="I35" s="101">
        <v>20</v>
      </c>
      <c r="J35" s="18">
        <v>2400</v>
      </c>
      <c r="K35" s="9">
        <f t="shared" si="54"/>
        <v>120</v>
      </c>
      <c r="L35" s="101">
        <v>20</v>
      </c>
      <c r="M35" s="10">
        <f t="shared" si="55"/>
        <v>2221.0169491525412</v>
      </c>
      <c r="N35" s="9">
        <f t="shared" si="56"/>
        <v>111.05084745762706</v>
      </c>
      <c r="O35" s="11">
        <f t="shared" si="50"/>
        <v>0</v>
      </c>
      <c r="P35" s="12">
        <f t="shared" si="51"/>
        <v>-8.9491525423729428</v>
      </c>
      <c r="Q35" s="95">
        <f t="shared" si="52"/>
        <v>0.92542372881355883</v>
      </c>
      <c r="R35" s="533"/>
      <c r="S35" s="24">
        <v>0.26597222222222222</v>
      </c>
      <c r="T35" s="24">
        <v>0.30694444444444446</v>
      </c>
      <c r="U35" s="93">
        <f t="shared" ref="U35:U38" si="58">(S35-T34)*24*60</f>
        <v>5.9999999999999787</v>
      </c>
      <c r="V35" s="102">
        <f t="shared" si="53"/>
        <v>59.000000000000028</v>
      </c>
      <c r="W35" s="93"/>
      <c r="X35" s="93"/>
      <c r="Y35" s="528"/>
      <c r="Z35" s="528"/>
      <c r="AA35" s="11">
        <f t="shared" si="2"/>
        <v>-178.9830508474588</v>
      </c>
      <c r="AB35" s="95">
        <f t="shared" si="57"/>
        <v>0.92542372881355883</v>
      </c>
      <c r="AC35" s="533"/>
    </row>
    <row r="36" spans="1:29">
      <c r="A36" s="551" t="s">
        <v>88</v>
      </c>
      <c r="B36" s="26" t="s">
        <v>24</v>
      </c>
      <c r="C36" s="529" t="s">
        <v>29</v>
      </c>
      <c r="D36" s="529"/>
      <c r="E36" s="26">
        <v>26.39</v>
      </c>
      <c r="F36" s="103">
        <v>3658</v>
      </c>
      <c r="G36" s="93">
        <f t="shared" si="49"/>
        <v>96534.62</v>
      </c>
      <c r="H36" s="76" t="s">
        <v>52</v>
      </c>
      <c r="I36" s="101">
        <v>19</v>
      </c>
      <c r="J36" s="18">
        <v>2400</v>
      </c>
      <c r="K36" s="9">
        <f t="shared" si="54"/>
        <v>126.31578947368421</v>
      </c>
      <c r="L36" s="101">
        <v>19</v>
      </c>
      <c r="M36" s="10">
        <f t="shared" si="55"/>
        <v>2194.8000000000006</v>
      </c>
      <c r="N36" s="9">
        <f t="shared" si="56"/>
        <v>115.51578947368425</v>
      </c>
      <c r="O36" s="11">
        <f t="shared" si="50"/>
        <v>0</v>
      </c>
      <c r="P36" s="12">
        <f t="shared" si="51"/>
        <v>-10.799999999999955</v>
      </c>
      <c r="Q36" s="95">
        <f t="shared" si="52"/>
        <v>0.91450000000000031</v>
      </c>
      <c r="R36" s="533"/>
      <c r="S36" s="24">
        <v>0.3125</v>
      </c>
      <c r="T36" s="24">
        <v>0.38194444444444442</v>
      </c>
      <c r="U36" s="93">
        <f t="shared" si="58"/>
        <v>7.9999999999999716</v>
      </c>
      <c r="V36" s="102">
        <f t="shared" si="53"/>
        <v>99.999999999999972</v>
      </c>
      <c r="W36" s="14"/>
      <c r="X36" s="14"/>
      <c r="Y36" s="528"/>
      <c r="Z36" s="528"/>
      <c r="AA36" s="11">
        <f t="shared" si="2"/>
        <v>-205.19999999999936</v>
      </c>
      <c r="AB36" s="95">
        <f t="shared" si="57"/>
        <v>0.91450000000000031</v>
      </c>
      <c r="AC36" s="533"/>
    </row>
    <row r="37" spans="1:29">
      <c r="A37" s="551" t="s">
        <v>88</v>
      </c>
      <c r="B37" s="26" t="s">
        <v>24</v>
      </c>
      <c r="C37" s="529" t="s">
        <v>27</v>
      </c>
      <c r="D37" s="529"/>
      <c r="E37" s="26">
        <v>20.52</v>
      </c>
      <c r="F37" s="103">
        <v>2437</v>
      </c>
      <c r="G37" s="93">
        <f t="shared" si="49"/>
        <v>50007.24</v>
      </c>
      <c r="H37" s="76" t="s">
        <v>52</v>
      </c>
      <c r="I37" s="101">
        <v>18</v>
      </c>
      <c r="J37" s="18">
        <v>2400</v>
      </c>
      <c r="K37" s="9">
        <f t="shared" si="54"/>
        <v>133.33333333333334</v>
      </c>
      <c r="L37" s="101">
        <v>18</v>
      </c>
      <c r="M37" s="10">
        <f t="shared" si="55"/>
        <v>2215.4545454545455</v>
      </c>
      <c r="N37" s="9">
        <f t="shared" si="56"/>
        <v>123.08080808080808</v>
      </c>
      <c r="O37" s="11">
        <f t="shared" si="50"/>
        <v>0</v>
      </c>
      <c r="P37" s="12">
        <f t="shared" si="51"/>
        <v>-10.25252525252526</v>
      </c>
      <c r="Q37" s="95">
        <f t="shared" si="52"/>
        <v>0.9231060606060606</v>
      </c>
      <c r="R37" s="533"/>
      <c r="S37" s="24">
        <v>0.38611111111111107</v>
      </c>
      <c r="T37" s="24">
        <v>0.43194444444444441</v>
      </c>
      <c r="U37" s="93">
        <f t="shared" si="58"/>
        <v>5.9999999999999787</v>
      </c>
      <c r="V37" s="102">
        <f t="shared" si="53"/>
        <v>66</v>
      </c>
      <c r="W37" s="14"/>
      <c r="X37" s="14"/>
      <c r="Y37" s="528"/>
      <c r="Z37" s="528"/>
      <c r="AA37" s="11">
        <f t="shared" si="2"/>
        <v>-184.5454545454545</v>
      </c>
      <c r="AB37" s="95">
        <f t="shared" si="57"/>
        <v>0.9231060606060606</v>
      </c>
      <c r="AC37" s="533"/>
    </row>
    <row r="38" spans="1:29">
      <c r="A38" s="551" t="s">
        <v>88</v>
      </c>
      <c r="B38" s="26" t="s">
        <v>24</v>
      </c>
      <c r="C38" s="529" t="s">
        <v>50</v>
      </c>
      <c r="D38" s="529"/>
      <c r="E38" s="26">
        <v>26.2</v>
      </c>
      <c r="F38" s="103">
        <v>2998</v>
      </c>
      <c r="G38" s="93">
        <f t="shared" si="49"/>
        <v>78547.599999999991</v>
      </c>
      <c r="H38" s="76" t="s">
        <v>52</v>
      </c>
      <c r="I38" s="101">
        <v>19</v>
      </c>
      <c r="J38" s="18">
        <v>2400</v>
      </c>
      <c r="K38" s="9">
        <f t="shared" si="54"/>
        <v>126.31578947368421</v>
      </c>
      <c r="L38" s="101">
        <v>19</v>
      </c>
      <c r="M38" s="10">
        <f t="shared" si="55"/>
        <v>2193.6585365853653</v>
      </c>
      <c r="N38" s="9">
        <f t="shared" si="56"/>
        <v>115.45571245186133</v>
      </c>
      <c r="O38" s="11">
        <f t="shared" si="50"/>
        <v>0</v>
      </c>
      <c r="P38" s="12">
        <f t="shared" si="51"/>
        <v>-10.860077021822875</v>
      </c>
      <c r="Q38" s="95">
        <f t="shared" si="52"/>
        <v>0.91402439024390225</v>
      </c>
      <c r="R38" s="533"/>
      <c r="S38" s="24">
        <v>0.43749999999999994</v>
      </c>
      <c r="T38" s="24">
        <v>0.49444444444444441</v>
      </c>
      <c r="U38" s="93">
        <f t="shared" si="58"/>
        <v>7.9999999999999716</v>
      </c>
      <c r="V38" s="102">
        <f t="shared" si="53"/>
        <v>82.000000000000028</v>
      </c>
      <c r="W38" s="14"/>
      <c r="X38" s="14"/>
      <c r="Y38" s="528"/>
      <c r="Z38" s="528"/>
      <c r="AA38" s="11">
        <f t="shared" si="2"/>
        <v>-206.34146341463475</v>
      </c>
      <c r="AB38" s="95">
        <f t="shared" si="57"/>
        <v>0.91402439024390214</v>
      </c>
      <c r="AC38" s="533"/>
    </row>
    <row r="39" spans="1:29">
      <c r="A39" s="551" t="s">
        <v>88</v>
      </c>
      <c r="B39" s="16" t="s">
        <v>82</v>
      </c>
      <c r="C39" s="530"/>
      <c r="D39" s="530"/>
      <c r="E39" s="94"/>
      <c r="F39" s="16"/>
      <c r="G39" s="9"/>
      <c r="H39" s="103"/>
      <c r="I39" s="17">
        <v>19</v>
      </c>
      <c r="J39" s="18">
        <v>2400</v>
      </c>
      <c r="K39" s="9">
        <f t="shared" si="54"/>
        <v>126.31578947368421</v>
      </c>
      <c r="L39" s="17">
        <v>19</v>
      </c>
      <c r="M39" s="10">
        <f>AVERAGE(M33:M38)</f>
        <v>2203.0146846637485</v>
      </c>
      <c r="N39" s="9">
        <f>M39/L39</f>
        <v>115.94814129809203</v>
      </c>
      <c r="O39" s="11">
        <f>L39-I39</f>
        <v>0</v>
      </c>
      <c r="P39" s="12">
        <f t="shared" si="51"/>
        <v>-10.36764817559218</v>
      </c>
      <c r="Q39" s="95">
        <f t="shared" si="52"/>
        <v>0.9179227852765619</v>
      </c>
      <c r="R39" s="533"/>
      <c r="S39" s="24"/>
      <c r="T39" s="24"/>
      <c r="U39" s="9"/>
      <c r="V39" s="102"/>
      <c r="W39" s="9"/>
      <c r="X39" s="9"/>
      <c r="Y39" s="528"/>
      <c r="Z39" s="528"/>
      <c r="AA39" s="11">
        <f t="shared" si="2"/>
        <v>-196.98531533625146</v>
      </c>
      <c r="AB39" s="95">
        <f t="shared" si="57"/>
        <v>0.9179227852765619</v>
      </c>
      <c r="AC39" s="533"/>
    </row>
    <row r="40" spans="1:29" ht="15.75" customHeight="1">
      <c r="A40" s="544" t="s">
        <v>169</v>
      </c>
      <c r="B40" s="26" t="s">
        <v>32</v>
      </c>
      <c r="C40" s="534" t="s">
        <v>33</v>
      </c>
      <c r="D40" s="535"/>
      <c r="E40" s="26">
        <v>27.17</v>
      </c>
      <c r="F40" s="103">
        <v>4816</v>
      </c>
      <c r="G40" s="93">
        <f t="shared" ref="G40:G45" si="59">E40*F40</f>
        <v>130850.72</v>
      </c>
      <c r="H40" s="76" t="s">
        <v>52</v>
      </c>
      <c r="I40" s="101">
        <v>10</v>
      </c>
      <c r="J40" s="18">
        <v>3000</v>
      </c>
      <c r="K40" s="9">
        <f t="shared" si="54"/>
        <v>300</v>
      </c>
      <c r="L40" s="101">
        <v>10</v>
      </c>
      <c r="M40" s="10">
        <f t="shared" ref="M40:M41" si="60">F40/V40*60</f>
        <v>2752.0000000000005</v>
      </c>
      <c r="N40" s="10">
        <f t="shared" ref="N40:N46" si="61">M40/L40</f>
        <v>275.20000000000005</v>
      </c>
      <c r="O40" s="11">
        <f t="shared" ref="O40:O46" si="62">L40-I40</f>
        <v>0</v>
      </c>
      <c r="P40" s="12">
        <f t="shared" si="51"/>
        <v>-24.799999999999955</v>
      </c>
      <c r="Q40" s="95">
        <f t="shared" si="52"/>
        <v>0.91733333333333344</v>
      </c>
      <c r="R40" s="547">
        <f>Q46</f>
        <v>0.91946705545800544</v>
      </c>
      <c r="S40" s="24">
        <v>0.20833333333333334</v>
      </c>
      <c r="T40" s="24">
        <v>0.28125</v>
      </c>
      <c r="U40" s="15"/>
      <c r="V40" s="102">
        <f t="shared" ref="V40:V45" si="63">(T40-S40)*24*60</f>
        <v>104.99999999999999</v>
      </c>
      <c r="W40" s="93"/>
      <c r="X40" s="93"/>
      <c r="Y40" s="536"/>
      <c r="Z40" s="537"/>
      <c r="AA40" s="11">
        <f t="shared" si="2"/>
        <v>-247.99999999999955</v>
      </c>
      <c r="AB40" s="95">
        <f t="shared" si="57"/>
        <v>0.91733333333333344</v>
      </c>
      <c r="AC40" s="547">
        <f>AB46</f>
        <v>0.91946705545800556</v>
      </c>
    </row>
    <row r="41" spans="1:29" ht="15.75" customHeight="1">
      <c r="A41" s="545" t="s">
        <v>9</v>
      </c>
      <c r="B41" s="26" t="s">
        <v>32</v>
      </c>
      <c r="C41" s="534" t="s">
        <v>34</v>
      </c>
      <c r="D41" s="535"/>
      <c r="E41" s="26">
        <v>21.13</v>
      </c>
      <c r="F41" s="103">
        <v>3941</v>
      </c>
      <c r="G41" s="93">
        <f t="shared" si="59"/>
        <v>83273.33</v>
      </c>
      <c r="H41" s="76" t="s">
        <v>52</v>
      </c>
      <c r="I41" s="101">
        <v>10</v>
      </c>
      <c r="J41" s="18">
        <v>3000</v>
      </c>
      <c r="K41" s="9">
        <f t="shared" si="54"/>
        <v>300</v>
      </c>
      <c r="L41" s="101">
        <v>10</v>
      </c>
      <c r="M41" s="10">
        <f t="shared" si="60"/>
        <v>2749.5348837209294</v>
      </c>
      <c r="N41" s="10">
        <f t="shared" si="61"/>
        <v>274.95348837209292</v>
      </c>
      <c r="O41" s="11">
        <f t="shared" si="62"/>
        <v>0</v>
      </c>
      <c r="P41" s="12">
        <f t="shared" si="51"/>
        <v>-25.04651162790708</v>
      </c>
      <c r="Q41" s="95">
        <f t="shared" si="52"/>
        <v>0.91651162790697638</v>
      </c>
      <c r="R41" s="548"/>
      <c r="S41" s="24">
        <v>0.28680555555555554</v>
      </c>
      <c r="T41" s="24">
        <v>0.34652777777777777</v>
      </c>
      <c r="U41" s="93">
        <f>(S41-T40)*24*60</f>
        <v>7.9999999999999716</v>
      </c>
      <c r="V41" s="102">
        <f t="shared" si="63"/>
        <v>86.000000000000014</v>
      </c>
      <c r="W41" s="14"/>
      <c r="X41" s="14"/>
      <c r="Y41" s="536"/>
      <c r="Z41" s="537"/>
      <c r="AA41" s="11">
        <f t="shared" si="2"/>
        <v>-250.46511627907057</v>
      </c>
      <c r="AB41" s="95">
        <f t="shared" si="57"/>
        <v>0.91651162790697649</v>
      </c>
      <c r="AC41" s="548"/>
    </row>
    <row r="42" spans="1:29" ht="15.75" customHeight="1">
      <c r="A42" s="545" t="s">
        <v>9</v>
      </c>
      <c r="B42" s="26" t="s">
        <v>32</v>
      </c>
      <c r="C42" s="534" t="s">
        <v>40</v>
      </c>
      <c r="D42" s="535"/>
      <c r="E42" s="26">
        <v>35.119999999999997</v>
      </c>
      <c r="F42" s="103">
        <v>3701</v>
      </c>
      <c r="G42" s="93">
        <f t="shared" si="59"/>
        <v>129979.12</v>
      </c>
      <c r="H42" s="76" t="s">
        <v>52</v>
      </c>
      <c r="I42" s="101">
        <v>10</v>
      </c>
      <c r="J42" s="18">
        <v>3000</v>
      </c>
      <c r="K42" s="9">
        <f t="shared" si="54"/>
        <v>300</v>
      </c>
      <c r="L42" s="101">
        <v>10</v>
      </c>
      <c r="M42" s="10">
        <f>F42/V42*60</f>
        <v>2741.4814814814804</v>
      </c>
      <c r="N42" s="10">
        <f t="shared" si="61"/>
        <v>274.14814814814804</v>
      </c>
      <c r="O42" s="11">
        <f t="shared" si="62"/>
        <v>0</v>
      </c>
      <c r="P42" s="12">
        <f t="shared" si="51"/>
        <v>-25.851851851851961</v>
      </c>
      <c r="Q42" s="95">
        <f t="shared" si="52"/>
        <v>0.91382716049382684</v>
      </c>
      <c r="R42" s="548"/>
      <c r="S42" s="24">
        <v>0.35138888888888886</v>
      </c>
      <c r="T42" s="24">
        <v>0.40763888888888888</v>
      </c>
      <c r="U42" s="93">
        <f t="shared" ref="U42:U45" si="64">(S42-T41)*24*60</f>
        <v>6.9999999999999751</v>
      </c>
      <c r="V42" s="102">
        <f t="shared" si="63"/>
        <v>81.000000000000028</v>
      </c>
      <c r="W42" s="14"/>
      <c r="X42" s="14"/>
      <c r="Y42" s="536"/>
      <c r="Z42" s="537"/>
      <c r="AA42" s="11">
        <f t="shared" si="2"/>
        <v>-258.51851851851961</v>
      </c>
      <c r="AB42" s="95">
        <f t="shared" si="57"/>
        <v>0.91382716049382684</v>
      </c>
      <c r="AC42" s="548"/>
    </row>
    <row r="43" spans="1:29" ht="15.75" customHeight="1">
      <c r="A43" s="545" t="s">
        <v>9</v>
      </c>
      <c r="B43" s="26" t="s">
        <v>32</v>
      </c>
      <c r="C43" s="534" t="s">
        <v>61</v>
      </c>
      <c r="D43" s="535"/>
      <c r="E43" s="26">
        <v>40.18</v>
      </c>
      <c r="F43" s="103">
        <v>2024</v>
      </c>
      <c r="G43" s="93">
        <f t="shared" si="59"/>
        <v>81324.319999999992</v>
      </c>
      <c r="H43" s="76" t="s">
        <v>52</v>
      </c>
      <c r="I43" s="101">
        <v>10</v>
      </c>
      <c r="J43" s="18">
        <v>3000</v>
      </c>
      <c r="K43" s="9">
        <f t="shared" si="54"/>
        <v>300</v>
      </c>
      <c r="L43" s="101">
        <v>10</v>
      </c>
      <c r="M43" s="10">
        <f t="shared" ref="M43:M45" si="65">F43/V43*60</f>
        <v>2760</v>
      </c>
      <c r="N43" s="10">
        <f t="shared" si="61"/>
        <v>276</v>
      </c>
      <c r="O43" s="11">
        <f t="shared" si="62"/>
        <v>0</v>
      </c>
      <c r="P43" s="12">
        <f t="shared" si="51"/>
        <v>-24</v>
      </c>
      <c r="Q43" s="95">
        <f t="shared" si="52"/>
        <v>0.92</v>
      </c>
      <c r="R43" s="548"/>
      <c r="S43" s="24">
        <v>0.41319444444444442</v>
      </c>
      <c r="T43" s="24">
        <v>0.44374999999999998</v>
      </c>
      <c r="U43" s="93">
        <f t="shared" si="64"/>
        <v>7.9999999999999716</v>
      </c>
      <c r="V43" s="102">
        <f t="shared" si="63"/>
        <v>44</v>
      </c>
      <c r="W43" s="14"/>
      <c r="X43" s="14"/>
      <c r="Y43" s="536"/>
      <c r="Z43" s="537"/>
      <c r="AA43" s="11">
        <f t="shared" si="2"/>
        <v>-240</v>
      </c>
      <c r="AB43" s="95">
        <f t="shared" si="57"/>
        <v>0.92</v>
      </c>
      <c r="AC43" s="548"/>
    </row>
    <row r="44" spans="1:29" ht="15.75" customHeight="1">
      <c r="A44" s="545" t="s">
        <v>9</v>
      </c>
      <c r="B44" s="26" t="s">
        <v>32</v>
      </c>
      <c r="C44" s="534" t="s">
        <v>64</v>
      </c>
      <c r="D44" s="535"/>
      <c r="E44" s="26">
        <v>28.5</v>
      </c>
      <c r="F44" s="103">
        <v>1352</v>
      </c>
      <c r="G44" s="93">
        <f t="shared" si="59"/>
        <v>38532</v>
      </c>
      <c r="H44" s="76" t="s">
        <v>52</v>
      </c>
      <c r="I44" s="101">
        <v>10</v>
      </c>
      <c r="J44" s="18">
        <v>3000</v>
      </c>
      <c r="K44" s="9">
        <f t="shared" si="54"/>
        <v>300</v>
      </c>
      <c r="L44" s="101">
        <v>10</v>
      </c>
      <c r="M44" s="10">
        <f t="shared" si="65"/>
        <v>2797.2413793103469</v>
      </c>
      <c r="N44" s="10">
        <f t="shared" si="61"/>
        <v>279.7241379310347</v>
      </c>
      <c r="O44" s="11">
        <f t="shared" si="62"/>
        <v>0</v>
      </c>
      <c r="P44" s="12">
        <f t="shared" si="51"/>
        <v>-20.275862068965296</v>
      </c>
      <c r="Q44" s="95">
        <f>N44/K44</f>
        <v>0.93241379310344896</v>
      </c>
      <c r="R44" s="548"/>
      <c r="S44" s="24">
        <v>0.44722222222222219</v>
      </c>
      <c r="T44" s="24">
        <v>0.46736111111111106</v>
      </c>
      <c r="U44" s="93">
        <f t="shared" si="64"/>
        <v>4.9999999999999822</v>
      </c>
      <c r="V44" s="102">
        <f t="shared" si="63"/>
        <v>28.999999999999979</v>
      </c>
      <c r="W44" s="14"/>
      <c r="X44" s="14"/>
      <c r="Y44" s="536"/>
      <c r="Z44" s="537"/>
      <c r="AA44" s="11">
        <f t="shared" si="2"/>
        <v>-202.75862068965307</v>
      </c>
      <c r="AB44" s="95">
        <f t="shared" si="57"/>
        <v>0.93241379310344896</v>
      </c>
      <c r="AC44" s="548"/>
    </row>
    <row r="45" spans="1:29" ht="15.75" customHeight="1">
      <c r="A45" s="545" t="s">
        <v>9</v>
      </c>
      <c r="B45" s="26" t="s">
        <v>32</v>
      </c>
      <c r="C45" s="534" t="s">
        <v>78</v>
      </c>
      <c r="D45" s="535"/>
      <c r="E45" s="26">
        <v>35.869999999999997</v>
      </c>
      <c r="F45" s="103">
        <v>3071</v>
      </c>
      <c r="G45" s="93">
        <f t="shared" si="59"/>
        <v>110156.76999999999</v>
      </c>
      <c r="H45" s="76" t="s">
        <v>52</v>
      </c>
      <c r="I45" s="101">
        <v>10</v>
      </c>
      <c r="J45" s="18">
        <v>3000</v>
      </c>
      <c r="K45" s="9">
        <f t="shared" si="54"/>
        <v>300</v>
      </c>
      <c r="L45" s="101">
        <v>10</v>
      </c>
      <c r="M45" s="10">
        <f t="shared" si="65"/>
        <v>2750.1492537313434</v>
      </c>
      <c r="N45" s="10">
        <f t="shared" si="61"/>
        <v>275.01492537313436</v>
      </c>
      <c r="O45" s="11">
        <f t="shared" si="62"/>
        <v>0</v>
      </c>
      <c r="P45" s="12">
        <f t="shared" si="51"/>
        <v>-24.985074626865639</v>
      </c>
      <c r="Q45" s="95">
        <f t="shared" ref="Q45:Q46" si="66">N45/K45</f>
        <v>0.91671641791044789</v>
      </c>
      <c r="R45" s="548"/>
      <c r="S45" s="24">
        <v>0.47222222222222215</v>
      </c>
      <c r="T45" s="24">
        <v>0.51874999999999993</v>
      </c>
      <c r="U45" s="93">
        <f t="shared" si="64"/>
        <v>6.9999999999999751</v>
      </c>
      <c r="V45" s="102">
        <f t="shared" si="63"/>
        <v>67</v>
      </c>
      <c r="W45" s="14"/>
      <c r="X45" s="14"/>
      <c r="Y45" s="536"/>
      <c r="Z45" s="537"/>
      <c r="AA45" s="11">
        <f t="shared" si="2"/>
        <v>-249.85074626865662</v>
      </c>
      <c r="AB45" s="95">
        <f t="shared" si="57"/>
        <v>0.91671641791044778</v>
      </c>
      <c r="AC45" s="548"/>
    </row>
    <row r="46" spans="1:29" ht="15.75" customHeight="1">
      <c r="A46" s="546" t="s">
        <v>9</v>
      </c>
      <c r="B46" s="26" t="s">
        <v>82</v>
      </c>
      <c r="C46" s="540"/>
      <c r="D46" s="541"/>
      <c r="E46" s="100"/>
      <c r="F46" s="103"/>
      <c r="G46" s="93"/>
      <c r="H46" s="103"/>
      <c r="I46" s="17">
        <v>10</v>
      </c>
      <c r="J46" s="18">
        <v>3000</v>
      </c>
      <c r="K46" s="9">
        <f>J46/I46</f>
        <v>300</v>
      </c>
      <c r="L46" s="17">
        <v>10</v>
      </c>
      <c r="M46" s="10">
        <f>AVERAGE(M40:M45)</f>
        <v>2758.4011663740166</v>
      </c>
      <c r="N46" s="9">
        <f t="shared" si="61"/>
        <v>275.84011663740165</v>
      </c>
      <c r="O46" s="11">
        <f t="shared" si="62"/>
        <v>0</v>
      </c>
      <c r="P46" s="12">
        <f t="shared" si="51"/>
        <v>-24.15988336259835</v>
      </c>
      <c r="Q46" s="95">
        <f t="shared" si="66"/>
        <v>0.91946705545800544</v>
      </c>
      <c r="R46" s="549"/>
      <c r="S46" s="24"/>
      <c r="T46" s="24"/>
      <c r="U46" s="93"/>
      <c r="V46" s="102"/>
      <c r="W46" s="14"/>
      <c r="X46" s="14"/>
      <c r="Y46" s="536"/>
      <c r="Z46" s="537"/>
      <c r="AA46" s="11">
        <f t="shared" si="2"/>
        <v>-241.59883362598339</v>
      </c>
      <c r="AB46" s="95">
        <f t="shared" si="57"/>
        <v>0.91946705545800556</v>
      </c>
      <c r="AC46" s="549"/>
    </row>
    <row r="47" spans="1:29" ht="15.75" customHeight="1">
      <c r="A47" s="542" t="s">
        <v>170</v>
      </c>
      <c r="B47" s="26" t="s">
        <v>15</v>
      </c>
      <c r="C47" s="529" t="s">
        <v>20</v>
      </c>
      <c r="D47" s="529"/>
      <c r="E47" s="26">
        <v>46</v>
      </c>
      <c r="F47" s="27">
        <v>2495</v>
      </c>
      <c r="G47" s="93">
        <f t="shared" ref="G47:G51" si="67">E47*F47</f>
        <v>114770</v>
      </c>
      <c r="H47" s="76" t="s">
        <v>52</v>
      </c>
      <c r="I47" s="101">
        <v>17</v>
      </c>
      <c r="J47" s="18">
        <v>2000</v>
      </c>
      <c r="K47" s="9">
        <f t="shared" ref="K47:K51" si="68">J47/I47</f>
        <v>117.64705882352941</v>
      </c>
      <c r="L47" s="101">
        <v>17</v>
      </c>
      <c r="M47" s="10">
        <f t="shared" ref="M47:M51" si="69">F47/V47*60</f>
        <v>1825.6097560975602</v>
      </c>
      <c r="N47" s="10">
        <f>M47/L47</f>
        <v>107.38880918220943</v>
      </c>
      <c r="O47" s="11">
        <f>L47-I47</f>
        <v>0</v>
      </c>
      <c r="P47" s="12">
        <f>N47-K47</f>
        <v>-10.258249641319978</v>
      </c>
      <c r="Q47" s="95">
        <f>N47/K47</f>
        <v>0.91280487804878019</v>
      </c>
      <c r="R47" s="533">
        <f>Q52</f>
        <v>0.9154852377674263</v>
      </c>
      <c r="S47" s="24">
        <v>0.29166666666666669</v>
      </c>
      <c r="T47" s="24">
        <v>0.34861111111111115</v>
      </c>
      <c r="U47" s="15"/>
      <c r="V47" s="102">
        <f t="shared" ref="V47:V51" si="70">(T47-S47)*24*60</f>
        <v>82.000000000000028</v>
      </c>
      <c r="W47" s="15"/>
      <c r="X47" s="15"/>
      <c r="Y47" s="528"/>
      <c r="Z47" s="528"/>
      <c r="AA47" s="11">
        <f t="shared" si="2"/>
        <v>-174.39024390243981</v>
      </c>
      <c r="AB47" s="95">
        <f t="shared" si="57"/>
        <v>0.91280487804878008</v>
      </c>
      <c r="AC47" s="533">
        <f>AB52</f>
        <v>0.9154852377674263</v>
      </c>
    </row>
    <row r="48" spans="1:29" ht="15.75" customHeight="1">
      <c r="A48" s="542" t="s">
        <v>10</v>
      </c>
      <c r="B48" s="26" t="s">
        <v>15</v>
      </c>
      <c r="C48" s="529" t="s">
        <v>65</v>
      </c>
      <c r="D48" s="529"/>
      <c r="E48" s="26">
        <v>46</v>
      </c>
      <c r="F48" s="27">
        <v>2965</v>
      </c>
      <c r="G48" s="93">
        <f t="shared" si="67"/>
        <v>136390</v>
      </c>
      <c r="H48" s="76" t="s">
        <v>52</v>
      </c>
      <c r="I48" s="101">
        <v>18</v>
      </c>
      <c r="J48" s="18">
        <v>2000</v>
      </c>
      <c r="K48" s="9">
        <f t="shared" si="68"/>
        <v>111.11111111111111</v>
      </c>
      <c r="L48" s="101">
        <v>18</v>
      </c>
      <c r="M48" s="10">
        <f t="shared" si="69"/>
        <v>1834.0206185567015</v>
      </c>
      <c r="N48" s="10">
        <f t="shared" ref="N48:N51" si="71">M48/L48</f>
        <v>101.8900343642612</v>
      </c>
      <c r="O48" s="11">
        <f t="shared" ref="O48:O51" si="72">L48-I48</f>
        <v>0</v>
      </c>
      <c r="P48" s="12">
        <f t="shared" ref="P48:P51" si="73">N48-K48</f>
        <v>-9.2210767468499171</v>
      </c>
      <c r="Q48" s="95">
        <f t="shared" ref="Q48:Q51" si="74">N48/K48</f>
        <v>0.9170103092783507</v>
      </c>
      <c r="R48" s="533"/>
      <c r="S48" s="24">
        <v>0.35416666666666669</v>
      </c>
      <c r="T48" s="24">
        <v>0.42152777777777778</v>
      </c>
      <c r="U48" s="93">
        <f t="shared" ref="U48:U51" si="75">(S48-T47)*24*60</f>
        <v>7.9999999999999716</v>
      </c>
      <c r="V48" s="102">
        <f t="shared" si="70"/>
        <v>96.999999999999972</v>
      </c>
      <c r="W48" s="14"/>
      <c r="X48" s="14"/>
      <c r="Y48" s="528"/>
      <c r="Z48" s="528"/>
      <c r="AA48" s="11">
        <f t="shared" si="2"/>
        <v>-165.97938144329851</v>
      </c>
      <c r="AB48" s="95">
        <f t="shared" si="57"/>
        <v>0.9170103092783507</v>
      </c>
      <c r="AC48" s="533"/>
    </row>
    <row r="49" spans="1:29" ht="15.75" customHeight="1">
      <c r="A49" s="542" t="s">
        <v>10</v>
      </c>
      <c r="B49" s="26" t="s">
        <v>13</v>
      </c>
      <c r="C49" s="534" t="s">
        <v>59</v>
      </c>
      <c r="D49" s="535"/>
      <c r="E49" s="26">
        <v>55.56</v>
      </c>
      <c r="F49" s="27">
        <v>1890</v>
      </c>
      <c r="G49" s="93">
        <f t="shared" si="67"/>
        <v>105008.40000000001</v>
      </c>
      <c r="H49" s="76" t="s">
        <v>52</v>
      </c>
      <c r="I49" s="101">
        <v>17</v>
      </c>
      <c r="J49" s="18">
        <v>2000</v>
      </c>
      <c r="K49" s="9">
        <f t="shared" si="68"/>
        <v>117.64705882352941</v>
      </c>
      <c r="L49" s="101">
        <v>17</v>
      </c>
      <c r="M49" s="10">
        <f t="shared" si="69"/>
        <v>1829.0322580645179</v>
      </c>
      <c r="N49" s="10">
        <f t="shared" si="71"/>
        <v>107.59013282732458</v>
      </c>
      <c r="O49" s="11">
        <f t="shared" si="72"/>
        <v>0</v>
      </c>
      <c r="P49" s="12">
        <f t="shared" si="73"/>
        <v>-10.056925996204825</v>
      </c>
      <c r="Q49" s="95">
        <f t="shared" si="74"/>
        <v>0.91451612903225898</v>
      </c>
      <c r="R49" s="533"/>
      <c r="S49" s="24">
        <v>0.70833333333333337</v>
      </c>
      <c r="T49" s="24">
        <v>0.75138888888888888</v>
      </c>
      <c r="U49" s="93"/>
      <c r="V49" s="102">
        <f t="shared" si="70"/>
        <v>61.999999999999943</v>
      </c>
      <c r="W49" s="14"/>
      <c r="X49" s="14"/>
      <c r="Y49" s="98"/>
      <c r="Z49" s="99"/>
      <c r="AA49" s="11">
        <f t="shared" si="2"/>
        <v>-170.96774193548208</v>
      </c>
      <c r="AB49" s="95">
        <f t="shared" si="57"/>
        <v>0.91451612903225898</v>
      </c>
      <c r="AC49" s="533"/>
    </row>
    <row r="50" spans="1:29" ht="15.75" customHeight="1">
      <c r="A50" s="542" t="s">
        <v>10</v>
      </c>
      <c r="B50" s="26" t="s">
        <v>13</v>
      </c>
      <c r="C50" s="96" t="s">
        <v>58</v>
      </c>
      <c r="D50" s="97"/>
      <c r="E50" s="26">
        <v>55.32</v>
      </c>
      <c r="F50" s="27">
        <v>1440</v>
      </c>
      <c r="G50" s="93">
        <f t="shared" si="67"/>
        <v>79660.800000000003</v>
      </c>
      <c r="H50" s="76" t="s">
        <v>52</v>
      </c>
      <c r="I50" s="101">
        <v>15</v>
      </c>
      <c r="J50" s="18">
        <v>2000</v>
      </c>
      <c r="K50" s="9">
        <f t="shared" si="68"/>
        <v>133.33333333333334</v>
      </c>
      <c r="L50" s="101">
        <v>15</v>
      </c>
      <c r="M50" s="10">
        <f t="shared" si="69"/>
        <v>1838.2978723404258</v>
      </c>
      <c r="N50" s="10">
        <f t="shared" si="71"/>
        <v>122.55319148936172</v>
      </c>
      <c r="O50" s="11">
        <f t="shared" si="72"/>
        <v>0</v>
      </c>
      <c r="P50" s="12">
        <f t="shared" si="73"/>
        <v>-10.78014184397162</v>
      </c>
      <c r="Q50" s="95">
        <f t="shared" si="74"/>
        <v>0.91914893617021287</v>
      </c>
      <c r="R50" s="533"/>
      <c r="S50" s="24">
        <v>0.75486111111111109</v>
      </c>
      <c r="T50" s="24">
        <v>0.78749999999999998</v>
      </c>
      <c r="U50" s="93">
        <f t="shared" si="75"/>
        <v>4.9999999999999822</v>
      </c>
      <c r="V50" s="102">
        <f t="shared" si="70"/>
        <v>46.999999999999993</v>
      </c>
      <c r="W50" s="14"/>
      <c r="X50" s="14"/>
      <c r="Y50" s="98"/>
      <c r="Z50" s="99"/>
      <c r="AA50" s="11">
        <f t="shared" si="2"/>
        <v>-161.70212765957422</v>
      </c>
      <c r="AB50" s="95">
        <f t="shared" si="57"/>
        <v>0.91914893617021287</v>
      </c>
      <c r="AC50" s="533"/>
    </row>
    <row r="51" spans="1:29" ht="15.75" customHeight="1">
      <c r="A51" s="542" t="s">
        <v>10</v>
      </c>
      <c r="B51" s="26" t="s">
        <v>13</v>
      </c>
      <c r="C51" s="96" t="s">
        <v>60</v>
      </c>
      <c r="D51" s="97"/>
      <c r="E51" s="26">
        <v>57.73</v>
      </c>
      <c r="F51" s="27">
        <v>1530</v>
      </c>
      <c r="G51" s="93">
        <f t="shared" si="67"/>
        <v>88326.9</v>
      </c>
      <c r="H51" s="76" t="s">
        <v>52</v>
      </c>
      <c r="I51" s="101">
        <v>16</v>
      </c>
      <c r="J51" s="18">
        <v>1500</v>
      </c>
      <c r="K51" s="9">
        <f t="shared" si="68"/>
        <v>93.75</v>
      </c>
      <c r="L51" s="101">
        <v>16</v>
      </c>
      <c r="M51" s="10">
        <f t="shared" si="69"/>
        <v>1370.149253731345</v>
      </c>
      <c r="N51" s="10">
        <f t="shared" si="71"/>
        <v>85.634328358209061</v>
      </c>
      <c r="O51" s="11">
        <f t="shared" si="72"/>
        <v>0</v>
      </c>
      <c r="P51" s="12">
        <f t="shared" si="73"/>
        <v>-8.1156716417909394</v>
      </c>
      <c r="Q51" s="95">
        <f t="shared" si="74"/>
        <v>0.91343283582089663</v>
      </c>
      <c r="R51" s="533"/>
      <c r="S51" s="24">
        <v>0.79236111111111107</v>
      </c>
      <c r="T51" s="24">
        <v>0.8388888888888888</v>
      </c>
      <c r="U51" s="93">
        <f t="shared" si="75"/>
        <v>6.9999999999999751</v>
      </c>
      <c r="V51" s="102">
        <f t="shared" si="70"/>
        <v>66.999999999999915</v>
      </c>
      <c r="W51" s="14"/>
      <c r="X51" s="14"/>
      <c r="Y51" s="98"/>
      <c r="Z51" s="99"/>
      <c r="AA51" s="11">
        <f t="shared" si="2"/>
        <v>-129.85074626865503</v>
      </c>
      <c r="AB51" s="95">
        <f t="shared" si="57"/>
        <v>0.91343283582089663</v>
      </c>
      <c r="AC51" s="533"/>
    </row>
    <row r="52" spans="1:29">
      <c r="A52" s="543" t="s">
        <v>10</v>
      </c>
      <c r="B52" s="26" t="s">
        <v>82</v>
      </c>
      <c r="C52" s="530"/>
      <c r="D52" s="530"/>
      <c r="E52" s="94"/>
      <c r="F52" s="16"/>
      <c r="G52" s="9"/>
      <c r="H52" s="103"/>
      <c r="I52" s="17">
        <v>16.600000000000001</v>
      </c>
      <c r="J52" s="18">
        <v>1900</v>
      </c>
      <c r="K52" s="9">
        <f>J52/I52</f>
        <v>114.4578313253012</v>
      </c>
      <c r="L52" s="17">
        <v>16.600000000000001</v>
      </c>
      <c r="M52" s="10">
        <f>AVERAGE(M47:M51)</f>
        <v>1739.42195175811</v>
      </c>
      <c r="N52" s="9">
        <f>M52/L52</f>
        <v>104.78445492518735</v>
      </c>
      <c r="O52" s="11">
        <f>L52-I52</f>
        <v>0</v>
      </c>
      <c r="P52" s="12">
        <f>N52-K52</f>
        <v>-9.6733764001138525</v>
      </c>
      <c r="Q52" s="95">
        <f>N52/K52</f>
        <v>0.9154852377674263</v>
      </c>
      <c r="R52" s="533"/>
      <c r="S52" s="25"/>
      <c r="T52" s="24"/>
      <c r="U52" s="9"/>
      <c r="V52" s="102"/>
      <c r="W52" s="9"/>
      <c r="X52" s="9"/>
      <c r="Y52" s="528"/>
      <c r="Z52" s="528"/>
      <c r="AA52" s="11">
        <f t="shared" si="2"/>
        <v>-160.57804824188997</v>
      </c>
      <c r="AB52" s="95">
        <f t="shared" si="57"/>
        <v>0.9154852377674263</v>
      </c>
      <c r="AC52" s="533"/>
    </row>
    <row r="53" spans="1:29" ht="15.75" customHeight="1">
      <c r="A53" s="538" t="s">
        <v>171</v>
      </c>
      <c r="B53" s="103" t="s">
        <v>32</v>
      </c>
      <c r="C53" s="529" t="s">
        <v>35</v>
      </c>
      <c r="D53" s="529"/>
      <c r="E53" s="26">
        <v>26.78</v>
      </c>
      <c r="F53" s="27">
        <v>2250</v>
      </c>
      <c r="G53" s="93">
        <f t="shared" ref="G53:G58" si="76">E53*F53</f>
        <v>60255</v>
      </c>
      <c r="H53" s="76" t="s">
        <v>52</v>
      </c>
      <c r="I53" s="101">
        <v>10</v>
      </c>
      <c r="J53" s="18">
        <v>3000</v>
      </c>
      <c r="K53" s="9">
        <f t="shared" ref="K53:K58" si="77">J53/I53</f>
        <v>300</v>
      </c>
      <c r="L53" s="17">
        <v>10</v>
      </c>
      <c r="M53" s="10">
        <f t="shared" ref="M53:M58" si="78">F53/V53*60</f>
        <v>2755.1020408163272</v>
      </c>
      <c r="N53" s="9">
        <f>M53/L53</f>
        <v>275.51020408163271</v>
      </c>
      <c r="O53" s="11">
        <f t="shared" ref="O53:O58" si="79">L53-I53</f>
        <v>0</v>
      </c>
      <c r="P53" s="12">
        <f t="shared" ref="P53:P58" si="80">N53-K53</f>
        <v>-24.489795918367292</v>
      </c>
      <c r="Q53" s="95">
        <f>N53/K53</f>
        <v>0.91836734693877564</v>
      </c>
      <c r="R53" s="533">
        <f>Q59</f>
        <v>0.92276568559502126</v>
      </c>
      <c r="S53" s="24">
        <v>0.20833333333333334</v>
      </c>
      <c r="T53" s="24">
        <v>0.24236111111111111</v>
      </c>
      <c r="U53" s="93"/>
      <c r="V53" s="102">
        <f t="shared" ref="V53:V58" si="81">(T53-S53)*24*60</f>
        <v>48.999999999999986</v>
      </c>
      <c r="W53" s="15"/>
      <c r="X53" s="15"/>
      <c r="Y53" s="528"/>
      <c r="Z53" s="528"/>
      <c r="AA53" s="11">
        <f t="shared" si="2"/>
        <v>-244.89795918367281</v>
      </c>
      <c r="AB53" s="95">
        <f t="shared" si="57"/>
        <v>0.91836734693877575</v>
      </c>
      <c r="AC53" s="533">
        <f>AB59</f>
        <v>0.92276568559502126</v>
      </c>
    </row>
    <row r="54" spans="1:29" ht="15.75" customHeight="1">
      <c r="A54" s="538" t="s">
        <v>11</v>
      </c>
      <c r="B54" s="103" t="s">
        <v>32</v>
      </c>
      <c r="C54" s="529" t="s">
        <v>39</v>
      </c>
      <c r="D54" s="529"/>
      <c r="E54" s="26">
        <v>35.369999999999997</v>
      </c>
      <c r="F54" s="27">
        <v>1422</v>
      </c>
      <c r="G54" s="93">
        <f t="shared" si="76"/>
        <v>50296.14</v>
      </c>
      <c r="H54" s="76" t="s">
        <v>52</v>
      </c>
      <c r="I54" s="101">
        <v>10</v>
      </c>
      <c r="J54" s="18">
        <v>3000</v>
      </c>
      <c r="K54" s="9">
        <f t="shared" si="77"/>
        <v>300</v>
      </c>
      <c r="L54" s="17">
        <v>10</v>
      </c>
      <c r="M54" s="10">
        <f t="shared" si="78"/>
        <v>2752.2580645161279</v>
      </c>
      <c r="N54" s="9">
        <f t="shared" ref="N54:N58" si="82">M54/L54</f>
        <v>275.22580645161281</v>
      </c>
      <c r="O54" s="11">
        <f t="shared" si="79"/>
        <v>0</v>
      </c>
      <c r="P54" s="12">
        <f t="shared" si="80"/>
        <v>-24.774193548387188</v>
      </c>
      <c r="Q54" s="95">
        <f t="shared" ref="Q54:Q58" si="83">N54/K54</f>
        <v>0.9174193548387094</v>
      </c>
      <c r="R54" s="533"/>
      <c r="S54" s="24">
        <v>0.24583333333333332</v>
      </c>
      <c r="T54" s="24">
        <v>0.2673611111111111</v>
      </c>
      <c r="U54" s="93">
        <f>(S54-T53)*24*60</f>
        <v>4.9999999999999822</v>
      </c>
      <c r="V54" s="102">
        <f t="shared" si="81"/>
        <v>31.000000000000011</v>
      </c>
      <c r="W54" s="93"/>
      <c r="X54" s="93"/>
      <c r="Y54" s="528"/>
      <c r="Z54" s="528"/>
      <c r="AA54" s="11">
        <f t="shared" si="2"/>
        <v>-247.74193548387211</v>
      </c>
      <c r="AB54" s="95">
        <f t="shared" si="57"/>
        <v>0.91741935483870929</v>
      </c>
      <c r="AC54" s="533"/>
    </row>
    <row r="55" spans="1:29" ht="15.75" customHeight="1">
      <c r="A55" s="538" t="s">
        <v>11</v>
      </c>
      <c r="B55" s="103" t="s">
        <v>32</v>
      </c>
      <c r="C55" s="529" t="s">
        <v>38</v>
      </c>
      <c r="D55" s="529"/>
      <c r="E55" s="26">
        <v>34.35</v>
      </c>
      <c r="F55" s="27">
        <v>1260</v>
      </c>
      <c r="G55" s="93">
        <f t="shared" si="76"/>
        <v>43281</v>
      </c>
      <c r="H55" s="76" t="s">
        <v>52</v>
      </c>
      <c r="I55" s="101">
        <v>10</v>
      </c>
      <c r="J55" s="18">
        <v>3000</v>
      </c>
      <c r="K55" s="9">
        <f t="shared" si="77"/>
        <v>300</v>
      </c>
      <c r="L55" s="17">
        <v>10</v>
      </c>
      <c r="M55" s="10">
        <f t="shared" si="78"/>
        <v>2800.0000000000014</v>
      </c>
      <c r="N55" s="9">
        <f t="shared" si="82"/>
        <v>280.00000000000011</v>
      </c>
      <c r="O55" s="11">
        <f t="shared" si="79"/>
        <v>0</v>
      </c>
      <c r="P55" s="12">
        <f t="shared" si="80"/>
        <v>-19.999999999999886</v>
      </c>
      <c r="Q55" s="95">
        <f t="shared" si="83"/>
        <v>0.93333333333333368</v>
      </c>
      <c r="R55" s="533"/>
      <c r="S55" s="24">
        <v>0.2722222222222222</v>
      </c>
      <c r="T55" s="24">
        <v>0.29097222222222219</v>
      </c>
      <c r="U55" s="93">
        <f t="shared" ref="U55:U58" si="84">(S55-T54)*24*60</f>
        <v>6.9999999999999751</v>
      </c>
      <c r="V55" s="102">
        <f t="shared" si="81"/>
        <v>26.999999999999986</v>
      </c>
      <c r="W55" s="93"/>
      <c r="X55" s="93"/>
      <c r="Y55" s="528"/>
      <c r="Z55" s="528"/>
      <c r="AA55" s="11">
        <f t="shared" si="2"/>
        <v>-199.99999999999864</v>
      </c>
      <c r="AB55" s="95">
        <f t="shared" si="57"/>
        <v>0.93333333333333379</v>
      </c>
      <c r="AC55" s="533"/>
    </row>
    <row r="56" spans="1:29" ht="15.75" customHeight="1">
      <c r="A56" s="538" t="s">
        <v>11</v>
      </c>
      <c r="B56" s="103" t="s">
        <v>15</v>
      </c>
      <c r="C56" s="529" t="s">
        <v>36</v>
      </c>
      <c r="D56" s="529"/>
      <c r="E56" s="26">
        <v>26.97</v>
      </c>
      <c r="F56" s="27">
        <v>2725</v>
      </c>
      <c r="G56" s="93">
        <f t="shared" si="76"/>
        <v>73493.25</v>
      </c>
      <c r="H56" s="76" t="s">
        <v>52</v>
      </c>
      <c r="I56" s="101">
        <v>8</v>
      </c>
      <c r="J56" s="18">
        <v>1500</v>
      </c>
      <c r="K56" s="9">
        <f t="shared" si="77"/>
        <v>187.5</v>
      </c>
      <c r="L56" s="17">
        <v>8</v>
      </c>
      <c r="M56" s="10">
        <f t="shared" si="78"/>
        <v>1373.9495798319331</v>
      </c>
      <c r="N56" s="9">
        <f t="shared" si="82"/>
        <v>171.74369747899163</v>
      </c>
      <c r="O56" s="11">
        <f t="shared" si="79"/>
        <v>0</v>
      </c>
      <c r="P56" s="12">
        <f t="shared" si="80"/>
        <v>-15.756302521008365</v>
      </c>
      <c r="Q56" s="95">
        <f t="shared" si="83"/>
        <v>0.91596638655462204</v>
      </c>
      <c r="R56" s="533"/>
      <c r="S56" s="24">
        <v>0.2944444444444444</v>
      </c>
      <c r="T56" s="24">
        <v>0.37708333333333327</v>
      </c>
      <c r="U56" s="93">
        <f t="shared" si="84"/>
        <v>4.9999999999999822</v>
      </c>
      <c r="V56" s="102">
        <f t="shared" si="81"/>
        <v>118.99999999999997</v>
      </c>
      <c r="W56" s="93"/>
      <c r="X56" s="93"/>
      <c r="Y56" s="528"/>
      <c r="Z56" s="528"/>
      <c r="AA56" s="11">
        <f t="shared" si="2"/>
        <v>-126.05042016806692</v>
      </c>
      <c r="AB56" s="95">
        <f t="shared" si="57"/>
        <v>0.91596638655462204</v>
      </c>
      <c r="AC56" s="533"/>
    </row>
    <row r="57" spans="1:29">
      <c r="A57" s="539" t="s">
        <v>11</v>
      </c>
      <c r="B57" s="103" t="s">
        <v>32</v>
      </c>
      <c r="C57" s="529" t="s">
        <v>37</v>
      </c>
      <c r="D57" s="529"/>
      <c r="E57" s="26">
        <v>35.119999999999997</v>
      </c>
      <c r="F57" s="27">
        <v>1147</v>
      </c>
      <c r="G57" s="93">
        <f t="shared" si="76"/>
        <v>40282.639999999999</v>
      </c>
      <c r="H57" s="76" t="s">
        <v>52</v>
      </c>
      <c r="I57" s="101">
        <v>13</v>
      </c>
      <c r="J57" s="18">
        <v>2000</v>
      </c>
      <c r="K57" s="9">
        <f t="shared" si="77"/>
        <v>153.84615384615384</v>
      </c>
      <c r="L57" s="17">
        <v>13</v>
      </c>
      <c r="M57" s="10">
        <f t="shared" si="78"/>
        <v>1859.9999999999984</v>
      </c>
      <c r="N57" s="9">
        <f t="shared" si="82"/>
        <v>143.07692307692295</v>
      </c>
      <c r="O57" s="11">
        <f t="shared" si="79"/>
        <v>0</v>
      </c>
      <c r="P57" s="12">
        <f t="shared" si="80"/>
        <v>-10.769230769230887</v>
      </c>
      <c r="Q57" s="95">
        <f t="shared" si="83"/>
        <v>0.92999999999999927</v>
      </c>
      <c r="R57" s="533"/>
      <c r="S57" s="24">
        <v>0.38194444444444436</v>
      </c>
      <c r="T57" s="24">
        <v>0.40763888888888883</v>
      </c>
      <c r="U57" s="93">
        <f t="shared" si="84"/>
        <v>6.9999999999999751</v>
      </c>
      <c r="V57" s="102">
        <f t="shared" si="81"/>
        <v>37.000000000000028</v>
      </c>
      <c r="W57" s="14"/>
      <c r="X57" s="14"/>
      <c r="Y57" s="528"/>
      <c r="Z57" s="528"/>
      <c r="AA57" s="11">
        <f t="shared" si="2"/>
        <v>-140.00000000000159</v>
      </c>
      <c r="AB57" s="95">
        <f t="shared" si="57"/>
        <v>0.92999999999999916</v>
      </c>
      <c r="AC57" s="533"/>
    </row>
    <row r="58" spans="1:29" ht="15" customHeight="1">
      <c r="A58" s="539" t="s">
        <v>11</v>
      </c>
      <c r="B58" s="103" t="s">
        <v>32</v>
      </c>
      <c r="C58" s="534" t="s">
        <v>84</v>
      </c>
      <c r="D58" s="535"/>
      <c r="E58" s="26">
        <v>35.869999999999997</v>
      </c>
      <c r="F58" s="27">
        <v>3544</v>
      </c>
      <c r="G58" s="93">
        <f t="shared" si="76"/>
        <v>127123.27999999998</v>
      </c>
      <c r="H58" s="76" t="s">
        <v>52</v>
      </c>
      <c r="I58" s="101">
        <v>10</v>
      </c>
      <c r="J58" s="18">
        <v>3000</v>
      </c>
      <c r="K58" s="9">
        <f t="shared" si="77"/>
        <v>300</v>
      </c>
      <c r="L58" s="17">
        <v>10</v>
      </c>
      <c r="M58" s="10">
        <f t="shared" si="78"/>
        <v>2761.5584415584426</v>
      </c>
      <c r="N58" s="9">
        <f t="shared" si="82"/>
        <v>276.15584415584425</v>
      </c>
      <c r="O58" s="11">
        <f t="shared" si="79"/>
        <v>0</v>
      </c>
      <c r="P58" s="12">
        <f t="shared" si="80"/>
        <v>-23.84415584415575</v>
      </c>
      <c r="Q58" s="95">
        <f t="shared" si="83"/>
        <v>0.92051948051948085</v>
      </c>
      <c r="R58" s="533"/>
      <c r="S58" s="24">
        <v>0.41180555555555548</v>
      </c>
      <c r="T58" s="24">
        <v>0.46527777777777768</v>
      </c>
      <c r="U58" s="93">
        <f t="shared" si="84"/>
        <v>5.9999999999999787</v>
      </c>
      <c r="V58" s="102">
        <f t="shared" si="81"/>
        <v>76.999999999999972</v>
      </c>
      <c r="W58" s="93"/>
      <c r="X58" s="93"/>
      <c r="Y58" s="536"/>
      <c r="Z58" s="537"/>
      <c r="AA58" s="11">
        <f t="shared" si="2"/>
        <v>-238.44155844155739</v>
      </c>
      <c r="AB58" s="95">
        <f t="shared" si="57"/>
        <v>0.92051948051948085</v>
      </c>
      <c r="AC58" s="533"/>
    </row>
    <row r="59" spans="1:29">
      <c r="A59" s="539" t="s">
        <v>11</v>
      </c>
      <c r="B59" s="26" t="s">
        <v>82</v>
      </c>
      <c r="C59" s="530"/>
      <c r="D59" s="530"/>
      <c r="E59" s="94"/>
      <c r="F59" s="16"/>
      <c r="G59" s="9"/>
      <c r="H59" s="103"/>
      <c r="I59" s="17">
        <v>10.166666666666666</v>
      </c>
      <c r="J59" s="18">
        <v>2583.3333333333335</v>
      </c>
      <c r="K59" s="9">
        <f>J59/I59</f>
        <v>254.09836065573774</v>
      </c>
      <c r="L59" s="17">
        <v>10.166666666666666</v>
      </c>
      <c r="M59" s="10">
        <f>AVERAGE(M53:M58)</f>
        <v>2383.8113544538051</v>
      </c>
      <c r="N59" s="9">
        <f>M59/L59</f>
        <v>234.47324797906282</v>
      </c>
      <c r="O59" s="11">
        <f>L59-I59</f>
        <v>0</v>
      </c>
      <c r="P59" s="12">
        <f>N59-K59</f>
        <v>-19.625112676674917</v>
      </c>
      <c r="Q59" s="95">
        <f>N59/K59</f>
        <v>0.92276568559502126</v>
      </c>
      <c r="R59" s="533"/>
      <c r="S59" s="24"/>
      <c r="T59" s="24"/>
      <c r="U59" s="9"/>
      <c r="V59" s="102"/>
      <c r="W59" s="9"/>
      <c r="X59" s="9"/>
      <c r="Y59" s="528"/>
      <c r="Z59" s="528"/>
      <c r="AA59" s="11">
        <f t="shared" si="2"/>
        <v>-199.52197887952843</v>
      </c>
      <c r="AB59" s="95">
        <f t="shared" si="57"/>
        <v>0.92276568559502126</v>
      </c>
      <c r="AC59" s="533"/>
    </row>
    <row r="60" spans="1:29" ht="15.75" customHeight="1">
      <c r="A60" s="531" t="s">
        <v>89</v>
      </c>
      <c r="B60" s="103" t="s">
        <v>24</v>
      </c>
      <c r="C60" s="529" t="s">
        <v>67</v>
      </c>
      <c r="D60" s="529"/>
      <c r="E60" s="26">
        <v>32.03</v>
      </c>
      <c r="F60" s="103">
        <v>1014</v>
      </c>
      <c r="G60" s="93">
        <f t="shared" ref="G60:G64" si="85">E60*F60</f>
        <v>32478.420000000002</v>
      </c>
      <c r="H60" s="76" t="s">
        <v>52</v>
      </c>
      <c r="I60" s="101">
        <v>19</v>
      </c>
      <c r="J60" s="18">
        <v>2400</v>
      </c>
      <c r="K60" s="9">
        <f t="shared" ref="K60:K62" si="86">J60/I60</f>
        <v>126.31578947368421</v>
      </c>
      <c r="L60" s="17">
        <v>19</v>
      </c>
      <c r="M60" s="10">
        <f>F60/V60*60</f>
        <v>2253.3333333333348</v>
      </c>
      <c r="N60" s="9">
        <f t="shared" ref="N60:N64" si="87">M60/L60</f>
        <v>118.59649122807025</v>
      </c>
      <c r="O60" s="11">
        <f t="shared" ref="O60:O64" si="88">L60-I60</f>
        <v>0</v>
      </c>
      <c r="P60" s="12">
        <f t="shared" ref="P60:P64" si="89">N60-K60</f>
        <v>-7.7192982456139561</v>
      </c>
      <c r="Q60" s="95">
        <f>N60/K60</f>
        <v>0.93888888888888955</v>
      </c>
      <c r="R60" s="533">
        <f>Q65</f>
        <v>0.9210041757870816</v>
      </c>
      <c r="S60" s="24">
        <v>0.125</v>
      </c>
      <c r="T60" s="24">
        <v>0.14374999999999999</v>
      </c>
      <c r="U60" s="15"/>
      <c r="V60" s="102">
        <f t="shared" ref="V60:V64" si="90">(T60-S60)*24*60</f>
        <v>26.999999999999986</v>
      </c>
      <c r="W60" s="14">
        <f>T60</f>
        <v>0.14374999999999999</v>
      </c>
      <c r="X60" s="14">
        <f>S61</f>
        <v>0.16388888888888889</v>
      </c>
      <c r="Y60" s="528"/>
      <c r="Z60" s="528"/>
      <c r="AA60" s="11">
        <f t="shared" si="2"/>
        <v>-146.66666666666515</v>
      </c>
      <c r="AB60" s="95">
        <f>M60/J60</f>
        <v>0.93888888888888955</v>
      </c>
      <c r="AC60" s="533">
        <f>AB65</f>
        <v>0.9210041757870816</v>
      </c>
    </row>
    <row r="61" spans="1:29" ht="15.75" customHeight="1">
      <c r="A61" s="531" t="s">
        <v>12</v>
      </c>
      <c r="B61" s="103" t="s">
        <v>24</v>
      </c>
      <c r="C61" s="529" t="s">
        <v>51</v>
      </c>
      <c r="D61" s="529"/>
      <c r="E61" s="26">
        <v>20.2</v>
      </c>
      <c r="F61" s="103">
        <v>1878</v>
      </c>
      <c r="G61" s="93">
        <f t="shared" si="85"/>
        <v>37935.599999999999</v>
      </c>
      <c r="H61" s="76" t="s">
        <v>52</v>
      </c>
      <c r="I61" s="101">
        <v>19</v>
      </c>
      <c r="J61" s="18">
        <v>2400</v>
      </c>
      <c r="K61" s="9">
        <f t="shared" si="86"/>
        <v>126.31578947368421</v>
      </c>
      <c r="L61" s="17">
        <v>19</v>
      </c>
      <c r="M61" s="10">
        <f t="shared" ref="M61:M64" si="91">F61/V61*60</f>
        <v>2209.4117647058815</v>
      </c>
      <c r="N61" s="9">
        <f t="shared" si="87"/>
        <v>116.28482972136219</v>
      </c>
      <c r="O61" s="11">
        <f t="shared" si="88"/>
        <v>0</v>
      </c>
      <c r="P61" s="12">
        <f t="shared" si="89"/>
        <v>-10.030959752322019</v>
      </c>
      <c r="Q61" s="95">
        <f t="shared" ref="Q61:Q65" si="92">N61/K61</f>
        <v>0.92058823529411737</v>
      </c>
      <c r="R61" s="533"/>
      <c r="S61" s="24">
        <v>0.16388888888888889</v>
      </c>
      <c r="T61" s="24">
        <v>0.19930555555555557</v>
      </c>
      <c r="U61" s="93">
        <f>(S61-T60)*24*60</f>
        <v>29.000000000000018</v>
      </c>
      <c r="V61" s="102">
        <f t="shared" si="90"/>
        <v>51.000000000000021</v>
      </c>
      <c r="W61" s="14"/>
      <c r="X61" s="14"/>
      <c r="Y61" s="528"/>
      <c r="Z61" s="528"/>
      <c r="AA61" s="11">
        <f t="shared" si="2"/>
        <v>-190.58823529411848</v>
      </c>
      <c r="AB61" s="95">
        <f t="shared" ref="AB61:AB65" si="93">M61/J61</f>
        <v>0.92058823529411726</v>
      </c>
      <c r="AC61" s="533"/>
    </row>
    <row r="62" spans="1:29" ht="15.75" customHeight="1">
      <c r="A62" s="531" t="s">
        <v>12</v>
      </c>
      <c r="B62" s="103" t="s">
        <v>24</v>
      </c>
      <c r="C62" s="529" t="s">
        <v>41</v>
      </c>
      <c r="D62" s="529"/>
      <c r="E62" s="26">
        <v>19.02</v>
      </c>
      <c r="F62" s="103">
        <v>6553</v>
      </c>
      <c r="G62" s="93">
        <f t="shared" si="85"/>
        <v>124638.06</v>
      </c>
      <c r="H62" s="76" t="s">
        <v>52</v>
      </c>
      <c r="I62" s="101">
        <v>15</v>
      </c>
      <c r="J62" s="18">
        <v>2400</v>
      </c>
      <c r="K62" s="9">
        <f t="shared" si="86"/>
        <v>160</v>
      </c>
      <c r="L62" s="17">
        <v>15</v>
      </c>
      <c r="M62" s="10">
        <f t="shared" si="91"/>
        <v>2196.5363128491613</v>
      </c>
      <c r="N62" s="9">
        <f t="shared" si="87"/>
        <v>146.43575418994408</v>
      </c>
      <c r="O62" s="11">
        <f t="shared" si="88"/>
        <v>0</v>
      </c>
      <c r="P62" s="12">
        <f t="shared" si="89"/>
        <v>-13.564245810055922</v>
      </c>
      <c r="Q62" s="95">
        <f t="shared" si="92"/>
        <v>0.91522346368715046</v>
      </c>
      <c r="R62" s="533"/>
      <c r="S62" s="24">
        <v>0.20416666666666669</v>
      </c>
      <c r="T62" s="24">
        <v>0.32847222222222228</v>
      </c>
      <c r="U62" s="93">
        <f t="shared" ref="U62:U64" si="94">(S62-T61)*24*60</f>
        <v>7.0000000000000151</v>
      </c>
      <c r="V62" s="102">
        <f t="shared" si="90"/>
        <v>179.00000000000006</v>
      </c>
      <c r="W62" s="14"/>
      <c r="X62" s="14"/>
      <c r="Y62" s="528"/>
      <c r="Z62" s="528"/>
      <c r="AA62" s="11">
        <f t="shared" si="2"/>
        <v>-203.46368715083872</v>
      </c>
      <c r="AB62" s="95">
        <f t="shared" si="93"/>
        <v>0.91522346368715057</v>
      </c>
      <c r="AC62" s="533"/>
    </row>
    <row r="63" spans="1:29" ht="15.75" customHeight="1">
      <c r="A63" s="531" t="s">
        <v>12</v>
      </c>
      <c r="B63" s="103" t="s">
        <v>24</v>
      </c>
      <c r="C63" s="529" t="s">
        <v>42</v>
      </c>
      <c r="D63" s="529"/>
      <c r="E63" s="26">
        <v>25</v>
      </c>
      <c r="F63" s="103">
        <v>3041</v>
      </c>
      <c r="G63" s="93">
        <f t="shared" si="85"/>
        <v>76025</v>
      </c>
      <c r="H63" s="76" t="s">
        <v>52</v>
      </c>
      <c r="I63" s="101">
        <v>15</v>
      </c>
      <c r="J63" s="18">
        <v>2400</v>
      </c>
      <c r="K63" s="9">
        <f>J63/I63</f>
        <v>160</v>
      </c>
      <c r="L63" s="17">
        <v>15</v>
      </c>
      <c r="M63" s="10">
        <f t="shared" si="91"/>
        <v>2198.3132530120474</v>
      </c>
      <c r="N63" s="9">
        <f t="shared" si="87"/>
        <v>146.55421686746982</v>
      </c>
      <c r="O63" s="11">
        <f t="shared" si="88"/>
        <v>0</v>
      </c>
      <c r="P63" s="12">
        <f t="shared" si="89"/>
        <v>-13.445783132530181</v>
      </c>
      <c r="Q63" s="95">
        <f t="shared" si="92"/>
        <v>0.91596385542168635</v>
      </c>
      <c r="R63" s="533"/>
      <c r="S63" s="24">
        <v>0.33333333333333337</v>
      </c>
      <c r="T63" s="24">
        <v>0.39097222222222228</v>
      </c>
      <c r="U63" s="93">
        <f t="shared" si="94"/>
        <v>6.9999999999999751</v>
      </c>
      <c r="V63" s="102">
        <f t="shared" si="90"/>
        <v>83.000000000000028</v>
      </c>
      <c r="W63" s="14"/>
      <c r="X63" s="14"/>
      <c r="Y63" s="528"/>
      <c r="Z63" s="528"/>
      <c r="AA63" s="11">
        <f t="shared" si="2"/>
        <v>-201.68674698795257</v>
      </c>
      <c r="AB63" s="95">
        <f t="shared" si="93"/>
        <v>0.91596385542168646</v>
      </c>
      <c r="AC63" s="533"/>
    </row>
    <row r="64" spans="1:29" ht="15.75" customHeight="1">
      <c r="A64" s="531" t="s">
        <v>12</v>
      </c>
      <c r="B64" s="103" t="s">
        <v>24</v>
      </c>
      <c r="C64" s="529" t="s">
        <v>77</v>
      </c>
      <c r="D64" s="529"/>
      <c r="E64" s="26">
        <v>28.51</v>
      </c>
      <c r="F64" s="103">
        <v>3694</v>
      </c>
      <c r="G64" s="93">
        <f t="shared" si="85"/>
        <v>105315.94</v>
      </c>
      <c r="H64" s="76" t="s">
        <v>52</v>
      </c>
      <c r="I64" s="101">
        <v>19</v>
      </c>
      <c r="J64" s="18">
        <v>2400</v>
      </c>
      <c r="K64" s="9">
        <f t="shared" ref="K64:K65" si="95">J64/I64</f>
        <v>126.31578947368421</v>
      </c>
      <c r="L64" s="17">
        <v>19</v>
      </c>
      <c r="M64" s="10">
        <f t="shared" si="91"/>
        <v>2194.455445544555</v>
      </c>
      <c r="N64" s="9">
        <f t="shared" si="87"/>
        <v>115.49765502866079</v>
      </c>
      <c r="O64" s="11">
        <f t="shared" si="88"/>
        <v>0</v>
      </c>
      <c r="P64" s="12">
        <f t="shared" si="89"/>
        <v>-10.818134445023418</v>
      </c>
      <c r="Q64" s="95">
        <f t="shared" si="92"/>
        <v>0.91435643564356461</v>
      </c>
      <c r="R64" s="533"/>
      <c r="S64" s="24">
        <v>0.39583333333333337</v>
      </c>
      <c r="T64" s="24">
        <v>0.46597222222222223</v>
      </c>
      <c r="U64" s="93">
        <f t="shared" si="94"/>
        <v>6.9999999999999751</v>
      </c>
      <c r="V64" s="102">
        <f t="shared" si="90"/>
        <v>100.99999999999996</v>
      </c>
      <c r="W64" s="14"/>
      <c r="X64" s="14"/>
      <c r="Y64" s="528"/>
      <c r="Z64" s="528"/>
      <c r="AA64" s="11">
        <f t="shared" si="2"/>
        <v>-205.544554455445</v>
      </c>
      <c r="AB64" s="95">
        <f t="shared" si="93"/>
        <v>0.91435643564356461</v>
      </c>
      <c r="AC64" s="533"/>
    </row>
    <row r="65" spans="1:29" ht="16.5" customHeight="1">
      <c r="A65" s="532" t="s">
        <v>12</v>
      </c>
      <c r="B65" s="26" t="s">
        <v>82</v>
      </c>
      <c r="C65" s="530"/>
      <c r="D65" s="530"/>
      <c r="E65" s="94"/>
      <c r="F65" s="16"/>
      <c r="G65" s="9"/>
      <c r="H65" s="103"/>
      <c r="I65" s="17">
        <v>17.399999999999999</v>
      </c>
      <c r="J65" s="18">
        <v>2400</v>
      </c>
      <c r="K65" s="9">
        <f t="shared" si="95"/>
        <v>137.93103448275863</v>
      </c>
      <c r="L65" s="17">
        <v>17.399999999999999</v>
      </c>
      <c r="M65" s="10">
        <f>AVERAGE(M60:M64)</f>
        <v>2210.4100218889957</v>
      </c>
      <c r="N65" s="9">
        <f>M65/L65</f>
        <v>127.03505872925264</v>
      </c>
      <c r="O65" s="11">
        <f>L65-I65</f>
        <v>0</v>
      </c>
      <c r="P65" s="12">
        <f>N65-K65</f>
        <v>-10.895975753505994</v>
      </c>
      <c r="Q65" s="95">
        <f t="shared" si="92"/>
        <v>0.9210041757870816</v>
      </c>
      <c r="R65" s="533"/>
      <c r="S65" s="24"/>
      <c r="T65" s="24"/>
      <c r="U65" s="9"/>
      <c r="V65" s="102"/>
      <c r="W65" s="9"/>
      <c r="X65" s="9"/>
      <c r="Y65" s="528"/>
      <c r="Z65" s="528"/>
      <c r="AA65" s="11">
        <f t="shared" si="2"/>
        <v>-189.58997811100426</v>
      </c>
      <c r="AB65" s="95">
        <f t="shared" si="93"/>
        <v>0.9210041757870816</v>
      </c>
      <c r="AC65" s="533"/>
    </row>
    <row r="66" spans="1:29">
      <c r="D66" s="19"/>
      <c r="E66" s="19"/>
    </row>
  </sheetData>
  <mergeCells count="178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2"/>
    <mergeCell ref="C9:D9"/>
    <mergeCell ref="R9:R12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AC13:AC17"/>
    <mergeCell ref="C14:D14"/>
    <mergeCell ref="Y14:Z14"/>
    <mergeCell ref="C15:D15"/>
    <mergeCell ref="Y15:Z15"/>
    <mergeCell ref="C16:D16"/>
    <mergeCell ref="AC9:AC12"/>
    <mergeCell ref="C10:D10"/>
    <mergeCell ref="Y10:Z10"/>
    <mergeCell ref="C11:D11"/>
    <mergeCell ref="Y11:Z11"/>
    <mergeCell ref="C12:D12"/>
    <mergeCell ref="Y12:Z12"/>
    <mergeCell ref="Y16:Z16"/>
    <mergeCell ref="C17:D17"/>
    <mergeCell ref="Y17:Z17"/>
    <mergeCell ref="A18:A26"/>
    <mergeCell ref="C18:D18"/>
    <mergeCell ref="R18:R26"/>
    <mergeCell ref="Y18:Z18"/>
    <mergeCell ref="Y23:Z23"/>
    <mergeCell ref="C24:D24"/>
    <mergeCell ref="Y24:Z24"/>
    <mergeCell ref="A13:A17"/>
    <mergeCell ref="C13:D13"/>
    <mergeCell ref="R13:R17"/>
    <mergeCell ref="Y13:Z13"/>
    <mergeCell ref="AC18:AC26"/>
    <mergeCell ref="C19:D19"/>
    <mergeCell ref="Y19:Z19"/>
    <mergeCell ref="C20:D20"/>
    <mergeCell ref="Y20:Z20"/>
    <mergeCell ref="C21:D21"/>
    <mergeCell ref="Y21:Z21"/>
    <mergeCell ref="C22:D22"/>
    <mergeCell ref="Y22:Z22"/>
    <mergeCell ref="C23:D23"/>
    <mergeCell ref="C25:D25"/>
    <mergeCell ref="Y25:Z25"/>
    <mergeCell ref="C26:D26"/>
    <mergeCell ref="Y26:Z26"/>
    <mergeCell ref="A27:A32"/>
    <mergeCell ref="C27:D27"/>
    <mergeCell ref="R27:R32"/>
    <mergeCell ref="Y27:Z27"/>
    <mergeCell ref="Y32:Z32"/>
    <mergeCell ref="AC27:AC32"/>
    <mergeCell ref="C28:D28"/>
    <mergeCell ref="Y28:Z28"/>
    <mergeCell ref="C29:D29"/>
    <mergeCell ref="Y29:Z29"/>
    <mergeCell ref="C30:D30"/>
    <mergeCell ref="Y30:Z30"/>
    <mergeCell ref="C31:D31"/>
    <mergeCell ref="Y31:Z31"/>
    <mergeCell ref="C32:D32"/>
    <mergeCell ref="AC33:AC39"/>
    <mergeCell ref="C34:D34"/>
    <mergeCell ref="Y34:Z34"/>
    <mergeCell ref="C35:D35"/>
    <mergeCell ref="Y35:Z35"/>
    <mergeCell ref="C36:D36"/>
    <mergeCell ref="Y36:Z36"/>
    <mergeCell ref="C37:D37"/>
    <mergeCell ref="Y37:Z37"/>
    <mergeCell ref="C38:D38"/>
    <mergeCell ref="Y38:Z38"/>
    <mergeCell ref="C39:D39"/>
    <mergeCell ref="Y39:Z39"/>
    <mergeCell ref="A40:A46"/>
    <mergeCell ref="C40:D40"/>
    <mergeCell ref="R40:R46"/>
    <mergeCell ref="Y40:Z40"/>
    <mergeCell ref="A47:A52"/>
    <mergeCell ref="C47:D47"/>
    <mergeCell ref="R47:R52"/>
    <mergeCell ref="Y47:Z47"/>
    <mergeCell ref="A33:A39"/>
    <mergeCell ref="C33:D33"/>
    <mergeCell ref="R33:R39"/>
    <mergeCell ref="Y33:Z33"/>
    <mergeCell ref="AC47:AC52"/>
    <mergeCell ref="C48:D48"/>
    <mergeCell ref="Y48:Z48"/>
    <mergeCell ref="C49:D49"/>
    <mergeCell ref="C52:D52"/>
    <mergeCell ref="Y52:Z52"/>
    <mergeCell ref="AC40:AC46"/>
    <mergeCell ref="C41:D41"/>
    <mergeCell ref="Y41:Z41"/>
    <mergeCell ref="C42:D42"/>
    <mergeCell ref="Y42:Z42"/>
    <mergeCell ref="C43:D43"/>
    <mergeCell ref="C45:D45"/>
    <mergeCell ref="Y45:Z45"/>
    <mergeCell ref="C46:D46"/>
    <mergeCell ref="Y46:Z46"/>
    <mergeCell ref="Y43:Z43"/>
    <mergeCell ref="C44:D44"/>
    <mergeCell ref="Y44:Z44"/>
    <mergeCell ref="A53:A59"/>
    <mergeCell ref="C53:D53"/>
    <mergeCell ref="R53:R59"/>
    <mergeCell ref="Y53:Z53"/>
    <mergeCell ref="AC53:AC59"/>
    <mergeCell ref="C54:D54"/>
    <mergeCell ref="Y54:Z54"/>
    <mergeCell ref="C55:D55"/>
    <mergeCell ref="Y55:Z55"/>
    <mergeCell ref="C56:D56"/>
    <mergeCell ref="Y56:Z56"/>
    <mergeCell ref="C57:D57"/>
    <mergeCell ref="Y57:Z57"/>
    <mergeCell ref="C58:D58"/>
    <mergeCell ref="Y58:Z58"/>
    <mergeCell ref="C59:D59"/>
    <mergeCell ref="Y59:Z59"/>
    <mergeCell ref="Y63:Z63"/>
    <mergeCell ref="C64:D64"/>
    <mergeCell ref="Y64:Z64"/>
    <mergeCell ref="A60:A65"/>
    <mergeCell ref="C60:D60"/>
    <mergeCell ref="R60:R65"/>
    <mergeCell ref="Y60:Z60"/>
    <mergeCell ref="AC60:AC65"/>
    <mergeCell ref="C61:D61"/>
    <mergeCell ref="Y61:Z61"/>
    <mergeCell ref="C62:D62"/>
    <mergeCell ref="Y62:Z62"/>
    <mergeCell ref="C63:D63"/>
    <mergeCell ref="C65:D65"/>
    <mergeCell ref="Y65:Z65"/>
  </mergeCells>
  <phoneticPr fontId="3" type="noConversion"/>
  <conditionalFormatting sqref="O56:O65 O5:O9 O12:O14 O17:O53">
    <cfRule type="cellIs" dxfId="140" priority="34" operator="greaterThan">
      <formula>0</formula>
    </cfRule>
  </conditionalFormatting>
  <conditionalFormatting sqref="P5:P7 P56:P58 AA56:AA58 P60:P64 P27:P31 P53 P9 P12:P14 P18:P25 P47:P51 P33:P45 AA5:AA53 AA60:AA65">
    <cfRule type="cellIs" dxfId="139" priority="38" operator="lessThan">
      <formula>0</formula>
    </cfRule>
  </conditionalFormatting>
  <conditionalFormatting sqref="AB56:AB58 Q56:Q65 Q5:Q9 Q12:Q14 Q17:Q53 AB5:AB53 AB60:AB65">
    <cfRule type="cellIs" dxfId="138" priority="35" operator="greaterThan">
      <formula>1</formula>
    </cfRule>
    <cfRule type="cellIs" dxfId="137" priority="36" operator="lessThan">
      <formula>0.8</formula>
    </cfRule>
  </conditionalFormatting>
  <conditionalFormatting sqref="AC13:AC14 R13:R14 AC56 R17:R23 AC17:AC23 R56:R65 AC5:AC9 R5:R9 AC26:AC53 R26:R53">
    <cfRule type="cellIs" dxfId="136" priority="40" operator="lessThan">
      <formula>0.8</formula>
    </cfRule>
  </conditionalFormatting>
  <conditionalFormatting sqref="AC40">
    <cfRule type="cellIs" dxfId="135" priority="42" operator="lessThan">
      <formula>0.8</formula>
    </cfRule>
  </conditionalFormatting>
  <conditionalFormatting sqref="AC18:AC23">
    <cfRule type="cellIs" dxfId="134" priority="39" operator="lessThan">
      <formula>0.8</formula>
    </cfRule>
  </conditionalFormatting>
  <conditionalFormatting sqref="AC27">
    <cfRule type="cellIs" dxfId="133" priority="41" operator="lessThan">
      <formula>0.8</formula>
    </cfRule>
  </conditionalFormatting>
  <conditionalFormatting sqref="AC33:AC38">
    <cfRule type="cellIs" dxfId="132" priority="37" operator="lessThan">
      <formula>0.8</formula>
    </cfRule>
  </conditionalFormatting>
  <conditionalFormatting sqref="AA59">
    <cfRule type="cellIs" dxfId="131" priority="33" operator="lessThan">
      <formula>0</formula>
    </cfRule>
  </conditionalFormatting>
  <conditionalFormatting sqref="AB59">
    <cfRule type="cellIs" dxfId="130" priority="31" operator="greaterThan">
      <formula>1</formula>
    </cfRule>
    <cfRule type="cellIs" dxfId="129" priority="32" operator="lessThan">
      <formula>0.8</formula>
    </cfRule>
  </conditionalFormatting>
  <conditionalFormatting sqref="O15:O16">
    <cfRule type="cellIs" dxfId="128" priority="26" operator="greaterThan">
      <formula>0</formula>
    </cfRule>
  </conditionalFormatting>
  <conditionalFormatting sqref="P15:P16">
    <cfRule type="cellIs" dxfId="127" priority="29" operator="lessThan">
      <formula>0</formula>
    </cfRule>
  </conditionalFormatting>
  <conditionalFormatting sqref="Q15:Q16">
    <cfRule type="cellIs" dxfId="126" priority="27" operator="greaterThan">
      <formula>1</formula>
    </cfRule>
    <cfRule type="cellIs" dxfId="125" priority="28" operator="lessThan">
      <formula>0.8</formula>
    </cfRule>
  </conditionalFormatting>
  <conditionalFormatting sqref="R15:R16 AC15:AC16">
    <cfRule type="cellIs" dxfId="124" priority="30" operator="lessThan">
      <formula>0.8</formula>
    </cfRule>
  </conditionalFormatting>
  <conditionalFormatting sqref="O10:O11">
    <cfRule type="cellIs" dxfId="123" priority="22" operator="greaterThan">
      <formula>0</formula>
    </cfRule>
  </conditionalFormatting>
  <conditionalFormatting sqref="P10:P11">
    <cfRule type="cellIs" dxfId="122" priority="25" operator="lessThan">
      <formula>0</formula>
    </cfRule>
  </conditionalFormatting>
  <conditionalFormatting sqref="Q10:Q11">
    <cfRule type="cellIs" dxfId="121" priority="23" operator="greaterThan">
      <formula>1</formula>
    </cfRule>
    <cfRule type="cellIs" dxfId="120" priority="24" operator="lessThan">
      <formula>0.8</formula>
    </cfRule>
  </conditionalFormatting>
  <conditionalFormatting sqref="AC25 R25">
    <cfRule type="cellIs" dxfId="119" priority="21" operator="lessThan">
      <formula>0.8</formula>
    </cfRule>
  </conditionalFormatting>
  <conditionalFormatting sqref="O55">
    <cfRule type="cellIs" dxfId="118" priority="16" operator="greaterThan">
      <formula>0</formula>
    </cfRule>
  </conditionalFormatting>
  <conditionalFormatting sqref="P55 AA55">
    <cfRule type="cellIs" dxfId="117" priority="19" operator="lessThan">
      <formula>0</formula>
    </cfRule>
  </conditionalFormatting>
  <conditionalFormatting sqref="Q55 AB55">
    <cfRule type="cellIs" dxfId="116" priority="17" operator="greaterThan">
      <formula>1</formula>
    </cfRule>
    <cfRule type="cellIs" dxfId="115" priority="18" operator="lessThan">
      <formula>0.8</formula>
    </cfRule>
  </conditionalFormatting>
  <conditionalFormatting sqref="R55 AC55">
    <cfRule type="cellIs" dxfId="114" priority="20" operator="lessThan">
      <formula>0.8</formula>
    </cfRule>
  </conditionalFormatting>
  <conditionalFormatting sqref="R24 AC24">
    <cfRule type="cellIs" dxfId="113" priority="15" operator="lessThan">
      <formula>0.8</formula>
    </cfRule>
  </conditionalFormatting>
  <conditionalFormatting sqref="AC24">
    <cfRule type="cellIs" dxfId="112" priority="14" operator="lessThan">
      <formula>0.8</formula>
    </cfRule>
  </conditionalFormatting>
  <conditionalFormatting sqref="O54">
    <cfRule type="cellIs" dxfId="111" priority="9" operator="greaterThan">
      <formula>0</formula>
    </cfRule>
  </conditionalFormatting>
  <conditionalFormatting sqref="P54 AA54">
    <cfRule type="cellIs" dxfId="110" priority="12" operator="lessThan">
      <formula>0</formula>
    </cfRule>
  </conditionalFormatting>
  <conditionalFormatting sqref="Q54 AB54">
    <cfRule type="cellIs" dxfId="109" priority="10" operator="greaterThan">
      <formula>1</formula>
    </cfRule>
    <cfRule type="cellIs" dxfId="108" priority="11" operator="lessThan">
      <formula>0.8</formula>
    </cfRule>
  </conditionalFormatting>
  <conditionalFormatting sqref="R54 AC54">
    <cfRule type="cellIs" dxfId="107" priority="13" operator="lessThan">
      <formula>0.8</formula>
    </cfRule>
  </conditionalFormatting>
  <conditionalFormatting sqref="P8">
    <cfRule type="cellIs" dxfId="106" priority="8" operator="lessThan">
      <formula>0</formula>
    </cfRule>
  </conditionalFormatting>
  <conditionalFormatting sqref="P17">
    <cfRule type="cellIs" dxfId="105" priority="7" operator="lessThan">
      <formula>0</formula>
    </cfRule>
  </conditionalFormatting>
  <conditionalFormatting sqref="P26">
    <cfRule type="cellIs" dxfId="104" priority="6" operator="lessThan">
      <formula>0</formula>
    </cfRule>
  </conditionalFormatting>
  <conditionalFormatting sqref="P32">
    <cfRule type="cellIs" dxfId="103" priority="5" operator="lessThan">
      <formula>0</formula>
    </cfRule>
  </conditionalFormatting>
  <conditionalFormatting sqref="P46">
    <cfRule type="cellIs" dxfId="102" priority="4" operator="lessThan">
      <formula>0</formula>
    </cfRule>
  </conditionalFormatting>
  <conditionalFormatting sqref="P52">
    <cfRule type="cellIs" dxfId="101" priority="3" operator="lessThan">
      <formula>0</formula>
    </cfRule>
  </conditionalFormatting>
  <conditionalFormatting sqref="P59">
    <cfRule type="cellIs" dxfId="100" priority="2" operator="lessThan">
      <formula>0</formula>
    </cfRule>
  </conditionalFormatting>
  <conditionalFormatting sqref="P65">
    <cfRule type="cellIs" dxfId="99" priority="1" operator="lessThan">
      <formula>0</formula>
    </cfRule>
  </conditionalFormatting>
  <dataValidations count="1">
    <dataValidation type="list" allowBlank="1" showInputMessage="1" showErrorMessage="1" sqref="Z8 Z57:Z58 Y5:Z7 Y8:Y58 Z10:Z53 Y59:Z65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"/>
  <dimension ref="B1:Q28"/>
  <sheetViews>
    <sheetView zoomScale="70" zoomScaleNormal="70" workbookViewId="0">
      <selection activeCell="C3" sqref="C3:D3"/>
    </sheetView>
  </sheetViews>
  <sheetFormatPr defaultColWidth="8.75" defaultRowHeight="15.75"/>
  <cols>
    <col min="1" max="1" width="8.75" style="29"/>
    <col min="2" max="2" width="17.875" style="29" customWidth="1"/>
    <col min="3" max="3" width="9.25" style="35" customWidth="1"/>
    <col min="4" max="13" width="12.625" style="29" customWidth="1"/>
    <col min="14" max="14" width="11" style="29" bestFit="1" customWidth="1"/>
    <col min="15" max="15" width="17.75" style="29" bestFit="1" customWidth="1"/>
    <col min="16" max="16" width="12.25" style="29" bestFit="1" customWidth="1"/>
    <col min="17" max="22" width="9.25" style="29" customWidth="1"/>
    <col min="23" max="23" width="10.75" style="29" customWidth="1"/>
    <col min="24" max="24" width="11" style="29" customWidth="1"/>
    <col min="25" max="16384" width="8.75" style="29"/>
  </cols>
  <sheetData>
    <row r="1" spans="2:17" ht="27.75" customHeight="1">
      <c r="B1" s="521" t="s">
        <v>121</v>
      </c>
      <c r="C1" s="521"/>
      <c r="D1" s="521"/>
      <c r="E1" s="521"/>
      <c r="F1" s="521"/>
      <c r="G1" s="521"/>
      <c r="H1" s="521"/>
      <c r="I1" s="521"/>
      <c r="J1" s="521"/>
      <c r="K1" s="28"/>
      <c r="L1" s="28"/>
      <c r="M1" s="28"/>
      <c r="N1" s="28"/>
      <c r="O1" s="28"/>
      <c r="P1" s="28"/>
    </row>
    <row r="2" spans="2:17" ht="27.75" customHeight="1">
      <c r="B2" s="522"/>
      <c r="C2" s="522"/>
      <c r="D2" s="522"/>
      <c r="E2" s="522"/>
      <c r="F2" s="522"/>
      <c r="G2" s="522"/>
      <c r="H2" s="522"/>
      <c r="I2" s="522"/>
      <c r="J2" s="522"/>
      <c r="K2" s="30"/>
      <c r="L2" s="30"/>
      <c r="M2" s="30"/>
      <c r="N2" s="28"/>
      <c r="O2" s="28"/>
      <c r="P2" s="28"/>
    </row>
    <row r="3" spans="2:17" ht="46.5" customHeight="1">
      <c r="B3" s="77" t="s">
        <v>122</v>
      </c>
      <c r="C3" s="523" t="str">
        <f>TEXT('0801 4度C'!A2,"yyyy.mm.ddaaaa")</f>
        <v>2025.08.01星期五</v>
      </c>
      <c r="D3" s="523"/>
      <c r="E3" s="77" t="s">
        <v>123</v>
      </c>
      <c r="F3" s="524">
        <f>'0801 4度C'!D1</f>
        <v>126626</v>
      </c>
      <c r="G3" s="524"/>
      <c r="H3" s="77" t="s">
        <v>90</v>
      </c>
      <c r="I3" s="581">
        <f>'0801 4度C'!F1</f>
        <v>4376902.38</v>
      </c>
      <c r="J3" s="581"/>
      <c r="K3" s="31"/>
      <c r="L3" s="32"/>
      <c r="M3" s="33"/>
      <c r="N3" s="33"/>
    </row>
    <row r="4" spans="2:17" ht="28.5" customHeight="1">
      <c r="B4" s="516" t="s">
        <v>124</v>
      </c>
      <c r="C4" s="516" t="s">
        <v>105</v>
      </c>
      <c r="D4" s="516"/>
      <c r="E4" s="526" t="s">
        <v>106</v>
      </c>
      <c r="F4" s="526"/>
      <c r="G4" s="526" t="s">
        <v>107</v>
      </c>
      <c r="H4" s="526"/>
      <c r="I4" s="526" t="s">
        <v>108</v>
      </c>
      <c r="J4" s="526"/>
      <c r="L4" s="33"/>
      <c r="M4" s="33"/>
      <c r="N4" s="33"/>
    </row>
    <row r="5" spans="2:17" ht="28.5" customHeight="1">
      <c r="B5" s="516"/>
      <c r="C5" s="516" t="s">
        <v>109</v>
      </c>
      <c r="D5" s="516"/>
      <c r="E5" s="516" t="s">
        <v>125</v>
      </c>
      <c r="F5" s="516"/>
      <c r="G5" s="517" t="s">
        <v>110</v>
      </c>
      <c r="H5" s="517"/>
      <c r="I5" s="582" t="s">
        <v>111</v>
      </c>
      <c r="J5" s="582"/>
      <c r="K5" s="33"/>
      <c r="L5" s="33"/>
      <c r="M5" s="33"/>
      <c r="N5" s="33"/>
    </row>
    <row r="6" spans="2:17" ht="28.5" customHeight="1">
      <c r="B6" s="516"/>
      <c r="C6" s="516" t="s">
        <v>43</v>
      </c>
      <c r="D6" s="516"/>
      <c r="E6" s="519">
        <f>AVERAGE(D13:M13)</f>
        <v>141.6505110488248</v>
      </c>
      <c r="F6" s="516">
        <f>AVERAGE(D27:O27,D13:J13)</f>
        <v>145.12780716688127</v>
      </c>
      <c r="G6" s="520">
        <f>AVERAGE(D13:J13)</f>
        <v>145.12780716688127</v>
      </c>
      <c r="H6" s="520"/>
      <c r="I6" s="520">
        <f>AVERAGE(K13:M13)</f>
        <v>133.53682010669306</v>
      </c>
      <c r="J6" s="520"/>
      <c r="K6" s="33"/>
      <c r="L6" s="33"/>
      <c r="M6" s="33"/>
      <c r="N6" s="33"/>
    </row>
    <row r="7" spans="2:17" ht="28.5" customHeight="1">
      <c r="B7" s="516"/>
      <c r="C7" s="510" t="s">
        <v>44</v>
      </c>
      <c r="D7" s="510"/>
      <c r="E7" s="511">
        <f>AVERAGE(D14:M14)</f>
        <v>130.08138088287271</v>
      </c>
      <c r="F7" s="512">
        <f>AVERAGE(D28:O28,D14:J14)</f>
        <v>133.37051160383433</v>
      </c>
      <c r="G7" s="513">
        <f>AVERAGE(D14:J14)</f>
        <v>133.37051160383433</v>
      </c>
      <c r="H7" s="513"/>
      <c r="I7" s="513">
        <f>AVERAGE(K14:M14)</f>
        <v>122.40674253396232</v>
      </c>
      <c r="J7" s="513"/>
      <c r="K7" s="33"/>
      <c r="L7" s="33"/>
      <c r="M7" s="33"/>
      <c r="N7" s="33"/>
    </row>
    <row r="8" spans="2:17" ht="28.5" customHeight="1">
      <c r="B8" s="516"/>
      <c r="C8" s="510" t="s">
        <v>45</v>
      </c>
      <c r="D8" s="510"/>
      <c r="E8" s="514">
        <f>AVERAGE(D15:M15)</f>
        <v>0.91823477731057523</v>
      </c>
      <c r="F8" s="510">
        <f>AVERAGE(D15:J15,D29:O29)</f>
        <v>0.91894123380538439</v>
      </c>
      <c r="G8" s="515">
        <f>AVERAGE(D15:J15)</f>
        <v>0.91894123380538439</v>
      </c>
      <c r="H8" s="515"/>
      <c r="I8" s="515">
        <f>AVERAGE(K15:M15)</f>
        <v>0.91658637882268723</v>
      </c>
      <c r="J8" s="515"/>
      <c r="K8" s="34" t="s">
        <v>126</v>
      </c>
      <c r="L8" s="33"/>
      <c r="M8" s="33"/>
      <c r="N8" s="33"/>
    </row>
    <row r="9" spans="2:17" ht="28.5" customHeight="1" thickBot="1">
      <c r="H9" s="36"/>
      <c r="N9" s="33"/>
      <c r="O9" s="33"/>
      <c r="P9" s="33"/>
      <c r="Q9" s="33"/>
    </row>
    <row r="10" spans="2:17" ht="30" customHeight="1">
      <c r="B10" s="501" t="s">
        <v>127</v>
      </c>
      <c r="C10" s="502"/>
      <c r="D10" s="503" t="s">
        <v>128</v>
      </c>
      <c r="E10" s="504"/>
      <c r="F10" s="504"/>
      <c r="G10" s="504"/>
      <c r="H10" s="504"/>
      <c r="I10" s="504"/>
      <c r="J10" s="505"/>
      <c r="K10" s="506" t="s">
        <v>129</v>
      </c>
      <c r="L10" s="583"/>
      <c r="M10" s="507"/>
      <c r="P10" s="37"/>
      <c r="Q10" s="37"/>
    </row>
    <row r="11" spans="2:17" ht="17.25" customHeight="1">
      <c r="B11" s="493" t="s">
        <v>130</v>
      </c>
      <c r="C11" s="494"/>
      <c r="D11" s="38">
        <v>1</v>
      </c>
      <c r="E11" s="39">
        <v>2</v>
      </c>
      <c r="F11" s="39">
        <v>3</v>
      </c>
      <c r="G11" s="39">
        <v>4</v>
      </c>
      <c r="H11" s="39">
        <v>5</v>
      </c>
      <c r="I11" s="39">
        <v>6</v>
      </c>
      <c r="J11" s="40">
        <v>7</v>
      </c>
      <c r="K11" s="38">
        <v>1</v>
      </c>
      <c r="L11" s="39">
        <v>2</v>
      </c>
      <c r="M11" s="40">
        <v>3</v>
      </c>
      <c r="P11" s="37"/>
      <c r="Q11" s="37"/>
    </row>
    <row r="12" spans="2:17" ht="34.15" customHeight="1">
      <c r="B12" s="493"/>
      <c r="C12" s="494"/>
      <c r="D12" s="41" t="s">
        <v>131</v>
      </c>
      <c r="E12" s="42" t="s">
        <v>132</v>
      </c>
      <c r="F12" s="42" t="s">
        <v>133</v>
      </c>
      <c r="G12" s="42" t="s">
        <v>70</v>
      </c>
      <c r="H12" s="42" t="s">
        <v>134</v>
      </c>
      <c r="I12" s="42" t="s">
        <v>135</v>
      </c>
      <c r="J12" s="43" t="s">
        <v>136</v>
      </c>
      <c r="K12" s="41" t="s">
        <v>137</v>
      </c>
      <c r="L12" s="42" t="s">
        <v>138</v>
      </c>
      <c r="M12" s="43" t="s">
        <v>139</v>
      </c>
    </row>
    <row r="13" spans="2:17" ht="40.15" customHeight="1">
      <c r="B13" s="508" t="s">
        <v>140</v>
      </c>
      <c r="C13" s="44" t="s">
        <v>141</v>
      </c>
      <c r="D13" s="45">
        <f>SUMIFS('0801 4度C'!$K:$K,'0801 4度C'!$A:$A,"燴飯線",'0801 4度C'!$B:$B,"平均")</f>
        <v>105.88235294117646</v>
      </c>
      <c r="E13" s="46">
        <f>SUMIFS('0801 4度C'!$K:$K,'0801 4度C'!$A:$A,"沙拉線一線",'0801 4度C'!$B:$B,"平均")</f>
        <v>80.357142857142847</v>
      </c>
      <c r="F13" s="47">
        <f>SUMIFS('0801 4度C'!$K:$K,'0801 4度C'!$A:$A,"沙拉線二線",'0801 4度C'!$B:$B,"平均")</f>
        <v>80.835443037974684</v>
      </c>
      <c r="G13" s="47">
        <f>SUMIFS('0801 4度C'!$K:$K,'0801 4度C'!$A:$A,"沙拉線三線",'0801 4度C'!$B:$B,"平均")</f>
        <v>105.34351145038168</v>
      </c>
      <c r="H13" s="47">
        <f>SUMIFS('0801 4度C'!$K:$K,'0801 4度C'!$A:$A,"自動包裝線",'0801 4度C'!$B:$B,"平均")</f>
        <v>300</v>
      </c>
      <c r="I13" s="47">
        <f>SUMIFS('0801 4度C'!$K:$K,'0801 4度C'!$A:$A,"涼麵一線",'0801 4度C'!$B:$B,"平均")</f>
        <v>90.361445783132524</v>
      </c>
      <c r="J13" s="48">
        <f>SUMIFS('0801 4度C'!$K:$K,'0801 4度C'!$A:$A,"三明治四線",'0801 4度C'!$B:$B,"平均")</f>
        <v>253.11475409836069</v>
      </c>
      <c r="K13" s="49">
        <f>SUMIFS('0801 4度C'!$K:$K,'0801 4度C'!$A:$A,"三明治一線",'0801 4度C'!$B:$B,"平均")</f>
        <v>136.36363636363635</v>
      </c>
      <c r="L13" s="50">
        <f>SUMIFS('0801 4度C'!$K:$K,'0801 4度C'!$A:$A,"三明治二線",'0801 4度C'!$B:$B,"平均")</f>
        <v>126.31578947368421</v>
      </c>
      <c r="M13" s="48">
        <f>SUMIFS('0801 4度C'!$K:$K,'0801 4度C'!$A:$A,"自動包裝二線",'0801 4度C'!$B:$B,"平均")</f>
        <v>137.93103448275863</v>
      </c>
    </row>
    <row r="14" spans="2:17" ht="39.6" customHeight="1">
      <c r="B14" s="508"/>
      <c r="C14" s="51" t="s">
        <v>69</v>
      </c>
      <c r="D14" s="52">
        <f>SUMIFS('0801 4度C'!$N:$N,'0801 4度C'!$A:$A,"燴飯線",'0801 4度C'!$B:$B,"平均")</f>
        <v>98.23887068951872</v>
      </c>
      <c r="E14" s="53">
        <f>SUMIFS('0801 4度C'!$N:$N,'0801 4度C'!$A:$A,"沙拉線一線",'0801 4度C'!$B:$B,"平均")</f>
        <v>73.536506295387156</v>
      </c>
      <c r="F14" s="53">
        <f>SUMIFS('0801 4度C'!$N:$N,'0801 4度C'!$A:$A,"沙拉線二線",'0801 4度C'!$B:$B,"平均")</f>
        <v>74.337944033288366</v>
      </c>
      <c r="G14" s="53">
        <f>SUMIFS('0801 4度C'!$N:$N,'0801 4度C'!$A:$A,"沙拉線三線",'0801 4度C'!$B:$B,"平均")</f>
        <v>96.420143318006225</v>
      </c>
      <c r="H14" s="53">
        <f>SUMIFS('0801 4度C'!$N:$N,'0801 4度C'!$A:$A,"自動包裝線",'0801 4度C'!$B:$B,"平均")</f>
        <v>274.96252685346536</v>
      </c>
      <c r="I14" s="53">
        <f>SUMIFS('0801 4度C'!$N:$N,'0801 4度C'!$A:$A,"涼麵一線",'0801 4度C'!$B:$B,"平均")</f>
        <v>82.824483938286335</v>
      </c>
      <c r="J14" s="54">
        <f>SUMIFS('0801 4度C'!$N:$N,'0801 4度C'!$A:$A,"三明治四線",'0801 4度C'!$B:$B,"平均")</f>
        <v>233.27310609888823</v>
      </c>
      <c r="K14" s="55">
        <f>SUMIFS('0801 4度C'!$N:$N,'0801 4度C'!$A:$A,"三明治一線",'0801 4度C'!$B:$B,"平均")</f>
        <v>124.98619968011971</v>
      </c>
      <c r="L14" s="56">
        <f>SUMIFS('0801 4度C'!$N:$N,'0801 4度C'!$A:$A,"三明治二線",'0801 4度C'!$B:$B,"平均")</f>
        <v>115.49545457155692</v>
      </c>
      <c r="M14" s="54">
        <f>SUMIFS('0801 4度C'!$N:$N,'0801 4度C'!$A:$A,"自動包裝二線",'0801 4度C'!$B:$B,"平均")</f>
        <v>126.73857335021036</v>
      </c>
    </row>
    <row r="15" spans="2:17" ht="40.15" customHeight="1">
      <c r="B15" s="508"/>
      <c r="C15" s="57" t="s">
        <v>142</v>
      </c>
      <c r="D15" s="58">
        <f>D14/D13</f>
        <v>0.92781155651212133</v>
      </c>
      <c r="E15" s="59">
        <f t="shared" ref="E15:M15" si="0">E14/E13</f>
        <v>0.91512096723148473</v>
      </c>
      <c r="F15" s="59">
        <f t="shared" si="0"/>
        <v>0.91962066686968069</v>
      </c>
      <c r="G15" s="59">
        <f t="shared" si="0"/>
        <v>0.91529266483034888</v>
      </c>
      <c r="H15" s="59">
        <f>H14/H13</f>
        <v>0.91654175617821787</v>
      </c>
      <c r="I15" s="59">
        <f>I14/I13</f>
        <v>0.91659095558370218</v>
      </c>
      <c r="J15" s="60">
        <f>J14/J13</f>
        <v>0.92161006943213608</v>
      </c>
      <c r="K15" s="58">
        <f>K14/K13</f>
        <v>0.91656546432087804</v>
      </c>
      <c r="L15" s="59">
        <f>L14/L13</f>
        <v>0.91433901535815898</v>
      </c>
      <c r="M15" s="60">
        <f t="shared" si="0"/>
        <v>0.918854656789025</v>
      </c>
    </row>
    <row r="16" spans="2:17" ht="17.25" customHeight="1">
      <c r="B16" s="509" t="s">
        <v>143</v>
      </c>
      <c r="C16" s="78" t="s">
        <v>71</v>
      </c>
      <c r="D16" s="61">
        <f>VLOOKUP("燴飯線",'0801 4度C'!$A:$T,19,0)</f>
        <v>0.70833333333333337</v>
      </c>
      <c r="E16" s="24">
        <f>VLOOKUP("沙拉線一線",'0801 4度C'!$A:$T,19,0)</f>
        <v>0.12847222222222221</v>
      </c>
      <c r="F16" s="24">
        <f>VLOOKUP("沙拉線二線",'0801 4度C'!$A:$T,19,0)</f>
        <v>0.25</v>
      </c>
      <c r="G16" s="24">
        <f>VLOOKUP("沙拉線三線",'0801 4度C'!$A:$T,19,0)</f>
        <v>0.16666666666666666</v>
      </c>
      <c r="H16" s="24">
        <f>VLOOKUP("自動包裝線",'0801 4度C'!$A:$T,19,0)</f>
        <v>0.20833333333333334</v>
      </c>
      <c r="I16" s="24">
        <f>VLOOKUP("涼麵一線",'0801 4度C'!$A:$T,19,0)</f>
        <v>0.29166666666666669</v>
      </c>
      <c r="J16" s="62">
        <f>VLOOKUP("三明治四線",'0801 4度C'!$A:$T,19,0)</f>
        <v>0.20833333333333334</v>
      </c>
      <c r="K16" s="63">
        <f>VLOOKUP("三明治一線",'0801 4度C'!$A:$T,19,0)</f>
        <v>0.125</v>
      </c>
      <c r="L16" s="64">
        <f>VLOOKUP("三明治二線",'0801 4度C'!$A:$T,19,0)</f>
        <v>0.125</v>
      </c>
      <c r="M16" s="65">
        <f>VLOOKUP("自動包裝二線",'0801 4度C'!$A:$T,19,0)</f>
        <v>0.125</v>
      </c>
    </row>
    <row r="17" spans="2:13" ht="17.25" customHeight="1">
      <c r="B17" s="493"/>
      <c r="C17" s="78" t="s">
        <v>144</v>
      </c>
      <c r="D17" s="63">
        <f>LOOKUP(2,1/(('0801 4度C'!$A:$A="燴飯線")*('0801 4度C'!$T:$T&lt;&gt;"")),'0801 4度C'!$T:$T)</f>
        <v>0.81874999999999998</v>
      </c>
      <c r="E17" s="24">
        <f>LOOKUP(2,1/(('0801 4度C'!$A:$A="沙拉線一線")*('0801 4度C'!$T:$T&lt;&gt;"")),'0801 4度C'!$T:$T)</f>
        <v>0.51249999999999996</v>
      </c>
      <c r="F17" s="24">
        <f>LOOKUP(2,1/(('0801 4度C'!$A:$A="沙拉線二線")*('0801 4度C'!$T:$T&lt;&gt;"")),'0801 4度C'!$T:$T)</f>
        <v>0.8486111111111112</v>
      </c>
      <c r="G17" s="24">
        <f>LOOKUP(2,1/(('0801 4度C'!$A:$A="沙拉線三線")*('0801 4度C'!$T:$T&lt;&gt;"")),'0801 4度C'!$T:$T)</f>
        <v>0.80069444444444438</v>
      </c>
      <c r="H17" s="24">
        <f>LOOKUP(2,1/(('0801 4度C'!$A:$A="自動包裝線")*('0801 4度C'!$T:$T&lt;&gt;"")),'0801 4度C'!$T:$T)</f>
        <v>0.51458333333333328</v>
      </c>
      <c r="I17" s="24">
        <f>LOOKUP(2,1/(('0801 4度C'!$A:$A="涼麵一線")*('0801 4度C'!$T:$T&lt;&gt;"")),'0801 4度C'!$T:$T)</f>
        <v>0.84513888888888888</v>
      </c>
      <c r="J17" s="62">
        <f>LOOKUP(2,1/(('0801 4度C'!$A:$A="三明治四線")*('0801 4度C'!$T:$T&lt;&gt;"")),'0801 4度C'!$T:$T)</f>
        <v>0.45972222222222209</v>
      </c>
      <c r="K17" s="61">
        <f>LOOKUP(2,1/(('0801 4度C'!$A:$A="三明治一線")*('0801 4度C'!$T:$T&lt;&gt;"")),'0801 4度C'!$T:$T)</f>
        <v>0.48958333333333326</v>
      </c>
      <c r="L17" s="24">
        <f>LOOKUP(2,1/(('0801 4度C'!$A:$A="三明治二線")*('0801 4度C'!$T:$T&lt;&gt;"")),'0801 4度C'!$T:$T)</f>
        <v>0.49097222222222214</v>
      </c>
      <c r="M17" s="62">
        <f>LOOKUP(2,1/(('0801 4度C'!$A:$A="自動包裝二線")*('0801 4度C'!$T:$T&lt;&gt;"")),'0801 4度C'!$T:$T)</f>
        <v>0.45763888888888882</v>
      </c>
    </row>
    <row r="18" spans="2:13" ht="17.25" customHeight="1">
      <c r="B18" s="493" t="s">
        <v>91</v>
      </c>
      <c r="C18" s="494"/>
      <c r="D18" s="66">
        <f>SUMIFS('0801 4度C'!$I:$I,'0801 4度C'!$A:$A,"燴飯線",'0801 4度C'!$B:$B,"平均")</f>
        <v>17</v>
      </c>
      <c r="E18" s="67">
        <f>SUMIFS('0801 4度C'!$I:$I,'0801 4度C'!$A:$A,"沙拉線一線",'0801 4度C'!$B:$B,"平均")</f>
        <v>18.666666666666668</v>
      </c>
      <c r="F18" s="67">
        <f>SUMIFS('0801 4度C'!$I:$I,'0801 4度C'!$A:$A,"沙拉線二線",'0801 4度C'!$B:$B,"平均")</f>
        <v>19.75</v>
      </c>
      <c r="G18" s="67">
        <f>SUMIFS('0801 4度C'!$I:$I,'0801 4度C'!$A:$A,"沙拉線三線",'0801 4度C'!$B:$B,"平均")</f>
        <v>16.375</v>
      </c>
      <c r="H18" s="67">
        <f>SUMIFS('0801 4度C'!$I:$I,'0801 4度C'!$A:$A,"自動包裝線",'0801 4度C'!$B:$B,"平均")</f>
        <v>10</v>
      </c>
      <c r="I18" s="67">
        <f>SUMIFS('0801 4度C'!$I:$I,'0801 4度C'!$A:$A,"涼麵一線",'0801 4度C'!$B:$B,"平均")</f>
        <v>16.600000000000001</v>
      </c>
      <c r="J18" s="68">
        <f>SUMIFS('0801 4度C'!$I:$I,'0801 4度C'!$A:$A,"三明治四線",'0801 4度C'!$B:$B,"平均")</f>
        <v>10.166666666666666</v>
      </c>
      <c r="K18" s="66">
        <f>SUMIFS('0801 4度C'!$I:$I,'0801 4度C'!$A:$A,"三明治一線",'0801 4度C'!$B:$B,"平均")</f>
        <v>17.600000000000001</v>
      </c>
      <c r="L18" s="67">
        <f>SUMIFS('0801 4度C'!$I:$I,'0801 4度C'!$A:$A,"三明治二線",'0801 4度C'!$B:$B,"平均")</f>
        <v>19</v>
      </c>
      <c r="M18" s="68">
        <f>SUMIFS('0801 4度C'!$I:$I,'0801 4度C'!$A:$A,"自動包裝二線",'0801 4度C'!$B:$B,"平均")</f>
        <v>17.399999999999999</v>
      </c>
    </row>
    <row r="19" spans="2:13" ht="17.25" customHeight="1">
      <c r="B19" s="495" t="s">
        <v>92</v>
      </c>
      <c r="C19" s="496"/>
      <c r="D19" s="69" t="s">
        <v>46</v>
      </c>
      <c r="E19" s="70" t="s">
        <v>47</v>
      </c>
      <c r="F19" s="70" t="s">
        <v>93</v>
      </c>
      <c r="G19" s="70" t="s">
        <v>145</v>
      </c>
      <c r="H19" s="70" t="s">
        <v>48</v>
      </c>
      <c r="I19" s="70" t="s">
        <v>46</v>
      </c>
      <c r="J19" s="71" t="s">
        <v>48</v>
      </c>
      <c r="K19" s="69" t="s">
        <v>72</v>
      </c>
      <c r="L19" s="70" t="s">
        <v>146</v>
      </c>
      <c r="M19" s="71" t="s">
        <v>147</v>
      </c>
    </row>
    <row r="20" spans="2:13" ht="17.25" customHeight="1">
      <c r="B20" s="495" t="s">
        <v>148</v>
      </c>
      <c r="C20" s="496"/>
      <c r="D20" s="69"/>
      <c r="E20" s="70"/>
      <c r="F20" s="70" t="s">
        <v>149</v>
      </c>
      <c r="G20" s="70" t="s">
        <v>46</v>
      </c>
      <c r="H20" s="70"/>
      <c r="I20" s="70"/>
      <c r="J20" s="71"/>
      <c r="K20" s="69"/>
      <c r="L20" s="70"/>
      <c r="M20" s="71"/>
    </row>
    <row r="21" spans="2:13" ht="17.25" customHeight="1" thickBot="1">
      <c r="B21" s="497" t="s">
        <v>94</v>
      </c>
      <c r="C21" s="498"/>
      <c r="D21" s="72"/>
      <c r="E21" s="73" t="s">
        <v>150</v>
      </c>
      <c r="F21" s="499" t="s">
        <v>95</v>
      </c>
      <c r="G21" s="500"/>
      <c r="H21" s="73" t="s">
        <v>151</v>
      </c>
      <c r="I21" s="73" t="s">
        <v>152</v>
      </c>
      <c r="J21" s="74" t="s">
        <v>73</v>
      </c>
      <c r="K21" s="75"/>
      <c r="L21" s="73"/>
      <c r="M21" s="74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98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">
    <pageSetUpPr fitToPage="1"/>
  </sheetPr>
  <dimension ref="A1:AC66"/>
  <sheetViews>
    <sheetView zoomScale="80" zoomScaleNormal="80" workbookViewId="0">
      <pane ySplit="4" topLeftCell="A5" activePane="bottomLeft" state="frozen"/>
      <selection activeCell="C3" sqref="C3:D3"/>
      <selection pane="bottomLeft" activeCell="C3" sqref="C3:D3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0" bestFit="1" customWidth="1"/>
    <col min="20" max="20" width="7.625" style="20" bestFit="1" customWidth="1"/>
    <col min="21" max="21" width="10.25" style="5" bestFit="1" customWidth="1"/>
    <col min="22" max="22" width="8.75" style="21" customWidth="1"/>
    <col min="23" max="23" width="7.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112</v>
      </c>
      <c r="B1" s="1"/>
      <c r="C1" s="2" t="s">
        <v>96</v>
      </c>
      <c r="D1" s="3">
        <f>SUM(F5:F65)</f>
        <v>126626</v>
      </c>
      <c r="E1" s="80" t="s">
        <v>113</v>
      </c>
      <c r="F1" s="1">
        <f>SUM(G5:G65)</f>
        <v>4376902.38</v>
      </c>
      <c r="G1" s="1" t="s">
        <v>153</v>
      </c>
      <c r="H1" s="4">
        <f>L8+L12+L46+L52+L17+L59+L32+L39+L26+L65</f>
        <v>162.55833333333337</v>
      </c>
      <c r="I1" s="572" t="s">
        <v>114</v>
      </c>
      <c r="J1" s="572"/>
      <c r="K1" s="572"/>
      <c r="L1" s="572" t="s">
        <v>154</v>
      </c>
      <c r="M1" s="572"/>
      <c r="N1" s="572"/>
      <c r="O1" s="572" t="s">
        <v>97</v>
      </c>
      <c r="P1" s="572"/>
      <c r="Q1" s="572"/>
      <c r="R1" s="572"/>
      <c r="S1" s="572" t="s">
        <v>98</v>
      </c>
      <c r="T1" s="572"/>
      <c r="U1" s="572"/>
      <c r="V1" s="572"/>
      <c r="W1" s="572"/>
      <c r="X1" s="572"/>
      <c r="Y1" s="572" t="s">
        <v>115</v>
      </c>
      <c r="Z1" s="572"/>
      <c r="AA1" s="572" t="s">
        <v>155</v>
      </c>
      <c r="AB1" s="573"/>
      <c r="AC1" s="573"/>
    </row>
    <row r="2" spans="1:29" ht="26.25" customHeight="1">
      <c r="A2" s="22">
        <v>45870</v>
      </c>
      <c r="B2" s="23" t="s">
        <v>74</v>
      </c>
      <c r="C2" s="2" t="s">
        <v>116</v>
      </c>
      <c r="D2" s="6">
        <f>AVERAGE(N8,N12,N46,N52,N17,N59,N26,N32,N39,N65)</f>
        <v>130.08138088287274</v>
      </c>
      <c r="E2" s="7" t="s">
        <v>0</v>
      </c>
      <c r="F2" s="8">
        <f>F1/D1</f>
        <v>34.56558984726675</v>
      </c>
      <c r="G2" s="1" t="s">
        <v>117</v>
      </c>
      <c r="H2" s="79">
        <f>COUNT(H5:H65)</f>
        <v>0</v>
      </c>
      <c r="I2" s="572"/>
      <c r="J2" s="572"/>
      <c r="K2" s="572"/>
      <c r="L2" s="572"/>
      <c r="M2" s="572"/>
      <c r="N2" s="572"/>
      <c r="O2" s="572"/>
      <c r="P2" s="572"/>
      <c r="Q2" s="572"/>
      <c r="R2" s="572"/>
      <c r="S2" s="572"/>
      <c r="T2" s="572"/>
      <c r="U2" s="572"/>
      <c r="V2" s="572"/>
      <c r="W2" s="572"/>
      <c r="X2" s="572"/>
      <c r="Y2" s="572"/>
      <c r="Z2" s="572"/>
      <c r="AA2" s="573"/>
      <c r="AB2" s="573"/>
      <c r="AC2" s="573"/>
    </row>
    <row r="3" spans="1:29" ht="23.25" customHeight="1">
      <c r="A3" s="528" t="s">
        <v>156</v>
      </c>
      <c r="B3" s="528" t="s">
        <v>118</v>
      </c>
      <c r="C3" s="528" t="s">
        <v>119</v>
      </c>
      <c r="D3" s="528"/>
      <c r="E3" s="570" t="s">
        <v>157</v>
      </c>
      <c r="F3" s="528" t="s">
        <v>120</v>
      </c>
      <c r="G3" s="570" t="s">
        <v>158</v>
      </c>
      <c r="H3" s="563" t="s">
        <v>99</v>
      </c>
      <c r="I3" s="561" t="s">
        <v>101</v>
      </c>
      <c r="J3" s="566" t="s">
        <v>100</v>
      </c>
      <c r="K3" s="568" t="s">
        <v>116</v>
      </c>
      <c r="L3" s="561" t="s">
        <v>101</v>
      </c>
      <c r="M3" s="566" t="s">
        <v>100</v>
      </c>
      <c r="N3" s="568" t="s">
        <v>116</v>
      </c>
      <c r="O3" s="561" t="s">
        <v>101</v>
      </c>
      <c r="P3" s="568" t="s">
        <v>116</v>
      </c>
      <c r="Q3" s="567" t="s">
        <v>159</v>
      </c>
      <c r="R3" s="542" t="s">
        <v>86</v>
      </c>
      <c r="S3" s="569" t="s">
        <v>1</v>
      </c>
      <c r="T3" s="569"/>
      <c r="U3" s="563" t="s">
        <v>2</v>
      </c>
      <c r="V3" s="563" t="s">
        <v>66</v>
      </c>
      <c r="W3" s="528" t="s">
        <v>160</v>
      </c>
      <c r="X3" s="528"/>
      <c r="Y3" s="564" t="s">
        <v>161</v>
      </c>
      <c r="Z3" s="565"/>
      <c r="AA3" s="566" t="s">
        <v>162</v>
      </c>
      <c r="AB3" s="567" t="s">
        <v>102</v>
      </c>
      <c r="AC3" s="542" t="s">
        <v>86</v>
      </c>
    </row>
    <row r="4" spans="1:29">
      <c r="A4" s="528"/>
      <c r="B4" s="528"/>
      <c r="C4" s="528"/>
      <c r="D4" s="528"/>
      <c r="E4" s="571"/>
      <c r="F4" s="528"/>
      <c r="G4" s="571"/>
      <c r="H4" s="563"/>
      <c r="I4" s="561"/>
      <c r="J4" s="566"/>
      <c r="K4" s="568"/>
      <c r="L4" s="561"/>
      <c r="M4" s="566"/>
      <c r="N4" s="568"/>
      <c r="O4" s="561"/>
      <c r="P4" s="568"/>
      <c r="Q4" s="567"/>
      <c r="R4" s="542"/>
      <c r="S4" s="81" t="s">
        <v>3</v>
      </c>
      <c r="T4" s="81" t="s">
        <v>4</v>
      </c>
      <c r="U4" s="563"/>
      <c r="V4" s="563"/>
      <c r="W4" s="80" t="s">
        <v>103</v>
      </c>
      <c r="X4" s="80" t="s">
        <v>75</v>
      </c>
      <c r="Y4" s="565"/>
      <c r="Z4" s="565"/>
      <c r="AA4" s="566"/>
      <c r="AB4" s="567"/>
      <c r="AC4" s="542"/>
    </row>
    <row r="5" spans="1:29">
      <c r="A5" s="560" t="s">
        <v>104</v>
      </c>
      <c r="B5" s="26" t="s">
        <v>13</v>
      </c>
      <c r="C5" s="562" t="s">
        <v>53</v>
      </c>
      <c r="D5" s="562"/>
      <c r="E5" s="26">
        <v>46.93</v>
      </c>
      <c r="F5" s="81">
        <v>710</v>
      </c>
      <c r="G5" s="80">
        <f>E5*F5</f>
        <v>33320.300000000003</v>
      </c>
      <c r="H5" s="76" t="s">
        <v>52</v>
      </c>
      <c r="I5" s="83">
        <v>17</v>
      </c>
      <c r="J5" s="18">
        <v>1800</v>
      </c>
      <c r="K5" s="9">
        <f>J5/I5</f>
        <v>105.88235294117646</v>
      </c>
      <c r="L5" s="83">
        <v>17</v>
      </c>
      <c r="M5" s="10">
        <f>F5/V5*60</f>
        <v>1703.9999999999952</v>
      </c>
      <c r="N5" s="9">
        <f>M5/L5</f>
        <v>100.23529411764677</v>
      </c>
      <c r="O5" s="11">
        <f t="shared" ref="O5:O7" si="0">L5-I5</f>
        <v>0</v>
      </c>
      <c r="P5" s="12">
        <f t="shared" ref="P5:P7" si="1">N5-K5</f>
        <v>-5.6470588235296901</v>
      </c>
      <c r="Q5" s="85">
        <f>N5/K5</f>
        <v>0.94666666666666399</v>
      </c>
      <c r="R5" s="533">
        <f>Q8</f>
        <v>0.92781155651212133</v>
      </c>
      <c r="S5" s="24">
        <v>0.70833333333333337</v>
      </c>
      <c r="T5" s="24">
        <v>0.72569444444444453</v>
      </c>
      <c r="U5" s="80"/>
      <c r="V5" s="82">
        <f>(T5-S5)*24*60</f>
        <v>25.000000000000071</v>
      </c>
      <c r="W5" s="13"/>
      <c r="X5" s="13"/>
      <c r="Y5" s="528"/>
      <c r="Z5" s="528"/>
      <c r="AA5" s="11">
        <f t="shared" ref="AA5:AA65" si="2">M5-J5</f>
        <v>-96.000000000004775</v>
      </c>
      <c r="AB5" s="85">
        <f t="shared" ref="AB5:AB7" si="3">M5/J5</f>
        <v>0.94666666666666399</v>
      </c>
      <c r="AC5" s="533">
        <f>AB8</f>
        <v>0.92781155651212122</v>
      </c>
    </row>
    <row r="6" spans="1:29">
      <c r="A6" s="561" t="s">
        <v>163</v>
      </c>
      <c r="B6" s="26" t="s">
        <v>13</v>
      </c>
      <c r="C6" s="562" t="s">
        <v>55</v>
      </c>
      <c r="D6" s="562"/>
      <c r="E6" s="26">
        <v>50.49</v>
      </c>
      <c r="F6" s="81">
        <v>1615</v>
      </c>
      <c r="G6" s="80">
        <f t="shared" ref="G6:G7" si="4">E6*F6</f>
        <v>81541.350000000006</v>
      </c>
      <c r="H6" s="76" t="s">
        <v>52</v>
      </c>
      <c r="I6" s="83">
        <v>16</v>
      </c>
      <c r="J6" s="18">
        <v>1800</v>
      </c>
      <c r="K6" s="9">
        <f t="shared" ref="K6:K7" si="5">J6/I6</f>
        <v>112.5</v>
      </c>
      <c r="L6" s="83">
        <v>16</v>
      </c>
      <c r="M6" s="10">
        <f>F6/V6*60</f>
        <v>1642.3728813559335</v>
      </c>
      <c r="N6" s="9">
        <f t="shared" ref="N6:N7" si="6">M6/L6</f>
        <v>102.64830508474584</v>
      </c>
      <c r="O6" s="11">
        <f t="shared" si="0"/>
        <v>0</v>
      </c>
      <c r="P6" s="12">
        <f t="shared" si="1"/>
        <v>-9.8516949152541571</v>
      </c>
      <c r="Q6" s="85">
        <f t="shared" ref="Q6:Q7" si="7">N6/K6</f>
        <v>0.9124293785310742</v>
      </c>
      <c r="R6" s="533"/>
      <c r="S6" s="24">
        <v>0.72986111111111118</v>
      </c>
      <c r="T6" s="24">
        <v>0.77083333333333337</v>
      </c>
      <c r="U6" s="80">
        <f>(S6-T5)*24*60</f>
        <v>5.9999999999999787</v>
      </c>
      <c r="V6" s="82">
        <f>(T6-S6)*24*60</f>
        <v>58.99999999999995</v>
      </c>
      <c r="W6" s="14"/>
      <c r="X6" s="14"/>
      <c r="Y6" s="528"/>
      <c r="Z6" s="528"/>
      <c r="AA6" s="11">
        <f t="shared" si="2"/>
        <v>-157.62711864406651</v>
      </c>
      <c r="AB6" s="85">
        <f t="shared" si="3"/>
        <v>0.9124293785310742</v>
      </c>
      <c r="AC6" s="533"/>
    </row>
    <row r="7" spans="1:29">
      <c r="A7" s="561" t="s">
        <v>163</v>
      </c>
      <c r="B7" s="26" t="s">
        <v>13</v>
      </c>
      <c r="C7" s="558" t="s">
        <v>76</v>
      </c>
      <c r="D7" s="559"/>
      <c r="E7" s="26">
        <v>50.67</v>
      </c>
      <c r="F7" s="81">
        <v>1747</v>
      </c>
      <c r="G7" s="80">
        <f t="shared" si="4"/>
        <v>88520.49</v>
      </c>
      <c r="H7" s="76" t="s">
        <v>52</v>
      </c>
      <c r="I7" s="83">
        <v>18</v>
      </c>
      <c r="J7" s="18">
        <v>1800</v>
      </c>
      <c r="K7" s="9">
        <f t="shared" si="5"/>
        <v>100</v>
      </c>
      <c r="L7" s="83">
        <v>18</v>
      </c>
      <c r="M7" s="10">
        <f t="shared" ref="M7" si="8">F7/V7*60</f>
        <v>1663.8095238095257</v>
      </c>
      <c r="N7" s="9">
        <f t="shared" si="6"/>
        <v>92.433862433862544</v>
      </c>
      <c r="O7" s="11">
        <f t="shared" si="0"/>
        <v>0</v>
      </c>
      <c r="P7" s="12">
        <f t="shared" si="1"/>
        <v>-7.5661375661374564</v>
      </c>
      <c r="Q7" s="85">
        <f t="shared" si="7"/>
        <v>0.92433862433862546</v>
      </c>
      <c r="R7" s="533"/>
      <c r="S7" s="24">
        <v>0.77500000000000002</v>
      </c>
      <c r="T7" s="24">
        <v>0.81874999999999998</v>
      </c>
      <c r="U7" s="80">
        <f t="shared" ref="U7" si="9">(S7-T6)*24*60</f>
        <v>5.9999999999999787</v>
      </c>
      <c r="V7" s="82">
        <f t="shared" ref="V7" si="10">(T7-S7)*24*60</f>
        <v>62.999999999999936</v>
      </c>
      <c r="W7" s="14"/>
      <c r="X7" s="14"/>
      <c r="Y7" s="536"/>
      <c r="Z7" s="537"/>
      <c r="AA7" s="11">
        <f t="shared" si="2"/>
        <v>-136.19047619047433</v>
      </c>
      <c r="AB7" s="85">
        <f t="shared" si="3"/>
        <v>0.92433862433862535</v>
      </c>
      <c r="AC7" s="533"/>
    </row>
    <row r="8" spans="1:29">
      <c r="A8" s="561" t="s">
        <v>104</v>
      </c>
      <c r="B8" s="26" t="s">
        <v>82</v>
      </c>
      <c r="C8" s="530"/>
      <c r="D8" s="530"/>
      <c r="E8" s="84"/>
      <c r="F8" s="16"/>
      <c r="G8" s="9"/>
      <c r="H8" s="81"/>
      <c r="I8" s="17">
        <v>17</v>
      </c>
      <c r="J8" s="18">
        <v>1800</v>
      </c>
      <c r="K8" s="9">
        <f>J8/I8</f>
        <v>105.88235294117646</v>
      </c>
      <c r="L8" s="17">
        <v>17</v>
      </c>
      <c r="M8" s="10">
        <f>AVERAGE(M5:M7)</f>
        <v>1670.0608017218183</v>
      </c>
      <c r="N8" s="9">
        <f>M8/L8</f>
        <v>98.23887068951872</v>
      </c>
      <c r="O8" s="11">
        <f>L8-I8</f>
        <v>0</v>
      </c>
      <c r="P8" s="12">
        <f>N8-K8</f>
        <v>-7.6434822516577441</v>
      </c>
      <c r="Q8" s="85">
        <f>N8/K8</f>
        <v>0.92781155651212133</v>
      </c>
      <c r="R8" s="533"/>
      <c r="S8" s="24"/>
      <c r="T8" s="24"/>
      <c r="U8" s="80"/>
      <c r="V8" s="82"/>
      <c r="W8" s="9"/>
      <c r="X8" s="9"/>
      <c r="Y8" s="528"/>
      <c r="Z8" s="528"/>
      <c r="AA8" s="11">
        <f t="shared" si="2"/>
        <v>-129.93919827818172</v>
      </c>
      <c r="AB8" s="85">
        <f>M8/J8</f>
        <v>0.92781155651212122</v>
      </c>
      <c r="AC8" s="533"/>
    </row>
    <row r="9" spans="1:29" ht="15.75" customHeight="1">
      <c r="A9" s="531" t="s">
        <v>164</v>
      </c>
      <c r="B9" s="26" t="s">
        <v>15</v>
      </c>
      <c r="C9" s="558" t="s">
        <v>16</v>
      </c>
      <c r="D9" s="559"/>
      <c r="E9" s="26">
        <v>39.619999999999997</v>
      </c>
      <c r="F9" s="81">
        <v>3517</v>
      </c>
      <c r="G9" s="80">
        <f t="shared" ref="G9:G11" si="11">E9*F9</f>
        <v>139343.53999999998</v>
      </c>
      <c r="H9" s="76" t="s">
        <v>52</v>
      </c>
      <c r="I9" s="83">
        <v>19</v>
      </c>
      <c r="J9" s="18">
        <v>1500</v>
      </c>
      <c r="K9" s="9">
        <f t="shared" ref="K9:K11" si="12">J9/I9</f>
        <v>78.94736842105263</v>
      </c>
      <c r="L9" s="83">
        <v>19</v>
      </c>
      <c r="M9" s="10">
        <f t="shared" ref="M9:M11" si="13">F9/V9*60</f>
        <v>1370.2597402597403</v>
      </c>
      <c r="N9" s="9">
        <f t="shared" ref="N9:N11" si="14">M9/L9</f>
        <v>72.118933697881062</v>
      </c>
      <c r="O9" s="11">
        <f t="shared" ref="O9:O11" si="15">L9-I9</f>
        <v>0</v>
      </c>
      <c r="P9" s="12">
        <f>N9-K9</f>
        <v>-6.8284347231715685</v>
      </c>
      <c r="Q9" s="85">
        <f>N9/K9</f>
        <v>0.91350649350649349</v>
      </c>
      <c r="R9" s="533">
        <f>Q12</f>
        <v>0.91512096723148473</v>
      </c>
      <c r="S9" s="24">
        <v>0.12847222222222221</v>
      </c>
      <c r="T9" s="24">
        <v>0.23541666666666666</v>
      </c>
      <c r="U9" s="80"/>
      <c r="V9" s="82">
        <f t="shared" ref="V9:V11" si="16">(T9-S9)*24*60</f>
        <v>154</v>
      </c>
      <c r="W9" s="24">
        <f>T9</f>
        <v>0.23541666666666666</v>
      </c>
      <c r="X9" s="24">
        <f>S10</f>
        <v>0.25763888888888886</v>
      </c>
      <c r="Y9" s="528"/>
      <c r="Z9" s="528"/>
      <c r="AA9" s="11">
        <f t="shared" si="2"/>
        <v>-129.74025974025972</v>
      </c>
      <c r="AB9" s="85">
        <f>M9/J9</f>
        <v>0.91350649350649349</v>
      </c>
      <c r="AC9" s="533">
        <f>AB12</f>
        <v>0.91512096723148462</v>
      </c>
    </row>
    <row r="10" spans="1:29" ht="15.75" customHeight="1">
      <c r="A10" s="531" t="s">
        <v>5</v>
      </c>
      <c r="B10" s="26" t="s">
        <v>15</v>
      </c>
      <c r="C10" s="558" t="s">
        <v>17</v>
      </c>
      <c r="D10" s="559"/>
      <c r="E10" s="26">
        <v>39.799999999999997</v>
      </c>
      <c r="F10" s="81">
        <v>4828</v>
      </c>
      <c r="G10" s="80">
        <f t="shared" si="11"/>
        <v>192154.4</v>
      </c>
      <c r="H10" s="76" t="s">
        <v>52</v>
      </c>
      <c r="I10" s="83">
        <v>18</v>
      </c>
      <c r="J10" s="18">
        <v>1500</v>
      </c>
      <c r="K10" s="9">
        <f t="shared" si="12"/>
        <v>83.333333333333329</v>
      </c>
      <c r="L10" s="83">
        <v>18</v>
      </c>
      <c r="M10" s="10">
        <f t="shared" si="13"/>
        <v>1372.8909952606632</v>
      </c>
      <c r="N10" s="9">
        <f t="shared" si="14"/>
        <v>76.271721958925738</v>
      </c>
      <c r="O10" s="11">
        <f t="shared" si="15"/>
        <v>0</v>
      </c>
      <c r="P10" s="12">
        <f t="shared" ref="P10:P11" si="17">N10-K10</f>
        <v>-7.0616113744075903</v>
      </c>
      <c r="Q10" s="85">
        <f t="shared" ref="Q10:Q11" si="18">N10/K10</f>
        <v>0.91526066350710888</v>
      </c>
      <c r="R10" s="533"/>
      <c r="S10" s="24">
        <v>0.25763888888888886</v>
      </c>
      <c r="T10" s="24">
        <v>0.40416666666666667</v>
      </c>
      <c r="U10" s="80">
        <f>(S10-T9)*24*60</f>
        <v>31.999999999999964</v>
      </c>
      <c r="V10" s="82">
        <f t="shared" si="16"/>
        <v>211.00000000000006</v>
      </c>
      <c r="W10" s="14"/>
      <c r="X10" s="14"/>
      <c r="Y10" s="528"/>
      <c r="Z10" s="528"/>
      <c r="AA10" s="11">
        <f t="shared" si="2"/>
        <v>-127.1090047393368</v>
      </c>
      <c r="AB10" s="85">
        <f t="shared" ref="AB10:AB26" si="19">M10/J10</f>
        <v>0.91526066350710877</v>
      </c>
      <c r="AC10" s="533"/>
    </row>
    <row r="11" spans="1:29" ht="15.75" customHeight="1">
      <c r="A11" s="531" t="s">
        <v>5</v>
      </c>
      <c r="B11" s="26" t="s">
        <v>15</v>
      </c>
      <c r="C11" s="558" t="s">
        <v>80</v>
      </c>
      <c r="D11" s="559"/>
      <c r="E11" s="26">
        <v>39.29</v>
      </c>
      <c r="F11" s="81">
        <v>3231</v>
      </c>
      <c r="G11" s="80">
        <f t="shared" si="11"/>
        <v>126945.98999999999</v>
      </c>
      <c r="H11" s="76" t="s">
        <v>52</v>
      </c>
      <c r="I11" s="83">
        <v>19</v>
      </c>
      <c r="J11" s="18">
        <v>1500</v>
      </c>
      <c r="K11" s="9">
        <f t="shared" si="12"/>
        <v>78.94736842105263</v>
      </c>
      <c r="L11" s="83">
        <v>19</v>
      </c>
      <c r="M11" s="10">
        <f t="shared" si="13"/>
        <v>1374.8936170212769</v>
      </c>
      <c r="N11" s="9">
        <f t="shared" si="14"/>
        <v>72.362821948488261</v>
      </c>
      <c r="O11" s="11">
        <f t="shared" si="15"/>
        <v>0</v>
      </c>
      <c r="P11" s="12">
        <f t="shared" si="17"/>
        <v>-6.5845464725643694</v>
      </c>
      <c r="Q11" s="85">
        <f t="shared" si="18"/>
        <v>0.91659574468085137</v>
      </c>
      <c r="R11" s="533"/>
      <c r="S11" s="24">
        <v>0.4145833333333333</v>
      </c>
      <c r="T11" s="24">
        <v>0.51249999999999996</v>
      </c>
      <c r="U11" s="80">
        <f t="shared" ref="U11" si="20">(S11-T10)*24*60</f>
        <v>14.999999999999947</v>
      </c>
      <c r="V11" s="82">
        <f t="shared" si="16"/>
        <v>140.99999999999997</v>
      </c>
      <c r="W11" s="14"/>
      <c r="X11" s="14"/>
      <c r="Y11" s="528"/>
      <c r="Z11" s="528"/>
      <c r="AA11" s="11">
        <f t="shared" si="2"/>
        <v>-125.1063829787231</v>
      </c>
      <c r="AB11" s="85">
        <f t="shared" si="19"/>
        <v>0.91659574468085125</v>
      </c>
      <c r="AC11" s="533"/>
    </row>
    <row r="12" spans="1:29" ht="16.5" customHeight="1">
      <c r="A12" s="531" t="s">
        <v>5</v>
      </c>
      <c r="B12" s="26" t="s">
        <v>165</v>
      </c>
      <c r="C12" s="530"/>
      <c r="D12" s="530"/>
      <c r="E12" s="84"/>
      <c r="F12" s="18"/>
      <c r="G12" s="10"/>
      <c r="H12" s="81"/>
      <c r="I12" s="17">
        <v>18.666666666666668</v>
      </c>
      <c r="J12" s="18">
        <v>1500</v>
      </c>
      <c r="K12" s="9">
        <f>J12/I12</f>
        <v>80.357142857142847</v>
      </c>
      <c r="L12" s="17">
        <v>18.666666666666668</v>
      </c>
      <c r="M12" s="10">
        <f>AVERAGE(M9:M11)</f>
        <v>1372.6814508472269</v>
      </c>
      <c r="N12" s="9">
        <f>M12/L12</f>
        <v>73.536506295387156</v>
      </c>
      <c r="O12" s="11">
        <f>L12-I12</f>
        <v>0</v>
      </c>
      <c r="P12" s="12">
        <f>N12-K12</f>
        <v>-6.8206365617556912</v>
      </c>
      <c r="Q12" s="85">
        <f>N12/K12</f>
        <v>0.91512096723148473</v>
      </c>
      <c r="R12" s="533"/>
      <c r="S12" s="24"/>
      <c r="T12" s="24"/>
      <c r="U12" s="9"/>
      <c r="V12" s="82"/>
      <c r="W12" s="9"/>
      <c r="X12" s="9"/>
      <c r="Y12" s="528"/>
      <c r="Z12" s="528"/>
      <c r="AA12" s="11">
        <f t="shared" si="2"/>
        <v>-127.31854915277313</v>
      </c>
      <c r="AB12" s="85">
        <f t="shared" si="19"/>
        <v>0.91512096723148462</v>
      </c>
      <c r="AC12" s="533"/>
    </row>
    <row r="13" spans="1:29" ht="16.5" customHeight="1">
      <c r="A13" s="556" t="s">
        <v>166</v>
      </c>
      <c r="B13" s="81" t="s">
        <v>18</v>
      </c>
      <c r="C13" s="552" t="s">
        <v>19</v>
      </c>
      <c r="D13" s="552"/>
      <c r="E13" s="26">
        <v>41</v>
      </c>
      <c r="F13" s="81">
        <v>1597</v>
      </c>
      <c r="G13" s="80">
        <f t="shared" ref="G13:G16" si="21">E13*F13</f>
        <v>65477</v>
      </c>
      <c r="H13" s="76" t="s">
        <v>52</v>
      </c>
      <c r="I13" s="83">
        <v>26</v>
      </c>
      <c r="J13" s="18">
        <v>1286</v>
      </c>
      <c r="K13" s="9">
        <f>J13/I13</f>
        <v>49.46153846153846</v>
      </c>
      <c r="L13" s="83">
        <v>26</v>
      </c>
      <c r="M13" s="10">
        <f>F13/V13*60</f>
        <v>1182.9629629629626</v>
      </c>
      <c r="N13" s="9">
        <f t="shared" ref="N13:N25" si="22">M13/L13</f>
        <v>45.498575498575484</v>
      </c>
      <c r="O13" s="11">
        <f t="shared" ref="O13" si="23">L13-I13</f>
        <v>0</v>
      </c>
      <c r="P13" s="12">
        <f t="shared" ref="P13" si="24">N13-K13</f>
        <v>-3.9629629629629761</v>
      </c>
      <c r="Q13" s="85">
        <f>N13/K13</f>
        <v>0.91987788721847796</v>
      </c>
      <c r="R13" s="533">
        <f>Q17</f>
        <v>0.91962066686968069</v>
      </c>
      <c r="S13" s="24">
        <v>0.25</v>
      </c>
      <c r="T13" s="24">
        <v>0.30625000000000002</v>
      </c>
      <c r="U13" s="80"/>
      <c r="V13" s="82">
        <f>(T13-S13)*24*60</f>
        <v>81.000000000000028</v>
      </c>
      <c r="W13" s="15"/>
      <c r="X13" s="15"/>
      <c r="Y13" s="528"/>
      <c r="Z13" s="528"/>
      <c r="AA13" s="11">
        <f t="shared" si="2"/>
        <v>-103.03703703703741</v>
      </c>
      <c r="AB13" s="85">
        <f t="shared" si="19"/>
        <v>0.91987788721847796</v>
      </c>
      <c r="AC13" s="533">
        <f>AB17</f>
        <v>0.91962066686968069</v>
      </c>
    </row>
    <row r="14" spans="1:29" ht="16.5" customHeight="1">
      <c r="A14" s="557" t="s">
        <v>6</v>
      </c>
      <c r="B14" s="81" t="s">
        <v>15</v>
      </c>
      <c r="C14" s="552" t="s">
        <v>49</v>
      </c>
      <c r="D14" s="552"/>
      <c r="E14" s="26">
        <v>39.29</v>
      </c>
      <c r="F14" s="81">
        <v>2713</v>
      </c>
      <c r="G14" s="80">
        <f t="shared" si="21"/>
        <v>106593.77</v>
      </c>
      <c r="H14" s="76" t="s">
        <v>52</v>
      </c>
      <c r="I14" s="83">
        <v>16</v>
      </c>
      <c r="J14" s="18">
        <v>1500</v>
      </c>
      <c r="K14" s="9">
        <f>J14/I14</f>
        <v>93.75</v>
      </c>
      <c r="L14" s="83">
        <v>16</v>
      </c>
      <c r="M14" s="10">
        <f>F14/V14*60</f>
        <v>1379.4915254237289</v>
      </c>
      <c r="N14" s="9">
        <f t="shared" si="22"/>
        <v>86.218220338983059</v>
      </c>
      <c r="O14" s="11">
        <f>L14-I14</f>
        <v>0</v>
      </c>
      <c r="P14" s="12">
        <f>N14-K14</f>
        <v>-7.531779661016941</v>
      </c>
      <c r="Q14" s="85">
        <f>N14/K14</f>
        <v>0.91966101694915259</v>
      </c>
      <c r="R14" s="533"/>
      <c r="S14" s="24">
        <v>0.31458333333333333</v>
      </c>
      <c r="T14" s="24">
        <v>0.39652777777777776</v>
      </c>
      <c r="U14" s="80">
        <f>(S14-T13)*24*60</f>
        <v>11.999999999999957</v>
      </c>
      <c r="V14" s="82">
        <f>(T14-S14)*24*60</f>
        <v>117.99999999999999</v>
      </c>
      <c r="W14" s="14"/>
      <c r="X14" s="14"/>
      <c r="Y14" s="528"/>
      <c r="Z14" s="528"/>
      <c r="AA14" s="11">
        <f t="shared" si="2"/>
        <v>-120.50847457627106</v>
      </c>
      <c r="AB14" s="85">
        <f t="shared" si="19"/>
        <v>0.91966101694915259</v>
      </c>
      <c r="AC14" s="533"/>
    </row>
    <row r="15" spans="1:29" ht="16.5" customHeight="1">
      <c r="A15" s="557" t="s">
        <v>6</v>
      </c>
      <c r="B15" s="81" t="s">
        <v>13</v>
      </c>
      <c r="C15" s="552" t="s">
        <v>57</v>
      </c>
      <c r="D15" s="552"/>
      <c r="E15" s="26">
        <v>50.98</v>
      </c>
      <c r="F15" s="81">
        <v>2129</v>
      </c>
      <c r="G15" s="80">
        <f t="shared" si="21"/>
        <v>108536.42</v>
      </c>
      <c r="H15" s="76" t="s">
        <v>52</v>
      </c>
      <c r="I15" s="83">
        <v>17</v>
      </c>
      <c r="J15" s="18">
        <v>1800</v>
      </c>
      <c r="K15" s="9">
        <f t="shared" ref="K15:K16" si="25">J15/I15</f>
        <v>105.88235294117646</v>
      </c>
      <c r="L15" s="83">
        <v>17</v>
      </c>
      <c r="M15" s="10">
        <f t="shared" ref="M15:M16" si="26">F15/V15*60</f>
        <v>1658.961038961038</v>
      </c>
      <c r="N15" s="9">
        <f t="shared" si="22"/>
        <v>97.58594346829635</v>
      </c>
      <c r="O15" s="11">
        <f t="shared" ref="O15:O16" si="27">L15-I15</f>
        <v>0</v>
      </c>
      <c r="P15" s="12">
        <f t="shared" ref="P15:P16" si="28">N15-K15</f>
        <v>-8.2964094728801143</v>
      </c>
      <c r="Q15" s="85">
        <f t="shared" ref="Q15:Q25" si="29">N15/K15</f>
        <v>0.92164502164502116</v>
      </c>
      <c r="R15" s="533"/>
      <c r="S15" s="24">
        <v>0.70833333333333337</v>
      </c>
      <c r="T15" s="24">
        <v>0.76180555555555562</v>
      </c>
      <c r="U15" s="80"/>
      <c r="V15" s="82">
        <f t="shared" ref="V15:V16" si="30">(T15-S15)*24*60</f>
        <v>77.000000000000043</v>
      </c>
      <c r="W15" s="14"/>
      <c r="X15" s="14"/>
      <c r="Y15" s="528"/>
      <c r="Z15" s="528"/>
      <c r="AA15" s="11">
        <f t="shared" si="2"/>
        <v>-141.03896103896204</v>
      </c>
      <c r="AB15" s="85">
        <f t="shared" si="19"/>
        <v>0.92164502164502105</v>
      </c>
      <c r="AC15" s="533"/>
    </row>
    <row r="16" spans="1:29" ht="16.5" customHeight="1">
      <c r="A16" s="557" t="s">
        <v>6</v>
      </c>
      <c r="B16" s="81" t="s">
        <v>13</v>
      </c>
      <c r="C16" s="552" t="s">
        <v>85</v>
      </c>
      <c r="D16" s="552"/>
      <c r="E16" s="26">
        <v>54.09</v>
      </c>
      <c r="F16" s="81">
        <v>3220</v>
      </c>
      <c r="G16" s="80">
        <f t="shared" si="21"/>
        <v>174169.80000000002</v>
      </c>
      <c r="H16" s="76" t="s">
        <v>52</v>
      </c>
      <c r="I16" s="83">
        <v>20</v>
      </c>
      <c r="J16" s="18">
        <v>1800</v>
      </c>
      <c r="K16" s="9">
        <f t="shared" si="25"/>
        <v>90</v>
      </c>
      <c r="L16" s="83">
        <v>20</v>
      </c>
      <c r="M16" s="10">
        <f t="shared" si="26"/>
        <v>1651.2820512820506</v>
      </c>
      <c r="N16" s="9">
        <f t="shared" si="22"/>
        <v>82.564102564102527</v>
      </c>
      <c r="O16" s="11">
        <f t="shared" si="27"/>
        <v>0</v>
      </c>
      <c r="P16" s="12">
        <f t="shared" si="28"/>
        <v>-7.4358974358974734</v>
      </c>
      <c r="Q16" s="85">
        <f t="shared" si="29"/>
        <v>0.91737891737891697</v>
      </c>
      <c r="R16" s="533"/>
      <c r="S16" s="24">
        <v>0.76736111111111116</v>
      </c>
      <c r="T16" s="24">
        <v>0.8486111111111112</v>
      </c>
      <c r="U16" s="80">
        <f t="shared" ref="U16" si="31">(S16-T15)*24*60</f>
        <v>7.9999999999999716</v>
      </c>
      <c r="V16" s="82">
        <f t="shared" si="30"/>
        <v>117.00000000000006</v>
      </c>
      <c r="W16" s="14"/>
      <c r="X16" s="14"/>
      <c r="Y16" s="528"/>
      <c r="Z16" s="528"/>
      <c r="AA16" s="11">
        <f t="shared" si="2"/>
        <v>-148.71794871794941</v>
      </c>
      <c r="AB16" s="85">
        <f t="shared" si="19"/>
        <v>0.91737891737891697</v>
      </c>
      <c r="AC16" s="533"/>
    </row>
    <row r="17" spans="1:29" ht="16.5" customHeight="1">
      <c r="A17" s="557" t="s">
        <v>6</v>
      </c>
      <c r="B17" s="26" t="s">
        <v>165</v>
      </c>
      <c r="C17" s="530"/>
      <c r="D17" s="530"/>
      <c r="E17" s="84"/>
      <c r="F17" s="16"/>
      <c r="G17" s="9"/>
      <c r="H17" s="81"/>
      <c r="I17" s="17">
        <f>AVERAGE(I13:I16)</f>
        <v>19.75</v>
      </c>
      <c r="J17" s="18">
        <v>1596.5</v>
      </c>
      <c r="K17" s="9">
        <f>J17/I17</f>
        <v>80.835443037974684</v>
      </c>
      <c r="L17" s="17">
        <f>AVERAGE(L13:L16)</f>
        <v>19.75</v>
      </c>
      <c r="M17" s="10">
        <f>AVERAGE(M13:M16)</f>
        <v>1468.1743946574452</v>
      </c>
      <c r="N17" s="9">
        <f t="shared" si="22"/>
        <v>74.337944033288366</v>
      </c>
      <c r="O17" s="11">
        <f>L17-I17</f>
        <v>0</v>
      </c>
      <c r="P17" s="12">
        <f>N17-K17</f>
        <v>-6.4974990046863184</v>
      </c>
      <c r="Q17" s="85">
        <f t="shared" si="29"/>
        <v>0.91962066686968069</v>
      </c>
      <c r="R17" s="533"/>
      <c r="S17" s="24"/>
      <c r="T17" s="24"/>
      <c r="U17" s="80"/>
      <c r="V17" s="82"/>
      <c r="W17" s="9"/>
      <c r="X17" s="9"/>
      <c r="Y17" s="528"/>
      <c r="Z17" s="528"/>
      <c r="AA17" s="11">
        <f t="shared" si="2"/>
        <v>-128.32560534255481</v>
      </c>
      <c r="AB17" s="85">
        <f t="shared" si="19"/>
        <v>0.91962066686968069</v>
      </c>
      <c r="AC17" s="533"/>
    </row>
    <row r="18" spans="1:29" ht="15.75" customHeight="1">
      <c r="A18" s="554" t="s">
        <v>87</v>
      </c>
      <c r="B18" s="26" t="s">
        <v>21</v>
      </c>
      <c r="C18" s="552" t="s">
        <v>22</v>
      </c>
      <c r="D18" s="552"/>
      <c r="E18" s="26">
        <v>43.14</v>
      </c>
      <c r="F18" s="81">
        <v>917</v>
      </c>
      <c r="G18" s="80">
        <f t="shared" ref="G18:G25" si="32">E18*F18</f>
        <v>39559.379999999997</v>
      </c>
      <c r="H18" s="76" t="s">
        <v>52</v>
      </c>
      <c r="I18" s="83">
        <v>17</v>
      </c>
      <c r="J18" s="18">
        <v>1200</v>
      </c>
      <c r="K18" s="9">
        <f t="shared" ref="K18:K26" si="33">J18/I18</f>
        <v>70.588235294117652</v>
      </c>
      <c r="L18" s="83">
        <v>17</v>
      </c>
      <c r="M18" s="10">
        <f t="shared" ref="M18:M25" si="34">F18/V18*60</f>
        <v>1100.3999999999996</v>
      </c>
      <c r="N18" s="9">
        <f t="shared" si="22"/>
        <v>64.729411764705858</v>
      </c>
      <c r="O18" s="11">
        <f t="shared" ref="O18:O25" si="35">L18-I18</f>
        <v>0</v>
      </c>
      <c r="P18" s="12">
        <f t="shared" ref="P18:P25" si="36">N18-K18</f>
        <v>-5.8588235294117936</v>
      </c>
      <c r="Q18" s="85">
        <f t="shared" si="29"/>
        <v>0.91699999999999959</v>
      </c>
      <c r="R18" s="533">
        <f>Q26</f>
        <v>0.91529266483034888</v>
      </c>
      <c r="S18" s="24">
        <v>0.16666666666666666</v>
      </c>
      <c r="T18" s="24">
        <v>0.2013888888888889</v>
      </c>
      <c r="U18" s="80"/>
      <c r="V18" s="82">
        <f>(T18-S18)*24*60</f>
        <v>50.000000000000021</v>
      </c>
      <c r="W18" s="15">
        <f>T18</f>
        <v>0.2013888888888889</v>
      </c>
      <c r="X18" s="15">
        <f>S19</f>
        <v>0.2215277777777778</v>
      </c>
      <c r="Y18" s="528"/>
      <c r="Z18" s="528"/>
      <c r="AA18" s="11">
        <f t="shared" si="2"/>
        <v>-99.600000000000364</v>
      </c>
      <c r="AB18" s="85">
        <f t="shared" si="19"/>
        <v>0.9169999999999997</v>
      </c>
      <c r="AC18" s="533">
        <f>AB26</f>
        <v>0.91529266483034888</v>
      </c>
    </row>
    <row r="19" spans="1:29" ht="15.75" customHeight="1">
      <c r="A19" s="555" t="s">
        <v>7</v>
      </c>
      <c r="B19" s="26" t="s">
        <v>13</v>
      </c>
      <c r="C19" s="552" t="s">
        <v>23</v>
      </c>
      <c r="D19" s="552"/>
      <c r="E19" s="26">
        <v>57.73</v>
      </c>
      <c r="F19" s="81">
        <v>1723</v>
      </c>
      <c r="G19" s="80">
        <f t="shared" si="32"/>
        <v>99468.79</v>
      </c>
      <c r="H19" s="76" t="s">
        <v>52</v>
      </c>
      <c r="I19" s="83">
        <v>16</v>
      </c>
      <c r="J19" s="18">
        <v>1800</v>
      </c>
      <c r="K19" s="9">
        <f t="shared" si="33"/>
        <v>112.5</v>
      </c>
      <c r="L19" s="83">
        <v>16</v>
      </c>
      <c r="M19" s="10">
        <f t="shared" si="34"/>
        <v>1640.9523809523814</v>
      </c>
      <c r="N19" s="9">
        <f t="shared" si="22"/>
        <v>102.55952380952384</v>
      </c>
      <c r="O19" s="11">
        <f t="shared" si="35"/>
        <v>0</v>
      </c>
      <c r="P19" s="12">
        <f t="shared" si="36"/>
        <v>-9.9404761904761614</v>
      </c>
      <c r="Q19" s="85">
        <f t="shared" si="29"/>
        <v>0.91164021164021192</v>
      </c>
      <c r="R19" s="533"/>
      <c r="S19" s="24">
        <v>0.2215277777777778</v>
      </c>
      <c r="T19" s="24">
        <v>0.26527777777777778</v>
      </c>
      <c r="U19" s="80">
        <f>(S19-T18)*24*60</f>
        <v>29.000000000000018</v>
      </c>
      <c r="V19" s="82">
        <f t="shared" ref="V19:V25" si="37">(T19-S19)*24*60</f>
        <v>62.999999999999979</v>
      </c>
      <c r="W19" s="14"/>
      <c r="X19" s="80"/>
      <c r="Y19" s="528"/>
      <c r="Z19" s="528"/>
      <c r="AA19" s="11">
        <f t="shared" si="2"/>
        <v>-159.04761904761858</v>
      </c>
      <c r="AB19" s="85">
        <f t="shared" si="19"/>
        <v>0.91164021164021192</v>
      </c>
      <c r="AC19" s="533"/>
    </row>
    <row r="20" spans="1:29" ht="15.75" customHeight="1">
      <c r="A20" s="555" t="s">
        <v>7</v>
      </c>
      <c r="B20" s="26" t="s">
        <v>13</v>
      </c>
      <c r="C20" s="552" t="s">
        <v>14</v>
      </c>
      <c r="D20" s="552"/>
      <c r="E20" s="26">
        <v>53.68</v>
      </c>
      <c r="F20" s="81">
        <v>1422</v>
      </c>
      <c r="G20" s="80">
        <f t="shared" si="32"/>
        <v>76332.960000000006</v>
      </c>
      <c r="H20" s="76" t="s">
        <v>52</v>
      </c>
      <c r="I20" s="83">
        <v>17</v>
      </c>
      <c r="J20" s="18">
        <v>1800</v>
      </c>
      <c r="K20" s="9">
        <f t="shared" si="33"/>
        <v>105.88235294117646</v>
      </c>
      <c r="L20" s="83">
        <v>17</v>
      </c>
      <c r="M20" s="10">
        <f t="shared" si="34"/>
        <v>1672.941176470589</v>
      </c>
      <c r="N20" s="9">
        <f t="shared" si="22"/>
        <v>98.408304498269942</v>
      </c>
      <c r="O20" s="11">
        <f t="shared" si="35"/>
        <v>0</v>
      </c>
      <c r="P20" s="12">
        <f t="shared" si="36"/>
        <v>-7.4740484429065219</v>
      </c>
      <c r="Q20" s="85">
        <f t="shared" si="29"/>
        <v>0.92941176470588283</v>
      </c>
      <c r="R20" s="533"/>
      <c r="S20" s="24">
        <v>0.26874999999999999</v>
      </c>
      <c r="T20" s="24">
        <v>0.30416666666666664</v>
      </c>
      <c r="U20" s="80">
        <f t="shared" ref="U20:U25" si="38">(S20-T19)*24*60</f>
        <v>4.9999999999999822</v>
      </c>
      <c r="V20" s="82">
        <f t="shared" si="37"/>
        <v>50.999999999999979</v>
      </c>
      <c r="W20" s="14"/>
      <c r="X20" s="80"/>
      <c r="Y20" s="528"/>
      <c r="Z20" s="528"/>
      <c r="AA20" s="11">
        <f t="shared" si="2"/>
        <v>-127.05882352941103</v>
      </c>
      <c r="AB20" s="85">
        <f t="shared" si="19"/>
        <v>0.92941176470588271</v>
      </c>
      <c r="AC20" s="533"/>
    </row>
    <row r="21" spans="1:29" ht="15.75" customHeight="1">
      <c r="A21" s="555" t="s">
        <v>7</v>
      </c>
      <c r="B21" s="26" t="s">
        <v>13</v>
      </c>
      <c r="C21" s="552" t="s">
        <v>63</v>
      </c>
      <c r="D21" s="552"/>
      <c r="E21" s="26">
        <v>50.67</v>
      </c>
      <c r="F21" s="81">
        <v>933</v>
      </c>
      <c r="G21" s="80">
        <f t="shared" si="32"/>
        <v>47275.11</v>
      </c>
      <c r="H21" s="76" t="s">
        <v>52</v>
      </c>
      <c r="I21" s="83">
        <v>16</v>
      </c>
      <c r="J21" s="18">
        <v>1800</v>
      </c>
      <c r="K21" s="9">
        <f t="shared" si="33"/>
        <v>112.5</v>
      </c>
      <c r="L21" s="83">
        <v>16</v>
      </c>
      <c r="M21" s="10">
        <f t="shared" si="34"/>
        <v>1646.4705882352962</v>
      </c>
      <c r="N21" s="9">
        <f t="shared" si="22"/>
        <v>102.90441176470601</v>
      </c>
      <c r="O21" s="11">
        <f t="shared" si="35"/>
        <v>0</v>
      </c>
      <c r="P21" s="12">
        <f t="shared" si="36"/>
        <v>-9.5955882352939881</v>
      </c>
      <c r="Q21" s="85">
        <f t="shared" si="29"/>
        <v>0.91470588235294237</v>
      </c>
      <c r="R21" s="533"/>
      <c r="S21" s="24">
        <v>0.30833333333333329</v>
      </c>
      <c r="T21" s="24">
        <v>0.33194444444444438</v>
      </c>
      <c r="U21" s="80">
        <f t="shared" si="38"/>
        <v>5.9999999999999787</v>
      </c>
      <c r="V21" s="82">
        <f t="shared" si="37"/>
        <v>33.999999999999957</v>
      </c>
      <c r="W21" s="14"/>
      <c r="X21" s="80"/>
      <c r="Y21" s="528"/>
      <c r="Z21" s="528"/>
      <c r="AA21" s="11">
        <f t="shared" si="2"/>
        <v>-153.52941176470381</v>
      </c>
      <c r="AB21" s="85">
        <f t="shared" si="19"/>
        <v>0.91470588235294237</v>
      </c>
      <c r="AC21" s="533"/>
    </row>
    <row r="22" spans="1:29" ht="15.75" customHeight="1">
      <c r="A22" s="555" t="s">
        <v>7</v>
      </c>
      <c r="B22" s="26" t="s">
        <v>13</v>
      </c>
      <c r="C22" s="552" t="s">
        <v>81</v>
      </c>
      <c r="D22" s="552"/>
      <c r="E22" s="26">
        <v>58.17</v>
      </c>
      <c r="F22" s="81">
        <v>2569</v>
      </c>
      <c r="G22" s="80">
        <f t="shared" si="32"/>
        <v>149438.73000000001</v>
      </c>
      <c r="H22" s="76" t="s">
        <v>52</v>
      </c>
      <c r="I22" s="83">
        <v>18</v>
      </c>
      <c r="J22" s="18">
        <v>1800</v>
      </c>
      <c r="K22" s="9">
        <f t="shared" si="33"/>
        <v>100</v>
      </c>
      <c r="L22" s="83">
        <v>18</v>
      </c>
      <c r="M22" s="10">
        <f t="shared" si="34"/>
        <v>1639.7872340425533</v>
      </c>
      <c r="N22" s="9">
        <f t="shared" si="22"/>
        <v>91.099290780141857</v>
      </c>
      <c r="O22" s="11">
        <f t="shared" si="35"/>
        <v>0</v>
      </c>
      <c r="P22" s="12">
        <f t="shared" si="36"/>
        <v>-8.9007092198581432</v>
      </c>
      <c r="Q22" s="85">
        <f t="shared" si="29"/>
        <v>0.91099290780141862</v>
      </c>
      <c r="R22" s="533"/>
      <c r="S22" s="24">
        <v>0.33611111111111103</v>
      </c>
      <c r="T22" s="24">
        <v>0.4013888888888888</v>
      </c>
      <c r="U22" s="80">
        <f t="shared" si="38"/>
        <v>5.9999999999999787</v>
      </c>
      <c r="V22" s="82">
        <f t="shared" si="37"/>
        <v>93.999999999999986</v>
      </c>
      <c r="W22" s="14"/>
      <c r="X22" s="80"/>
      <c r="Y22" s="528"/>
      <c r="Z22" s="528"/>
      <c r="AA22" s="11">
        <f t="shared" si="2"/>
        <v>-160.21276595744666</v>
      </c>
      <c r="AB22" s="85">
        <f t="shared" si="19"/>
        <v>0.91099290780141851</v>
      </c>
      <c r="AC22" s="533"/>
    </row>
    <row r="23" spans="1:29" ht="15.75" customHeight="1">
      <c r="A23" s="555" t="s">
        <v>7</v>
      </c>
      <c r="B23" s="26" t="s">
        <v>13</v>
      </c>
      <c r="C23" s="552" t="s">
        <v>54</v>
      </c>
      <c r="D23" s="552"/>
      <c r="E23" s="26">
        <v>50.92</v>
      </c>
      <c r="F23" s="81">
        <v>2322</v>
      </c>
      <c r="G23" s="80">
        <f t="shared" si="32"/>
        <v>118236.24</v>
      </c>
      <c r="H23" s="76" t="s">
        <v>52</v>
      </c>
      <c r="I23" s="83">
        <v>16</v>
      </c>
      <c r="J23" s="18">
        <v>1800</v>
      </c>
      <c r="K23" s="9">
        <f t="shared" si="33"/>
        <v>112.5</v>
      </c>
      <c r="L23" s="83">
        <v>16</v>
      </c>
      <c r="M23" s="10">
        <f t="shared" si="34"/>
        <v>1639.0588235294115</v>
      </c>
      <c r="N23" s="9">
        <f t="shared" si="22"/>
        <v>102.44117647058822</v>
      </c>
      <c r="O23" s="11">
        <f t="shared" si="35"/>
        <v>0</v>
      </c>
      <c r="P23" s="12">
        <f t="shared" si="36"/>
        <v>-10.058823529411782</v>
      </c>
      <c r="Q23" s="85">
        <f t="shared" si="29"/>
        <v>0.91058823529411748</v>
      </c>
      <c r="R23" s="533"/>
      <c r="S23" s="24">
        <v>0.70833333333333337</v>
      </c>
      <c r="T23" s="24">
        <v>0.76736111111111116</v>
      </c>
      <c r="U23" s="80"/>
      <c r="V23" s="82">
        <f t="shared" si="37"/>
        <v>85.000000000000014</v>
      </c>
      <c r="W23" s="14"/>
      <c r="X23" s="15"/>
      <c r="Y23" s="528"/>
      <c r="Z23" s="528"/>
      <c r="AA23" s="11">
        <f t="shared" si="2"/>
        <v>-160.94117647058852</v>
      </c>
      <c r="AB23" s="85">
        <f t="shared" si="19"/>
        <v>0.91058823529411748</v>
      </c>
      <c r="AC23" s="533"/>
    </row>
    <row r="24" spans="1:29" ht="15.75" customHeight="1">
      <c r="A24" s="555" t="s">
        <v>7</v>
      </c>
      <c r="B24" s="26" t="s">
        <v>13</v>
      </c>
      <c r="C24" s="552" t="s">
        <v>56</v>
      </c>
      <c r="D24" s="552"/>
      <c r="E24" s="26">
        <v>53.27</v>
      </c>
      <c r="F24" s="81">
        <v>384</v>
      </c>
      <c r="G24" s="80">
        <f t="shared" si="32"/>
        <v>20455.68</v>
      </c>
      <c r="H24" s="76" t="s">
        <v>52</v>
      </c>
      <c r="I24" s="83">
        <v>15</v>
      </c>
      <c r="J24" s="18">
        <v>1800</v>
      </c>
      <c r="K24" s="9">
        <f t="shared" si="33"/>
        <v>120</v>
      </c>
      <c r="L24" s="83">
        <v>15</v>
      </c>
      <c r="M24" s="10">
        <f t="shared" si="34"/>
        <v>1645.7142857142917</v>
      </c>
      <c r="N24" s="9">
        <f t="shared" si="22"/>
        <v>109.71428571428611</v>
      </c>
      <c r="O24" s="11">
        <f t="shared" si="35"/>
        <v>0</v>
      </c>
      <c r="P24" s="12">
        <f t="shared" si="36"/>
        <v>-10.285714285713894</v>
      </c>
      <c r="Q24" s="85">
        <f t="shared" si="29"/>
        <v>0.91428571428571759</v>
      </c>
      <c r="R24" s="533"/>
      <c r="S24" s="24">
        <v>0.77083333333333337</v>
      </c>
      <c r="T24" s="24">
        <v>0.78055555555555556</v>
      </c>
      <c r="U24" s="80">
        <f t="shared" si="38"/>
        <v>4.9999999999999822</v>
      </c>
      <c r="V24" s="82">
        <f t="shared" si="37"/>
        <v>13.99999999999995</v>
      </c>
      <c r="W24" s="14"/>
      <c r="X24" s="15"/>
      <c r="Y24" s="536"/>
      <c r="Z24" s="537"/>
      <c r="AA24" s="11">
        <f t="shared" si="2"/>
        <v>-154.28571428570831</v>
      </c>
      <c r="AB24" s="85">
        <f t="shared" si="19"/>
        <v>0.91428571428571759</v>
      </c>
      <c r="AC24" s="533"/>
    </row>
    <row r="25" spans="1:29" ht="15.75" customHeight="1">
      <c r="A25" s="555" t="s">
        <v>7</v>
      </c>
      <c r="B25" s="26" t="s">
        <v>13</v>
      </c>
      <c r="C25" s="584" t="s">
        <v>83</v>
      </c>
      <c r="D25" s="585"/>
      <c r="E25" s="26">
        <v>49.91</v>
      </c>
      <c r="F25" s="81">
        <v>576</v>
      </c>
      <c r="G25" s="80">
        <f t="shared" si="32"/>
        <v>28748.159999999996</v>
      </c>
      <c r="H25" s="76" t="s">
        <v>52</v>
      </c>
      <c r="I25" s="83">
        <v>16</v>
      </c>
      <c r="J25" s="18">
        <v>1800</v>
      </c>
      <c r="K25" s="9">
        <f t="shared" si="33"/>
        <v>112.5</v>
      </c>
      <c r="L25" s="83">
        <v>16</v>
      </c>
      <c r="M25" s="10">
        <f t="shared" si="34"/>
        <v>1645.7142857142917</v>
      </c>
      <c r="N25" s="9">
        <f t="shared" si="22"/>
        <v>102.85714285714323</v>
      </c>
      <c r="O25" s="11">
        <f t="shared" si="35"/>
        <v>0</v>
      </c>
      <c r="P25" s="12">
        <f t="shared" si="36"/>
        <v>-9.6428571428567693</v>
      </c>
      <c r="Q25" s="85">
        <f t="shared" si="29"/>
        <v>0.91428571428571759</v>
      </c>
      <c r="R25" s="533"/>
      <c r="S25" s="24">
        <v>0.78611111111111109</v>
      </c>
      <c r="T25" s="24">
        <v>0.80069444444444438</v>
      </c>
      <c r="U25" s="80">
        <f t="shared" si="38"/>
        <v>7.9999999999999716</v>
      </c>
      <c r="V25" s="82">
        <f t="shared" si="37"/>
        <v>20.999999999999925</v>
      </c>
      <c r="W25" s="14"/>
      <c r="X25" s="14"/>
      <c r="Y25" s="536"/>
      <c r="Z25" s="537"/>
      <c r="AA25" s="11">
        <f t="shared" si="2"/>
        <v>-154.28571428570831</v>
      </c>
      <c r="AB25" s="85">
        <f t="shared" si="19"/>
        <v>0.91428571428571759</v>
      </c>
      <c r="AC25" s="533"/>
    </row>
    <row r="26" spans="1:29" ht="15.75" customHeight="1">
      <c r="A26" s="555" t="s">
        <v>7</v>
      </c>
      <c r="B26" s="26" t="s">
        <v>165</v>
      </c>
      <c r="C26" s="530"/>
      <c r="D26" s="530"/>
      <c r="E26" s="84"/>
      <c r="F26" s="81"/>
      <c r="G26" s="80"/>
      <c r="H26" s="81"/>
      <c r="I26" s="17">
        <v>16.375</v>
      </c>
      <c r="J26" s="18">
        <v>1725</v>
      </c>
      <c r="K26" s="9">
        <f t="shared" si="33"/>
        <v>105.34351145038168</v>
      </c>
      <c r="L26" s="17">
        <v>16.375</v>
      </c>
      <c r="M26" s="10">
        <f>AVERAGE(M18:M25)</f>
        <v>1578.8798468323519</v>
      </c>
      <c r="N26" s="9">
        <f>M26/L26</f>
        <v>96.420143318006225</v>
      </c>
      <c r="O26" s="11">
        <f>L26-I26</f>
        <v>0</v>
      </c>
      <c r="P26" s="12">
        <f>N26-K26</f>
        <v>-8.9233681323754581</v>
      </c>
      <c r="Q26" s="85">
        <f>N26/K26</f>
        <v>0.91529266483034888</v>
      </c>
      <c r="R26" s="533"/>
      <c r="S26" s="24"/>
      <c r="T26" s="24"/>
      <c r="U26" s="9"/>
      <c r="V26" s="82"/>
      <c r="W26" s="9"/>
      <c r="X26" s="9"/>
      <c r="Y26" s="528"/>
      <c r="Z26" s="528"/>
      <c r="AA26" s="11">
        <f t="shared" si="2"/>
        <v>-146.12015316764814</v>
      </c>
      <c r="AB26" s="85">
        <f t="shared" si="19"/>
        <v>0.91529266483034888</v>
      </c>
      <c r="AC26" s="533"/>
    </row>
    <row r="27" spans="1:29" ht="15.75" customHeight="1">
      <c r="A27" s="553" t="s">
        <v>167</v>
      </c>
      <c r="B27" s="26" t="s">
        <v>24</v>
      </c>
      <c r="C27" s="552" t="s">
        <v>26</v>
      </c>
      <c r="D27" s="552"/>
      <c r="E27" s="26">
        <v>26.2</v>
      </c>
      <c r="F27" s="81">
        <v>2970</v>
      </c>
      <c r="G27" s="80">
        <f t="shared" ref="G27:G31" si="39">E27*F27</f>
        <v>77814</v>
      </c>
      <c r="H27" s="76" t="s">
        <v>52</v>
      </c>
      <c r="I27" s="83">
        <v>20</v>
      </c>
      <c r="J27" s="18">
        <v>2400</v>
      </c>
      <c r="K27" s="9">
        <f>J27/I27</f>
        <v>120</v>
      </c>
      <c r="L27" s="83">
        <v>20</v>
      </c>
      <c r="M27" s="10">
        <f t="shared" ref="M27:M31" si="40">F27/V27*60</f>
        <v>2200.0000000000005</v>
      </c>
      <c r="N27" s="9">
        <f t="shared" ref="N27:N31" si="41">M27/L27</f>
        <v>110.00000000000003</v>
      </c>
      <c r="O27" s="11">
        <f t="shared" ref="O27:O31" si="42">L27-I27</f>
        <v>0</v>
      </c>
      <c r="P27" s="12">
        <f t="shared" ref="P27:P31" si="43">N27-K27</f>
        <v>-9.9999999999999716</v>
      </c>
      <c r="Q27" s="85">
        <f t="shared" ref="Q27:Q31" si="44">N27/K27</f>
        <v>0.91666666666666685</v>
      </c>
      <c r="R27" s="533">
        <f>Q32</f>
        <v>0.91656546432087804</v>
      </c>
      <c r="S27" s="24">
        <v>0.125</v>
      </c>
      <c r="T27" s="24">
        <v>0.18124999999999999</v>
      </c>
      <c r="U27" s="80"/>
      <c r="V27" s="82">
        <f t="shared" ref="V27:V31" si="45">(T27-S27)*24*60</f>
        <v>80.999999999999986</v>
      </c>
      <c r="W27" s="14">
        <f>T27</f>
        <v>0.18124999999999999</v>
      </c>
      <c r="X27" s="14">
        <f>S28</f>
        <v>0.19930555555555554</v>
      </c>
      <c r="Y27" s="528"/>
      <c r="Z27" s="528"/>
      <c r="AA27" s="11">
        <f t="shared" si="2"/>
        <v>-199.99999999999955</v>
      </c>
      <c r="AB27" s="85">
        <f>M27/J27</f>
        <v>0.91666666666666685</v>
      </c>
      <c r="AC27" s="533">
        <f>AB32</f>
        <v>0.91656546432087793</v>
      </c>
    </row>
    <row r="28" spans="1:29" ht="15.75" customHeight="1">
      <c r="A28" s="553" t="s">
        <v>8</v>
      </c>
      <c r="B28" s="26" t="s">
        <v>24</v>
      </c>
      <c r="C28" s="552" t="s">
        <v>25</v>
      </c>
      <c r="D28" s="552"/>
      <c r="E28" s="26">
        <v>20.52</v>
      </c>
      <c r="F28" s="81">
        <v>3048</v>
      </c>
      <c r="G28" s="80">
        <f t="shared" si="39"/>
        <v>62544.959999999999</v>
      </c>
      <c r="H28" s="76" t="s">
        <v>52</v>
      </c>
      <c r="I28" s="83">
        <v>18</v>
      </c>
      <c r="J28" s="18">
        <v>2400</v>
      </c>
      <c r="K28" s="9">
        <f t="shared" ref="K28:K32" si="46">J28/I28</f>
        <v>133.33333333333334</v>
      </c>
      <c r="L28" s="83">
        <v>18</v>
      </c>
      <c r="M28" s="10">
        <f t="shared" si="40"/>
        <v>2203.3734939759042</v>
      </c>
      <c r="N28" s="9">
        <f t="shared" si="41"/>
        <v>122.4096385542169</v>
      </c>
      <c r="O28" s="11">
        <f t="shared" si="42"/>
        <v>0</v>
      </c>
      <c r="P28" s="12">
        <f t="shared" si="43"/>
        <v>-10.923694779116445</v>
      </c>
      <c r="Q28" s="85">
        <f t="shared" si="44"/>
        <v>0.91807228915662664</v>
      </c>
      <c r="R28" s="533"/>
      <c r="S28" s="24">
        <v>0.19930555555555554</v>
      </c>
      <c r="T28" s="24">
        <v>0.25694444444444442</v>
      </c>
      <c r="U28" s="80">
        <f>(S28-T27)*24*60</f>
        <v>25.999999999999986</v>
      </c>
      <c r="V28" s="82">
        <f t="shared" si="45"/>
        <v>82.999999999999986</v>
      </c>
      <c r="W28" s="14"/>
      <c r="X28" s="14"/>
      <c r="Y28" s="528"/>
      <c r="Z28" s="528"/>
      <c r="AA28" s="11">
        <f t="shared" si="2"/>
        <v>-196.62650602409576</v>
      </c>
      <c r="AB28" s="85">
        <f t="shared" ref="AB28:AB31" si="47">M28/J28</f>
        <v>0.91807228915662675</v>
      </c>
      <c r="AC28" s="533"/>
    </row>
    <row r="29" spans="1:29" ht="15.75" customHeight="1">
      <c r="A29" s="553" t="s">
        <v>8</v>
      </c>
      <c r="B29" s="26" t="s">
        <v>24</v>
      </c>
      <c r="C29" s="552" t="s">
        <v>79</v>
      </c>
      <c r="D29" s="552"/>
      <c r="E29" s="26">
        <v>31.29</v>
      </c>
      <c r="F29" s="81">
        <v>5884</v>
      </c>
      <c r="G29" s="80">
        <f t="shared" si="39"/>
        <v>184110.36</v>
      </c>
      <c r="H29" s="76" t="s">
        <v>52</v>
      </c>
      <c r="I29" s="83">
        <v>16</v>
      </c>
      <c r="J29" s="18">
        <v>2400</v>
      </c>
      <c r="K29" s="9">
        <f t="shared" si="46"/>
        <v>150</v>
      </c>
      <c r="L29" s="83">
        <v>16</v>
      </c>
      <c r="M29" s="10">
        <f t="shared" si="40"/>
        <v>2192.7950310559004</v>
      </c>
      <c r="N29" s="9">
        <f t="shared" si="41"/>
        <v>137.04968944099377</v>
      </c>
      <c r="O29" s="11">
        <f t="shared" si="42"/>
        <v>0</v>
      </c>
      <c r="P29" s="12">
        <f t="shared" si="43"/>
        <v>-12.950310559006226</v>
      </c>
      <c r="Q29" s="85">
        <f t="shared" si="44"/>
        <v>0.91366459627329177</v>
      </c>
      <c r="R29" s="533"/>
      <c r="S29" s="24">
        <v>0.26180555555555551</v>
      </c>
      <c r="T29" s="24">
        <v>0.37361111111111106</v>
      </c>
      <c r="U29" s="80">
        <f t="shared" ref="U29:U31" si="48">(S29-T28)*24*60</f>
        <v>6.9999999999999751</v>
      </c>
      <c r="V29" s="82">
        <f t="shared" si="45"/>
        <v>161</v>
      </c>
      <c r="W29" s="14"/>
      <c r="X29" s="14"/>
      <c r="Y29" s="528"/>
      <c r="Z29" s="528"/>
      <c r="AA29" s="11">
        <f t="shared" si="2"/>
        <v>-207.20496894409962</v>
      </c>
      <c r="AB29" s="85">
        <f t="shared" si="47"/>
        <v>0.91366459627329177</v>
      </c>
      <c r="AC29" s="533"/>
    </row>
    <row r="30" spans="1:29" ht="15.75" customHeight="1">
      <c r="A30" s="553" t="s">
        <v>8</v>
      </c>
      <c r="B30" s="26" t="s">
        <v>24</v>
      </c>
      <c r="C30" s="552" t="s">
        <v>68</v>
      </c>
      <c r="D30" s="552"/>
      <c r="E30" s="26">
        <v>24.25</v>
      </c>
      <c r="F30" s="81">
        <v>3750</v>
      </c>
      <c r="G30" s="80">
        <f t="shared" si="39"/>
        <v>90937.5</v>
      </c>
      <c r="H30" s="76" t="s">
        <v>52</v>
      </c>
      <c r="I30" s="83">
        <v>18</v>
      </c>
      <c r="J30" s="18">
        <v>2400</v>
      </c>
      <c r="K30" s="9">
        <f t="shared" si="46"/>
        <v>133.33333333333334</v>
      </c>
      <c r="L30" s="83">
        <v>18</v>
      </c>
      <c r="M30" s="10">
        <f t="shared" si="40"/>
        <v>2205.8823529411757</v>
      </c>
      <c r="N30" s="9">
        <f t="shared" si="41"/>
        <v>122.54901960784309</v>
      </c>
      <c r="O30" s="11">
        <f t="shared" si="42"/>
        <v>0</v>
      </c>
      <c r="P30" s="12">
        <f t="shared" si="43"/>
        <v>-10.78431372549025</v>
      </c>
      <c r="Q30" s="85">
        <f t="shared" si="44"/>
        <v>0.91911764705882315</v>
      </c>
      <c r="R30" s="533"/>
      <c r="S30" s="24">
        <v>0.3791666666666666</v>
      </c>
      <c r="T30" s="24">
        <v>0.44999999999999996</v>
      </c>
      <c r="U30" s="80">
        <f t="shared" si="48"/>
        <v>7.9999999999999716</v>
      </c>
      <c r="V30" s="82">
        <f t="shared" si="45"/>
        <v>102.00000000000004</v>
      </c>
      <c r="W30" s="14"/>
      <c r="X30" s="14"/>
      <c r="Y30" s="528"/>
      <c r="Z30" s="528"/>
      <c r="AA30" s="11">
        <f t="shared" si="2"/>
        <v>-194.11764705882433</v>
      </c>
      <c r="AB30" s="85">
        <f t="shared" si="47"/>
        <v>0.91911764705882315</v>
      </c>
      <c r="AC30" s="533"/>
    </row>
    <row r="31" spans="1:29" ht="15.75" customHeight="1">
      <c r="A31" s="553" t="s">
        <v>8</v>
      </c>
      <c r="B31" s="26" t="s">
        <v>24</v>
      </c>
      <c r="C31" s="552" t="s">
        <v>62</v>
      </c>
      <c r="D31" s="552"/>
      <c r="E31" s="26">
        <v>22.35</v>
      </c>
      <c r="F31" s="81">
        <v>1794</v>
      </c>
      <c r="G31" s="80">
        <f t="shared" si="39"/>
        <v>40095.9</v>
      </c>
      <c r="H31" s="76" t="s">
        <v>52</v>
      </c>
      <c r="I31" s="83">
        <v>16</v>
      </c>
      <c r="J31" s="18">
        <v>2400</v>
      </c>
      <c r="K31" s="9">
        <f t="shared" si="46"/>
        <v>150</v>
      </c>
      <c r="L31" s="83">
        <v>16</v>
      </c>
      <c r="M31" s="10">
        <f t="shared" si="40"/>
        <v>2196.7346938775518</v>
      </c>
      <c r="N31" s="9">
        <f t="shared" si="41"/>
        <v>137.29591836734699</v>
      </c>
      <c r="O31" s="11">
        <f t="shared" si="42"/>
        <v>0</v>
      </c>
      <c r="P31" s="12">
        <f t="shared" si="43"/>
        <v>-12.704081632653015</v>
      </c>
      <c r="Q31" s="85">
        <f t="shared" si="44"/>
        <v>0.91530612244897991</v>
      </c>
      <c r="R31" s="533"/>
      <c r="S31" s="24">
        <v>0.45555555555555549</v>
      </c>
      <c r="T31" s="24">
        <v>0.48958333333333326</v>
      </c>
      <c r="U31" s="80">
        <f t="shared" si="48"/>
        <v>7.9999999999999716</v>
      </c>
      <c r="V31" s="82">
        <f t="shared" si="45"/>
        <v>48.999999999999986</v>
      </c>
      <c r="W31" s="14"/>
      <c r="X31" s="14"/>
      <c r="Y31" s="528"/>
      <c r="Z31" s="528"/>
      <c r="AA31" s="11">
        <f t="shared" si="2"/>
        <v>-203.26530612244824</v>
      </c>
      <c r="AB31" s="85">
        <f t="shared" si="47"/>
        <v>0.91530612244897991</v>
      </c>
      <c r="AC31" s="533"/>
    </row>
    <row r="32" spans="1:29" ht="15.75" customHeight="1">
      <c r="A32" s="553" t="s">
        <v>8</v>
      </c>
      <c r="B32" s="26" t="s">
        <v>82</v>
      </c>
      <c r="C32" s="530"/>
      <c r="D32" s="530"/>
      <c r="E32" s="84"/>
      <c r="F32" s="81"/>
      <c r="G32" s="80"/>
      <c r="H32" s="81"/>
      <c r="I32" s="17">
        <v>17.600000000000001</v>
      </c>
      <c r="J32" s="18">
        <v>2400</v>
      </c>
      <c r="K32" s="9">
        <f t="shared" si="46"/>
        <v>136.36363636363635</v>
      </c>
      <c r="L32" s="17">
        <v>17.600000000000001</v>
      </c>
      <c r="M32" s="10">
        <f>AVERAGE(M27:M31)</f>
        <v>2199.757114370107</v>
      </c>
      <c r="N32" s="9">
        <f>M32/L32</f>
        <v>124.98619968011971</v>
      </c>
      <c r="O32" s="11">
        <f>L32-I32</f>
        <v>0</v>
      </c>
      <c r="P32" s="12">
        <f>N32-K32</f>
        <v>-11.377436683516635</v>
      </c>
      <c r="Q32" s="85">
        <f>N32/K32</f>
        <v>0.91656546432087804</v>
      </c>
      <c r="R32" s="533"/>
      <c r="S32" s="24"/>
      <c r="T32" s="24"/>
      <c r="U32" s="80"/>
      <c r="V32" s="82"/>
      <c r="W32" s="80"/>
      <c r="X32" s="80"/>
      <c r="Y32" s="528"/>
      <c r="Z32" s="528"/>
      <c r="AA32" s="11">
        <f t="shared" si="2"/>
        <v>-200.24288562989295</v>
      </c>
      <c r="AB32" s="85">
        <f>M32/J32</f>
        <v>0.91656546432087793</v>
      </c>
      <c r="AC32" s="533"/>
    </row>
    <row r="33" spans="1:29" ht="15.75" customHeight="1">
      <c r="A33" s="550" t="s">
        <v>88</v>
      </c>
      <c r="B33" s="26" t="s">
        <v>24</v>
      </c>
      <c r="C33" s="529" t="s">
        <v>28</v>
      </c>
      <c r="D33" s="529"/>
      <c r="E33" s="26">
        <v>26.2</v>
      </c>
      <c r="F33" s="81">
        <v>4344</v>
      </c>
      <c r="G33" s="80">
        <f t="shared" ref="G33:G38" si="49">E33*F33</f>
        <v>113812.8</v>
      </c>
      <c r="H33" s="76" t="s">
        <v>52</v>
      </c>
      <c r="I33" s="83">
        <v>18</v>
      </c>
      <c r="J33" s="18">
        <v>2400</v>
      </c>
      <c r="K33" s="9">
        <f>J33/I33</f>
        <v>133.33333333333334</v>
      </c>
      <c r="L33" s="83">
        <v>18</v>
      </c>
      <c r="M33" s="10">
        <f>F33/V33*60</f>
        <v>2190.2521008403364</v>
      </c>
      <c r="N33" s="9">
        <f>M33/L33</f>
        <v>121.68067226890759</v>
      </c>
      <c r="O33" s="11">
        <f t="shared" ref="O33:O38" si="50">L33-I33</f>
        <v>0</v>
      </c>
      <c r="P33" s="12">
        <f t="shared" ref="P33:P46" si="51">N33-K33</f>
        <v>-11.652661064425757</v>
      </c>
      <c r="Q33" s="85">
        <f t="shared" ref="Q33:Q43" si="52">N33/K33</f>
        <v>0.91260504201680681</v>
      </c>
      <c r="R33" s="533">
        <f>Q39</f>
        <v>0.91433901535815898</v>
      </c>
      <c r="S33" s="24">
        <v>0.125</v>
      </c>
      <c r="T33" s="24">
        <v>0.20763888888888887</v>
      </c>
      <c r="U33" s="80"/>
      <c r="V33" s="82">
        <f t="shared" ref="V33:V38" si="53">(T33-S33)*24*60</f>
        <v>118.99999999999997</v>
      </c>
      <c r="W33" s="15">
        <f>T33</f>
        <v>0.20763888888888887</v>
      </c>
      <c r="X33" s="15">
        <f>S34</f>
        <v>0.22847222222222222</v>
      </c>
      <c r="Y33" s="528"/>
      <c r="Z33" s="528"/>
      <c r="AA33" s="11">
        <f t="shared" si="2"/>
        <v>-209.74789915966358</v>
      </c>
      <c r="AB33" s="85">
        <f>M33/J33</f>
        <v>0.91260504201680681</v>
      </c>
      <c r="AC33" s="533">
        <f>AB39</f>
        <v>0.91433901535815887</v>
      </c>
    </row>
    <row r="34" spans="1:29" ht="15.75" customHeight="1">
      <c r="A34" s="550" t="s">
        <v>88</v>
      </c>
      <c r="B34" s="26" t="s">
        <v>24</v>
      </c>
      <c r="C34" s="529" t="s">
        <v>30</v>
      </c>
      <c r="D34" s="529"/>
      <c r="E34" s="26">
        <v>24.45</v>
      </c>
      <c r="F34" s="81">
        <v>1722</v>
      </c>
      <c r="G34" s="80">
        <f t="shared" si="49"/>
        <v>42102.9</v>
      </c>
      <c r="H34" s="76" t="s">
        <v>52</v>
      </c>
      <c r="I34" s="83">
        <v>20</v>
      </c>
      <c r="J34" s="18">
        <v>2400</v>
      </c>
      <c r="K34" s="9">
        <f t="shared" ref="K34:K45" si="54">J34/I34</f>
        <v>120</v>
      </c>
      <c r="L34" s="83">
        <v>20</v>
      </c>
      <c r="M34" s="10">
        <f t="shared" ref="M34:M38" si="55">F34/V34*60</f>
        <v>2198.2978723404235</v>
      </c>
      <c r="N34" s="9">
        <f t="shared" ref="N34:N38" si="56">M34/L34</f>
        <v>109.91489361702118</v>
      </c>
      <c r="O34" s="11">
        <f t="shared" si="50"/>
        <v>0</v>
      </c>
      <c r="P34" s="12">
        <f t="shared" si="51"/>
        <v>-10.085106382978822</v>
      </c>
      <c r="Q34" s="85">
        <f t="shared" si="52"/>
        <v>0.91595744680850977</v>
      </c>
      <c r="R34" s="533"/>
      <c r="S34" s="24">
        <v>0.22847222222222222</v>
      </c>
      <c r="T34" s="24">
        <v>0.26111111111111113</v>
      </c>
      <c r="U34" s="80">
        <f>(S34-T33)*24*60</f>
        <v>30.000000000000014</v>
      </c>
      <c r="V34" s="82">
        <f t="shared" si="53"/>
        <v>47.000000000000036</v>
      </c>
      <c r="W34" s="80"/>
      <c r="X34" s="80"/>
      <c r="Y34" s="528"/>
      <c r="Z34" s="528"/>
      <c r="AA34" s="11">
        <f t="shared" si="2"/>
        <v>-201.70212765957649</v>
      </c>
      <c r="AB34" s="85">
        <f t="shared" ref="AB34:AB59" si="57">M34/J34</f>
        <v>0.91595744680850977</v>
      </c>
      <c r="AC34" s="533"/>
    </row>
    <row r="35" spans="1:29">
      <c r="A35" s="551" t="s">
        <v>88</v>
      </c>
      <c r="B35" s="26" t="s">
        <v>24</v>
      </c>
      <c r="C35" s="529" t="s">
        <v>31</v>
      </c>
      <c r="D35" s="529"/>
      <c r="E35" s="26">
        <v>26.2</v>
      </c>
      <c r="F35" s="81">
        <v>2236</v>
      </c>
      <c r="G35" s="80">
        <f t="shared" si="49"/>
        <v>58583.199999999997</v>
      </c>
      <c r="H35" s="76" t="s">
        <v>52</v>
      </c>
      <c r="I35" s="83">
        <v>20</v>
      </c>
      <c r="J35" s="18">
        <v>2400</v>
      </c>
      <c r="K35" s="9">
        <f t="shared" si="54"/>
        <v>120</v>
      </c>
      <c r="L35" s="83">
        <v>20</v>
      </c>
      <c r="M35" s="10">
        <f t="shared" si="55"/>
        <v>2199.3442622950811</v>
      </c>
      <c r="N35" s="9">
        <f t="shared" si="56"/>
        <v>109.96721311475406</v>
      </c>
      <c r="O35" s="11">
        <f t="shared" si="50"/>
        <v>0</v>
      </c>
      <c r="P35" s="12">
        <f t="shared" si="51"/>
        <v>-10.03278688524594</v>
      </c>
      <c r="Q35" s="85">
        <f t="shared" si="52"/>
        <v>0.91639344262295053</v>
      </c>
      <c r="R35" s="533"/>
      <c r="S35" s="24">
        <v>0.26527777777777778</v>
      </c>
      <c r="T35" s="24">
        <v>0.30763888888888891</v>
      </c>
      <c r="U35" s="80">
        <f t="shared" ref="U35:U38" si="58">(S35-T34)*24*60</f>
        <v>5.9999999999999787</v>
      </c>
      <c r="V35" s="82">
        <f t="shared" si="53"/>
        <v>61.000000000000021</v>
      </c>
      <c r="W35" s="80"/>
      <c r="X35" s="80"/>
      <c r="Y35" s="528"/>
      <c r="Z35" s="528"/>
      <c r="AA35" s="11">
        <f t="shared" si="2"/>
        <v>-200.65573770491892</v>
      </c>
      <c r="AB35" s="85">
        <f t="shared" si="57"/>
        <v>0.91639344262295042</v>
      </c>
      <c r="AC35" s="533"/>
    </row>
    <row r="36" spans="1:29">
      <c r="A36" s="551" t="s">
        <v>168</v>
      </c>
      <c r="B36" s="26" t="s">
        <v>24</v>
      </c>
      <c r="C36" s="529" t="s">
        <v>29</v>
      </c>
      <c r="D36" s="529"/>
      <c r="E36" s="26">
        <v>26.39</v>
      </c>
      <c r="F36" s="81">
        <v>3686</v>
      </c>
      <c r="G36" s="80">
        <f t="shared" si="49"/>
        <v>97273.540000000008</v>
      </c>
      <c r="H36" s="76" t="s">
        <v>52</v>
      </c>
      <c r="I36" s="83">
        <v>19</v>
      </c>
      <c r="J36" s="18">
        <v>2400</v>
      </c>
      <c r="K36" s="9">
        <f t="shared" si="54"/>
        <v>126.31578947368421</v>
      </c>
      <c r="L36" s="83">
        <v>19</v>
      </c>
      <c r="M36" s="10">
        <f t="shared" si="55"/>
        <v>2189.7029702970303</v>
      </c>
      <c r="N36" s="9">
        <f t="shared" si="56"/>
        <v>115.24752475247529</v>
      </c>
      <c r="O36" s="11">
        <f t="shared" si="50"/>
        <v>0</v>
      </c>
      <c r="P36" s="12">
        <f t="shared" si="51"/>
        <v>-11.068264721208919</v>
      </c>
      <c r="Q36" s="85">
        <f t="shared" si="52"/>
        <v>0.91237623762376274</v>
      </c>
      <c r="R36" s="533"/>
      <c r="S36" s="24">
        <v>0.31180555555555556</v>
      </c>
      <c r="T36" s="24">
        <v>0.38194444444444442</v>
      </c>
      <c r="U36" s="80">
        <f t="shared" si="58"/>
        <v>5.9999999999999787</v>
      </c>
      <c r="V36" s="82">
        <f t="shared" si="53"/>
        <v>100.99999999999996</v>
      </c>
      <c r="W36" s="14"/>
      <c r="X36" s="14"/>
      <c r="Y36" s="528"/>
      <c r="Z36" s="528"/>
      <c r="AA36" s="11">
        <f t="shared" si="2"/>
        <v>-210.29702970296967</v>
      </c>
      <c r="AB36" s="85">
        <f t="shared" si="57"/>
        <v>0.91237623762376263</v>
      </c>
      <c r="AC36" s="533"/>
    </row>
    <row r="37" spans="1:29">
      <c r="A37" s="551" t="s">
        <v>168</v>
      </c>
      <c r="B37" s="26" t="s">
        <v>24</v>
      </c>
      <c r="C37" s="529" t="s">
        <v>27</v>
      </c>
      <c r="D37" s="529"/>
      <c r="E37" s="26">
        <v>20.52</v>
      </c>
      <c r="F37" s="81">
        <v>2374</v>
      </c>
      <c r="G37" s="80">
        <f t="shared" si="49"/>
        <v>48714.479999999996</v>
      </c>
      <c r="H37" s="76" t="s">
        <v>52</v>
      </c>
      <c r="I37" s="83">
        <v>18</v>
      </c>
      <c r="J37" s="18">
        <v>2400</v>
      </c>
      <c r="K37" s="9">
        <f t="shared" si="54"/>
        <v>133.33333333333334</v>
      </c>
      <c r="L37" s="83">
        <v>18</v>
      </c>
      <c r="M37" s="10">
        <f t="shared" si="55"/>
        <v>2191.3846153846148</v>
      </c>
      <c r="N37" s="9">
        <f t="shared" si="56"/>
        <v>121.74358974358971</v>
      </c>
      <c r="O37" s="11">
        <f t="shared" si="50"/>
        <v>0</v>
      </c>
      <c r="P37" s="12">
        <f t="shared" si="51"/>
        <v>-11.589743589743634</v>
      </c>
      <c r="Q37" s="85">
        <f t="shared" si="52"/>
        <v>0.91307692307692279</v>
      </c>
      <c r="R37" s="533"/>
      <c r="S37" s="24">
        <v>0.38611111111111107</v>
      </c>
      <c r="T37" s="24">
        <v>0.43124999999999997</v>
      </c>
      <c r="U37" s="80">
        <f t="shared" si="58"/>
        <v>5.9999999999999787</v>
      </c>
      <c r="V37" s="82">
        <f t="shared" si="53"/>
        <v>65.000000000000014</v>
      </c>
      <c r="W37" s="14"/>
      <c r="X37" s="14"/>
      <c r="Y37" s="528"/>
      <c r="Z37" s="528"/>
      <c r="AA37" s="11">
        <f t="shared" si="2"/>
        <v>-208.61538461538521</v>
      </c>
      <c r="AB37" s="85">
        <f t="shared" si="57"/>
        <v>0.91307692307692279</v>
      </c>
      <c r="AC37" s="533"/>
    </row>
    <row r="38" spans="1:29">
      <c r="A38" s="551" t="s">
        <v>88</v>
      </c>
      <c r="B38" s="26" t="s">
        <v>24</v>
      </c>
      <c r="C38" s="529" t="s">
        <v>50</v>
      </c>
      <c r="D38" s="529"/>
      <c r="E38" s="26">
        <v>26.2</v>
      </c>
      <c r="F38" s="81">
        <v>2930</v>
      </c>
      <c r="G38" s="80">
        <f t="shared" si="49"/>
        <v>76766</v>
      </c>
      <c r="H38" s="76" t="s">
        <v>52</v>
      </c>
      <c r="I38" s="83">
        <v>19</v>
      </c>
      <c r="J38" s="18">
        <v>2400</v>
      </c>
      <c r="K38" s="9">
        <f t="shared" si="54"/>
        <v>126.31578947368421</v>
      </c>
      <c r="L38" s="83">
        <v>19</v>
      </c>
      <c r="M38" s="10">
        <f t="shared" si="55"/>
        <v>2197.5000000000014</v>
      </c>
      <c r="N38" s="9">
        <f t="shared" si="56"/>
        <v>115.65789473684218</v>
      </c>
      <c r="O38" s="11">
        <f t="shared" si="50"/>
        <v>0</v>
      </c>
      <c r="P38" s="12">
        <f t="shared" si="51"/>
        <v>-10.657894736842024</v>
      </c>
      <c r="Q38" s="85">
        <f t="shared" si="52"/>
        <v>0.91562500000000069</v>
      </c>
      <c r="R38" s="533"/>
      <c r="S38" s="24">
        <v>0.43541666666666662</v>
      </c>
      <c r="T38" s="24">
        <v>0.49097222222222214</v>
      </c>
      <c r="U38" s="80">
        <f t="shared" si="58"/>
        <v>5.9999999999999787</v>
      </c>
      <c r="V38" s="82">
        <f t="shared" si="53"/>
        <v>79.999999999999957</v>
      </c>
      <c r="W38" s="14"/>
      <c r="X38" s="14"/>
      <c r="Y38" s="528"/>
      <c r="Z38" s="528"/>
      <c r="AA38" s="11">
        <f t="shared" si="2"/>
        <v>-202.49999999999864</v>
      </c>
      <c r="AB38" s="85">
        <f t="shared" si="57"/>
        <v>0.91562500000000058</v>
      </c>
      <c r="AC38" s="533"/>
    </row>
    <row r="39" spans="1:29">
      <c r="A39" s="551" t="s">
        <v>168</v>
      </c>
      <c r="B39" s="16" t="s">
        <v>82</v>
      </c>
      <c r="C39" s="530"/>
      <c r="D39" s="530"/>
      <c r="E39" s="84"/>
      <c r="F39" s="16"/>
      <c r="G39" s="9"/>
      <c r="H39" s="81"/>
      <c r="I39" s="17">
        <v>19</v>
      </c>
      <c r="J39" s="18">
        <v>2400</v>
      </c>
      <c r="K39" s="9">
        <f t="shared" si="54"/>
        <v>126.31578947368421</v>
      </c>
      <c r="L39" s="17">
        <v>19</v>
      </c>
      <c r="M39" s="10">
        <f>AVERAGE(M33:M38)</f>
        <v>2194.4136368595814</v>
      </c>
      <c r="N39" s="9">
        <f>M39/L39</f>
        <v>115.49545457155692</v>
      </c>
      <c r="O39" s="11">
        <f>L39-I39</f>
        <v>0</v>
      </c>
      <c r="P39" s="12">
        <f t="shared" si="51"/>
        <v>-10.820334902127286</v>
      </c>
      <c r="Q39" s="85">
        <f t="shared" si="52"/>
        <v>0.91433901535815898</v>
      </c>
      <c r="R39" s="533"/>
      <c r="S39" s="24"/>
      <c r="T39" s="24"/>
      <c r="U39" s="9"/>
      <c r="V39" s="82"/>
      <c r="W39" s="9"/>
      <c r="X39" s="9"/>
      <c r="Y39" s="528"/>
      <c r="Z39" s="528"/>
      <c r="AA39" s="11">
        <f t="shared" si="2"/>
        <v>-205.5863631404186</v>
      </c>
      <c r="AB39" s="85">
        <f t="shared" si="57"/>
        <v>0.91433901535815887</v>
      </c>
      <c r="AC39" s="533"/>
    </row>
    <row r="40" spans="1:29" ht="15.75" customHeight="1">
      <c r="A40" s="544" t="s">
        <v>169</v>
      </c>
      <c r="B40" s="26" t="s">
        <v>32</v>
      </c>
      <c r="C40" s="534" t="s">
        <v>33</v>
      </c>
      <c r="D40" s="535"/>
      <c r="E40" s="26">
        <v>27.17</v>
      </c>
      <c r="F40" s="81">
        <v>4714</v>
      </c>
      <c r="G40" s="80">
        <f t="shared" ref="G40:G45" si="59">E40*F40</f>
        <v>128079.38</v>
      </c>
      <c r="H40" s="76" t="s">
        <v>52</v>
      </c>
      <c r="I40" s="83">
        <v>10</v>
      </c>
      <c r="J40" s="18">
        <v>3000</v>
      </c>
      <c r="K40" s="9">
        <f t="shared" si="54"/>
        <v>300</v>
      </c>
      <c r="L40" s="83">
        <v>10</v>
      </c>
      <c r="M40" s="10">
        <f t="shared" ref="M40:M41" si="60">F40/V40*60</f>
        <v>2746.019417475728</v>
      </c>
      <c r="N40" s="10">
        <f t="shared" ref="N40:N46" si="61">M40/L40</f>
        <v>274.60194174757282</v>
      </c>
      <c r="O40" s="11">
        <f t="shared" ref="O40:O46" si="62">L40-I40</f>
        <v>0</v>
      </c>
      <c r="P40" s="12">
        <f t="shared" si="51"/>
        <v>-25.398058252427177</v>
      </c>
      <c r="Q40" s="85">
        <f t="shared" si="52"/>
        <v>0.91533980582524277</v>
      </c>
      <c r="R40" s="547">
        <f>Q46</f>
        <v>0.91654175617821787</v>
      </c>
      <c r="S40" s="24">
        <v>0.20833333333333334</v>
      </c>
      <c r="T40" s="24">
        <v>0.27986111111111112</v>
      </c>
      <c r="U40" s="15"/>
      <c r="V40" s="82">
        <f t="shared" ref="V40:V45" si="63">(T40-S40)*24*60</f>
        <v>103</v>
      </c>
      <c r="W40" s="80"/>
      <c r="X40" s="80"/>
      <c r="Y40" s="536"/>
      <c r="Z40" s="537"/>
      <c r="AA40" s="11">
        <f t="shared" si="2"/>
        <v>-253.98058252427199</v>
      </c>
      <c r="AB40" s="85">
        <f t="shared" si="57"/>
        <v>0.91533980582524266</v>
      </c>
      <c r="AC40" s="547">
        <f>AB46</f>
        <v>0.91654175617821787</v>
      </c>
    </row>
    <row r="41" spans="1:29" ht="15.75" customHeight="1">
      <c r="A41" s="545" t="s">
        <v>9</v>
      </c>
      <c r="B41" s="26" t="s">
        <v>32</v>
      </c>
      <c r="C41" s="534" t="s">
        <v>34</v>
      </c>
      <c r="D41" s="535"/>
      <c r="E41" s="26">
        <v>21.13</v>
      </c>
      <c r="F41" s="81">
        <v>3943</v>
      </c>
      <c r="G41" s="80">
        <f t="shared" si="59"/>
        <v>83315.59</v>
      </c>
      <c r="H41" s="76" t="s">
        <v>52</v>
      </c>
      <c r="I41" s="83">
        <v>10</v>
      </c>
      <c r="J41" s="18">
        <v>3000</v>
      </c>
      <c r="K41" s="9">
        <f t="shared" si="54"/>
        <v>300</v>
      </c>
      <c r="L41" s="83">
        <v>10</v>
      </c>
      <c r="M41" s="10">
        <f t="shared" si="60"/>
        <v>2750.9302325581389</v>
      </c>
      <c r="N41" s="10">
        <f t="shared" si="61"/>
        <v>275.09302325581388</v>
      </c>
      <c r="O41" s="11">
        <f t="shared" si="62"/>
        <v>0</v>
      </c>
      <c r="P41" s="12">
        <f t="shared" si="51"/>
        <v>-24.906976744186125</v>
      </c>
      <c r="Q41" s="85">
        <f t="shared" si="52"/>
        <v>0.91697674418604624</v>
      </c>
      <c r="R41" s="548"/>
      <c r="S41" s="24">
        <v>0.28541666666666665</v>
      </c>
      <c r="T41" s="24">
        <v>0.34513888888888888</v>
      </c>
      <c r="U41" s="80">
        <f>(S41-T40)*24*60</f>
        <v>7.9999999999999716</v>
      </c>
      <c r="V41" s="82">
        <f t="shared" si="63"/>
        <v>86.000000000000014</v>
      </c>
      <c r="W41" s="14"/>
      <c r="X41" s="14"/>
      <c r="Y41" s="536"/>
      <c r="Z41" s="537"/>
      <c r="AA41" s="11">
        <f t="shared" si="2"/>
        <v>-249.06976744186113</v>
      </c>
      <c r="AB41" s="85">
        <f t="shared" si="57"/>
        <v>0.91697674418604624</v>
      </c>
      <c r="AC41" s="548"/>
    </row>
    <row r="42" spans="1:29" ht="15.75" customHeight="1">
      <c r="A42" s="545" t="s">
        <v>9</v>
      </c>
      <c r="B42" s="26" t="s">
        <v>32</v>
      </c>
      <c r="C42" s="534" t="s">
        <v>40</v>
      </c>
      <c r="D42" s="535"/>
      <c r="E42" s="26">
        <v>35.119999999999997</v>
      </c>
      <c r="F42" s="81">
        <v>3718</v>
      </c>
      <c r="G42" s="80">
        <f t="shared" si="59"/>
        <v>130576.15999999999</v>
      </c>
      <c r="H42" s="76" t="s">
        <v>52</v>
      </c>
      <c r="I42" s="83">
        <v>10</v>
      </c>
      <c r="J42" s="18">
        <v>3000</v>
      </c>
      <c r="K42" s="9">
        <f t="shared" si="54"/>
        <v>300</v>
      </c>
      <c r="L42" s="83">
        <v>10</v>
      </c>
      <c r="M42" s="10">
        <f>F42/V42*60</f>
        <v>2754.074074074073</v>
      </c>
      <c r="N42" s="10">
        <f t="shared" si="61"/>
        <v>275.40740740740728</v>
      </c>
      <c r="O42" s="11">
        <f t="shared" si="62"/>
        <v>0</v>
      </c>
      <c r="P42" s="12">
        <f t="shared" si="51"/>
        <v>-24.592592592592723</v>
      </c>
      <c r="Q42" s="85">
        <f t="shared" si="52"/>
        <v>0.91802469135802423</v>
      </c>
      <c r="R42" s="548"/>
      <c r="S42" s="24">
        <v>0.35</v>
      </c>
      <c r="T42" s="24">
        <v>0.40625</v>
      </c>
      <c r="U42" s="80">
        <f t="shared" ref="U42:U45" si="64">(S42-T41)*24*60</f>
        <v>6.9999999999999751</v>
      </c>
      <c r="V42" s="82">
        <f t="shared" si="63"/>
        <v>81.000000000000028</v>
      </c>
      <c r="W42" s="14"/>
      <c r="X42" s="14"/>
      <c r="Y42" s="536"/>
      <c r="Z42" s="537"/>
      <c r="AA42" s="11">
        <f t="shared" si="2"/>
        <v>-245.925925925927</v>
      </c>
      <c r="AB42" s="85">
        <f t="shared" si="57"/>
        <v>0.91802469135802434</v>
      </c>
      <c r="AC42" s="548"/>
    </row>
    <row r="43" spans="1:29" ht="15.75" customHeight="1">
      <c r="A43" s="545" t="s">
        <v>9</v>
      </c>
      <c r="B43" s="26" t="s">
        <v>32</v>
      </c>
      <c r="C43" s="534" t="s">
        <v>61</v>
      </c>
      <c r="D43" s="535"/>
      <c r="E43" s="26">
        <v>40.18</v>
      </c>
      <c r="F43" s="81">
        <v>1963</v>
      </c>
      <c r="G43" s="80">
        <f t="shared" si="59"/>
        <v>78873.34</v>
      </c>
      <c r="H43" s="76" t="s">
        <v>52</v>
      </c>
      <c r="I43" s="83">
        <v>10</v>
      </c>
      <c r="J43" s="18">
        <v>3000</v>
      </c>
      <c r="K43" s="9">
        <f t="shared" si="54"/>
        <v>300</v>
      </c>
      <c r="L43" s="83">
        <v>10</v>
      </c>
      <c r="M43" s="10">
        <f t="shared" ref="M43:M45" si="65">F43/V43*60</f>
        <v>2739.0697674418602</v>
      </c>
      <c r="N43" s="10">
        <f t="shared" si="61"/>
        <v>273.90697674418601</v>
      </c>
      <c r="O43" s="11">
        <f t="shared" si="62"/>
        <v>0</v>
      </c>
      <c r="P43" s="12">
        <f t="shared" si="51"/>
        <v>-26.093023255813989</v>
      </c>
      <c r="Q43" s="85">
        <f t="shared" si="52"/>
        <v>0.91302325581395338</v>
      </c>
      <c r="R43" s="548"/>
      <c r="S43" s="24">
        <v>0.41180555555555554</v>
      </c>
      <c r="T43" s="24">
        <v>0.44166666666666665</v>
      </c>
      <c r="U43" s="80">
        <f t="shared" si="64"/>
        <v>7.9999999999999716</v>
      </c>
      <c r="V43" s="82">
        <f t="shared" si="63"/>
        <v>43.000000000000007</v>
      </c>
      <c r="W43" s="14"/>
      <c r="X43" s="14"/>
      <c r="Y43" s="536"/>
      <c r="Z43" s="537"/>
      <c r="AA43" s="11">
        <f t="shared" si="2"/>
        <v>-260.93023255813978</v>
      </c>
      <c r="AB43" s="85">
        <f t="shared" si="57"/>
        <v>0.91302325581395338</v>
      </c>
      <c r="AC43" s="548"/>
    </row>
    <row r="44" spans="1:29" ht="15.75" customHeight="1">
      <c r="A44" s="545" t="s">
        <v>9</v>
      </c>
      <c r="B44" s="26" t="s">
        <v>32</v>
      </c>
      <c r="C44" s="534" t="s">
        <v>64</v>
      </c>
      <c r="D44" s="535"/>
      <c r="E44" s="26">
        <v>28.5</v>
      </c>
      <c r="F44" s="81">
        <v>1246</v>
      </c>
      <c r="G44" s="80">
        <f t="shared" si="59"/>
        <v>35511</v>
      </c>
      <c r="H44" s="76" t="s">
        <v>52</v>
      </c>
      <c r="I44" s="83">
        <v>10</v>
      </c>
      <c r="J44" s="18">
        <v>3000</v>
      </c>
      <c r="K44" s="9">
        <f t="shared" si="54"/>
        <v>300</v>
      </c>
      <c r="L44" s="83">
        <v>10</v>
      </c>
      <c r="M44" s="10">
        <f t="shared" si="65"/>
        <v>2768.8888888888905</v>
      </c>
      <c r="N44" s="10">
        <f t="shared" si="61"/>
        <v>276.88888888888903</v>
      </c>
      <c r="O44" s="11">
        <f t="shared" si="62"/>
        <v>0</v>
      </c>
      <c r="P44" s="12">
        <f t="shared" si="51"/>
        <v>-23.111111111110972</v>
      </c>
      <c r="Q44" s="85">
        <f>N44/K44</f>
        <v>0.92296296296296343</v>
      </c>
      <c r="R44" s="548"/>
      <c r="S44" s="24">
        <v>0.44513888888888886</v>
      </c>
      <c r="T44" s="24">
        <v>0.46388888888888885</v>
      </c>
      <c r="U44" s="80">
        <f t="shared" si="64"/>
        <v>4.9999999999999822</v>
      </c>
      <c r="V44" s="82">
        <f t="shared" si="63"/>
        <v>26.999999999999986</v>
      </c>
      <c r="W44" s="14"/>
      <c r="X44" s="14"/>
      <c r="Y44" s="536"/>
      <c r="Z44" s="537"/>
      <c r="AA44" s="11">
        <f t="shared" si="2"/>
        <v>-231.11111111110949</v>
      </c>
      <c r="AB44" s="85">
        <f t="shared" si="57"/>
        <v>0.92296296296296354</v>
      </c>
      <c r="AC44" s="548"/>
    </row>
    <row r="45" spans="1:29" ht="15.75" customHeight="1">
      <c r="A45" s="545" t="s">
        <v>9</v>
      </c>
      <c r="B45" s="26" t="s">
        <v>32</v>
      </c>
      <c r="C45" s="534" t="s">
        <v>78</v>
      </c>
      <c r="D45" s="535"/>
      <c r="E45" s="26">
        <v>35.869999999999997</v>
      </c>
      <c r="F45" s="81">
        <v>2967</v>
      </c>
      <c r="G45" s="80">
        <f t="shared" si="59"/>
        <v>106426.29</v>
      </c>
      <c r="H45" s="76" t="s">
        <v>52</v>
      </c>
      <c r="I45" s="83">
        <v>10</v>
      </c>
      <c r="J45" s="18">
        <v>3000</v>
      </c>
      <c r="K45" s="9">
        <f t="shared" si="54"/>
        <v>300</v>
      </c>
      <c r="L45" s="83">
        <v>10</v>
      </c>
      <c r="M45" s="10">
        <f t="shared" si="65"/>
        <v>2738.76923076923</v>
      </c>
      <c r="N45" s="10">
        <f t="shared" si="61"/>
        <v>273.87692307692299</v>
      </c>
      <c r="O45" s="11">
        <f t="shared" si="62"/>
        <v>0</v>
      </c>
      <c r="P45" s="12">
        <f t="shared" si="51"/>
        <v>-26.123076923077008</v>
      </c>
      <c r="Q45" s="85">
        <f t="shared" ref="Q45:Q46" si="66">N45/K45</f>
        <v>0.91292307692307662</v>
      </c>
      <c r="R45" s="548"/>
      <c r="S45" s="24">
        <v>0.46944444444444439</v>
      </c>
      <c r="T45" s="24">
        <v>0.51458333333333328</v>
      </c>
      <c r="U45" s="80">
        <f t="shared" si="64"/>
        <v>7.9999999999999716</v>
      </c>
      <c r="V45" s="82">
        <f t="shared" si="63"/>
        <v>65.000000000000014</v>
      </c>
      <c r="W45" s="14"/>
      <c r="X45" s="14"/>
      <c r="Y45" s="536"/>
      <c r="Z45" s="537"/>
      <c r="AA45" s="11">
        <f t="shared" si="2"/>
        <v>-261.23076923076997</v>
      </c>
      <c r="AB45" s="85">
        <f t="shared" si="57"/>
        <v>0.91292307692307673</v>
      </c>
      <c r="AC45" s="548"/>
    </row>
    <row r="46" spans="1:29" ht="15.75" customHeight="1">
      <c r="A46" s="546" t="s">
        <v>9</v>
      </c>
      <c r="B46" s="26" t="s">
        <v>165</v>
      </c>
      <c r="C46" s="540"/>
      <c r="D46" s="541"/>
      <c r="E46" s="90"/>
      <c r="F46" s="81"/>
      <c r="G46" s="80"/>
      <c r="H46" s="81"/>
      <c r="I46" s="17">
        <v>10</v>
      </c>
      <c r="J46" s="18">
        <v>3000</v>
      </c>
      <c r="K46" s="9">
        <f>J46/I46</f>
        <v>300</v>
      </c>
      <c r="L46" s="17">
        <v>10</v>
      </c>
      <c r="M46" s="10">
        <f>AVERAGE(M40:M45)</f>
        <v>2749.6252685346535</v>
      </c>
      <c r="N46" s="9">
        <f t="shared" si="61"/>
        <v>274.96252685346536</v>
      </c>
      <c r="O46" s="11">
        <f t="shared" si="62"/>
        <v>0</v>
      </c>
      <c r="P46" s="12">
        <f t="shared" si="51"/>
        <v>-25.037473146534637</v>
      </c>
      <c r="Q46" s="85">
        <f t="shared" si="66"/>
        <v>0.91654175617821787</v>
      </c>
      <c r="R46" s="549"/>
      <c r="S46" s="24"/>
      <c r="T46" s="24"/>
      <c r="U46" s="80"/>
      <c r="V46" s="82"/>
      <c r="W46" s="14"/>
      <c r="X46" s="14"/>
      <c r="Y46" s="536"/>
      <c r="Z46" s="537"/>
      <c r="AA46" s="11">
        <f t="shared" si="2"/>
        <v>-250.37473146534649</v>
      </c>
      <c r="AB46" s="85">
        <f t="shared" si="57"/>
        <v>0.91654175617821787</v>
      </c>
      <c r="AC46" s="549"/>
    </row>
    <row r="47" spans="1:29" ht="15.75" customHeight="1">
      <c r="A47" s="542" t="s">
        <v>170</v>
      </c>
      <c r="B47" s="26" t="s">
        <v>15</v>
      </c>
      <c r="C47" s="529" t="s">
        <v>20</v>
      </c>
      <c r="D47" s="529"/>
      <c r="E47" s="26">
        <v>46</v>
      </c>
      <c r="F47" s="27">
        <v>2414</v>
      </c>
      <c r="G47" s="80">
        <f t="shared" ref="G47:G51" si="67">E47*F47</f>
        <v>111044</v>
      </c>
      <c r="H47" s="76" t="s">
        <v>52</v>
      </c>
      <c r="I47" s="83">
        <v>17</v>
      </c>
      <c r="J47" s="18">
        <v>1500</v>
      </c>
      <c r="K47" s="9">
        <f t="shared" ref="K47:K51" si="68">J47/I47</f>
        <v>88.235294117647058</v>
      </c>
      <c r="L47" s="83">
        <v>17</v>
      </c>
      <c r="M47" s="10">
        <f t="shared" ref="M47:M51" si="69">F47/V47*60</f>
        <v>1366.4150943396223</v>
      </c>
      <c r="N47" s="10">
        <f>M47/L47</f>
        <v>80.377358490566024</v>
      </c>
      <c r="O47" s="11">
        <f>L47-I47</f>
        <v>0</v>
      </c>
      <c r="P47" s="12">
        <f>N47-K47</f>
        <v>-7.8579356270810337</v>
      </c>
      <c r="Q47" s="85">
        <f>N47/K47</f>
        <v>0.91094339622641496</v>
      </c>
      <c r="R47" s="533">
        <f>Q52</f>
        <v>0.91659095558370218</v>
      </c>
      <c r="S47" s="24">
        <v>0.29166666666666669</v>
      </c>
      <c r="T47" s="24">
        <v>0.36527777777777781</v>
      </c>
      <c r="U47" s="15"/>
      <c r="V47" s="82">
        <f t="shared" ref="V47:V51" si="70">(T47-S47)*24*60</f>
        <v>106.00000000000003</v>
      </c>
      <c r="W47" s="15"/>
      <c r="X47" s="15"/>
      <c r="Y47" s="528"/>
      <c r="Z47" s="528"/>
      <c r="AA47" s="11">
        <f t="shared" si="2"/>
        <v>-133.58490566037767</v>
      </c>
      <c r="AB47" s="85">
        <f t="shared" si="57"/>
        <v>0.91094339622641485</v>
      </c>
      <c r="AC47" s="533">
        <f>AB52</f>
        <v>0.91659095558370218</v>
      </c>
    </row>
    <row r="48" spans="1:29" ht="15.75" customHeight="1">
      <c r="A48" s="542" t="s">
        <v>10</v>
      </c>
      <c r="B48" s="26" t="s">
        <v>15</v>
      </c>
      <c r="C48" s="529" t="s">
        <v>65</v>
      </c>
      <c r="D48" s="529"/>
      <c r="E48" s="26">
        <v>46</v>
      </c>
      <c r="F48" s="27">
        <v>2916</v>
      </c>
      <c r="G48" s="80">
        <f t="shared" si="67"/>
        <v>134136</v>
      </c>
      <c r="H48" s="76" t="s">
        <v>52</v>
      </c>
      <c r="I48" s="83">
        <v>18</v>
      </c>
      <c r="J48" s="18">
        <v>1500</v>
      </c>
      <c r="K48" s="9">
        <f t="shared" si="68"/>
        <v>83.333333333333329</v>
      </c>
      <c r="L48" s="83">
        <v>18</v>
      </c>
      <c r="M48" s="10">
        <f t="shared" si="69"/>
        <v>1377.6377952755902</v>
      </c>
      <c r="N48" s="10">
        <f t="shared" ref="N48:N51" si="71">M48/L48</f>
        <v>76.535433070866119</v>
      </c>
      <c r="O48" s="11">
        <f t="shared" ref="O48:O51" si="72">L48-I48</f>
        <v>0</v>
      </c>
      <c r="P48" s="12">
        <f t="shared" ref="P48:P51" si="73">N48-K48</f>
        <v>-6.7979002624672091</v>
      </c>
      <c r="Q48" s="85">
        <f t="shared" ref="Q48:Q51" si="74">N48/K48</f>
        <v>0.91842519685039348</v>
      </c>
      <c r="R48" s="533"/>
      <c r="S48" s="24">
        <v>0.36875000000000002</v>
      </c>
      <c r="T48" s="24">
        <v>0.45694444444444449</v>
      </c>
      <c r="U48" s="80">
        <f t="shared" ref="U48:U51" si="75">(S48-T47)*24*60</f>
        <v>4.9999999999999822</v>
      </c>
      <c r="V48" s="82">
        <f t="shared" si="70"/>
        <v>127.00000000000003</v>
      </c>
      <c r="W48" s="14"/>
      <c r="X48" s="14"/>
      <c r="Y48" s="528"/>
      <c r="Z48" s="528"/>
      <c r="AA48" s="11">
        <f t="shared" si="2"/>
        <v>-122.36220472440982</v>
      </c>
      <c r="AB48" s="85">
        <f t="shared" si="57"/>
        <v>0.91842519685039348</v>
      </c>
      <c r="AC48" s="533"/>
    </row>
    <row r="49" spans="1:29" ht="15.75" customHeight="1">
      <c r="A49" s="542" t="s">
        <v>10</v>
      </c>
      <c r="B49" s="26" t="s">
        <v>13</v>
      </c>
      <c r="C49" s="534" t="s">
        <v>59</v>
      </c>
      <c r="D49" s="535"/>
      <c r="E49" s="26">
        <v>55.56</v>
      </c>
      <c r="F49" s="27">
        <v>1596</v>
      </c>
      <c r="G49" s="80">
        <f t="shared" si="67"/>
        <v>88673.760000000009</v>
      </c>
      <c r="H49" s="76" t="s">
        <v>52</v>
      </c>
      <c r="I49" s="83">
        <v>17</v>
      </c>
      <c r="J49" s="18">
        <v>1500</v>
      </c>
      <c r="K49" s="9">
        <f t="shared" si="68"/>
        <v>88.235294117647058</v>
      </c>
      <c r="L49" s="83">
        <v>17</v>
      </c>
      <c r="M49" s="10">
        <f t="shared" si="69"/>
        <v>1367.9999999999986</v>
      </c>
      <c r="N49" s="10">
        <f t="shared" si="71"/>
        <v>80.470588235294031</v>
      </c>
      <c r="O49" s="11">
        <f t="shared" si="72"/>
        <v>0</v>
      </c>
      <c r="P49" s="12">
        <f t="shared" si="73"/>
        <v>-7.7647058823530273</v>
      </c>
      <c r="Q49" s="85">
        <f t="shared" si="74"/>
        <v>0.91199999999999903</v>
      </c>
      <c r="R49" s="533"/>
      <c r="S49" s="24">
        <v>0.70833333333333337</v>
      </c>
      <c r="T49" s="24">
        <v>0.75694444444444453</v>
      </c>
      <c r="U49" s="80"/>
      <c r="V49" s="82">
        <f t="shared" si="70"/>
        <v>70.000000000000071</v>
      </c>
      <c r="W49" s="14"/>
      <c r="X49" s="14"/>
      <c r="Y49" s="86"/>
      <c r="Z49" s="87"/>
      <c r="AA49" s="11">
        <f t="shared" si="2"/>
        <v>-132.00000000000136</v>
      </c>
      <c r="AB49" s="85">
        <f t="shared" si="57"/>
        <v>0.91199999999999914</v>
      </c>
      <c r="AC49" s="533"/>
    </row>
    <row r="50" spans="1:29" ht="15.75" customHeight="1">
      <c r="A50" s="542" t="s">
        <v>10</v>
      </c>
      <c r="B50" s="26" t="s">
        <v>13</v>
      </c>
      <c r="C50" s="88" t="s">
        <v>58</v>
      </c>
      <c r="D50" s="89"/>
      <c r="E50" s="26">
        <v>55.32</v>
      </c>
      <c r="F50" s="27">
        <v>1222</v>
      </c>
      <c r="G50" s="80">
        <f t="shared" si="67"/>
        <v>67601.039999999994</v>
      </c>
      <c r="H50" s="76" t="s">
        <v>52</v>
      </c>
      <c r="I50" s="83">
        <v>15</v>
      </c>
      <c r="J50" s="18">
        <v>1500</v>
      </c>
      <c r="K50" s="9">
        <f t="shared" si="68"/>
        <v>100</v>
      </c>
      <c r="L50" s="83">
        <v>15</v>
      </c>
      <c r="M50" s="10">
        <f t="shared" si="69"/>
        <v>1383.396226415095</v>
      </c>
      <c r="N50" s="10">
        <f t="shared" si="71"/>
        <v>92.226415094339671</v>
      </c>
      <c r="O50" s="11">
        <f t="shared" si="72"/>
        <v>0</v>
      </c>
      <c r="P50" s="12">
        <f t="shared" si="73"/>
        <v>-7.7735849056603286</v>
      </c>
      <c r="Q50" s="85">
        <f t="shared" si="74"/>
        <v>0.92226415094339675</v>
      </c>
      <c r="R50" s="533"/>
      <c r="S50" s="24">
        <v>0.76250000000000007</v>
      </c>
      <c r="T50" s="24">
        <v>0.7993055555555556</v>
      </c>
      <c r="U50" s="80">
        <f t="shared" si="75"/>
        <v>7.9999999999999716</v>
      </c>
      <c r="V50" s="82">
        <f t="shared" si="70"/>
        <v>52.999999999999972</v>
      </c>
      <c r="W50" s="14"/>
      <c r="X50" s="14"/>
      <c r="Y50" s="86"/>
      <c r="Z50" s="87"/>
      <c r="AA50" s="11">
        <f t="shared" si="2"/>
        <v>-116.60377358490496</v>
      </c>
      <c r="AB50" s="85">
        <f t="shared" si="57"/>
        <v>0.92226415094339664</v>
      </c>
      <c r="AC50" s="533"/>
    </row>
    <row r="51" spans="1:29" ht="15.75" customHeight="1">
      <c r="A51" s="542" t="s">
        <v>10</v>
      </c>
      <c r="B51" s="26" t="s">
        <v>13</v>
      </c>
      <c r="C51" s="88" t="s">
        <v>60</v>
      </c>
      <c r="D51" s="89"/>
      <c r="E51" s="26">
        <v>57.73</v>
      </c>
      <c r="F51" s="27">
        <v>1356</v>
      </c>
      <c r="G51" s="80">
        <f t="shared" si="67"/>
        <v>78281.87999999999</v>
      </c>
      <c r="H51" s="76" t="s">
        <v>52</v>
      </c>
      <c r="I51" s="83">
        <v>16</v>
      </c>
      <c r="J51" s="18">
        <v>1500</v>
      </c>
      <c r="K51" s="9">
        <f t="shared" si="68"/>
        <v>93.75</v>
      </c>
      <c r="L51" s="83">
        <v>16</v>
      </c>
      <c r="M51" s="10">
        <f t="shared" si="69"/>
        <v>1378.9830508474588</v>
      </c>
      <c r="N51" s="10">
        <f t="shared" si="71"/>
        <v>86.186440677966175</v>
      </c>
      <c r="O51" s="11">
        <f t="shared" si="72"/>
        <v>0</v>
      </c>
      <c r="P51" s="12">
        <f t="shared" si="73"/>
        <v>-7.5635593220338251</v>
      </c>
      <c r="Q51" s="85">
        <f t="shared" si="74"/>
        <v>0.91932203389830591</v>
      </c>
      <c r="R51" s="533"/>
      <c r="S51" s="24">
        <v>0.8041666666666667</v>
      </c>
      <c r="T51" s="24">
        <v>0.84513888888888888</v>
      </c>
      <c r="U51" s="80">
        <f t="shared" si="75"/>
        <v>6.9999999999999751</v>
      </c>
      <c r="V51" s="82">
        <f t="shared" si="70"/>
        <v>58.99999999999995</v>
      </c>
      <c r="W51" s="14"/>
      <c r="X51" s="14"/>
      <c r="Y51" s="86"/>
      <c r="Z51" s="87"/>
      <c r="AA51" s="11">
        <f t="shared" si="2"/>
        <v>-121.0169491525412</v>
      </c>
      <c r="AB51" s="85">
        <f t="shared" si="57"/>
        <v>0.91932203389830591</v>
      </c>
      <c r="AC51" s="533"/>
    </row>
    <row r="52" spans="1:29">
      <c r="A52" s="543" t="s">
        <v>10</v>
      </c>
      <c r="B52" s="26" t="s">
        <v>165</v>
      </c>
      <c r="C52" s="530"/>
      <c r="D52" s="530"/>
      <c r="E52" s="84"/>
      <c r="F52" s="16"/>
      <c r="G52" s="9"/>
      <c r="H52" s="81"/>
      <c r="I52" s="17">
        <v>16.600000000000001</v>
      </c>
      <c r="J52" s="18">
        <v>1500</v>
      </c>
      <c r="K52" s="9">
        <f>J52/I52</f>
        <v>90.361445783132524</v>
      </c>
      <c r="L52" s="17">
        <v>16.600000000000001</v>
      </c>
      <c r="M52" s="10">
        <f>AVERAGE(M47:M51)</f>
        <v>1374.8864333755532</v>
      </c>
      <c r="N52" s="9">
        <f>M52/L52</f>
        <v>82.824483938286335</v>
      </c>
      <c r="O52" s="11">
        <f>L52-I52</f>
        <v>0</v>
      </c>
      <c r="P52" s="12">
        <f>N52-K52</f>
        <v>-7.5369618448461893</v>
      </c>
      <c r="Q52" s="85">
        <f>N52/K52</f>
        <v>0.91659095558370218</v>
      </c>
      <c r="R52" s="533"/>
      <c r="S52" s="25"/>
      <c r="T52" s="24"/>
      <c r="U52" s="9"/>
      <c r="V52" s="82"/>
      <c r="W52" s="9"/>
      <c r="X52" s="9"/>
      <c r="Y52" s="528"/>
      <c r="Z52" s="528"/>
      <c r="AA52" s="11">
        <f t="shared" si="2"/>
        <v>-125.11356662444678</v>
      </c>
      <c r="AB52" s="85">
        <f t="shared" si="57"/>
        <v>0.91659095558370218</v>
      </c>
      <c r="AC52" s="533"/>
    </row>
    <row r="53" spans="1:29" ht="15.75" customHeight="1">
      <c r="A53" s="538" t="s">
        <v>171</v>
      </c>
      <c r="B53" s="81" t="s">
        <v>32</v>
      </c>
      <c r="C53" s="529" t="s">
        <v>35</v>
      </c>
      <c r="D53" s="529"/>
      <c r="E53" s="26">
        <v>26.78</v>
      </c>
      <c r="F53" s="27">
        <v>2052</v>
      </c>
      <c r="G53" s="80">
        <f t="shared" ref="G53:G58" si="76">E53*F53</f>
        <v>54952.560000000005</v>
      </c>
      <c r="H53" s="76" t="s">
        <v>52</v>
      </c>
      <c r="I53" s="83">
        <v>10</v>
      </c>
      <c r="J53" s="18">
        <v>3000</v>
      </c>
      <c r="K53" s="9">
        <f t="shared" ref="K53:K58" si="77">J53/I53</f>
        <v>300</v>
      </c>
      <c r="L53" s="17">
        <v>10</v>
      </c>
      <c r="M53" s="10">
        <f t="shared" ref="M53:M58" si="78">F53/V53*60</f>
        <v>2736</v>
      </c>
      <c r="N53" s="9">
        <f>M53/L53</f>
        <v>273.60000000000002</v>
      </c>
      <c r="O53" s="11">
        <f t="shared" ref="O53:O58" si="79">L53-I53</f>
        <v>0</v>
      </c>
      <c r="P53" s="12">
        <f t="shared" ref="P53:P58" si="80">N53-K53</f>
        <v>-26.399999999999977</v>
      </c>
      <c r="Q53" s="85">
        <f>N53/K53</f>
        <v>0.91200000000000003</v>
      </c>
      <c r="R53" s="533">
        <f>Q59</f>
        <v>0.92161006943213608</v>
      </c>
      <c r="S53" s="24">
        <v>0.20833333333333334</v>
      </c>
      <c r="T53" s="24">
        <v>0.23958333333333334</v>
      </c>
      <c r="U53" s="80"/>
      <c r="V53" s="82">
        <f t="shared" ref="V53:V58" si="81">(T53-S53)*24*60</f>
        <v>45</v>
      </c>
      <c r="W53" s="15"/>
      <c r="X53" s="15"/>
      <c r="Y53" s="528"/>
      <c r="Z53" s="528"/>
      <c r="AA53" s="11">
        <f t="shared" si="2"/>
        <v>-264</v>
      </c>
      <c r="AB53" s="85">
        <f t="shared" si="57"/>
        <v>0.91200000000000003</v>
      </c>
      <c r="AC53" s="533">
        <f>AB59</f>
        <v>0.92161006943213608</v>
      </c>
    </row>
    <row r="54" spans="1:29" ht="15.75" customHeight="1">
      <c r="A54" s="538" t="s">
        <v>11</v>
      </c>
      <c r="B54" s="81" t="s">
        <v>32</v>
      </c>
      <c r="C54" s="529" t="s">
        <v>39</v>
      </c>
      <c r="D54" s="529"/>
      <c r="E54" s="26">
        <v>35.369999999999997</v>
      </c>
      <c r="F54" s="27">
        <v>1409</v>
      </c>
      <c r="G54" s="80">
        <f t="shared" si="76"/>
        <v>49836.329999999994</v>
      </c>
      <c r="H54" s="76" t="s">
        <v>52</v>
      </c>
      <c r="I54" s="83">
        <v>10</v>
      </c>
      <c r="J54" s="18">
        <v>3000</v>
      </c>
      <c r="K54" s="9">
        <f t="shared" si="77"/>
        <v>300</v>
      </c>
      <c r="L54" s="17">
        <v>10</v>
      </c>
      <c r="M54" s="10">
        <f t="shared" si="78"/>
        <v>2818.0000000000027</v>
      </c>
      <c r="N54" s="9">
        <f t="shared" ref="N54:N58" si="82">M54/L54</f>
        <v>281.8000000000003</v>
      </c>
      <c r="O54" s="11">
        <f t="shared" si="79"/>
        <v>0</v>
      </c>
      <c r="P54" s="12">
        <f t="shared" si="80"/>
        <v>-18.199999999999704</v>
      </c>
      <c r="Q54" s="85">
        <f t="shared" ref="Q54:Q58" si="83">N54/K54</f>
        <v>0.93933333333333435</v>
      </c>
      <c r="R54" s="533"/>
      <c r="S54" s="24">
        <v>0.24375000000000002</v>
      </c>
      <c r="T54" s="24">
        <v>0.26458333333333334</v>
      </c>
      <c r="U54" s="80">
        <f>(S54-T53)*24*60</f>
        <v>6.0000000000000187</v>
      </c>
      <c r="V54" s="82">
        <f t="shared" si="81"/>
        <v>29.999999999999972</v>
      </c>
      <c r="W54" s="80"/>
      <c r="X54" s="80"/>
      <c r="Y54" s="528"/>
      <c r="Z54" s="528"/>
      <c r="AA54" s="11">
        <f t="shared" si="2"/>
        <v>-181.99999999999727</v>
      </c>
      <c r="AB54" s="85">
        <f t="shared" si="57"/>
        <v>0.93933333333333424</v>
      </c>
      <c r="AC54" s="533"/>
    </row>
    <row r="55" spans="1:29" ht="15.75" customHeight="1">
      <c r="A55" s="538" t="s">
        <v>11</v>
      </c>
      <c r="B55" s="81" t="s">
        <v>32</v>
      </c>
      <c r="C55" s="529" t="s">
        <v>38</v>
      </c>
      <c r="D55" s="529"/>
      <c r="E55" s="26">
        <v>34.35</v>
      </c>
      <c r="F55" s="27">
        <v>1189</v>
      </c>
      <c r="G55" s="80">
        <f t="shared" si="76"/>
        <v>40842.15</v>
      </c>
      <c r="H55" s="76" t="s">
        <v>52</v>
      </c>
      <c r="I55" s="83">
        <v>10</v>
      </c>
      <c r="J55" s="18">
        <v>3000</v>
      </c>
      <c r="K55" s="9">
        <f t="shared" si="77"/>
        <v>300</v>
      </c>
      <c r="L55" s="17">
        <v>10</v>
      </c>
      <c r="M55" s="10">
        <f t="shared" si="78"/>
        <v>2743.8461538461552</v>
      </c>
      <c r="N55" s="9">
        <f t="shared" si="82"/>
        <v>274.38461538461553</v>
      </c>
      <c r="O55" s="11">
        <f t="shared" si="79"/>
        <v>0</v>
      </c>
      <c r="P55" s="12">
        <f t="shared" si="80"/>
        <v>-25.615384615384471</v>
      </c>
      <c r="Q55" s="85">
        <f t="shared" si="83"/>
        <v>0.91461538461538505</v>
      </c>
      <c r="R55" s="533"/>
      <c r="S55" s="24">
        <v>0.26874999999999999</v>
      </c>
      <c r="T55" s="24">
        <v>0.28680555555555554</v>
      </c>
      <c r="U55" s="80">
        <f t="shared" ref="U55:U58" si="84">(S55-T54)*24*60</f>
        <v>5.9999999999999787</v>
      </c>
      <c r="V55" s="82">
        <f t="shared" si="81"/>
        <v>25.999999999999986</v>
      </c>
      <c r="W55" s="80"/>
      <c r="X55" s="80"/>
      <c r="Y55" s="528"/>
      <c r="Z55" s="528"/>
      <c r="AA55" s="11">
        <f t="shared" si="2"/>
        <v>-256.15384615384482</v>
      </c>
      <c r="AB55" s="85">
        <f t="shared" si="57"/>
        <v>0.91461538461538505</v>
      </c>
      <c r="AC55" s="533"/>
    </row>
    <row r="56" spans="1:29" ht="15.75" customHeight="1">
      <c r="A56" s="538" t="s">
        <v>11</v>
      </c>
      <c r="B56" s="81" t="s">
        <v>15</v>
      </c>
      <c r="C56" s="529" t="s">
        <v>36</v>
      </c>
      <c r="D56" s="529"/>
      <c r="E56" s="26">
        <v>26.97</v>
      </c>
      <c r="F56" s="27">
        <v>2685</v>
      </c>
      <c r="G56" s="80">
        <f t="shared" si="76"/>
        <v>72414.45</v>
      </c>
      <c r="H56" s="76" t="s">
        <v>52</v>
      </c>
      <c r="I56" s="83">
        <v>8</v>
      </c>
      <c r="J56" s="18">
        <v>1440</v>
      </c>
      <c r="K56" s="9">
        <f t="shared" si="77"/>
        <v>180</v>
      </c>
      <c r="L56" s="17">
        <v>8</v>
      </c>
      <c r="M56" s="10">
        <f t="shared" si="78"/>
        <v>1320.4918032786888</v>
      </c>
      <c r="N56" s="9">
        <f t="shared" si="82"/>
        <v>165.06147540983611</v>
      </c>
      <c r="O56" s="11">
        <f t="shared" si="79"/>
        <v>0</v>
      </c>
      <c r="P56" s="12">
        <f t="shared" si="80"/>
        <v>-14.938524590163894</v>
      </c>
      <c r="Q56" s="85">
        <f t="shared" si="83"/>
        <v>0.91700819672131173</v>
      </c>
      <c r="R56" s="533"/>
      <c r="S56" s="24">
        <v>0.29027777777777775</v>
      </c>
      <c r="T56" s="24">
        <v>0.37499999999999994</v>
      </c>
      <c r="U56" s="80">
        <f t="shared" si="84"/>
        <v>4.9999999999999822</v>
      </c>
      <c r="V56" s="82">
        <f t="shared" si="81"/>
        <v>121.99999999999997</v>
      </c>
      <c r="W56" s="80"/>
      <c r="X56" s="80"/>
      <c r="Y56" s="528"/>
      <c r="Z56" s="528"/>
      <c r="AA56" s="11">
        <f t="shared" si="2"/>
        <v>-119.50819672131115</v>
      </c>
      <c r="AB56" s="85">
        <f t="shared" si="57"/>
        <v>0.91700819672131173</v>
      </c>
      <c r="AC56" s="533"/>
    </row>
    <row r="57" spans="1:29">
      <c r="A57" s="539" t="s">
        <v>11</v>
      </c>
      <c r="B57" s="81" t="s">
        <v>32</v>
      </c>
      <c r="C57" s="529" t="s">
        <v>37</v>
      </c>
      <c r="D57" s="529"/>
      <c r="E57" s="26">
        <v>35.119999999999997</v>
      </c>
      <c r="F57" s="27">
        <v>1057</v>
      </c>
      <c r="G57" s="80">
        <f t="shared" si="76"/>
        <v>37121.839999999997</v>
      </c>
      <c r="H57" s="76" t="s">
        <v>52</v>
      </c>
      <c r="I57" s="83">
        <v>13</v>
      </c>
      <c r="J57" s="18">
        <v>2000</v>
      </c>
      <c r="K57" s="9">
        <f t="shared" si="77"/>
        <v>153.84615384615384</v>
      </c>
      <c r="L57" s="17">
        <v>13</v>
      </c>
      <c r="M57" s="10">
        <f t="shared" si="78"/>
        <v>1865.2941176470613</v>
      </c>
      <c r="N57" s="9">
        <f t="shared" si="82"/>
        <v>143.4841628959278</v>
      </c>
      <c r="O57" s="11">
        <f t="shared" si="79"/>
        <v>0</v>
      </c>
      <c r="P57" s="12">
        <f t="shared" si="80"/>
        <v>-10.361990950226044</v>
      </c>
      <c r="Q57" s="85">
        <f t="shared" si="83"/>
        <v>0.93264705882353072</v>
      </c>
      <c r="R57" s="533"/>
      <c r="S57" s="24">
        <v>0.37986111111111104</v>
      </c>
      <c r="T57" s="24">
        <v>0.40347222222222212</v>
      </c>
      <c r="U57" s="80">
        <f t="shared" si="84"/>
        <v>6.9999999999999751</v>
      </c>
      <c r="V57" s="82">
        <f t="shared" si="81"/>
        <v>33.999999999999957</v>
      </c>
      <c r="W57" s="14"/>
      <c r="X57" s="14"/>
      <c r="Y57" s="528"/>
      <c r="Z57" s="528"/>
      <c r="AA57" s="11">
        <f t="shared" si="2"/>
        <v>-134.70588235293872</v>
      </c>
      <c r="AB57" s="85">
        <f t="shared" si="57"/>
        <v>0.93264705882353061</v>
      </c>
      <c r="AC57" s="533"/>
    </row>
    <row r="58" spans="1:29" ht="15" customHeight="1">
      <c r="A58" s="539" t="s">
        <v>11</v>
      </c>
      <c r="B58" s="81" t="s">
        <v>32</v>
      </c>
      <c r="C58" s="534" t="s">
        <v>84</v>
      </c>
      <c r="D58" s="535"/>
      <c r="E58" s="26">
        <v>35.869999999999997</v>
      </c>
      <c r="F58" s="27">
        <v>3341</v>
      </c>
      <c r="G58" s="80">
        <f t="shared" si="76"/>
        <v>119841.67</v>
      </c>
      <c r="H58" s="76" t="s">
        <v>52</v>
      </c>
      <c r="I58" s="83">
        <v>10</v>
      </c>
      <c r="J58" s="18">
        <v>3000</v>
      </c>
      <c r="K58" s="9">
        <f t="shared" si="77"/>
        <v>300</v>
      </c>
      <c r="L58" s="17">
        <v>10</v>
      </c>
      <c r="M58" s="10">
        <f t="shared" si="78"/>
        <v>2746.0273972602745</v>
      </c>
      <c r="N58" s="9">
        <f t="shared" si="82"/>
        <v>274.60273972602744</v>
      </c>
      <c r="O58" s="11">
        <f t="shared" si="79"/>
        <v>0</v>
      </c>
      <c r="P58" s="12">
        <f t="shared" si="80"/>
        <v>-25.397260273972563</v>
      </c>
      <c r="Q58" s="85">
        <f t="shared" si="83"/>
        <v>0.91534246575342482</v>
      </c>
      <c r="R58" s="533"/>
      <c r="S58" s="24">
        <v>0.40902777777777766</v>
      </c>
      <c r="T58" s="24">
        <v>0.45972222222222209</v>
      </c>
      <c r="U58" s="80">
        <f t="shared" si="84"/>
        <v>7.9999999999999716</v>
      </c>
      <c r="V58" s="82">
        <f t="shared" si="81"/>
        <v>72.999999999999986</v>
      </c>
      <c r="W58" s="80"/>
      <c r="X58" s="80"/>
      <c r="Y58" s="536"/>
      <c r="Z58" s="537"/>
      <c r="AA58" s="11">
        <f t="shared" si="2"/>
        <v>-253.97260273972552</v>
      </c>
      <c r="AB58" s="85">
        <f t="shared" si="57"/>
        <v>0.91534246575342482</v>
      </c>
      <c r="AC58" s="533"/>
    </row>
    <row r="59" spans="1:29">
      <c r="A59" s="539" t="s">
        <v>11</v>
      </c>
      <c r="B59" s="26" t="s">
        <v>82</v>
      </c>
      <c r="C59" s="530"/>
      <c r="D59" s="530"/>
      <c r="E59" s="84"/>
      <c r="F59" s="16"/>
      <c r="G59" s="9"/>
      <c r="H59" s="81"/>
      <c r="I59" s="17">
        <v>10.166666666666666</v>
      </c>
      <c r="J59" s="18">
        <v>2573.3333333333335</v>
      </c>
      <c r="K59" s="9">
        <f>J59/I59</f>
        <v>253.11475409836069</v>
      </c>
      <c r="L59" s="17">
        <v>10.166666666666666</v>
      </c>
      <c r="M59" s="10">
        <f>AVERAGE(M53:M58)</f>
        <v>2371.6099120053636</v>
      </c>
      <c r="N59" s="9">
        <f>M59/L59</f>
        <v>233.27310609888823</v>
      </c>
      <c r="O59" s="11">
        <f>L59-I59</f>
        <v>0</v>
      </c>
      <c r="P59" s="12">
        <f>N59-K59</f>
        <v>-19.841647999472457</v>
      </c>
      <c r="Q59" s="85">
        <f>N59/K59</f>
        <v>0.92161006943213608</v>
      </c>
      <c r="R59" s="533"/>
      <c r="S59" s="24"/>
      <c r="T59" s="24"/>
      <c r="U59" s="9"/>
      <c r="V59" s="82"/>
      <c r="W59" s="9"/>
      <c r="X59" s="9"/>
      <c r="Y59" s="528"/>
      <c r="Z59" s="528"/>
      <c r="AA59" s="11">
        <f t="shared" si="2"/>
        <v>-201.72342132796985</v>
      </c>
      <c r="AB59" s="85">
        <f t="shared" si="57"/>
        <v>0.92161006943213608</v>
      </c>
      <c r="AC59" s="533"/>
    </row>
    <row r="60" spans="1:29" ht="15.75" customHeight="1">
      <c r="A60" s="531" t="s">
        <v>89</v>
      </c>
      <c r="B60" s="81" t="s">
        <v>24</v>
      </c>
      <c r="C60" s="529" t="s">
        <v>67</v>
      </c>
      <c r="D60" s="529"/>
      <c r="E60" s="26">
        <v>32.03</v>
      </c>
      <c r="F60" s="81">
        <v>931</v>
      </c>
      <c r="G60" s="80">
        <f t="shared" ref="G60:G64" si="85">E60*F60</f>
        <v>29819.93</v>
      </c>
      <c r="H60" s="76" t="s">
        <v>52</v>
      </c>
      <c r="I60" s="83">
        <v>19</v>
      </c>
      <c r="J60" s="18">
        <v>2400</v>
      </c>
      <c r="K60" s="9">
        <f t="shared" ref="K60:K62" si="86">J60/I60</f>
        <v>126.31578947368421</v>
      </c>
      <c r="L60" s="17">
        <v>19</v>
      </c>
      <c r="M60" s="10">
        <f>F60/V60*60</f>
        <v>2234.4000000000005</v>
      </c>
      <c r="N60" s="9">
        <f t="shared" ref="N60:N64" si="87">M60/L60</f>
        <v>117.60000000000002</v>
      </c>
      <c r="O60" s="11">
        <f t="shared" ref="O60:O64" si="88">L60-I60</f>
        <v>0</v>
      </c>
      <c r="P60" s="12">
        <f t="shared" ref="P60:P64" si="89">N60-K60</f>
        <v>-8.7157894736841826</v>
      </c>
      <c r="Q60" s="85">
        <f>N60/K60</f>
        <v>0.93100000000000027</v>
      </c>
      <c r="R60" s="533">
        <f>Q65</f>
        <v>0.918854656789025</v>
      </c>
      <c r="S60" s="24">
        <v>0.125</v>
      </c>
      <c r="T60" s="24">
        <v>0.1423611111111111</v>
      </c>
      <c r="U60" s="15"/>
      <c r="V60" s="82">
        <f t="shared" ref="V60:V64" si="90">(T60-S60)*24*60</f>
        <v>24.999999999999993</v>
      </c>
      <c r="W60" s="14">
        <f>T60</f>
        <v>0.1423611111111111</v>
      </c>
      <c r="X60" s="14">
        <f>S61</f>
        <v>0.16111111111111109</v>
      </c>
      <c r="Y60" s="528"/>
      <c r="Z60" s="528"/>
      <c r="AA60" s="11">
        <f t="shared" si="2"/>
        <v>-165.59999999999945</v>
      </c>
      <c r="AB60" s="85">
        <f>M60/J60</f>
        <v>0.93100000000000027</v>
      </c>
      <c r="AC60" s="533">
        <f>AB65</f>
        <v>0.918854656789025</v>
      </c>
    </row>
    <row r="61" spans="1:29" ht="15.75" customHeight="1">
      <c r="A61" s="531" t="s">
        <v>12</v>
      </c>
      <c r="B61" s="81" t="s">
        <v>24</v>
      </c>
      <c r="C61" s="529" t="s">
        <v>51</v>
      </c>
      <c r="D61" s="529"/>
      <c r="E61" s="26">
        <v>20.2</v>
      </c>
      <c r="F61" s="81">
        <v>1830</v>
      </c>
      <c r="G61" s="80">
        <f t="shared" si="85"/>
        <v>36966</v>
      </c>
      <c r="H61" s="76" t="s">
        <v>52</v>
      </c>
      <c r="I61" s="83">
        <v>19</v>
      </c>
      <c r="J61" s="18">
        <v>2400</v>
      </c>
      <c r="K61" s="9">
        <f t="shared" si="86"/>
        <v>126.31578947368421</v>
      </c>
      <c r="L61" s="17">
        <v>19</v>
      </c>
      <c r="M61" s="10">
        <f t="shared" ref="M61:M64" si="91">F61/V61*60</f>
        <v>2196.0000000000005</v>
      </c>
      <c r="N61" s="9">
        <f t="shared" si="87"/>
        <v>115.57894736842108</v>
      </c>
      <c r="O61" s="11">
        <f t="shared" si="88"/>
        <v>0</v>
      </c>
      <c r="P61" s="12">
        <f t="shared" si="89"/>
        <v>-10.736842105263122</v>
      </c>
      <c r="Q61" s="85">
        <f t="shared" ref="Q61:Q65" si="92">N61/K61</f>
        <v>0.91500000000000026</v>
      </c>
      <c r="R61" s="533"/>
      <c r="S61" s="24">
        <v>0.16111111111111109</v>
      </c>
      <c r="T61" s="24">
        <v>0.1958333333333333</v>
      </c>
      <c r="U61" s="80">
        <f>(S61-T60)*24*60</f>
        <v>26.999999999999986</v>
      </c>
      <c r="V61" s="82">
        <f t="shared" si="90"/>
        <v>49.999999999999986</v>
      </c>
      <c r="W61" s="14"/>
      <c r="X61" s="14"/>
      <c r="Y61" s="528"/>
      <c r="Z61" s="528"/>
      <c r="AA61" s="11">
        <f t="shared" si="2"/>
        <v>-203.99999999999955</v>
      </c>
      <c r="AB61" s="85">
        <f t="shared" ref="AB61:AB65" si="93">M61/J61</f>
        <v>0.91500000000000015</v>
      </c>
      <c r="AC61" s="533"/>
    </row>
    <row r="62" spans="1:29" ht="15.75" customHeight="1">
      <c r="A62" s="531" t="s">
        <v>12</v>
      </c>
      <c r="B62" s="81" t="s">
        <v>24</v>
      </c>
      <c r="C62" s="529" t="s">
        <v>41</v>
      </c>
      <c r="D62" s="529"/>
      <c r="E62" s="26">
        <v>19.02</v>
      </c>
      <c r="F62" s="81">
        <v>6511</v>
      </c>
      <c r="G62" s="80">
        <f t="shared" si="85"/>
        <v>123839.22</v>
      </c>
      <c r="H62" s="76" t="s">
        <v>52</v>
      </c>
      <c r="I62" s="83">
        <v>15</v>
      </c>
      <c r="J62" s="18">
        <v>2400</v>
      </c>
      <c r="K62" s="9">
        <f t="shared" si="86"/>
        <v>160</v>
      </c>
      <c r="L62" s="17">
        <v>15</v>
      </c>
      <c r="M62" s="10">
        <f t="shared" si="91"/>
        <v>2194.7191011235959</v>
      </c>
      <c r="N62" s="9">
        <f t="shared" si="87"/>
        <v>146.31460674157307</v>
      </c>
      <c r="O62" s="11">
        <f t="shared" si="88"/>
        <v>0</v>
      </c>
      <c r="P62" s="12">
        <f t="shared" si="89"/>
        <v>-13.685393258426927</v>
      </c>
      <c r="Q62" s="85">
        <f t="shared" si="92"/>
        <v>0.91446629213483166</v>
      </c>
      <c r="R62" s="533"/>
      <c r="S62" s="24">
        <v>0.19999999999999998</v>
      </c>
      <c r="T62" s="24">
        <v>0.32361111111111107</v>
      </c>
      <c r="U62" s="80">
        <f t="shared" ref="U62:U64" si="94">(S62-T61)*24*60</f>
        <v>6.0000000000000187</v>
      </c>
      <c r="V62" s="82">
        <f t="shared" si="90"/>
        <v>177.99999999999994</v>
      </c>
      <c r="W62" s="14"/>
      <c r="X62" s="14"/>
      <c r="Y62" s="528"/>
      <c r="Z62" s="528"/>
      <c r="AA62" s="11">
        <f t="shared" si="2"/>
        <v>-205.28089887640408</v>
      </c>
      <c r="AB62" s="85">
        <f t="shared" si="93"/>
        <v>0.91446629213483166</v>
      </c>
      <c r="AC62" s="533"/>
    </row>
    <row r="63" spans="1:29" ht="15.75" customHeight="1">
      <c r="A63" s="531" t="s">
        <v>12</v>
      </c>
      <c r="B63" s="81" t="s">
        <v>24</v>
      </c>
      <c r="C63" s="529" t="s">
        <v>42</v>
      </c>
      <c r="D63" s="529"/>
      <c r="E63" s="26">
        <v>25</v>
      </c>
      <c r="F63" s="81">
        <v>2971</v>
      </c>
      <c r="G63" s="80">
        <f t="shared" si="85"/>
        <v>74275</v>
      </c>
      <c r="H63" s="76" t="s">
        <v>52</v>
      </c>
      <c r="I63" s="83">
        <v>15</v>
      </c>
      <c r="J63" s="18">
        <v>2400</v>
      </c>
      <c r="K63" s="9">
        <f>J63/I63</f>
        <v>160</v>
      </c>
      <c r="L63" s="17">
        <v>15</v>
      </c>
      <c r="M63" s="10">
        <f t="shared" si="91"/>
        <v>2200.74074074074</v>
      </c>
      <c r="N63" s="9">
        <f t="shared" si="87"/>
        <v>146.71604938271599</v>
      </c>
      <c r="O63" s="11">
        <f t="shared" si="88"/>
        <v>0</v>
      </c>
      <c r="P63" s="12">
        <f t="shared" si="89"/>
        <v>-13.283950617284006</v>
      </c>
      <c r="Q63" s="85">
        <f t="shared" si="92"/>
        <v>0.91697530864197496</v>
      </c>
      <c r="R63" s="533"/>
      <c r="S63" s="24">
        <v>0.32777777777777772</v>
      </c>
      <c r="T63" s="24">
        <v>0.38402777777777775</v>
      </c>
      <c r="U63" s="80">
        <f t="shared" si="94"/>
        <v>5.9999999999999787</v>
      </c>
      <c r="V63" s="82">
        <f t="shared" si="90"/>
        <v>81.000000000000028</v>
      </c>
      <c r="W63" s="14"/>
      <c r="X63" s="14"/>
      <c r="Y63" s="528"/>
      <c r="Z63" s="528"/>
      <c r="AA63" s="11">
        <f t="shared" si="2"/>
        <v>-199.25925925926003</v>
      </c>
      <c r="AB63" s="85">
        <f t="shared" si="93"/>
        <v>0.91697530864197496</v>
      </c>
      <c r="AC63" s="533"/>
    </row>
    <row r="64" spans="1:29" ht="15.75" customHeight="1">
      <c r="A64" s="531" t="s">
        <v>12</v>
      </c>
      <c r="B64" s="81" t="s">
        <v>24</v>
      </c>
      <c r="C64" s="529" t="s">
        <v>77</v>
      </c>
      <c r="D64" s="529"/>
      <c r="E64" s="26">
        <v>28.51</v>
      </c>
      <c r="F64" s="81">
        <v>3704</v>
      </c>
      <c r="G64" s="80">
        <f t="shared" si="85"/>
        <v>105601.04000000001</v>
      </c>
      <c r="H64" s="76" t="s">
        <v>52</v>
      </c>
      <c r="I64" s="83">
        <v>19</v>
      </c>
      <c r="J64" s="18">
        <v>2400</v>
      </c>
      <c r="K64" s="9">
        <f t="shared" ref="K64:K65" si="95">J64/I64</f>
        <v>126.31578947368421</v>
      </c>
      <c r="L64" s="17">
        <v>19</v>
      </c>
      <c r="M64" s="10">
        <f t="shared" si="91"/>
        <v>2200.3960396039615</v>
      </c>
      <c r="N64" s="9">
        <f t="shared" si="87"/>
        <v>115.81031787389271</v>
      </c>
      <c r="O64" s="11">
        <f t="shared" si="88"/>
        <v>0</v>
      </c>
      <c r="P64" s="12">
        <f t="shared" si="89"/>
        <v>-10.505471599791491</v>
      </c>
      <c r="Q64" s="85">
        <f t="shared" si="92"/>
        <v>0.91683168316831731</v>
      </c>
      <c r="R64" s="533"/>
      <c r="S64" s="24">
        <v>0.38749999999999996</v>
      </c>
      <c r="T64" s="24">
        <v>0.45763888888888882</v>
      </c>
      <c r="U64" s="80">
        <f t="shared" si="94"/>
        <v>4.9999999999999822</v>
      </c>
      <c r="V64" s="82">
        <f t="shared" si="90"/>
        <v>100.99999999999996</v>
      </c>
      <c r="W64" s="14"/>
      <c r="X64" s="14"/>
      <c r="Y64" s="528"/>
      <c r="Z64" s="528"/>
      <c r="AA64" s="11">
        <f t="shared" si="2"/>
        <v>-199.60396039603847</v>
      </c>
      <c r="AB64" s="85">
        <f t="shared" si="93"/>
        <v>0.91683168316831731</v>
      </c>
      <c r="AC64" s="533"/>
    </row>
    <row r="65" spans="1:29" ht="16.5" customHeight="1">
      <c r="A65" s="532" t="s">
        <v>12</v>
      </c>
      <c r="B65" s="26" t="s">
        <v>82</v>
      </c>
      <c r="C65" s="530"/>
      <c r="D65" s="530"/>
      <c r="E65" s="84"/>
      <c r="F65" s="16"/>
      <c r="G65" s="9"/>
      <c r="H65" s="81"/>
      <c r="I65" s="17">
        <v>17.399999999999999</v>
      </c>
      <c r="J65" s="18">
        <v>2400</v>
      </c>
      <c r="K65" s="9">
        <f t="shared" si="95"/>
        <v>137.93103448275863</v>
      </c>
      <c r="L65" s="17">
        <v>17.399999999999999</v>
      </c>
      <c r="M65" s="10">
        <f>AVERAGE(M60:M64)</f>
        <v>2205.2511762936601</v>
      </c>
      <c r="N65" s="9">
        <f>M65/L65</f>
        <v>126.73857335021036</v>
      </c>
      <c r="O65" s="11">
        <f>L65-I65</f>
        <v>0</v>
      </c>
      <c r="P65" s="12">
        <f>N65-K65</f>
        <v>-11.192461132548274</v>
      </c>
      <c r="Q65" s="85">
        <f t="shared" si="92"/>
        <v>0.918854656789025</v>
      </c>
      <c r="R65" s="533"/>
      <c r="S65" s="24"/>
      <c r="T65" s="24"/>
      <c r="U65" s="9"/>
      <c r="V65" s="82"/>
      <c r="W65" s="9"/>
      <c r="X65" s="9"/>
      <c r="Y65" s="528"/>
      <c r="Z65" s="528"/>
      <c r="AA65" s="11">
        <f t="shared" si="2"/>
        <v>-194.74882370633986</v>
      </c>
      <c r="AB65" s="85">
        <f t="shared" si="93"/>
        <v>0.918854656789025</v>
      </c>
      <c r="AC65" s="533"/>
    </row>
    <row r="66" spans="1:29">
      <c r="D66" s="19"/>
      <c r="E66" s="19"/>
    </row>
  </sheetData>
  <mergeCells count="178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2"/>
    <mergeCell ref="C9:D9"/>
    <mergeCell ref="R9:R12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AC13:AC17"/>
    <mergeCell ref="C14:D14"/>
    <mergeCell ref="Y14:Z14"/>
    <mergeCell ref="C15:D15"/>
    <mergeCell ref="Y15:Z15"/>
    <mergeCell ref="C16:D16"/>
    <mergeCell ref="AC9:AC12"/>
    <mergeCell ref="C10:D10"/>
    <mergeCell ref="Y10:Z10"/>
    <mergeCell ref="C11:D11"/>
    <mergeCell ref="Y11:Z11"/>
    <mergeCell ref="C12:D12"/>
    <mergeCell ref="Y12:Z12"/>
    <mergeCell ref="Y16:Z16"/>
    <mergeCell ref="C17:D17"/>
    <mergeCell ref="Y17:Z17"/>
    <mergeCell ref="A18:A26"/>
    <mergeCell ref="C18:D18"/>
    <mergeCell ref="R18:R26"/>
    <mergeCell ref="Y18:Z18"/>
    <mergeCell ref="Y23:Z23"/>
    <mergeCell ref="C24:D24"/>
    <mergeCell ref="Y24:Z24"/>
    <mergeCell ref="A13:A17"/>
    <mergeCell ref="C13:D13"/>
    <mergeCell ref="R13:R17"/>
    <mergeCell ref="Y13:Z13"/>
    <mergeCell ref="AC18:AC26"/>
    <mergeCell ref="C19:D19"/>
    <mergeCell ref="Y19:Z19"/>
    <mergeCell ref="C20:D20"/>
    <mergeCell ref="Y20:Z20"/>
    <mergeCell ref="C21:D21"/>
    <mergeCell ref="Y21:Z21"/>
    <mergeCell ref="C22:D22"/>
    <mergeCell ref="Y22:Z22"/>
    <mergeCell ref="C23:D23"/>
    <mergeCell ref="C25:D25"/>
    <mergeCell ref="Y25:Z25"/>
    <mergeCell ref="C26:D26"/>
    <mergeCell ref="Y26:Z26"/>
    <mergeCell ref="A27:A32"/>
    <mergeCell ref="C27:D27"/>
    <mergeCell ref="R27:R32"/>
    <mergeCell ref="Y27:Z27"/>
    <mergeCell ref="Y32:Z32"/>
    <mergeCell ref="AC27:AC32"/>
    <mergeCell ref="C28:D28"/>
    <mergeCell ref="Y28:Z28"/>
    <mergeCell ref="C29:D29"/>
    <mergeCell ref="Y29:Z29"/>
    <mergeCell ref="C30:D30"/>
    <mergeCell ref="Y30:Z30"/>
    <mergeCell ref="C31:D31"/>
    <mergeCell ref="Y31:Z31"/>
    <mergeCell ref="C32:D32"/>
    <mergeCell ref="AC33:AC39"/>
    <mergeCell ref="C34:D34"/>
    <mergeCell ref="Y34:Z34"/>
    <mergeCell ref="C35:D35"/>
    <mergeCell ref="Y35:Z35"/>
    <mergeCell ref="C36:D36"/>
    <mergeCell ref="Y36:Z36"/>
    <mergeCell ref="C37:D37"/>
    <mergeCell ref="Y37:Z37"/>
    <mergeCell ref="C38:D38"/>
    <mergeCell ref="Y38:Z38"/>
    <mergeCell ref="C39:D39"/>
    <mergeCell ref="Y39:Z39"/>
    <mergeCell ref="A40:A46"/>
    <mergeCell ref="C40:D40"/>
    <mergeCell ref="R40:R46"/>
    <mergeCell ref="Y40:Z40"/>
    <mergeCell ref="A47:A52"/>
    <mergeCell ref="C47:D47"/>
    <mergeCell ref="R47:R52"/>
    <mergeCell ref="Y47:Z47"/>
    <mergeCell ref="A33:A39"/>
    <mergeCell ref="C33:D33"/>
    <mergeCell ref="R33:R39"/>
    <mergeCell ref="Y33:Z33"/>
    <mergeCell ref="AC47:AC52"/>
    <mergeCell ref="C48:D48"/>
    <mergeCell ref="Y48:Z48"/>
    <mergeCell ref="C49:D49"/>
    <mergeCell ref="C52:D52"/>
    <mergeCell ref="Y52:Z52"/>
    <mergeCell ref="AC40:AC46"/>
    <mergeCell ref="C41:D41"/>
    <mergeCell ref="Y41:Z41"/>
    <mergeCell ref="C42:D42"/>
    <mergeCell ref="Y42:Z42"/>
    <mergeCell ref="C43:D43"/>
    <mergeCell ref="C45:D45"/>
    <mergeCell ref="Y45:Z45"/>
    <mergeCell ref="C46:D46"/>
    <mergeCell ref="Y46:Z46"/>
    <mergeCell ref="Y43:Z43"/>
    <mergeCell ref="C44:D44"/>
    <mergeCell ref="Y44:Z44"/>
    <mergeCell ref="A53:A59"/>
    <mergeCell ref="C53:D53"/>
    <mergeCell ref="R53:R59"/>
    <mergeCell ref="Y53:Z53"/>
    <mergeCell ref="AC53:AC59"/>
    <mergeCell ref="C54:D54"/>
    <mergeCell ref="Y54:Z54"/>
    <mergeCell ref="C55:D55"/>
    <mergeCell ref="Y55:Z55"/>
    <mergeCell ref="C56:D56"/>
    <mergeCell ref="Y56:Z56"/>
    <mergeCell ref="C57:D57"/>
    <mergeCell ref="Y57:Z57"/>
    <mergeCell ref="C58:D58"/>
    <mergeCell ref="Y58:Z58"/>
    <mergeCell ref="C59:D59"/>
    <mergeCell ref="Y59:Z59"/>
    <mergeCell ref="Y63:Z63"/>
    <mergeCell ref="C64:D64"/>
    <mergeCell ref="Y64:Z64"/>
    <mergeCell ref="A60:A65"/>
    <mergeCell ref="C60:D60"/>
    <mergeCell ref="R60:R65"/>
    <mergeCell ref="Y60:Z60"/>
    <mergeCell ref="AC60:AC65"/>
    <mergeCell ref="C61:D61"/>
    <mergeCell ref="Y61:Z61"/>
    <mergeCell ref="C62:D62"/>
    <mergeCell ref="Y62:Z62"/>
    <mergeCell ref="C63:D63"/>
    <mergeCell ref="C65:D65"/>
    <mergeCell ref="Y65:Z65"/>
  </mergeCells>
  <phoneticPr fontId="3" type="noConversion"/>
  <conditionalFormatting sqref="O56:O65 O5:O9 O12:O14 O17:O53">
    <cfRule type="cellIs" dxfId="97" priority="34" operator="greaterThan">
      <formula>0</formula>
    </cfRule>
  </conditionalFormatting>
  <conditionalFormatting sqref="P5:P7 P56:P58 AA56:AA58 P60:P64 P27:P31 P53 P9 P12:P14 P18:P25 P47:P51 P33:P45 AA5:AA53 AA60:AA65">
    <cfRule type="cellIs" dxfId="96" priority="38" operator="lessThan">
      <formula>0</formula>
    </cfRule>
  </conditionalFormatting>
  <conditionalFormatting sqref="AB56:AB58 Q56:Q65 Q5:Q9 Q12:Q14 Q17:Q53 AB5:AB53 AB60:AB65">
    <cfRule type="cellIs" dxfId="95" priority="35" operator="greaterThan">
      <formula>1</formula>
    </cfRule>
    <cfRule type="cellIs" dxfId="94" priority="36" operator="lessThan">
      <formula>0.8</formula>
    </cfRule>
  </conditionalFormatting>
  <conditionalFormatting sqref="AC13:AC14 R13:R14 AC56 R17:R23 AC17:AC23 R56:R65 AC5:AC9 R5:R9 AC26:AC53 R26:R53">
    <cfRule type="cellIs" dxfId="93" priority="40" operator="lessThan">
      <formula>0.8</formula>
    </cfRule>
  </conditionalFormatting>
  <conditionalFormatting sqref="AC40">
    <cfRule type="cellIs" dxfId="92" priority="42" operator="lessThan">
      <formula>0.8</formula>
    </cfRule>
  </conditionalFormatting>
  <conditionalFormatting sqref="AC18:AC23">
    <cfRule type="cellIs" dxfId="91" priority="39" operator="lessThan">
      <formula>0.8</formula>
    </cfRule>
  </conditionalFormatting>
  <conditionalFormatting sqref="AC27">
    <cfRule type="cellIs" dxfId="90" priority="41" operator="lessThan">
      <formula>0.8</formula>
    </cfRule>
  </conditionalFormatting>
  <conditionalFormatting sqref="AC33:AC38">
    <cfRule type="cellIs" dxfId="89" priority="37" operator="lessThan">
      <formula>0.8</formula>
    </cfRule>
  </conditionalFormatting>
  <conditionalFormatting sqref="AA59">
    <cfRule type="cellIs" dxfId="88" priority="33" operator="lessThan">
      <formula>0</formula>
    </cfRule>
  </conditionalFormatting>
  <conditionalFormatting sqref="AB59">
    <cfRule type="cellIs" dxfId="87" priority="31" operator="greaterThan">
      <formula>1</formula>
    </cfRule>
    <cfRule type="cellIs" dxfId="86" priority="32" operator="lessThan">
      <formula>0.8</formula>
    </cfRule>
  </conditionalFormatting>
  <conditionalFormatting sqref="O15:O16">
    <cfRule type="cellIs" dxfId="85" priority="26" operator="greaterThan">
      <formula>0</formula>
    </cfRule>
  </conditionalFormatting>
  <conditionalFormatting sqref="P15:P16">
    <cfRule type="cellIs" dxfId="84" priority="29" operator="lessThan">
      <formula>0</formula>
    </cfRule>
  </conditionalFormatting>
  <conditionalFormatting sqref="Q15:Q16">
    <cfRule type="cellIs" dxfId="83" priority="27" operator="greaterThan">
      <formula>1</formula>
    </cfRule>
    <cfRule type="cellIs" dxfId="82" priority="28" operator="lessThan">
      <formula>0.8</formula>
    </cfRule>
  </conditionalFormatting>
  <conditionalFormatting sqref="R15:R16 AC15:AC16">
    <cfRule type="cellIs" dxfId="81" priority="30" operator="lessThan">
      <formula>0.8</formula>
    </cfRule>
  </conditionalFormatting>
  <conditionalFormatting sqref="O10:O11">
    <cfRule type="cellIs" dxfId="80" priority="22" operator="greaterThan">
      <formula>0</formula>
    </cfRule>
  </conditionalFormatting>
  <conditionalFormatting sqref="P10:P11">
    <cfRule type="cellIs" dxfId="79" priority="25" operator="lessThan">
      <formula>0</formula>
    </cfRule>
  </conditionalFormatting>
  <conditionalFormatting sqref="Q10:Q11">
    <cfRule type="cellIs" dxfId="78" priority="23" operator="greaterThan">
      <formula>1</formula>
    </cfRule>
    <cfRule type="cellIs" dxfId="77" priority="24" operator="lessThan">
      <formula>0.8</formula>
    </cfRule>
  </conditionalFormatting>
  <conditionalFormatting sqref="AC25 R25">
    <cfRule type="cellIs" dxfId="76" priority="21" operator="lessThan">
      <formula>0.8</formula>
    </cfRule>
  </conditionalFormatting>
  <conditionalFormatting sqref="O55">
    <cfRule type="cellIs" dxfId="75" priority="16" operator="greaterThan">
      <formula>0</formula>
    </cfRule>
  </conditionalFormatting>
  <conditionalFormatting sqref="P55 AA55">
    <cfRule type="cellIs" dxfId="74" priority="19" operator="lessThan">
      <formula>0</formula>
    </cfRule>
  </conditionalFormatting>
  <conditionalFormatting sqref="Q55 AB55">
    <cfRule type="cellIs" dxfId="73" priority="17" operator="greaterThan">
      <formula>1</formula>
    </cfRule>
    <cfRule type="cellIs" dxfId="72" priority="18" operator="lessThan">
      <formula>0.8</formula>
    </cfRule>
  </conditionalFormatting>
  <conditionalFormatting sqref="R55 AC55">
    <cfRule type="cellIs" dxfId="71" priority="20" operator="lessThan">
      <formula>0.8</formula>
    </cfRule>
  </conditionalFormatting>
  <conditionalFormatting sqref="R24 AC24">
    <cfRule type="cellIs" dxfId="70" priority="15" operator="lessThan">
      <formula>0.8</formula>
    </cfRule>
  </conditionalFormatting>
  <conditionalFormatting sqref="AC24">
    <cfRule type="cellIs" dxfId="69" priority="14" operator="lessThan">
      <formula>0.8</formula>
    </cfRule>
  </conditionalFormatting>
  <conditionalFormatting sqref="O54">
    <cfRule type="cellIs" dxfId="68" priority="9" operator="greaterThan">
      <formula>0</formula>
    </cfRule>
  </conditionalFormatting>
  <conditionalFormatting sqref="P54 AA54">
    <cfRule type="cellIs" dxfId="67" priority="12" operator="lessThan">
      <formula>0</formula>
    </cfRule>
  </conditionalFormatting>
  <conditionalFormatting sqref="Q54 AB54">
    <cfRule type="cellIs" dxfId="66" priority="10" operator="greaterThan">
      <formula>1</formula>
    </cfRule>
    <cfRule type="cellIs" dxfId="65" priority="11" operator="lessThan">
      <formula>0.8</formula>
    </cfRule>
  </conditionalFormatting>
  <conditionalFormatting sqref="R54 AC54">
    <cfRule type="cellIs" dxfId="64" priority="13" operator="lessThan">
      <formula>0.8</formula>
    </cfRule>
  </conditionalFormatting>
  <conditionalFormatting sqref="P8">
    <cfRule type="cellIs" dxfId="63" priority="8" operator="lessThan">
      <formula>0</formula>
    </cfRule>
  </conditionalFormatting>
  <conditionalFormatting sqref="P17">
    <cfRule type="cellIs" dxfId="62" priority="7" operator="lessThan">
      <formula>0</formula>
    </cfRule>
  </conditionalFormatting>
  <conditionalFormatting sqref="P26">
    <cfRule type="cellIs" dxfId="61" priority="6" operator="lessThan">
      <formula>0</formula>
    </cfRule>
  </conditionalFormatting>
  <conditionalFormatting sqref="P32">
    <cfRule type="cellIs" dxfId="60" priority="5" operator="lessThan">
      <formula>0</formula>
    </cfRule>
  </conditionalFormatting>
  <conditionalFormatting sqref="P46">
    <cfRule type="cellIs" dxfId="59" priority="4" operator="lessThan">
      <formula>0</formula>
    </cfRule>
  </conditionalFormatting>
  <conditionalFormatting sqref="P52">
    <cfRule type="cellIs" dxfId="58" priority="3" operator="lessThan">
      <formula>0</formula>
    </cfRule>
  </conditionalFormatting>
  <conditionalFormatting sqref="P59">
    <cfRule type="cellIs" dxfId="57" priority="2" operator="lessThan">
      <formula>0</formula>
    </cfRule>
  </conditionalFormatting>
  <conditionalFormatting sqref="P65">
    <cfRule type="cellIs" dxfId="56" priority="1" operator="lessThan">
      <formula>0</formula>
    </cfRule>
  </conditionalFormatting>
  <dataValidations count="1">
    <dataValidation type="list" allowBlank="1" showInputMessage="1" showErrorMessage="1" sqref="Z8 Z57:Z58 Y5:Z7 Y8:Y58 Z10:Z53 Y59:Z65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1c1d4ea67cf6c3e805f348346c37c63e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ad19dceaaf0ea6267f87f4e2285393ad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A346E5-26D5-4EA6-B8B8-8A928D2A3CAF}"/>
</file>

<file path=customXml/itemProps2.xml><?xml version="1.0" encoding="utf-8"?>
<ds:datastoreItem xmlns:ds="http://schemas.openxmlformats.org/officeDocument/2006/customXml" ds:itemID="{AA41B6C0-98E1-4C22-BC1D-BAE4B9FFA0DF}"/>
</file>

<file path=customXml/itemProps3.xml><?xml version="1.0" encoding="utf-8"?>
<ds:datastoreItem xmlns:ds="http://schemas.openxmlformats.org/officeDocument/2006/customXml" ds:itemID="{217EECB7-C5CF-4837-9D0C-3210272F71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62</vt:i4>
      </vt:variant>
    </vt:vector>
  </HeadingPairs>
  <TitlesOfParts>
    <vt:vector size="62" baseType="lpstr">
      <vt:lpstr>0831</vt:lpstr>
      <vt:lpstr>0831 4度C</vt:lpstr>
      <vt:lpstr>0830</vt:lpstr>
      <vt:lpstr>0830 4度C</vt:lpstr>
      <vt:lpstr>0829</vt:lpstr>
      <vt:lpstr>0829 4度C</vt:lpstr>
      <vt:lpstr>0828</vt:lpstr>
      <vt:lpstr>0828 4度C</vt:lpstr>
      <vt:lpstr>0827</vt:lpstr>
      <vt:lpstr>0827 4度C</vt:lpstr>
      <vt:lpstr>0826</vt:lpstr>
      <vt:lpstr>0826 4度C</vt:lpstr>
      <vt:lpstr>0825</vt:lpstr>
      <vt:lpstr>0825 4度C</vt:lpstr>
      <vt:lpstr>0824</vt:lpstr>
      <vt:lpstr>0824 4度C</vt:lpstr>
      <vt:lpstr>0823</vt:lpstr>
      <vt:lpstr>0823 4度C</vt:lpstr>
      <vt:lpstr>0822</vt:lpstr>
      <vt:lpstr>0822 4度C</vt:lpstr>
      <vt:lpstr>0821</vt:lpstr>
      <vt:lpstr>0821 4度C</vt:lpstr>
      <vt:lpstr>0820</vt:lpstr>
      <vt:lpstr>0820 4度C</vt:lpstr>
      <vt:lpstr>0819</vt:lpstr>
      <vt:lpstr>0819 4度C</vt:lpstr>
      <vt:lpstr>0818</vt:lpstr>
      <vt:lpstr>0818 4度C</vt:lpstr>
      <vt:lpstr>0817</vt:lpstr>
      <vt:lpstr>0817 4度C</vt:lpstr>
      <vt:lpstr>0816</vt:lpstr>
      <vt:lpstr>0816 4度C</vt:lpstr>
      <vt:lpstr>0815</vt:lpstr>
      <vt:lpstr>0815 4度C</vt:lpstr>
      <vt:lpstr>0814</vt:lpstr>
      <vt:lpstr>0814 4度C</vt:lpstr>
      <vt:lpstr>0813</vt:lpstr>
      <vt:lpstr>0813 4度C</vt:lpstr>
      <vt:lpstr>0812</vt:lpstr>
      <vt:lpstr>0812 4度C</vt:lpstr>
      <vt:lpstr>0811</vt:lpstr>
      <vt:lpstr>0811 4度C</vt:lpstr>
      <vt:lpstr>0810</vt:lpstr>
      <vt:lpstr>0810 4度C</vt:lpstr>
      <vt:lpstr>0809</vt:lpstr>
      <vt:lpstr>0809 4度C</vt:lpstr>
      <vt:lpstr>0808</vt:lpstr>
      <vt:lpstr>0808 4度C</vt:lpstr>
      <vt:lpstr>0807</vt:lpstr>
      <vt:lpstr>0807 4度C</vt:lpstr>
      <vt:lpstr>0806</vt:lpstr>
      <vt:lpstr>0806 4度C</vt:lpstr>
      <vt:lpstr>0805</vt:lpstr>
      <vt:lpstr>0805 4度C</vt:lpstr>
      <vt:lpstr>0804</vt:lpstr>
      <vt:lpstr>0804 4度C</vt:lpstr>
      <vt:lpstr>0803</vt:lpstr>
      <vt:lpstr>0803 4度C</vt:lpstr>
      <vt:lpstr>0802</vt:lpstr>
      <vt:lpstr>0802 4度C</vt:lpstr>
      <vt:lpstr>0801</vt:lpstr>
      <vt:lpstr>0801 4度C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新豐生管01</dc:creator>
  <cp:lastModifiedBy>新豐生管01</cp:lastModifiedBy>
  <dcterms:created xsi:type="dcterms:W3CDTF">2025-03-31T05:45:46Z</dcterms:created>
  <dcterms:modified xsi:type="dcterms:W3CDTF">2025-09-02T01:03:05Z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